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workbookProtection workbookPassword="C26B" lockStructure="1"/>
  <bookViews>
    <workbookView showSheetTabs="0" xWindow="2540" yWindow="1140" windowWidth="20740" windowHeight="11760" firstSheet="2" activeTab="2"/>
  </bookViews>
  <sheets>
    <sheet name="Adm" sheetId="4" state="hidden" r:id="rId1"/>
    <sheet name="Cal" sheetId="2" state="hidden" r:id="rId2"/>
    <sheet name="Captura" sheetId="1" r:id="rId3"/>
    <sheet name="Liquidez" sheetId="7" r:id="rId4"/>
    <sheet name="Resol" sheetId="11" r:id="rId5"/>
    <sheet name="pasos" sheetId="10" r:id="rId6"/>
    <sheet name="CAT" sheetId="8" state="hidden" r:id="rId7"/>
  </sheets>
  <externalReferences>
    <externalReference r:id="rId8"/>
    <externalReference r:id="rId9"/>
  </externalReferences>
  <definedNames>
    <definedName name="anticipado">Captura!$AI$114:$CL$354</definedName>
    <definedName name="_xlnm.Print_Area" localSheetId="2">Captura!$C$1:$O$78,Captura!$C$105:$O$370</definedName>
    <definedName name="_xlnm.Print_Area" localSheetId="3">Liquidez!$B$1:$L$268</definedName>
    <definedName name="_xlnm.Print_Area" localSheetId="4">Resol!$C$1:$N$298</definedName>
    <definedName name="cliente">Adm!$E$4:$E$5</definedName>
    <definedName name="construcción">Adm!$D$6:$D$7</definedName>
    <definedName name="Destino">Adm!$B$4:$B$14</definedName>
    <definedName name="gastos">Adm!$AF$4:$AF$6</definedName>
    <definedName name="Glosario">[1]Políticas!$AG$1:$AG$75</definedName>
    <definedName name="Intervinientes">Adm!$T$4:$T$7</definedName>
    <definedName name="lista">Adm!$A$51:$H$61</definedName>
    <definedName name="origen">Adm!$AG$4:$AG$8</definedName>
    <definedName name="plazo">Adm!$G$6:$G$14</definedName>
    <definedName name="Pregunta">[1]Políticas!$AK$1:$AK$30</definedName>
    <definedName name="SBC">'[2]MONTOS MAX CRED '!$C$3:$E$145</definedName>
    <definedName name="SEG">Adm!$S$10:$S$11</definedName>
    <definedName name="Seguros">Adm!$S$5:$S$6</definedName>
    <definedName name="tasas">Adm!$BE$4:$BE$7</definedName>
    <definedName name="_xlnm.Print_Titles" localSheetId="2">Captura!$113:$113</definedName>
    <definedName name="_xlnm.Print_Titles" localSheetId="3">Liquidez!$16:$16</definedName>
    <definedName name="_xlnm.Print_Titles" localSheetId="5">pasos!$1:$2</definedName>
    <definedName name="_xlnm.Print_Titles" localSheetId="4">Resol!$39:$39</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1" i="4" l="1"/>
  <c r="F53" i="4"/>
  <c r="BE2" i="4"/>
  <c r="BD5" i="4"/>
  <c r="X2" i="11"/>
  <c r="S1" i="1"/>
  <c r="C14" i="11"/>
  <c r="Y6" i="11"/>
  <c r="C298" i="11"/>
  <c r="K4" i="11"/>
  <c r="A41" i="11"/>
  <c r="A42" i="11"/>
  <c r="A43" i="11"/>
  <c r="A44" i="11"/>
  <c r="A45" i="11"/>
  <c r="AR23" i="8"/>
  <c r="C260" i="7"/>
  <c r="C261" i="7"/>
  <c r="C19" i="1"/>
  <c r="J98" i="1"/>
  <c r="J96" i="1"/>
  <c r="J94" i="1"/>
  <c r="G100" i="1"/>
  <c r="G98" i="1"/>
  <c r="C98" i="1"/>
  <c r="G96" i="1"/>
  <c r="C96" i="1"/>
  <c r="G94" i="1"/>
  <c r="C94" i="1"/>
  <c r="L82" i="1"/>
  <c r="L90" i="1"/>
  <c r="L10" i="11"/>
  <c r="U10" i="11"/>
  <c r="C34" i="11"/>
  <c r="L13" i="11"/>
  <c r="U7" i="11"/>
  <c r="J13" i="11"/>
  <c r="E11" i="11"/>
  <c r="G11" i="11"/>
  <c r="O39" i="11"/>
  <c r="W29" i="11"/>
  <c r="W31" i="11"/>
  <c r="W40" i="11"/>
  <c r="BE23" i="8"/>
  <c r="AS5" i="8"/>
  <c r="AL6" i="8"/>
  <c r="AL14" i="8"/>
  <c r="AL9" i="8"/>
  <c r="AL8" i="8"/>
  <c r="AL5" i="8"/>
  <c r="BB25" i="8"/>
  <c r="BB26" i="8"/>
  <c r="AN23" i="8"/>
  <c r="AM23" i="8"/>
  <c r="AR1" i="8"/>
  <c r="AG24" i="8"/>
  <c r="AG25" i="8"/>
  <c r="AG26" i="8"/>
  <c r="AG27" i="8"/>
  <c r="AG28" i="8"/>
  <c r="AG29" i="8"/>
  <c r="AG30" i="8"/>
  <c r="AG31" i="8"/>
  <c r="AG32" i="8"/>
  <c r="AG33" i="8"/>
  <c r="AG34" i="8"/>
  <c r="BB27" i="8"/>
  <c r="BC26" i="8"/>
  <c r="F23" i="11"/>
  <c r="F38" i="11"/>
  <c r="BB28" i="8"/>
  <c r="BC27" i="8"/>
  <c r="AE39" i="11"/>
  <c r="AB38" i="11"/>
  <c r="Z38" i="11"/>
  <c r="S42" i="11"/>
  <c r="S43" i="11"/>
  <c r="L39" i="11"/>
  <c r="B41" i="11"/>
  <c r="J19" i="11"/>
  <c r="L14" i="11"/>
  <c r="AS8" i="8"/>
  <c r="J14" i="11"/>
  <c r="BB29" i="8"/>
  <c r="BC28" i="8"/>
  <c r="AA46" i="11"/>
  <c r="AA50" i="11"/>
  <c r="AA54" i="11"/>
  <c r="AA58" i="11"/>
  <c r="AA62" i="11"/>
  <c r="AA66" i="11"/>
  <c r="AA70" i="11"/>
  <c r="AA74" i="11"/>
  <c r="AA78" i="11"/>
  <c r="AA82" i="11"/>
  <c r="AA86" i="11"/>
  <c r="AA90" i="11"/>
  <c r="AA94" i="11"/>
  <c r="AA98" i="11"/>
  <c r="AA102" i="11"/>
  <c r="AA106" i="11"/>
  <c r="AA110" i="11"/>
  <c r="AA114" i="11"/>
  <c r="AA118" i="11"/>
  <c r="AA122" i="11"/>
  <c r="AA126" i="11"/>
  <c r="AA130" i="11"/>
  <c r="AA134" i="11"/>
  <c r="AA138" i="11"/>
  <c r="AA142" i="11"/>
  <c r="AA146" i="11"/>
  <c r="AA150" i="11"/>
  <c r="AA154" i="11"/>
  <c r="AA158" i="11"/>
  <c r="AA162" i="11"/>
  <c r="AA166" i="11"/>
  <c r="AA170" i="11"/>
  <c r="AA174" i="11"/>
  <c r="AA178" i="11"/>
  <c r="AA182" i="11"/>
  <c r="AA186" i="11"/>
  <c r="AA190" i="11"/>
  <c r="AA194" i="11"/>
  <c r="AA198" i="11"/>
  <c r="AA202" i="11"/>
  <c r="AA206" i="11"/>
  <c r="AA210" i="11"/>
  <c r="AA214" i="11"/>
  <c r="AA218" i="11"/>
  <c r="AA222" i="11"/>
  <c r="AA226" i="11"/>
  <c r="AA230" i="11"/>
  <c r="AA234" i="11"/>
  <c r="AA238" i="11"/>
  <c r="AA242" i="11"/>
  <c r="AA246" i="11"/>
  <c r="AA250" i="11"/>
  <c r="AA254" i="11"/>
  <c r="AA258" i="11"/>
  <c r="AA262" i="11"/>
  <c r="AA266" i="11"/>
  <c r="AA270" i="11"/>
  <c r="AA274" i="11"/>
  <c r="AA278" i="11"/>
  <c r="AA43" i="11"/>
  <c r="AA47" i="11"/>
  <c r="AA52" i="11"/>
  <c r="AA57" i="11"/>
  <c r="AA63" i="11"/>
  <c r="AA68" i="11"/>
  <c r="AA73" i="11"/>
  <c r="AA79" i="11"/>
  <c r="AA84" i="11"/>
  <c r="AA89" i="11"/>
  <c r="AA95" i="11"/>
  <c r="AA100" i="11"/>
  <c r="AA105" i="11"/>
  <c r="AA111" i="11"/>
  <c r="AA116" i="11"/>
  <c r="AA121" i="11"/>
  <c r="AA127" i="11"/>
  <c r="AA132" i="11"/>
  <c r="AA137" i="11"/>
  <c r="AA148" i="11"/>
  <c r="AA153" i="11"/>
  <c r="AA159" i="11"/>
  <c r="AA164" i="11"/>
  <c r="AA169" i="11"/>
  <c r="AA175" i="11"/>
  <c r="AA180" i="11"/>
  <c r="AA185" i="11"/>
  <c r="AA191" i="11"/>
  <c r="AA196" i="11"/>
  <c r="AA201" i="11"/>
  <c r="AA207" i="11"/>
  <c r="AA212" i="11"/>
  <c r="AA217" i="11"/>
  <c r="AA223" i="11"/>
  <c r="AA228" i="11"/>
  <c r="AA233" i="11"/>
  <c r="AA239" i="11"/>
  <c r="AA244" i="11"/>
  <c r="AA249" i="11"/>
  <c r="AA255" i="11"/>
  <c r="AA260" i="11"/>
  <c r="AA265" i="11"/>
  <c r="AA271" i="11"/>
  <c r="AA276" i="11"/>
  <c r="AA281" i="11"/>
  <c r="AA48" i="11"/>
  <c r="AA53" i="11"/>
  <c r="AA64" i="11"/>
  <c r="AA69" i="11"/>
  <c r="AA75" i="11"/>
  <c r="AA80" i="11"/>
  <c r="AA91" i="11"/>
  <c r="AA96" i="11"/>
  <c r="AA101" i="11"/>
  <c r="AA107" i="11"/>
  <c r="AA112" i="11"/>
  <c r="AA117" i="11"/>
  <c r="AA123" i="11"/>
  <c r="AA128" i="11"/>
  <c r="AA133" i="11"/>
  <c r="AA139" i="11"/>
  <c r="AA144" i="11"/>
  <c r="AA149" i="11"/>
  <c r="AA155" i="11"/>
  <c r="AA160" i="11"/>
  <c r="AA165" i="11"/>
  <c r="AA171" i="11"/>
  <c r="AA176" i="11"/>
  <c r="AA181" i="11"/>
  <c r="AA187" i="11"/>
  <c r="AA192" i="11"/>
  <c r="AA197" i="11"/>
  <c r="AA203" i="11"/>
  <c r="AA208" i="11"/>
  <c r="AA213" i="11"/>
  <c r="AA219" i="11"/>
  <c r="AA224" i="11"/>
  <c r="AA229" i="11"/>
  <c r="AA235" i="11"/>
  <c r="AA240" i="11"/>
  <c r="AD240" i="11"/>
  <c r="AC240" i="11"/>
  <c r="Z240" i="11"/>
  <c r="AA245" i="11"/>
  <c r="AA251" i="11"/>
  <c r="AA256" i="11"/>
  <c r="AA261" i="11"/>
  <c r="AA267" i="11"/>
  <c r="AA272" i="11"/>
  <c r="AA277" i="11"/>
  <c r="AA49" i="11"/>
  <c r="AA60" i="11"/>
  <c r="AA71" i="11"/>
  <c r="AA81" i="11"/>
  <c r="AA92" i="11"/>
  <c r="AA103" i="11"/>
  <c r="AA113" i="11"/>
  <c r="AA124" i="11"/>
  <c r="AA135" i="11"/>
  <c r="AA145" i="11"/>
  <c r="AA156" i="11"/>
  <c r="AA167" i="11"/>
  <c r="AA177" i="11"/>
  <c r="AA188" i="11"/>
  <c r="AA199" i="11"/>
  <c r="AA209" i="11"/>
  <c r="AA220" i="11"/>
  <c r="AA231" i="11"/>
  <c r="AA241" i="11"/>
  <c r="AA252" i="11"/>
  <c r="AA263" i="11"/>
  <c r="AD263" i="11"/>
  <c r="AC263" i="11"/>
  <c r="Z263" i="11"/>
  <c r="AA273" i="11"/>
  <c r="AA51" i="11"/>
  <c r="AA72" i="11"/>
  <c r="AA83" i="11"/>
  <c r="AA93" i="11"/>
  <c r="AA104" i="11"/>
  <c r="AA115" i="11"/>
  <c r="AA125" i="11"/>
  <c r="AA136" i="11"/>
  <c r="AA147" i="11"/>
  <c r="AA157" i="11"/>
  <c r="AA168" i="11"/>
  <c r="AD168" i="11"/>
  <c r="AC168" i="11"/>
  <c r="Z168" i="11"/>
  <c r="AA179" i="11"/>
  <c r="AA189" i="11"/>
  <c r="AA200" i="11"/>
  <c r="AA211" i="11"/>
  <c r="AA221" i="11"/>
  <c r="AA232" i="11"/>
  <c r="AA243" i="11"/>
  <c r="AA253" i="11"/>
  <c r="AA264" i="11"/>
  <c r="AA275" i="11"/>
  <c r="AA44" i="11"/>
  <c r="AA65" i="11"/>
  <c r="AA76" i="11"/>
  <c r="AA87" i="11"/>
  <c r="AA97" i="11"/>
  <c r="AA108" i="11"/>
  <c r="AA119" i="11"/>
  <c r="AA129" i="11"/>
  <c r="AA140" i="11"/>
  <c r="AA151" i="11"/>
  <c r="AA172" i="11"/>
  <c r="AA183" i="11"/>
  <c r="AA193" i="11"/>
  <c r="AA204" i="11"/>
  <c r="AA215" i="11"/>
  <c r="AA225" i="11"/>
  <c r="AA236" i="11"/>
  <c r="AA247" i="11"/>
  <c r="AA257" i="11"/>
  <c r="AA268" i="11"/>
  <c r="AA279" i="11"/>
  <c r="AA45" i="11"/>
  <c r="AA56" i="11"/>
  <c r="AA67" i="11"/>
  <c r="AA77" i="11"/>
  <c r="AA88" i="11"/>
  <c r="AA99" i="11"/>
  <c r="AA109" i="11"/>
  <c r="AA120" i="11"/>
  <c r="AA131" i="11"/>
  <c r="AA141" i="11"/>
  <c r="AA152" i="11"/>
  <c r="AA163" i="11"/>
  <c r="AA173" i="11"/>
  <c r="AA184" i="11"/>
  <c r="AA195" i="11"/>
  <c r="AA205" i="11"/>
  <c r="AA216" i="11"/>
  <c r="AA227" i="11"/>
  <c r="AA237" i="11"/>
  <c r="AA248" i="11"/>
  <c r="AA259" i="11"/>
  <c r="AD259" i="11"/>
  <c r="AC259" i="11"/>
  <c r="Z259" i="11"/>
  <c r="AA269" i="11"/>
  <c r="AA280" i="11"/>
  <c r="AD43" i="11"/>
  <c r="AC43" i="11"/>
  <c r="AD47" i="11"/>
  <c r="AC47" i="11"/>
  <c r="AD51" i="11"/>
  <c r="AC51" i="11"/>
  <c r="AD63" i="11"/>
  <c r="AC63" i="11"/>
  <c r="AD67" i="11"/>
  <c r="AC67" i="11"/>
  <c r="AD71" i="11"/>
  <c r="AC71" i="11"/>
  <c r="AD75" i="11"/>
  <c r="AC75" i="11"/>
  <c r="AD79" i="11"/>
  <c r="AC79" i="11"/>
  <c r="Z79" i="11"/>
  <c r="AD83" i="11"/>
  <c r="AC83" i="11"/>
  <c r="AD87" i="11"/>
  <c r="AC87" i="11"/>
  <c r="AD91" i="11"/>
  <c r="AC91" i="11"/>
  <c r="AD95" i="11"/>
  <c r="AC95" i="11"/>
  <c r="AD99" i="11"/>
  <c r="AC99" i="11"/>
  <c r="AD103" i="11"/>
  <c r="AC103" i="11"/>
  <c r="AD107" i="11"/>
  <c r="AC107" i="11"/>
  <c r="AD111" i="11"/>
  <c r="AC111" i="11"/>
  <c r="AD116" i="11"/>
  <c r="AC116" i="11"/>
  <c r="AD120" i="11"/>
  <c r="AC120" i="11"/>
  <c r="AD124" i="11"/>
  <c r="AC124" i="11"/>
  <c r="AD128" i="11"/>
  <c r="AC128" i="11"/>
  <c r="AD132" i="11"/>
  <c r="AC132" i="11"/>
  <c r="AD136" i="11"/>
  <c r="AC136" i="11"/>
  <c r="Z136" i="11"/>
  <c r="AD140" i="11"/>
  <c r="AC140" i="11"/>
  <c r="AD48" i="11"/>
  <c r="AC48" i="11"/>
  <c r="AD53" i="11"/>
  <c r="AC53" i="11"/>
  <c r="AD58" i="11"/>
  <c r="AC58" i="11"/>
  <c r="AD64" i="11"/>
  <c r="AC64" i="11"/>
  <c r="AD69" i="11"/>
  <c r="AC69" i="11"/>
  <c r="Z69" i="11"/>
  <c r="AD74" i="11"/>
  <c r="AC74" i="11"/>
  <c r="Z74" i="11"/>
  <c r="AD80" i="11"/>
  <c r="AC80" i="11"/>
  <c r="Z80" i="11"/>
  <c r="AD90" i="11"/>
  <c r="AC90" i="11"/>
  <c r="AD96" i="11"/>
  <c r="AC96" i="11"/>
  <c r="Z96" i="11"/>
  <c r="AD101" i="11"/>
  <c r="AC101" i="11"/>
  <c r="AD106" i="11"/>
  <c r="AC106" i="11"/>
  <c r="Z106" i="11"/>
  <c r="AD112" i="11"/>
  <c r="AC112" i="11"/>
  <c r="Z112" i="11"/>
  <c r="AD118" i="11"/>
  <c r="AC118" i="11"/>
  <c r="AD123" i="11"/>
  <c r="AC123" i="11"/>
  <c r="AD129" i="11"/>
  <c r="AC129" i="11"/>
  <c r="AD134" i="11"/>
  <c r="AC134" i="11"/>
  <c r="Z134" i="11"/>
  <c r="AD139" i="11"/>
  <c r="AC139" i="11"/>
  <c r="AD144" i="11"/>
  <c r="AC144" i="11"/>
  <c r="AD148" i="11"/>
  <c r="AC148" i="11"/>
  <c r="Z148" i="11"/>
  <c r="AD152" i="11"/>
  <c r="AC152" i="11"/>
  <c r="AD156" i="11"/>
  <c r="AC156" i="11"/>
  <c r="AD160" i="11"/>
  <c r="AC160" i="11"/>
  <c r="AD164" i="11"/>
  <c r="AC164" i="11"/>
  <c r="Z164" i="11"/>
  <c r="AD172" i="11"/>
  <c r="AC172" i="11"/>
  <c r="Z172" i="11"/>
  <c r="AD176" i="11"/>
  <c r="AC176" i="11"/>
  <c r="Z176" i="11"/>
  <c r="AD180" i="11"/>
  <c r="AC180" i="11"/>
  <c r="AD184" i="11"/>
  <c r="AC184" i="11"/>
  <c r="Z184" i="11"/>
  <c r="AD188" i="11"/>
  <c r="AC188" i="11"/>
  <c r="AD192" i="11"/>
  <c r="AC192" i="11"/>
  <c r="AD196" i="11"/>
  <c r="AC196" i="11"/>
  <c r="Z196" i="11"/>
  <c r="AD200" i="11"/>
  <c r="AC200" i="11"/>
  <c r="AD204" i="11"/>
  <c r="AC204" i="11"/>
  <c r="Z204" i="11"/>
  <c r="AD208" i="11"/>
  <c r="AC208" i="11"/>
  <c r="AD212" i="11"/>
  <c r="AC212" i="11"/>
  <c r="AD216" i="11"/>
  <c r="AC216" i="11"/>
  <c r="Z216" i="11"/>
  <c r="AD220" i="11"/>
  <c r="AC220" i="11"/>
  <c r="AD224" i="11"/>
  <c r="AC224" i="11"/>
  <c r="AD228" i="11"/>
  <c r="AC228" i="11"/>
  <c r="Z228" i="11"/>
  <c r="AD232" i="11"/>
  <c r="AC232" i="11"/>
  <c r="AD236" i="11"/>
  <c r="AC236" i="11"/>
  <c r="AD244" i="11"/>
  <c r="AC244" i="11"/>
  <c r="AD248" i="11"/>
  <c r="AC248" i="11"/>
  <c r="AD252" i="11"/>
  <c r="AC252" i="11"/>
  <c r="AD256" i="11"/>
  <c r="AC256" i="11"/>
  <c r="AD260" i="11"/>
  <c r="AC260" i="11"/>
  <c r="Z260" i="11"/>
  <c r="AD264" i="11"/>
  <c r="AC264" i="11"/>
  <c r="AD268" i="11"/>
  <c r="AC268" i="11"/>
  <c r="AD272" i="11"/>
  <c r="AC272" i="11"/>
  <c r="AD276" i="11"/>
  <c r="AC276" i="11"/>
  <c r="AD280" i="11"/>
  <c r="AC280" i="11"/>
  <c r="AD46" i="11"/>
  <c r="AC46" i="11"/>
  <c r="AD54" i="11"/>
  <c r="AC54" i="11"/>
  <c r="AD68" i="11"/>
  <c r="AC68" i="11"/>
  <c r="AD76" i="11"/>
  <c r="AC76" i="11"/>
  <c r="AD82" i="11"/>
  <c r="AC82" i="11"/>
  <c r="AD89" i="11"/>
  <c r="AC89" i="11"/>
  <c r="AD97" i="11"/>
  <c r="AC97" i="11"/>
  <c r="AD104" i="11"/>
  <c r="AC104" i="11"/>
  <c r="AD110" i="11"/>
  <c r="AC110" i="11"/>
  <c r="AD119" i="11"/>
  <c r="AC119" i="11"/>
  <c r="AD126" i="11"/>
  <c r="AC126" i="11"/>
  <c r="AD133" i="11"/>
  <c r="AC133" i="11"/>
  <c r="AD141" i="11"/>
  <c r="AC141" i="11"/>
  <c r="AD146" i="11"/>
  <c r="AC146" i="11"/>
  <c r="AD151" i="11"/>
  <c r="AC151" i="11"/>
  <c r="AD157" i="11"/>
  <c r="AC157" i="11"/>
  <c r="Z157" i="11"/>
  <c r="AD162" i="11"/>
  <c r="AC162" i="11"/>
  <c r="AD167" i="11"/>
  <c r="AC167" i="11"/>
  <c r="AD173" i="11"/>
  <c r="AC173" i="11"/>
  <c r="AD178" i="11"/>
  <c r="AC178" i="11"/>
  <c r="AD183" i="11"/>
  <c r="AC183" i="11"/>
  <c r="AD189" i="11"/>
  <c r="AC189" i="11"/>
  <c r="AD194" i="11"/>
  <c r="AC194" i="11"/>
  <c r="AD199" i="11"/>
  <c r="AC199" i="11"/>
  <c r="AD205" i="11"/>
  <c r="AC205" i="11"/>
  <c r="AD210" i="11"/>
  <c r="AC210" i="11"/>
  <c r="AD215" i="11"/>
  <c r="AC215" i="11"/>
  <c r="Z215" i="11"/>
  <c r="AD221" i="11"/>
  <c r="AC221" i="11"/>
  <c r="AD226" i="11"/>
  <c r="AC226" i="11"/>
  <c r="AD231" i="11"/>
  <c r="AC231" i="11"/>
  <c r="AD237" i="11"/>
  <c r="AC237" i="11"/>
  <c r="AD242" i="11"/>
  <c r="AC242" i="11"/>
  <c r="Z242" i="11"/>
  <c r="AD247" i="11"/>
  <c r="AC247" i="11"/>
  <c r="AD253" i="11"/>
  <c r="AC253" i="11"/>
  <c r="AD258" i="11"/>
  <c r="AC258" i="11"/>
  <c r="Z258" i="11"/>
  <c r="AD269" i="11"/>
  <c r="AC269" i="11"/>
  <c r="Z269" i="11"/>
  <c r="AD274" i="11"/>
  <c r="AC274" i="11"/>
  <c r="AD279" i="11"/>
  <c r="AC279" i="11"/>
  <c r="AD49" i="11"/>
  <c r="AC49" i="11"/>
  <c r="AD56" i="11"/>
  <c r="AC56" i="11"/>
  <c r="AD62" i="11"/>
  <c r="AC62" i="11"/>
  <c r="AD70" i="11"/>
  <c r="AC70" i="11"/>
  <c r="AD77" i="11"/>
  <c r="AC77" i="11"/>
  <c r="AD84" i="11"/>
  <c r="AC84" i="11"/>
  <c r="Z84" i="11"/>
  <c r="AD92" i="11"/>
  <c r="AC92" i="11"/>
  <c r="AD98" i="11"/>
  <c r="AC98" i="11"/>
  <c r="AD105" i="11"/>
  <c r="AC105" i="11"/>
  <c r="Z105" i="11"/>
  <c r="AD114" i="11"/>
  <c r="AC114" i="11"/>
  <c r="AD127" i="11"/>
  <c r="AC127" i="11"/>
  <c r="AD135" i="11"/>
  <c r="AC135" i="11"/>
  <c r="AD142" i="11"/>
  <c r="AC142" i="11"/>
  <c r="AD147" i="11"/>
  <c r="AC147" i="11"/>
  <c r="AD153" i="11"/>
  <c r="AC153" i="11"/>
  <c r="AD158" i="11"/>
  <c r="AC158" i="11"/>
  <c r="AD163" i="11"/>
  <c r="AC163" i="11"/>
  <c r="AD169" i="11"/>
  <c r="AC169" i="11"/>
  <c r="AD174" i="11"/>
  <c r="AC174" i="11"/>
  <c r="AD179" i="11"/>
  <c r="AC179" i="11"/>
  <c r="Z179" i="11"/>
  <c r="AD185" i="11"/>
  <c r="AC185" i="11"/>
  <c r="AD190" i="11"/>
  <c r="AC190" i="11"/>
  <c r="AD195" i="11"/>
  <c r="AC195" i="11"/>
  <c r="AD201" i="11"/>
  <c r="AC201" i="11"/>
  <c r="AD206" i="11"/>
  <c r="AC206" i="11"/>
  <c r="AD211" i="11"/>
  <c r="AC211" i="11"/>
  <c r="AD217" i="11"/>
  <c r="AC217" i="11"/>
  <c r="AD222" i="11"/>
  <c r="AC222" i="11"/>
  <c r="AD227" i="11"/>
  <c r="AC227" i="11"/>
  <c r="AD233" i="11"/>
  <c r="AC233" i="11"/>
  <c r="AD238" i="11"/>
  <c r="AC238" i="11"/>
  <c r="AD243" i="11"/>
  <c r="AC243" i="11"/>
  <c r="AD249" i="11"/>
  <c r="AC249" i="11"/>
  <c r="AD254" i="11"/>
  <c r="AC254" i="11"/>
  <c r="AD265" i="11"/>
  <c r="AC265" i="11"/>
  <c r="AD270" i="11"/>
  <c r="AC270" i="11"/>
  <c r="AD275" i="11"/>
  <c r="AC275" i="11"/>
  <c r="AD281" i="11"/>
  <c r="AC281" i="11"/>
  <c r="AD44" i="11"/>
  <c r="AC44" i="11"/>
  <c r="AD50" i="11"/>
  <c r="AC50" i="11"/>
  <c r="AD57" i="11"/>
  <c r="AC57" i="11"/>
  <c r="AD65" i="11"/>
  <c r="AC65" i="11"/>
  <c r="AD72" i="11"/>
  <c r="AC72" i="11"/>
  <c r="Z72" i="11"/>
  <c r="AD78" i="11"/>
  <c r="AC78" i="11"/>
  <c r="AD93" i="11"/>
  <c r="AC93" i="11"/>
  <c r="AD100" i="11"/>
  <c r="AC100" i="11"/>
  <c r="AD108" i="11"/>
  <c r="AC108" i="11"/>
  <c r="AD115" i="11"/>
  <c r="AC115" i="11"/>
  <c r="AD122" i="11"/>
  <c r="AC122" i="11"/>
  <c r="Z122" i="11"/>
  <c r="AD130" i="11"/>
  <c r="AC130" i="11"/>
  <c r="Z130" i="11"/>
  <c r="AD137" i="11"/>
  <c r="AC137" i="11"/>
  <c r="Z137" i="11"/>
  <c r="AD149" i="11"/>
  <c r="AC149" i="11"/>
  <c r="AD154" i="11"/>
  <c r="AC154" i="11"/>
  <c r="Z154" i="11"/>
  <c r="AD159" i="11"/>
  <c r="AC159" i="11"/>
  <c r="AD165" i="11"/>
  <c r="AC165" i="11"/>
  <c r="AD170" i="11"/>
  <c r="AC170" i="11"/>
  <c r="AD175" i="11"/>
  <c r="AC175" i="11"/>
  <c r="AD181" i="11"/>
  <c r="AC181" i="11"/>
  <c r="AD66" i="11"/>
  <c r="AC66" i="11"/>
  <c r="AD94" i="11"/>
  <c r="AC94" i="11"/>
  <c r="AD125" i="11"/>
  <c r="AC125" i="11"/>
  <c r="Z125" i="11"/>
  <c r="AD150" i="11"/>
  <c r="AC150" i="11"/>
  <c r="AD171" i="11"/>
  <c r="AC171" i="11"/>
  <c r="AD187" i="11"/>
  <c r="AC187" i="11"/>
  <c r="AD198" i="11"/>
  <c r="AC198" i="11"/>
  <c r="Z198" i="11"/>
  <c r="AD209" i="11"/>
  <c r="AC209" i="11"/>
  <c r="Z209" i="11"/>
  <c r="AD219" i="11"/>
  <c r="AC219" i="11"/>
  <c r="Z219" i="11"/>
  <c r="AD230" i="11"/>
  <c r="AC230" i="11"/>
  <c r="AD241" i="11"/>
  <c r="AC241" i="11"/>
  <c r="AD251" i="11"/>
  <c r="AC251" i="11"/>
  <c r="AD262" i="11"/>
  <c r="AC262" i="11"/>
  <c r="AD273" i="11"/>
  <c r="AC273" i="11"/>
  <c r="Z273" i="11"/>
  <c r="AD45" i="11"/>
  <c r="AC45" i="11"/>
  <c r="Z45" i="11"/>
  <c r="AD73" i="11"/>
  <c r="AC73" i="11"/>
  <c r="AD102" i="11"/>
  <c r="AC102" i="11"/>
  <c r="Z102" i="11"/>
  <c r="AD131" i="11"/>
  <c r="AC131" i="11"/>
  <c r="Z131" i="11"/>
  <c r="AD155" i="11"/>
  <c r="AC155" i="11"/>
  <c r="AD177" i="11"/>
  <c r="AC177" i="11"/>
  <c r="AD191" i="11"/>
  <c r="AC191" i="11"/>
  <c r="Z191" i="11"/>
  <c r="AD202" i="11"/>
  <c r="AC202" i="11"/>
  <c r="Z202" i="11"/>
  <c r="AD213" i="11"/>
  <c r="AC213" i="11"/>
  <c r="AD223" i="11"/>
  <c r="AC223" i="11"/>
  <c r="AD234" i="11"/>
  <c r="AC234" i="11"/>
  <c r="Z234" i="11"/>
  <c r="AD245" i="11"/>
  <c r="AC245" i="11"/>
  <c r="AD255" i="11"/>
  <c r="AC255" i="11"/>
  <c r="Z255" i="11"/>
  <c r="AD266" i="11"/>
  <c r="AC266" i="11"/>
  <c r="AD277" i="11"/>
  <c r="AC277" i="11"/>
  <c r="AD81" i="11"/>
  <c r="AC81" i="11"/>
  <c r="AD109" i="11"/>
  <c r="AC109" i="11"/>
  <c r="AD138" i="11"/>
  <c r="AC138" i="11"/>
  <c r="AD182" i="11"/>
  <c r="AC182" i="11"/>
  <c r="Z182" i="11"/>
  <c r="AD193" i="11"/>
  <c r="AC193" i="11"/>
  <c r="AD203" i="11"/>
  <c r="AC203" i="11"/>
  <c r="Z203" i="11"/>
  <c r="AD214" i="11"/>
  <c r="AC214" i="11"/>
  <c r="AD225" i="11"/>
  <c r="AC225" i="11"/>
  <c r="AD235" i="11"/>
  <c r="AC235" i="11"/>
  <c r="AD246" i="11"/>
  <c r="AC246" i="11"/>
  <c r="Z246" i="11"/>
  <c r="AD257" i="11"/>
  <c r="AC257" i="11"/>
  <c r="AD267" i="11"/>
  <c r="AC267" i="11"/>
  <c r="Z267" i="11"/>
  <c r="AD278" i="11"/>
  <c r="AC278" i="11"/>
  <c r="AD60" i="11"/>
  <c r="AC60" i="11"/>
  <c r="Z60" i="11"/>
  <c r="AD88" i="11"/>
  <c r="AC88" i="11"/>
  <c r="Z88" i="11"/>
  <c r="AD117" i="11"/>
  <c r="AC117" i="11"/>
  <c r="AD145" i="11"/>
  <c r="AC145" i="11"/>
  <c r="Z145" i="11"/>
  <c r="AD166" i="11"/>
  <c r="AC166" i="11"/>
  <c r="Z166" i="11"/>
  <c r="AD186" i="11"/>
  <c r="AC186" i="11"/>
  <c r="AD197" i="11"/>
  <c r="AC197" i="11"/>
  <c r="Z197" i="11"/>
  <c r="AD207" i="11"/>
  <c r="AC207" i="11"/>
  <c r="Z207" i="11"/>
  <c r="AD218" i="11"/>
  <c r="AC218" i="11"/>
  <c r="Z218" i="11"/>
  <c r="AD229" i="11"/>
  <c r="AC229" i="11"/>
  <c r="AD239" i="11"/>
  <c r="AC239" i="11"/>
  <c r="AD250" i="11"/>
  <c r="AC250" i="11"/>
  <c r="Z250" i="11"/>
  <c r="AD261" i="11"/>
  <c r="AC261" i="11"/>
  <c r="Z261" i="11"/>
  <c r="AD271" i="11"/>
  <c r="AC271" i="11"/>
  <c r="Z271" i="11"/>
  <c r="AD42" i="11"/>
  <c r="AC42" i="11"/>
  <c r="AE280" i="11"/>
  <c r="AE276" i="11"/>
  <c r="AE272" i="11"/>
  <c r="AE268" i="11"/>
  <c r="AE264" i="11"/>
  <c r="AE260" i="11"/>
  <c r="AE256" i="11"/>
  <c r="AE252" i="11"/>
  <c r="AE248" i="11"/>
  <c r="AE244" i="11"/>
  <c r="AE240" i="11"/>
  <c r="AE236" i="11"/>
  <c r="AE232" i="11"/>
  <c r="AE228" i="11"/>
  <c r="AE224" i="11"/>
  <c r="AE220" i="11"/>
  <c r="AE216" i="11"/>
  <c r="AE212" i="11"/>
  <c r="AE208" i="11"/>
  <c r="AE204" i="11"/>
  <c r="AE200" i="11"/>
  <c r="AE196" i="11"/>
  <c r="AE192" i="11"/>
  <c r="AE188" i="11"/>
  <c r="AE184" i="11"/>
  <c r="AE180" i="11"/>
  <c r="AE176" i="11"/>
  <c r="AE172" i="11"/>
  <c r="AE168" i="11"/>
  <c r="AE164" i="11"/>
  <c r="AE160" i="11"/>
  <c r="AE156" i="11"/>
  <c r="AE152" i="11"/>
  <c r="AE148" i="11"/>
  <c r="AE144" i="11"/>
  <c r="AE140" i="11"/>
  <c r="AE136" i="11"/>
  <c r="AE132" i="11"/>
  <c r="AE128" i="11"/>
  <c r="AE124" i="11"/>
  <c r="AE120" i="11"/>
  <c r="AE116" i="11"/>
  <c r="AE112" i="11"/>
  <c r="AE108" i="11"/>
  <c r="AE104" i="11"/>
  <c r="AE100" i="11"/>
  <c r="AE96" i="11"/>
  <c r="AE92" i="11"/>
  <c r="AE88" i="11"/>
  <c r="AE84" i="11"/>
  <c r="AE80" i="11"/>
  <c r="AE76" i="11"/>
  <c r="AE72" i="11"/>
  <c r="AE68" i="11"/>
  <c r="AE64" i="11"/>
  <c r="AE60" i="11"/>
  <c r="AE56" i="11"/>
  <c r="AE52" i="11"/>
  <c r="AE48" i="11"/>
  <c r="AE44" i="11"/>
  <c r="AE279" i="11"/>
  <c r="AE275" i="11"/>
  <c r="AE271" i="11"/>
  <c r="AE267" i="11"/>
  <c r="AE263" i="11"/>
  <c r="AE259" i="11"/>
  <c r="AE255" i="11"/>
  <c r="AE251" i="11"/>
  <c r="AE247" i="11"/>
  <c r="AE243" i="11"/>
  <c r="AE239" i="11"/>
  <c r="AE235" i="11"/>
  <c r="AE231" i="11"/>
  <c r="AE227" i="11"/>
  <c r="AE223" i="11"/>
  <c r="AE219" i="11"/>
  <c r="AE215" i="11"/>
  <c r="AE211" i="11"/>
  <c r="AE207" i="11"/>
  <c r="AE203" i="11"/>
  <c r="AE199" i="11"/>
  <c r="AE195" i="11"/>
  <c r="AE191" i="11"/>
  <c r="AE187" i="11"/>
  <c r="AE183" i="11"/>
  <c r="AE278" i="11"/>
  <c r="AE270" i="11"/>
  <c r="AE262" i="11"/>
  <c r="AE254" i="11"/>
  <c r="AE246" i="11"/>
  <c r="AE238" i="11"/>
  <c r="AE230" i="11"/>
  <c r="AE222" i="11"/>
  <c r="AE214" i="11"/>
  <c r="AE206" i="11"/>
  <c r="AE198" i="11"/>
  <c r="AE190" i="11"/>
  <c r="AE182" i="11"/>
  <c r="AE177" i="11"/>
  <c r="AE171" i="11"/>
  <c r="AE166" i="11"/>
  <c r="AE161" i="11"/>
  <c r="AE155" i="11"/>
  <c r="AE150" i="11"/>
  <c r="AE145" i="11"/>
  <c r="AE139" i="11"/>
  <c r="AE134" i="11"/>
  <c r="AE129" i="11"/>
  <c r="AE123" i="11"/>
  <c r="AE118" i="11"/>
  <c r="AE113" i="11"/>
  <c r="AE107" i="11"/>
  <c r="AE102" i="11"/>
  <c r="AE97" i="11"/>
  <c r="AE91" i="11"/>
  <c r="AE86" i="11"/>
  <c r="AE81" i="11"/>
  <c r="AE75" i="11"/>
  <c r="AE70" i="11"/>
  <c r="AE65" i="11"/>
  <c r="AE59" i="11"/>
  <c r="AE54" i="11"/>
  <c r="AE49" i="11"/>
  <c r="AE43" i="11"/>
  <c r="AE277" i="11"/>
  <c r="AE269" i="11"/>
  <c r="AE261" i="11"/>
  <c r="AE253" i="11"/>
  <c r="AE245" i="11"/>
  <c r="AE237" i="11"/>
  <c r="AE229" i="11"/>
  <c r="AE221" i="11"/>
  <c r="AE213" i="11"/>
  <c r="AE205" i="11"/>
  <c r="AE197" i="11"/>
  <c r="AE189" i="11"/>
  <c r="AE181" i="11"/>
  <c r="AE175" i="11"/>
  <c r="AE170" i="11"/>
  <c r="AE165" i="11"/>
  <c r="AE159" i="11"/>
  <c r="AE154" i="11"/>
  <c r="AE149" i="11"/>
  <c r="AE143" i="11"/>
  <c r="AE138" i="11"/>
  <c r="AE133" i="11"/>
  <c r="AE127" i="11"/>
  <c r="AE122" i="11"/>
  <c r="AE117" i="11"/>
  <c r="AE111" i="11"/>
  <c r="AE106" i="11"/>
  <c r="AE101" i="11"/>
  <c r="AE95" i="11"/>
  <c r="AE90" i="11"/>
  <c r="AE85" i="11"/>
  <c r="AE79" i="11"/>
  <c r="AE74" i="11"/>
  <c r="AE69" i="11"/>
  <c r="AE63" i="11"/>
  <c r="AE58" i="11"/>
  <c r="AE53" i="11"/>
  <c r="AE47" i="11"/>
  <c r="AE42" i="11"/>
  <c r="AE274" i="11"/>
  <c r="AE266" i="11"/>
  <c r="AE258" i="11"/>
  <c r="AE250" i="11"/>
  <c r="AE242" i="11"/>
  <c r="AE234" i="11"/>
  <c r="AE226" i="11"/>
  <c r="AE218" i="11"/>
  <c r="AE210" i="11"/>
  <c r="AE202" i="11"/>
  <c r="AE194" i="11"/>
  <c r="AE186" i="11"/>
  <c r="AE179" i="11"/>
  <c r="AE174" i="11"/>
  <c r="AE169" i="11"/>
  <c r="AE163" i="11"/>
  <c r="AE158" i="11"/>
  <c r="AE153" i="11"/>
  <c r="AE147" i="11"/>
  <c r="AE142" i="11"/>
  <c r="AE137" i="11"/>
  <c r="AE131" i="11"/>
  <c r="AE126" i="11"/>
  <c r="AE121" i="11"/>
  <c r="AE115" i="11"/>
  <c r="AE110" i="11"/>
  <c r="AE105" i="11"/>
  <c r="AE99" i="11"/>
  <c r="AE94" i="11"/>
  <c r="AE89" i="11"/>
  <c r="AE83" i="11"/>
  <c r="AE78" i="11"/>
  <c r="AE73" i="11"/>
  <c r="AE67" i="11"/>
  <c r="AE62" i="11"/>
  <c r="AE57" i="11"/>
  <c r="AE51" i="11"/>
  <c r="AE46" i="11"/>
  <c r="AE281" i="11"/>
  <c r="AE273" i="11"/>
  <c r="AE265" i="11"/>
  <c r="AE257" i="11"/>
  <c r="AE249" i="11"/>
  <c r="AE241" i="11"/>
  <c r="AE233" i="11"/>
  <c r="AE225" i="11"/>
  <c r="AE217" i="11"/>
  <c r="AE209" i="11"/>
  <c r="AE201" i="11"/>
  <c r="AE193" i="11"/>
  <c r="AE185" i="11"/>
  <c r="AE178" i="11"/>
  <c r="AE173" i="11"/>
  <c r="AE167" i="11"/>
  <c r="AE162" i="11"/>
  <c r="AE157" i="11"/>
  <c r="AE151" i="11"/>
  <c r="AE146" i="11"/>
  <c r="AE141" i="11"/>
  <c r="AE135" i="11"/>
  <c r="AE130" i="11"/>
  <c r="AE125" i="11"/>
  <c r="AE119" i="11"/>
  <c r="AE114" i="11"/>
  <c r="AE109" i="11"/>
  <c r="AE103" i="11"/>
  <c r="AE98" i="11"/>
  <c r="AE93" i="11"/>
  <c r="AE87" i="11"/>
  <c r="AE82" i="11"/>
  <c r="AE77" i="11"/>
  <c r="AE71" i="11"/>
  <c r="AE66" i="11"/>
  <c r="AE61" i="11"/>
  <c r="AE55" i="11"/>
  <c r="AE50" i="11"/>
  <c r="AE45" i="11"/>
  <c r="S44" i="11"/>
  <c r="T43" i="11"/>
  <c r="J39" i="11"/>
  <c r="L11" i="11"/>
  <c r="F17" i="11"/>
  <c r="AL12" i="8"/>
  <c r="D17" i="11"/>
  <c r="E27" i="11"/>
  <c r="E26" i="11"/>
  <c r="E25" i="11"/>
  <c r="AL15" i="8"/>
  <c r="D23" i="11"/>
  <c r="Z64" i="11"/>
  <c r="BC29" i="8"/>
  <c r="BB30" i="8"/>
  <c r="Z65" i="11"/>
  <c r="Z185" i="11"/>
  <c r="Z274" i="11"/>
  <c r="S45" i="11"/>
  <c r="T44" i="11"/>
  <c r="F24" i="11"/>
  <c r="F25" i="11"/>
  <c r="AS10" i="8"/>
  <c r="AL16" i="8"/>
  <c r="BB31" i="8"/>
  <c r="BC30" i="8"/>
  <c r="L12" i="11"/>
  <c r="AS7" i="8"/>
  <c r="S46" i="11"/>
  <c r="T45" i="11"/>
  <c r="C42" i="11"/>
  <c r="W3" i="1"/>
  <c r="W4" i="1"/>
  <c r="B51" i="4"/>
  <c r="L273" i="7"/>
  <c r="C273" i="7"/>
  <c r="L259" i="7"/>
  <c r="M41" i="11"/>
  <c r="F26" i="11"/>
  <c r="F27" i="11"/>
  <c r="L16" i="11"/>
  <c r="AS12" i="8"/>
  <c r="BC31" i="8"/>
  <c r="BB32" i="8"/>
  <c r="S47" i="11"/>
  <c r="T46" i="11"/>
  <c r="D42" i="11"/>
  <c r="J42" i="11"/>
  <c r="I42" i="11"/>
  <c r="I39" i="11"/>
  <c r="G42" i="11"/>
  <c r="B42" i="11"/>
  <c r="AS24" i="8"/>
  <c r="O46" i="11"/>
  <c r="AT29" i="8"/>
  <c r="O44" i="11"/>
  <c r="AT27" i="8"/>
  <c r="O48" i="11"/>
  <c r="AT31" i="8"/>
  <c r="O50" i="11"/>
  <c r="AT33" i="8"/>
  <c r="BB33" i="8"/>
  <c r="BC32" i="8"/>
  <c r="S48" i="11"/>
  <c r="T47" i="11"/>
  <c r="AB12" i="7"/>
  <c r="AB109" i="1"/>
  <c r="F7" i="2"/>
  <c r="AJ25" i="8"/>
  <c r="AO25" i="8"/>
  <c r="AN25" i="8"/>
  <c r="AI25" i="8"/>
  <c r="AM25" i="8"/>
  <c r="AV24" i="8"/>
  <c r="BB34" i="8"/>
  <c r="BC33" i="8"/>
  <c r="S49" i="11"/>
  <c r="T48" i="11"/>
  <c r="E59" i="4"/>
  <c r="BB35" i="8"/>
  <c r="BC34" i="8"/>
  <c r="S50" i="11"/>
  <c r="T49" i="11"/>
  <c r="BB36" i="8"/>
  <c r="BC35" i="8"/>
  <c r="S51" i="11"/>
  <c r="T50" i="11"/>
  <c r="C3" i="4"/>
  <c r="AD109" i="1"/>
  <c r="AC146" i="1"/>
  <c r="AH3" i="4"/>
  <c r="AL3" i="4"/>
  <c r="B58" i="4"/>
  <c r="B52" i="4"/>
  <c r="B53" i="4"/>
  <c r="B54" i="4"/>
  <c r="B55" i="4"/>
  <c r="B56" i="4"/>
  <c r="B57" i="4"/>
  <c r="B50" i="4"/>
  <c r="A52" i="4"/>
  <c r="A53" i="4"/>
  <c r="A54" i="4"/>
  <c r="A55" i="4"/>
  <c r="A56" i="4"/>
  <c r="A57" i="4"/>
  <c r="A58" i="4"/>
  <c r="A59" i="4"/>
  <c r="A60" i="4"/>
  <c r="A61" i="4"/>
  <c r="A51" i="4"/>
  <c r="AJ3" i="4"/>
  <c r="BB37" i="8"/>
  <c r="BC36" i="8"/>
  <c r="S52" i="11"/>
  <c r="T51" i="11"/>
  <c r="T13" i="4"/>
  <c r="P3" i="4"/>
  <c r="AC182" i="1"/>
  <c r="AC251" i="1"/>
  <c r="AC315" i="1"/>
  <c r="AC143" i="1"/>
  <c r="AC212" i="1"/>
  <c r="AC233" i="1"/>
  <c r="AC318" i="1"/>
  <c r="AC194" i="1"/>
  <c r="AC288" i="1"/>
  <c r="AC124" i="1"/>
  <c r="AC197" i="1"/>
  <c r="AC246" i="1"/>
  <c r="AC289" i="1"/>
  <c r="AC332" i="1"/>
  <c r="AC141" i="1"/>
  <c r="AC206" i="1"/>
  <c r="AC226" i="1"/>
  <c r="AC232" i="1"/>
  <c r="AC248" i="1"/>
  <c r="AC253" i="1"/>
  <c r="AC269" i="1"/>
  <c r="AC274" i="1"/>
  <c r="AC290" i="1"/>
  <c r="AC296" i="1"/>
  <c r="AC312" i="1"/>
  <c r="AC317" i="1"/>
  <c r="AC333" i="1"/>
  <c r="AC338" i="1"/>
  <c r="AC354" i="1"/>
  <c r="BB38" i="8"/>
  <c r="S53" i="11"/>
  <c r="T52" i="11"/>
  <c r="AF118" i="1"/>
  <c r="AE118" i="1"/>
  <c r="AF122" i="1"/>
  <c r="AE122" i="1"/>
  <c r="AF139" i="1"/>
  <c r="AE139" i="1"/>
  <c r="AF143" i="1"/>
  <c r="AE143" i="1"/>
  <c r="AF167" i="1"/>
  <c r="AE167" i="1"/>
  <c r="AF171" i="1"/>
  <c r="AE171" i="1"/>
  <c r="AF191" i="1"/>
  <c r="AE191" i="1"/>
  <c r="AF195" i="1"/>
  <c r="AE195" i="1"/>
  <c r="AF211" i="1"/>
  <c r="AE211" i="1"/>
  <c r="AF215" i="1"/>
  <c r="AE215" i="1"/>
  <c r="AF227" i="1"/>
  <c r="AE227" i="1"/>
  <c r="AF231" i="1"/>
  <c r="AE231" i="1"/>
  <c r="AF243" i="1"/>
  <c r="AE243" i="1"/>
  <c r="AF247" i="1"/>
  <c r="AE247" i="1"/>
  <c r="AF259" i="1"/>
  <c r="AE259" i="1"/>
  <c r="AF263" i="1"/>
  <c r="AE263" i="1"/>
  <c r="AF279" i="1"/>
  <c r="AE279" i="1"/>
  <c r="AF283" i="1"/>
  <c r="AE283" i="1"/>
  <c r="AF295" i="1"/>
  <c r="AE295" i="1"/>
  <c r="AF299" i="1"/>
  <c r="AE299" i="1"/>
  <c r="AF311" i="1"/>
  <c r="AE311" i="1"/>
  <c r="AF315" i="1"/>
  <c r="AE315" i="1"/>
  <c r="AF327" i="1"/>
  <c r="AE327" i="1"/>
  <c r="AF331" i="1"/>
  <c r="AE331" i="1"/>
  <c r="AF343" i="1"/>
  <c r="AE343" i="1"/>
  <c r="AF347" i="1"/>
  <c r="AE347" i="1"/>
  <c r="AF128" i="1"/>
  <c r="AE128" i="1"/>
  <c r="AF141" i="1"/>
  <c r="AE141" i="1"/>
  <c r="AF165" i="1"/>
  <c r="AE165" i="1"/>
  <c r="AF173" i="1"/>
  <c r="AE173" i="1"/>
  <c r="AF197" i="1"/>
  <c r="AE197" i="1"/>
  <c r="AF205" i="1"/>
  <c r="AE205" i="1"/>
  <c r="AF119" i="1"/>
  <c r="AE119" i="1"/>
  <c r="AF127" i="1"/>
  <c r="AE127" i="1"/>
  <c r="AF140" i="1"/>
  <c r="AE140" i="1"/>
  <c r="AF144" i="1"/>
  <c r="AE144" i="1"/>
  <c r="AF160" i="1"/>
  <c r="AE160" i="1"/>
  <c r="AF172" i="1"/>
  <c r="AE172" i="1"/>
  <c r="AF184" i="1"/>
  <c r="AE184" i="1"/>
  <c r="AF188" i="1"/>
  <c r="AE188" i="1"/>
  <c r="AF212" i="1"/>
  <c r="AE212" i="1"/>
  <c r="AF216" i="1"/>
  <c r="AE216" i="1"/>
  <c r="AF220" i="1"/>
  <c r="AE220" i="1"/>
  <c r="AF224" i="1"/>
  <c r="AE224" i="1"/>
  <c r="AF228" i="1"/>
  <c r="AE228" i="1"/>
  <c r="AF232" i="1"/>
  <c r="AE232" i="1"/>
  <c r="AF236" i="1"/>
  <c r="AE236" i="1"/>
  <c r="AF240" i="1"/>
  <c r="AE240" i="1"/>
  <c r="AF244" i="1"/>
  <c r="AE244" i="1"/>
  <c r="AF248" i="1"/>
  <c r="AE248" i="1"/>
  <c r="AF252" i="1"/>
  <c r="AE252" i="1"/>
  <c r="AF256" i="1"/>
  <c r="AE256" i="1"/>
  <c r="AF260" i="1"/>
  <c r="AE260" i="1"/>
  <c r="AF264" i="1"/>
  <c r="AE264" i="1"/>
  <c r="AF268" i="1"/>
  <c r="AE268" i="1"/>
  <c r="AF276" i="1"/>
  <c r="AE276" i="1"/>
  <c r="AF280" i="1"/>
  <c r="AE280" i="1"/>
  <c r="AF284" i="1"/>
  <c r="AE284" i="1"/>
  <c r="AF288" i="1"/>
  <c r="AE288" i="1"/>
  <c r="AF292" i="1"/>
  <c r="AE292" i="1"/>
  <c r="AF296" i="1"/>
  <c r="AE296" i="1"/>
  <c r="AF300" i="1"/>
  <c r="AE300" i="1"/>
  <c r="AF304" i="1"/>
  <c r="AE304" i="1"/>
  <c r="AF308" i="1"/>
  <c r="AE308" i="1"/>
  <c r="AF312" i="1"/>
  <c r="AE312" i="1"/>
  <c r="AF316" i="1"/>
  <c r="AE316" i="1"/>
  <c r="AF320" i="1"/>
  <c r="AE320" i="1"/>
  <c r="AF324" i="1"/>
  <c r="AE324" i="1"/>
  <c r="AF328" i="1"/>
  <c r="AE328" i="1"/>
  <c r="AF332" i="1"/>
  <c r="AE332" i="1"/>
  <c r="AF336" i="1"/>
  <c r="AE336" i="1"/>
  <c r="AF340" i="1"/>
  <c r="AE340" i="1"/>
  <c r="AF344" i="1"/>
  <c r="AE344" i="1"/>
  <c r="AF348" i="1"/>
  <c r="AE348" i="1"/>
  <c r="AF352" i="1"/>
  <c r="AE352" i="1"/>
  <c r="AF120" i="1"/>
  <c r="AE120" i="1"/>
  <c r="AF124" i="1"/>
  <c r="AE124" i="1"/>
  <c r="AF132" i="1"/>
  <c r="AE132" i="1"/>
  <c r="AF145" i="1"/>
  <c r="AE145" i="1"/>
  <c r="AF153" i="1"/>
  <c r="AE153" i="1"/>
  <c r="AF161" i="1"/>
  <c r="AE161" i="1"/>
  <c r="AF169" i="1"/>
  <c r="AE169" i="1"/>
  <c r="AF185" i="1"/>
  <c r="AE185" i="1"/>
  <c r="AF193" i="1"/>
  <c r="AE193" i="1"/>
  <c r="AF201" i="1"/>
  <c r="AE201" i="1"/>
  <c r="AF217" i="1"/>
  <c r="AE217" i="1"/>
  <c r="AF121" i="1"/>
  <c r="AE121" i="1"/>
  <c r="AF138" i="1"/>
  <c r="AE138" i="1"/>
  <c r="AF154" i="1"/>
  <c r="AE154" i="1"/>
  <c r="AF170" i="1"/>
  <c r="AE170" i="1"/>
  <c r="AF186" i="1"/>
  <c r="AE186" i="1"/>
  <c r="AF229" i="1"/>
  <c r="AE229" i="1"/>
  <c r="AF237" i="1"/>
  <c r="AE237" i="1"/>
  <c r="AF245" i="1"/>
  <c r="AE245" i="1"/>
  <c r="AF253" i="1"/>
  <c r="AE253" i="1"/>
  <c r="AF261" i="1"/>
  <c r="AE261" i="1"/>
  <c r="AF269" i="1"/>
  <c r="AE269" i="1"/>
  <c r="AF277" i="1"/>
  <c r="AE277" i="1"/>
  <c r="AF285" i="1"/>
  <c r="AE285" i="1"/>
  <c r="AF293" i="1"/>
  <c r="AE293" i="1"/>
  <c r="AF301" i="1"/>
  <c r="AE301" i="1"/>
  <c r="AF309" i="1"/>
  <c r="AE309" i="1"/>
  <c r="AF317" i="1"/>
  <c r="AE317" i="1"/>
  <c r="AF325" i="1"/>
  <c r="AE325" i="1"/>
  <c r="AF333" i="1"/>
  <c r="AE333" i="1"/>
  <c r="AF341" i="1"/>
  <c r="AE341" i="1"/>
  <c r="AF349" i="1"/>
  <c r="AE349" i="1"/>
  <c r="AF142" i="1"/>
  <c r="AE142" i="1"/>
  <c r="AF158" i="1"/>
  <c r="AE158" i="1"/>
  <c r="AF174" i="1"/>
  <c r="AE174" i="1"/>
  <c r="AF190" i="1"/>
  <c r="AE190" i="1"/>
  <c r="AF206" i="1"/>
  <c r="AE206" i="1"/>
  <c r="AF222" i="1"/>
  <c r="AE222" i="1"/>
  <c r="AF230" i="1"/>
  <c r="AE230" i="1"/>
  <c r="AF238" i="1"/>
  <c r="AE238" i="1"/>
  <c r="AF246" i="1"/>
  <c r="AE246" i="1"/>
  <c r="AF254" i="1"/>
  <c r="AE254" i="1"/>
  <c r="AF262" i="1"/>
  <c r="AE262" i="1"/>
  <c r="AF270" i="1"/>
  <c r="AE270" i="1"/>
  <c r="AF278" i="1"/>
  <c r="AE278" i="1"/>
  <c r="AF286" i="1"/>
  <c r="AE286" i="1"/>
  <c r="AF294" i="1"/>
  <c r="AE294" i="1"/>
  <c r="AF302" i="1"/>
  <c r="AE302" i="1"/>
  <c r="AF310" i="1"/>
  <c r="AE310" i="1"/>
  <c r="AF318" i="1"/>
  <c r="AE318" i="1"/>
  <c r="AF326" i="1"/>
  <c r="AE326" i="1"/>
  <c r="AF334" i="1"/>
  <c r="AE334" i="1"/>
  <c r="AF342" i="1"/>
  <c r="AE342" i="1"/>
  <c r="AF350" i="1"/>
  <c r="AE350" i="1"/>
  <c r="AF129" i="1"/>
  <c r="AE129" i="1"/>
  <c r="AF146" i="1"/>
  <c r="AE146" i="1"/>
  <c r="AF162" i="1"/>
  <c r="AE162" i="1"/>
  <c r="AF178" i="1"/>
  <c r="AE178" i="1"/>
  <c r="AF194" i="1"/>
  <c r="AE194" i="1"/>
  <c r="AF210" i="1"/>
  <c r="AE210" i="1"/>
  <c r="AF225" i="1"/>
  <c r="AE225" i="1"/>
  <c r="AF233" i="1"/>
  <c r="AE233" i="1"/>
  <c r="AF241" i="1"/>
  <c r="AE241" i="1"/>
  <c r="AF249" i="1"/>
  <c r="AE249" i="1"/>
  <c r="AF257" i="1"/>
  <c r="AE257" i="1"/>
  <c r="AF265" i="1"/>
  <c r="AE265" i="1"/>
  <c r="AF273" i="1"/>
  <c r="AE273" i="1"/>
  <c r="AF281" i="1"/>
  <c r="AE281" i="1"/>
  <c r="AF289" i="1"/>
  <c r="AE289" i="1"/>
  <c r="AF297" i="1"/>
  <c r="AE297" i="1"/>
  <c r="AF305" i="1"/>
  <c r="AE305" i="1"/>
  <c r="AF313" i="1"/>
  <c r="AE313" i="1"/>
  <c r="AF321" i="1"/>
  <c r="AE321" i="1"/>
  <c r="AF329" i="1"/>
  <c r="AE329" i="1"/>
  <c r="AF337" i="1"/>
  <c r="AE337" i="1"/>
  <c r="AF353" i="1"/>
  <c r="AE353" i="1"/>
  <c r="AF116" i="1"/>
  <c r="AE116" i="1"/>
  <c r="AF133" i="1"/>
  <c r="AE133" i="1"/>
  <c r="AF150" i="1"/>
  <c r="AE150" i="1"/>
  <c r="AF166" i="1"/>
  <c r="AE166" i="1"/>
  <c r="AF182" i="1"/>
  <c r="AE182" i="1"/>
  <c r="AF198" i="1"/>
  <c r="AE198" i="1"/>
  <c r="AF214" i="1"/>
  <c r="AE214" i="1"/>
  <c r="AF226" i="1"/>
  <c r="AE226" i="1"/>
  <c r="AF250" i="1"/>
  <c r="AE250" i="1"/>
  <c r="AF258" i="1"/>
  <c r="AE258" i="1"/>
  <c r="AF266" i="1"/>
  <c r="AE266" i="1"/>
  <c r="AF274" i="1"/>
  <c r="AE274" i="1"/>
  <c r="AF282" i="1"/>
  <c r="AE282" i="1"/>
  <c r="AF290" i="1"/>
  <c r="AE290" i="1"/>
  <c r="AF298" i="1"/>
  <c r="AE298" i="1"/>
  <c r="AF306" i="1"/>
  <c r="AE306" i="1"/>
  <c r="AF314" i="1"/>
  <c r="AE314" i="1"/>
  <c r="AF322" i="1"/>
  <c r="AE322" i="1"/>
  <c r="AF330" i="1"/>
  <c r="AE330" i="1"/>
  <c r="AF338" i="1"/>
  <c r="AE338" i="1"/>
  <c r="AF346" i="1"/>
  <c r="AE346" i="1"/>
  <c r="K17" i="1"/>
  <c r="K15" i="1"/>
  <c r="BC38" i="8"/>
  <c r="BB39" i="8"/>
  <c r="S54" i="11"/>
  <c r="T53" i="11"/>
  <c r="O356" i="1"/>
  <c r="C369" i="1"/>
  <c r="BC39" i="8"/>
  <c r="BB40" i="8"/>
  <c r="S55" i="11"/>
  <c r="T54" i="11"/>
  <c r="U283" i="8"/>
  <c r="U284" i="8"/>
  <c r="U25" i="8"/>
  <c r="U26" i="8"/>
  <c r="U285" i="8"/>
  <c r="V284" i="8"/>
  <c r="BC40" i="8"/>
  <c r="BB41" i="8"/>
  <c r="S56" i="11"/>
  <c r="T55" i="11"/>
  <c r="U27" i="8"/>
  <c r="V26" i="8"/>
  <c r="V18" i="7"/>
  <c r="V19" i="7"/>
  <c r="AF3" i="4"/>
  <c r="U286" i="8"/>
  <c r="V285" i="8"/>
  <c r="BC41" i="8"/>
  <c r="BB42" i="8"/>
  <c r="S57" i="11"/>
  <c r="T56" i="11"/>
  <c r="U28" i="8"/>
  <c r="V27" i="8"/>
  <c r="V20" i="7"/>
  <c r="U287" i="8"/>
  <c r="V286" i="8"/>
  <c r="BC42" i="8"/>
  <c r="BB43" i="8"/>
  <c r="S58" i="11"/>
  <c r="T57" i="11"/>
  <c r="U29" i="8"/>
  <c r="V28" i="8"/>
  <c r="V21" i="7"/>
  <c r="U288" i="8"/>
  <c r="V287" i="8"/>
  <c r="BC43" i="8"/>
  <c r="BB44" i="8"/>
  <c r="S59" i="11"/>
  <c r="T58" i="11"/>
  <c r="U30" i="8"/>
  <c r="V29" i="8"/>
  <c r="V22" i="7"/>
  <c r="U289" i="8"/>
  <c r="V288" i="8"/>
  <c r="BC44" i="8"/>
  <c r="BB45" i="8"/>
  <c r="S60" i="11"/>
  <c r="T59" i="11"/>
  <c r="U31" i="8"/>
  <c r="V30" i="8"/>
  <c r="V23" i="7"/>
  <c r="U290" i="8"/>
  <c r="V289" i="8"/>
  <c r="BC45" i="8"/>
  <c r="BB46" i="8"/>
  <c r="S61" i="11"/>
  <c r="T60" i="11"/>
  <c r="U32" i="8"/>
  <c r="V31" i="8"/>
  <c r="V24" i="7"/>
  <c r="U291" i="8"/>
  <c r="V290" i="8"/>
  <c r="BC46" i="8"/>
  <c r="BB47" i="8"/>
  <c r="S62" i="11"/>
  <c r="T61" i="11"/>
  <c r="U33" i="8"/>
  <c r="V32" i="8"/>
  <c r="V25" i="7"/>
  <c r="U292" i="8"/>
  <c r="V291" i="8"/>
  <c r="BC47" i="8"/>
  <c r="BB48" i="8"/>
  <c r="S63" i="11"/>
  <c r="T62" i="11"/>
  <c r="U34" i="8"/>
  <c r="V33" i="8"/>
  <c r="V26" i="7"/>
  <c r="U293" i="8"/>
  <c r="V292" i="8"/>
  <c r="BC48" i="8"/>
  <c r="BB49" i="8"/>
  <c r="S64" i="11"/>
  <c r="T63" i="11"/>
  <c r="U35" i="8"/>
  <c r="V34" i="8"/>
  <c r="V27" i="7"/>
  <c r="U294" i="8"/>
  <c r="V293" i="8"/>
  <c r="BB50" i="8"/>
  <c r="S65" i="11"/>
  <c r="T64" i="11"/>
  <c r="U36" i="8"/>
  <c r="V35" i="8"/>
  <c r="V28" i="7"/>
  <c r="U295" i="8"/>
  <c r="U296" i="8"/>
  <c r="V294" i="8"/>
  <c r="BC50" i="8"/>
  <c r="BB51" i="8"/>
  <c r="S66" i="11"/>
  <c r="T65" i="11"/>
  <c r="U37" i="8"/>
  <c r="U38" i="8"/>
  <c r="V36" i="8"/>
  <c r="V29" i="7"/>
  <c r="U297" i="8"/>
  <c r="V296" i="8"/>
  <c r="BC51" i="8"/>
  <c r="BB52" i="8"/>
  <c r="S67" i="11"/>
  <c r="T66" i="11"/>
  <c r="U39" i="8"/>
  <c r="V38" i="8"/>
  <c r="V30" i="7"/>
  <c r="U298" i="8"/>
  <c r="V297" i="8"/>
  <c r="BC52" i="8"/>
  <c r="BB53" i="8"/>
  <c r="S68" i="11"/>
  <c r="T67" i="11"/>
  <c r="U40" i="8"/>
  <c r="V39" i="8"/>
  <c r="V31" i="7"/>
  <c r="U299" i="8"/>
  <c r="V298" i="8"/>
  <c r="BC53" i="8"/>
  <c r="BB54" i="8"/>
  <c r="S69" i="11"/>
  <c r="T68" i="11"/>
  <c r="U41" i="8"/>
  <c r="V40" i="8"/>
  <c r="V32" i="7"/>
  <c r="U300" i="8"/>
  <c r="V299" i="8"/>
  <c r="BC54" i="8"/>
  <c r="BB55" i="8"/>
  <c r="S70" i="11"/>
  <c r="T69" i="11"/>
  <c r="U42" i="8"/>
  <c r="V41" i="8"/>
  <c r="V33" i="7"/>
  <c r="U301" i="8"/>
  <c r="V300" i="8"/>
  <c r="BC55" i="8"/>
  <c r="BB56" i="8"/>
  <c r="S71" i="11"/>
  <c r="T70" i="11"/>
  <c r="U43" i="8"/>
  <c r="V42" i="8"/>
  <c r="V34" i="7"/>
  <c r="U302" i="8"/>
  <c r="V301" i="8"/>
  <c r="BC56" i="8"/>
  <c r="BB57" i="8"/>
  <c r="S72" i="11"/>
  <c r="T71" i="11"/>
  <c r="U44" i="8"/>
  <c r="V43" i="8"/>
  <c r="V35" i="7"/>
  <c r="U303" i="8"/>
  <c r="V302" i="8"/>
  <c r="BC57" i="8"/>
  <c r="BB58" i="8"/>
  <c r="S73" i="11"/>
  <c r="T72" i="11"/>
  <c r="U45" i="8"/>
  <c r="V44" i="8"/>
  <c r="V36" i="7"/>
  <c r="U304" i="8"/>
  <c r="V303" i="8"/>
  <c r="BC58" i="8"/>
  <c r="BB59" i="8"/>
  <c r="S74" i="11"/>
  <c r="T73" i="11"/>
  <c r="U46" i="8"/>
  <c r="V45" i="8"/>
  <c r="V37" i="7"/>
  <c r="U305" i="8"/>
  <c r="V304" i="8"/>
  <c r="BC59" i="8"/>
  <c r="BB60" i="8"/>
  <c r="S75" i="11"/>
  <c r="T74" i="11"/>
  <c r="U47" i="8"/>
  <c r="V46" i="8"/>
  <c r="V38" i="7"/>
  <c r="U306" i="8"/>
  <c r="V305" i="8"/>
  <c r="BC60" i="8"/>
  <c r="BB61" i="8"/>
  <c r="S76" i="11"/>
  <c r="T75" i="11"/>
  <c r="U48" i="8"/>
  <c r="V47" i="8"/>
  <c r="V39" i="7"/>
  <c r="U307" i="8"/>
  <c r="U308" i="8"/>
  <c r="V306" i="8"/>
  <c r="BB62" i="8"/>
  <c r="S77" i="11"/>
  <c r="T76" i="11"/>
  <c r="U49" i="8"/>
  <c r="U50" i="8"/>
  <c r="V48" i="8"/>
  <c r="V40" i="7"/>
  <c r="U309" i="8"/>
  <c r="V308" i="8"/>
  <c r="BC62" i="8"/>
  <c r="BB63" i="8"/>
  <c r="S78" i="11"/>
  <c r="T77" i="11"/>
  <c r="U51" i="8"/>
  <c r="V50" i="8"/>
  <c r="V41" i="7"/>
  <c r="V42" i="7"/>
  <c r="U310" i="8"/>
  <c r="V309" i="8"/>
  <c r="BC63" i="8"/>
  <c r="BB64" i="8"/>
  <c r="S79" i="11"/>
  <c r="T78" i="11"/>
  <c r="U52" i="8"/>
  <c r="V51" i="8"/>
  <c r="V43" i="7"/>
  <c r="U311" i="8"/>
  <c r="V310" i="8"/>
  <c r="BC64" i="8"/>
  <c r="BB65" i="8"/>
  <c r="S80" i="11"/>
  <c r="T79" i="11"/>
  <c r="U53" i="8"/>
  <c r="V52" i="8"/>
  <c r="V44" i="7"/>
  <c r="U312" i="8"/>
  <c r="V311" i="8"/>
  <c r="BC65" i="8"/>
  <c r="BB66" i="8"/>
  <c r="S81" i="11"/>
  <c r="T80" i="11"/>
  <c r="U54" i="8"/>
  <c r="V53" i="8"/>
  <c r="V45" i="7"/>
  <c r="U313" i="8"/>
  <c r="V312" i="8"/>
  <c r="BC66" i="8"/>
  <c r="BB67" i="8"/>
  <c r="S82" i="11"/>
  <c r="T81" i="11"/>
  <c r="U55" i="8"/>
  <c r="V54" i="8"/>
  <c r="V46" i="7"/>
  <c r="U314" i="8"/>
  <c r="V313" i="8"/>
  <c r="BC67" i="8"/>
  <c r="BB68" i="8"/>
  <c r="S83" i="11"/>
  <c r="T82" i="11"/>
  <c r="U56" i="8"/>
  <c r="V55" i="8"/>
  <c r="V47" i="7"/>
  <c r="U315" i="8"/>
  <c r="V314" i="8"/>
  <c r="BC68" i="8"/>
  <c r="BB69" i="8"/>
  <c r="S84" i="11"/>
  <c r="T83" i="11"/>
  <c r="U57" i="8"/>
  <c r="V56" i="8"/>
  <c r="V48" i="7"/>
  <c r="U316" i="8"/>
  <c r="V315" i="8"/>
  <c r="BC69" i="8"/>
  <c r="BB70" i="8"/>
  <c r="S85" i="11"/>
  <c r="T84" i="11"/>
  <c r="U58" i="8"/>
  <c r="V57" i="8"/>
  <c r="V49" i="7"/>
  <c r="U317" i="8"/>
  <c r="V316" i="8"/>
  <c r="BC70" i="8"/>
  <c r="BB71" i="8"/>
  <c r="S86" i="11"/>
  <c r="T85" i="11"/>
  <c r="U59" i="8"/>
  <c r="V58" i="8"/>
  <c r="V50" i="7"/>
  <c r="U318" i="8"/>
  <c r="V317" i="8"/>
  <c r="BC71" i="8"/>
  <c r="BB72" i="8"/>
  <c r="S87" i="11"/>
  <c r="T86" i="11"/>
  <c r="U60" i="8"/>
  <c r="V59" i="8"/>
  <c r="V51" i="7"/>
  <c r="U319" i="8"/>
  <c r="U320" i="8"/>
  <c r="V318" i="8"/>
  <c r="BC72" i="8"/>
  <c r="BB73" i="8"/>
  <c r="S88" i="11"/>
  <c r="T87" i="11"/>
  <c r="U61" i="8"/>
  <c r="U62" i="8"/>
  <c r="V60" i="8"/>
  <c r="V52" i="7"/>
  <c r="U321" i="8"/>
  <c r="V320" i="8"/>
  <c r="BB74" i="8"/>
  <c r="S89" i="11"/>
  <c r="T88" i="11"/>
  <c r="U63" i="8"/>
  <c r="V62" i="8"/>
  <c r="V53" i="7"/>
  <c r="U322" i="8"/>
  <c r="V321" i="8"/>
  <c r="BC74" i="8"/>
  <c r="BB75" i="8"/>
  <c r="S90" i="11"/>
  <c r="T89" i="11"/>
  <c r="U64" i="8"/>
  <c r="V63" i="8"/>
  <c r="V54" i="7"/>
  <c r="U323" i="8"/>
  <c r="V322" i="8"/>
  <c r="BC75" i="8"/>
  <c r="BB76" i="8"/>
  <c r="S91" i="11"/>
  <c r="T90" i="11"/>
  <c r="U65" i="8"/>
  <c r="V64" i="8"/>
  <c r="V55" i="7"/>
  <c r="U324" i="8"/>
  <c r="V323" i="8"/>
  <c r="BC76" i="8"/>
  <c r="BB77" i="8"/>
  <c r="S92" i="11"/>
  <c r="T91" i="11"/>
  <c r="U66" i="8"/>
  <c r="V65" i="8"/>
  <c r="V56" i="7"/>
  <c r="U325" i="8"/>
  <c r="V324" i="8"/>
  <c r="BC77" i="8"/>
  <c r="BB78" i="8"/>
  <c r="S93" i="11"/>
  <c r="T92" i="11"/>
  <c r="U67" i="8"/>
  <c r="V66" i="8"/>
  <c r="V57" i="7"/>
  <c r="U326" i="8"/>
  <c r="V325" i="8"/>
  <c r="BC78" i="8"/>
  <c r="BB79" i="8"/>
  <c r="S94" i="11"/>
  <c r="T93" i="11"/>
  <c r="U68" i="8"/>
  <c r="V67" i="8"/>
  <c r="V58" i="7"/>
  <c r="U327" i="8"/>
  <c r="V326" i="8"/>
  <c r="BC79" i="8"/>
  <c r="BB80" i="8"/>
  <c r="S95" i="11"/>
  <c r="T94" i="11"/>
  <c r="U69" i="8"/>
  <c r="V68" i="8"/>
  <c r="V59" i="7"/>
  <c r="U328" i="8"/>
  <c r="V327" i="8"/>
  <c r="BC80" i="8"/>
  <c r="BB81" i="8"/>
  <c r="S96" i="11"/>
  <c r="T95" i="11"/>
  <c r="U70" i="8"/>
  <c r="V69" i="8"/>
  <c r="V60" i="7"/>
  <c r="U329" i="8"/>
  <c r="V328" i="8"/>
  <c r="BC81" i="8"/>
  <c r="BB82" i="8"/>
  <c r="S97" i="11"/>
  <c r="T96" i="11"/>
  <c r="U71" i="8"/>
  <c r="V70" i="8"/>
  <c r="V61" i="7"/>
  <c r="U330" i="8"/>
  <c r="V329" i="8"/>
  <c r="BC82" i="8"/>
  <c r="BB83" i="8"/>
  <c r="S98" i="11"/>
  <c r="T97" i="11"/>
  <c r="U72" i="8"/>
  <c r="V71" i="8"/>
  <c r="V62" i="7"/>
  <c r="U331" i="8"/>
  <c r="U332" i="8"/>
  <c r="V330" i="8"/>
  <c r="BC83" i="8"/>
  <c r="BB84" i="8"/>
  <c r="S99" i="11"/>
  <c r="T98" i="11"/>
  <c r="U73" i="8"/>
  <c r="U74" i="8"/>
  <c r="V72" i="8"/>
  <c r="V63" i="7"/>
  <c r="U333" i="8"/>
  <c r="V332" i="8"/>
  <c r="BC84" i="8"/>
  <c r="BB85" i="8"/>
  <c r="S100" i="11"/>
  <c r="T99" i="11"/>
  <c r="U75" i="8"/>
  <c r="V74" i="8"/>
  <c r="V64" i="7"/>
  <c r="U334" i="8"/>
  <c r="V333" i="8"/>
  <c r="BB86" i="8"/>
  <c r="S101" i="11"/>
  <c r="T100" i="11"/>
  <c r="U76" i="8"/>
  <c r="V75" i="8"/>
  <c r="V65" i="7"/>
  <c r="U335" i="8"/>
  <c r="V334" i="8"/>
  <c r="BC86" i="8"/>
  <c r="BB87" i="8"/>
  <c r="S102" i="11"/>
  <c r="T101" i="11"/>
  <c r="U77" i="8"/>
  <c r="V76" i="8"/>
  <c r="V66" i="7"/>
  <c r="U336" i="8"/>
  <c r="V335" i="8"/>
  <c r="BC87" i="8"/>
  <c r="BB88" i="8"/>
  <c r="S103" i="11"/>
  <c r="T102" i="11"/>
  <c r="U78" i="8"/>
  <c r="V77" i="8"/>
  <c r="V67" i="7"/>
  <c r="U337" i="8"/>
  <c r="V336" i="8"/>
  <c r="BC88" i="8"/>
  <c r="BB89" i="8"/>
  <c r="S104" i="11"/>
  <c r="T103" i="11"/>
  <c r="U79" i="8"/>
  <c r="V78" i="8"/>
  <c r="V68" i="7"/>
  <c r="U338" i="8"/>
  <c r="V337" i="8"/>
  <c r="BC89" i="8"/>
  <c r="BB90" i="8"/>
  <c r="S105" i="11"/>
  <c r="T104" i="11"/>
  <c r="U80" i="8"/>
  <c r="V79" i="8"/>
  <c r="V69" i="7"/>
  <c r="U339" i="8"/>
  <c r="V338" i="8"/>
  <c r="BC90" i="8"/>
  <c r="BB91" i="8"/>
  <c r="S106" i="11"/>
  <c r="T105" i="11"/>
  <c r="U81" i="8"/>
  <c r="V80" i="8"/>
  <c r="V70" i="7"/>
  <c r="U340" i="8"/>
  <c r="V339" i="8"/>
  <c r="BC91" i="8"/>
  <c r="BB92" i="8"/>
  <c r="S107" i="11"/>
  <c r="T106" i="11"/>
  <c r="U82" i="8"/>
  <c r="V81" i="8"/>
  <c r="V71" i="7"/>
  <c r="U341" i="8"/>
  <c r="V340" i="8"/>
  <c r="BC92" i="8"/>
  <c r="BB93" i="8"/>
  <c r="S108" i="11"/>
  <c r="T107" i="11"/>
  <c r="U83" i="8"/>
  <c r="V82" i="8"/>
  <c r="V72" i="7"/>
  <c r="U342" i="8"/>
  <c r="V341" i="8"/>
  <c r="BC93" i="8"/>
  <c r="BB94" i="8"/>
  <c r="S109" i="11"/>
  <c r="T108" i="11"/>
  <c r="U84" i="8"/>
  <c r="V83" i="8"/>
  <c r="V73" i="7"/>
  <c r="U343" i="8"/>
  <c r="U344" i="8"/>
  <c r="V342" i="8"/>
  <c r="BC94" i="8"/>
  <c r="BB95" i="8"/>
  <c r="S110" i="11"/>
  <c r="T109" i="11"/>
  <c r="U85" i="8"/>
  <c r="U86" i="8"/>
  <c r="V84" i="8"/>
  <c r="V74" i="7"/>
  <c r="U345" i="8"/>
  <c r="V344" i="8"/>
  <c r="BC95" i="8"/>
  <c r="BB96" i="8"/>
  <c r="S111" i="11"/>
  <c r="T110" i="11"/>
  <c r="U87" i="8"/>
  <c r="V86" i="8"/>
  <c r="V75" i="7"/>
  <c r="U346" i="8"/>
  <c r="V345" i="8"/>
  <c r="BC96" i="8"/>
  <c r="BB97" i="8"/>
  <c r="S112" i="11"/>
  <c r="T111" i="11"/>
  <c r="U88" i="8"/>
  <c r="V87" i="8"/>
  <c r="V76" i="7"/>
  <c r="U347" i="8"/>
  <c r="V346" i="8"/>
  <c r="BB98" i="8"/>
  <c r="S113" i="11"/>
  <c r="T112" i="11"/>
  <c r="U89" i="8"/>
  <c r="V88" i="8"/>
  <c r="V77" i="7"/>
  <c r="U348" i="8"/>
  <c r="V347" i="8"/>
  <c r="BC98" i="8"/>
  <c r="BB99" i="8"/>
  <c r="S114" i="11"/>
  <c r="T113" i="11"/>
  <c r="U90" i="8"/>
  <c r="V89" i="8"/>
  <c r="V78" i="7"/>
  <c r="U349" i="8"/>
  <c r="V348" i="8"/>
  <c r="BC99" i="8"/>
  <c r="BB100" i="8"/>
  <c r="S115" i="11"/>
  <c r="T114" i="11"/>
  <c r="U91" i="8"/>
  <c r="V90" i="8"/>
  <c r="V79" i="7"/>
  <c r="U350" i="8"/>
  <c r="V349" i="8"/>
  <c r="BC100" i="8"/>
  <c r="BB101" i="8"/>
  <c r="S116" i="11"/>
  <c r="T115" i="11"/>
  <c r="U92" i="8"/>
  <c r="V91" i="8"/>
  <c r="V80" i="7"/>
  <c r="U351" i="8"/>
  <c r="V350" i="8"/>
  <c r="BC101" i="8"/>
  <c r="BB102" i="8"/>
  <c r="S117" i="11"/>
  <c r="T116" i="11"/>
  <c r="U93" i="8"/>
  <c r="V92" i="8"/>
  <c r="V81" i="7"/>
  <c r="U352" i="8"/>
  <c r="V351" i="8"/>
  <c r="BC102" i="8"/>
  <c r="BB103" i="8"/>
  <c r="S118" i="11"/>
  <c r="T117" i="11"/>
  <c r="U94" i="8"/>
  <c r="V93" i="8"/>
  <c r="V82" i="7"/>
  <c r="U353" i="8"/>
  <c r="V352" i="8"/>
  <c r="BC103" i="8"/>
  <c r="BB104" i="8"/>
  <c r="S119" i="11"/>
  <c r="T118" i="11"/>
  <c r="U95" i="8"/>
  <c r="V94" i="8"/>
  <c r="V83" i="7"/>
  <c r="U354" i="8"/>
  <c r="V353" i="8"/>
  <c r="BC104" i="8"/>
  <c r="BB105" i="8"/>
  <c r="S120" i="11"/>
  <c r="T119" i="11"/>
  <c r="U96" i="8"/>
  <c r="V95" i="8"/>
  <c r="V84" i="7"/>
  <c r="U355" i="8"/>
  <c r="U356" i="8"/>
  <c r="V354" i="8"/>
  <c r="BC105" i="8"/>
  <c r="BB106" i="8"/>
  <c r="S121" i="11"/>
  <c r="T120" i="11"/>
  <c r="U97" i="8"/>
  <c r="U98" i="8"/>
  <c r="V96" i="8"/>
  <c r="V85" i="7"/>
  <c r="U357" i="8"/>
  <c r="V356" i="8"/>
  <c r="BC106" i="8"/>
  <c r="BB107" i="8"/>
  <c r="S122" i="11"/>
  <c r="T121" i="11"/>
  <c r="U99" i="8"/>
  <c r="V98" i="8"/>
  <c r="V86" i="7"/>
  <c r="U358" i="8"/>
  <c r="V357" i="8"/>
  <c r="BC107" i="8"/>
  <c r="BB108" i="8"/>
  <c r="S123" i="11"/>
  <c r="T122" i="11"/>
  <c r="U100" i="8"/>
  <c r="V99" i="8"/>
  <c r="V87" i="7"/>
  <c r="U359" i="8"/>
  <c r="V358" i="8"/>
  <c r="BC108" i="8"/>
  <c r="BB109" i="8"/>
  <c r="S124" i="11"/>
  <c r="T123" i="11"/>
  <c r="U101" i="8"/>
  <c r="V100" i="8"/>
  <c r="V88" i="7"/>
  <c r="U360" i="8"/>
  <c r="V359" i="8"/>
  <c r="BB110" i="8"/>
  <c r="S125" i="11"/>
  <c r="T124" i="11"/>
  <c r="U102" i="8"/>
  <c r="V101" i="8"/>
  <c r="V89" i="7"/>
  <c r="U361" i="8"/>
  <c r="V360" i="8"/>
  <c r="BC110" i="8"/>
  <c r="BB111" i="8"/>
  <c r="S126" i="11"/>
  <c r="T125" i="11"/>
  <c r="U103" i="8"/>
  <c r="V102" i="8"/>
  <c r="V90" i="7"/>
  <c r="U362" i="8"/>
  <c r="V361" i="8"/>
  <c r="BC111" i="8"/>
  <c r="BB112" i="8"/>
  <c r="S127" i="11"/>
  <c r="T126" i="11"/>
  <c r="U104" i="8"/>
  <c r="V103" i="8"/>
  <c r="V91" i="7"/>
  <c r="U363" i="8"/>
  <c r="V362" i="8"/>
  <c r="BC112" i="8"/>
  <c r="BB113" i="8"/>
  <c r="S128" i="11"/>
  <c r="T127" i="11"/>
  <c r="U105" i="8"/>
  <c r="V104" i="8"/>
  <c r="V92" i="7"/>
  <c r="U364" i="8"/>
  <c r="V363" i="8"/>
  <c r="BC113" i="8"/>
  <c r="BB114" i="8"/>
  <c r="S129" i="11"/>
  <c r="T128" i="11"/>
  <c r="U106" i="8"/>
  <c r="V105" i="8"/>
  <c r="V93" i="7"/>
  <c r="U365" i="8"/>
  <c r="V364" i="8"/>
  <c r="BC114" i="8"/>
  <c r="BB115" i="8"/>
  <c r="S130" i="11"/>
  <c r="T129" i="11"/>
  <c r="U107" i="8"/>
  <c r="V106" i="8"/>
  <c r="V94" i="7"/>
  <c r="U366" i="8"/>
  <c r="V365" i="8"/>
  <c r="BC115" i="8"/>
  <c r="BB116" i="8"/>
  <c r="S131" i="11"/>
  <c r="T130" i="11"/>
  <c r="U108" i="8"/>
  <c r="V107" i="8"/>
  <c r="V95" i="7"/>
  <c r="U367" i="8"/>
  <c r="U368" i="8"/>
  <c r="V366" i="8"/>
  <c r="BC116" i="8"/>
  <c r="BB117" i="8"/>
  <c r="S132" i="11"/>
  <c r="T131" i="11"/>
  <c r="U109" i="8"/>
  <c r="U110" i="8"/>
  <c r="V108" i="8"/>
  <c r="V96" i="7"/>
  <c r="U369" i="8"/>
  <c r="V368" i="8"/>
  <c r="BC117" i="8"/>
  <c r="BB118" i="8"/>
  <c r="S133" i="11"/>
  <c r="T132" i="11"/>
  <c r="U111" i="8"/>
  <c r="V110" i="8"/>
  <c r="V97" i="7"/>
  <c r="U370" i="8"/>
  <c r="V369" i="8"/>
  <c r="BC118" i="8"/>
  <c r="BB119" i="8"/>
  <c r="S134" i="11"/>
  <c r="T133" i="11"/>
  <c r="U112" i="8"/>
  <c r="V111" i="8"/>
  <c r="V98" i="7"/>
  <c r="U371" i="8"/>
  <c r="V370" i="8"/>
  <c r="BC119" i="8"/>
  <c r="BB120" i="8"/>
  <c r="S135" i="11"/>
  <c r="T134" i="11"/>
  <c r="U113" i="8"/>
  <c r="V112" i="8"/>
  <c r="V99" i="7"/>
  <c r="U372" i="8"/>
  <c r="V371" i="8"/>
  <c r="BC120" i="8"/>
  <c r="BB121" i="8"/>
  <c r="S136" i="11"/>
  <c r="T135" i="11"/>
  <c r="U114" i="8"/>
  <c r="V113" i="8"/>
  <c r="V100" i="7"/>
  <c r="U373" i="8"/>
  <c r="V372" i="8"/>
  <c r="BB122" i="8"/>
  <c r="S137" i="11"/>
  <c r="T136" i="11"/>
  <c r="U115" i="8"/>
  <c r="V114" i="8"/>
  <c r="V101" i="7"/>
  <c r="U374" i="8"/>
  <c r="V373" i="8"/>
  <c r="BC122" i="8"/>
  <c r="BB123" i="8"/>
  <c r="S138" i="11"/>
  <c r="T137" i="11"/>
  <c r="U116" i="8"/>
  <c r="V115" i="8"/>
  <c r="V102" i="7"/>
  <c r="U375" i="8"/>
  <c r="V374" i="8"/>
  <c r="BC123" i="8"/>
  <c r="BB124" i="8"/>
  <c r="S139" i="11"/>
  <c r="T138" i="11"/>
  <c r="U117" i="8"/>
  <c r="V116" i="8"/>
  <c r="V103" i="7"/>
  <c r="U376" i="8"/>
  <c r="V375" i="8"/>
  <c r="BC124" i="8"/>
  <c r="BB125" i="8"/>
  <c r="S140" i="11"/>
  <c r="T139" i="11"/>
  <c r="U118" i="8"/>
  <c r="V117" i="8"/>
  <c r="V104" i="7"/>
  <c r="U377" i="8"/>
  <c r="V376" i="8"/>
  <c r="BC125" i="8"/>
  <c r="BB126" i="8"/>
  <c r="S141" i="11"/>
  <c r="T140" i="11"/>
  <c r="U119" i="8"/>
  <c r="V118" i="8"/>
  <c r="V105" i="7"/>
  <c r="U378" i="8"/>
  <c r="V377" i="8"/>
  <c r="BC126" i="8"/>
  <c r="BB127" i="8"/>
  <c r="S142" i="11"/>
  <c r="T141" i="11"/>
  <c r="U120" i="8"/>
  <c r="V119" i="8"/>
  <c r="V106" i="7"/>
  <c r="U379" i="8"/>
  <c r="U380" i="8"/>
  <c r="V378" i="8"/>
  <c r="BC127" i="8"/>
  <c r="BB128" i="8"/>
  <c r="S143" i="11"/>
  <c r="T142" i="11"/>
  <c r="U121" i="8"/>
  <c r="U122" i="8"/>
  <c r="V120" i="8"/>
  <c r="V107" i="7"/>
  <c r="U381" i="8"/>
  <c r="V380" i="8"/>
  <c r="BB129" i="8"/>
  <c r="BC128" i="8"/>
  <c r="S144" i="11"/>
  <c r="T143" i="11"/>
  <c r="U123" i="8"/>
  <c r="V122" i="8"/>
  <c r="V108" i="7"/>
  <c r="U382" i="8"/>
  <c r="V381" i="8"/>
  <c r="BB130" i="8"/>
  <c r="BC129" i="8"/>
  <c r="S145" i="11"/>
  <c r="T144" i="11"/>
  <c r="U124" i="8"/>
  <c r="V123" i="8"/>
  <c r="V109" i="7"/>
  <c r="U383" i="8"/>
  <c r="V382" i="8"/>
  <c r="BB131" i="8"/>
  <c r="BC130" i="8"/>
  <c r="S146" i="11"/>
  <c r="T145" i="11"/>
  <c r="U125" i="8"/>
  <c r="V124" i="8"/>
  <c r="V110" i="7"/>
  <c r="U384" i="8"/>
  <c r="V383" i="8"/>
  <c r="BB132" i="8"/>
  <c r="BC131" i="8"/>
  <c r="S147" i="11"/>
  <c r="T146" i="11"/>
  <c r="U126" i="8"/>
  <c r="V125" i="8"/>
  <c r="V111" i="7"/>
  <c r="U385" i="8"/>
  <c r="V384" i="8"/>
  <c r="BB133" i="8"/>
  <c r="BC132" i="8"/>
  <c r="S148" i="11"/>
  <c r="T147" i="11"/>
  <c r="U127" i="8"/>
  <c r="V126" i="8"/>
  <c r="V112" i="7"/>
  <c r="U386" i="8"/>
  <c r="V385" i="8"/>
  <c r="BB134" i="8"/>
  <c r="S149" i="11"/>
  <c r="T148" i="11"/>
  <c r="U128" i="8"/>
  <c r="V127" i="8"/>
  <c r="V113" i="7"/>
  <c r="U387" i="8"/>
  <c r="V386" i="8"/>
  <c r="BB135" i="8"/>
  <c r="BC134" i="8"/>
  <c r="S150" i="11"/>
  <c r="T149" i="11"/>
  <c r="U129" i="8"/>
  <c r="V128" i="8"/>
  <c r="V114" i="7"/>
  <c r="U388" i="8"/>
  <c r="V387" i="8"/>
  <c r="BB136" i="8"/>
  <c r="BC135" i="8"/>
  <c r="S151" i="11"/>
  <c r="T150" i="11"/>
  <c r="U130" i="8"/>
  <c r="V129" i="8"/>
  <c r="V115" i="7"/>
  <c r="U389" i="8"/>
  <c r="V388" i="8"/>
  <c r="BB137" i="8"/>
  <c r="BC136" i="8"/>
  <c r="S152" i="11"/>
  <c r="T151" i="11"/>
  <c r="U131" i="8"/>
  <c r="V130" i="8"/>
  <c r="V116" i="7"/>
  <c r="U390" i="8"/>
  <c r="V389" i="8"/>
  <c r="BB138" i="8"/>
  <c r="BC137" i="8"/>
  <c r="S153" i="11"/>
  <c r="T152" i="11"/>
  <c r="U132" i="8"/>
  <c r="V131" i="8"/>
  <c r="V117" i="7"/>
  <c r="U391" i="8"/>
  <c r="U392" i="8"/>
  <c r="V390" i="8"/>
  <c r="BB139" i="8"/>
  <c r="BC138" i="8"/>
  <c r="S154" i="11"/>
  <c r="T153" i="11"/>
  <c r="U133" i="8"/>
  <c r="U134" i="8"/>
  <c r="V132" i="8"/>
  <c r="V118" i="7"/>
  <c r="U393" i="8"/>
  <c r="V392" i="8"/>
  <c r="BB140" i="8"/>
  <c r="BC139" i="8"/>
  <c r="S155" i="11"/>
  <c r="T154" i="11"/>
  <c r="U135" i="8"/>
  <c r="V134" i="8"/>
  <c r="V119" i="7"/>
  <c r="U394" i="8"/>
  <c r="V393" i="8"/>
  <c r="BB141" i="8"/>
  <c r="BC140" i="8"/>
  <c r="S156" i="11"/>
  <c r="T155" i="11"/>
  <c r="U136" i="8"/>
  <c r="V135" i="8"/>
  <c r="V120" i="7"/>
  <c r="U395" i="8"/>
  <c r="V394" i="8"/>
  <c r="BB142" i="8"/>
  <c r="BC141" i="8"/>
  <c r="S157" i="11"/>
  <c r="T156" i="11"/>
  <c r="U137" i="8"/>
  <c r="V136" i="8"/>
  <c r="V121" i="7"/>
  <c r="U396" i="8"/>
  <c r="V395" i="8"/>
  <c r="BB143" i="8"/>
  <c r="BC142" i="8"/>
  <c r="S158" i="11"/>
  <c r="T157" i="11"/>
  <c r="U138" i="8"/>
  <c r="V137" i="8"/>
  <c r="V122" i="7"/>
  <c r="U397" i="8"/>
  <c r="V396" i="8"/>
  <c r="BB144" i="8"/>
  <c r="BC143" i="8"/>
  <c r="S159" i="11"/>
  <c r="T158" i="11"/>
  <c r="U139" i="8"/>
  <c r="V138" i="8"/>
  <c r="V123" i="7"/>
  <c r="U398" i="8"/>
  <c r="V397" i="8"/>
  <c r="BB145" i="8"/>
  <c r="BC144" i="8"/>
  <c r="S160" i="11"/>
  <c r="T159" i="11"/>
  <c r="U140" i="8"/>
  <c r="V139" i="8"/>
  <c r="V124" i="7"/>
  <c r="U399" i="8"/>
  <c r="V398" i="8"/>
  <c r="BB146" i="8"/>
  <c r="S161" i="11"/>
  <c r="T160" i="11"/>
  <c r="U141" i="8"/>
  <c r="V140" i="8"/>
  <c r="V125" i="7"/>
  <c r="U400" i="8"/>
  <c r="V399" i="8"/>
  <c r="BB147" i="8"/>
  <c r="BC146" i="8"/>
  <c r="S162" i="11"/>
  <c r="T161" i="11"/>
  <c r="U142" i="8"/>
  <c r="V141" i="8"/>
  <c r="V126" i="7"/>
  <c r="U401" i="8"/>
  <c r="V400" i="8"/>
  <c r="BB148" i="8"/>
  <c r="BC147" i="8"/>
  <c r="S163" i="11"/>
  <c r="T162" i="11"/>
  <c r="U143" i="8"/>
  <c r="V142" i="8"/>
  <c r="V127" i="7"/>
  <c r="U402" i="8"/>
  <c r="V401" i="8"/>
  <c r="BB149" i="8"/>
  <c r="BC148" i="8"/>
  <c r="S164" i="11"/>
  <c r="T163" i="11"/>
  <c r="U144" i="8"/>
  <c r="V143" i="8"/>
  <c r="V128" i="7"/>
  <c r="U403" i="8"/>
  <c r="U404" i="8"/>
  <c r="V402" i="8"/>
  <c r="BB150" i="8"/>
  <c r="BC149" i="8"/>
  <c r="S165" i="11"/>
  <c r="T164" i="11"/>
  <c r="U145" i="8"/>
  <c r="U146" i="8"/>
  <c r="V144" i="8"/>
  <c r="V129" i="7"/>
  <c r="U405" i="8"/>
  <c r="V404" i="8"/>
  <c r="BB151" i="8"/>
  <c r="BC150" i="8"/>
  <c r="S166" i="11"/>
  <c r="T165" i="11"/>
  <c r="U147" i="8"/>
  <c r="V146" i="8"/>
  <c r="V130" i="7"/>
  <c r="U406" i="8"/>
  <c r="V405" i="8"/>
  <c r="BB152" i="8"/>
  <c r="BC151" i="8"/>
  <c r="S167" i="11"/>
  <c r="T166" i="11"/>
  <c r="U148" i="8"/>
  <c r="V147" i="8"/>
  <c r="V131" i="7"/>
  <c r="U407" i="8"/>
  <c r="V406" i="8"/>
  <c r="BB153" i="8"/>
  <c r="BC152" i="8"/>
  <c r="S168" i="11"/>
  <c r="T167" i="11"/>
  <c r="U149" i="8"/>
  <c r="V148" i="8"/>
  <c r="V132" i="7"/>
  <c r="U408" i="8"/>
  <c r="V407" i="8"/>
  <c r="BB154" i="8"/>
  <c r="BC153" i="8"/>
  <c r="S169" i="11"/>
  <c r="T168" i="11"/>
  <c r="U150" i="8"/>
  <c r="V149" i="8"/>
  <c r="V133" i="7"/>
  <c r="U409" i="8"/>
  <c r="V408" i="8"/>
  <c r="BB155" i="8"/>
  <c r="BC154" i="8"/>
  <c r="S170" i="11"/>
  <c r="T169" i="11"/>
  <c r="U151" i="8"/>
  <c r="V150" i="8"/>
  <c r="V134" i="7"/>
  <c r="U410" i="8"/>
  <c r="V409" i="8"/>
  <c r="BB156" i="8"/>
  <c r="BC155" i="8"/>
  <c r="S171" i="11"/>
  <c r="T170" i="11"/>
  <c r="U152" i="8"/>
  <c r="V151" i="8"/>
  <c r="V135" i="7"/>
  <c r="U411" i="8"/>
  <c r="V410" i="8"/>
  <c r="BB157" i="8"/>
  <c r="BC156" i="8"/>
  <c r="S172" i="11"/>
  <c r="T171" i="11"/>
  <c r="U153" i="8"/>
  <c r="V152" i="8"/>
  <c r="V136" i="7"/>
  <c r="U412" i="8"/>
  <c r="V411" i="8"/>
  <c r="BB158" i="8"/>
  <c r="S173" i="11"/>
  <c r="T172" i="11"/>
  <c r="U154" i="8"/>
  <c r="V153" i="8"/>
  <c r="V137" i="7"/>
  <c r="U413" i="8"/>
  <c r="V412" i="8"/>
  <c r="BB159" i="8"/>
  <c r="BC158" i="8"/>
  <c r="S174" i="11"/>
  <c r="T173" i="11"/>
  <c r="U155" i="8"/>
  <c r="V154" i="8"/>
  <c r="V138" i="7"/>
  <c r="U414" i="8"/>
  <c r="V413" i="8"/>
  <c r="BB160" i="8"/>
  <c r="BC159" i="8"/>
  <c r="S175" i="11"/>
  <c r="T174" i="11"/>
  <c r="U156" i="8"/>
  <c r="V155" i="8"/>
  <c r="V139" i="7"/>
  <c r="U415" i="8"/>
  <c r="U416" i="8"/>
  <c r="V414" i="8"/>
  <c r="BB161" i="8"/>
  <c r="BC160" i="8"/>
  <c r="S176" i="11"/>
  <c r="T175" i="11"/>
  <c r="U157" i="8"/>
  <c r="U158" i="8"/>
  <c r="V156" i="8"/>
  <c r="V140" i="7"/>
  <c r="U417" i="8"/>
  <c r="V416" i="8"/>
  <c r="BB162" i="8"/>
  <c r="BC161" i="8"/>
  <c r="S177" i="11"/>
  <c r="T176" i="11"/>
  <c r="U159" i="8"/>
  <c r="V158" i="8"/>
  <c r="V141" i="7"/>
  <c r="U418" i="8"/>
  <c r="V417" i="8"/>
  <c r="BB163" i="8"/>
  <c r="BC162" i="8"/>
  <c r="S178" i="11"/>
  <c r="T177" i="11"/>
  <c r="U160" i="8"/>
  <c r="V159" i="8"/>
  <c r="V142" i="7"/>
  <c r="U419" i="8"/>
  <c r="V418" i="8"/>
  <c r="BB164" i="8"/>
  <c r="BC163" i="8"/>
  <c r="S179" i="11"/>
  <c r="T178" i="11"/>
  <c r="U161" i="8"/>
  <c r="V160" i="8"/>
  <c r="V143" i="7"/>
  <c r="U420" i="8"/>
  <c r="V419" i="8"/>
  <c r="BB165" i="8"/>
  <c r="BC164" i="8"/>
  <c r="S180" i="11"/>
  <c r="T179" i="11"/>
  <c r="U162" i="8"/>
  <c r="V161" i="8"/>
  <c r="V144" i="7"/>
  <c r="U421" i="8"/>
  <c r="V420" i="8"/>
  <c r="BB166" i="8"/>
  <c r="BC165" i="8"/>
  <c r="S181" i="11"/>
  <c r="T180" i="11"/>
  <c r="U163" i="8"/>
  <c r="V162" i="8"/>
  <c r="V145" i="7"/>
  <c r="U422" i="8"/>
  <c r="V421" i="8"/>
  <c r="BB167" i="8"/>
  <c r="BC166" i="8"/>
  <c r="S182" i="11"/>
  <c r="T181" i="11"/>
  <c r="U164" i="8"/>
  <c r="V163" i="8"/>
  <c r="V146" i="7"/>
  <c r="U423" i="8"/>
  <c r="V422" i="8"/>
  <c r="BB168" i="8"/>
  <c r="BC167" i="8"/>
  <c r="S183" i="11"/>
  <c r="T182" i="11"/>
  <c r="U165" i="8"/>
  <c r="V164" i="8"/>
  <c r="V147" i="7"/>
  <c r="U424" i="8"/>
  <c r="V423" i="8"/>
  <c r="BB169" i="8"/>
  <c r="BC168" i="8"/>
  <c r="S184" i="11"/>
  <c r="T183" i="11"/>
  <c r="U166" i="8"/>
  <c r="V165" i="8"/>
  <c r="V148" i="7"/>
  <c r="U425" i="8"/>
  <c r="V424" i="8"/>
  <c r="BB170" i="8"/>
  <c r="S185" i="11"/>
  <c r="T184" i="11"/>
  <c r="U167" i="8"/>
  <c r="V166" i="8"/>
  <c r="V149" i="7"/>
  <c r="U426" i="8"/>
  <c r="V425" i="8"/>
  <c r="BB171" i="8"/>
  <c r="BC170" i="8"/>
  <c r="S186" i="11"/>
  <c r="T185" i="11"/>
  <c r="U168" i="8"/>
  <c r="V167" i="8"/>
  <c r="V150" i="7"/>
  <c r="U427" i="8"/>
  <c r="U428" i="8"/>
  <c r="V426" i="8"/>
  <c r="BB172" i="8"/>
  <c r="BC171" i="8"/>
  <c r="S187" i="11"/>
  <c r="T186" i="11"/>
  <c r="U169" i="8"/>
  <c r="U170" i="8"/>
  <c r="V168" i="8"/>
  <c r="V151" i="7"/>
  <c r="U429" i="8"/>
  <c r="V428" i="8"/>
  <c r="BB173" i="8"/>
  <c r="BC172" i="8"/>
  <c r="S188" i="11"/>
  <c r="T187" i="11"/>
  <c r="U171" i="8"/>
  <c r="V170" i="8"/>
  <c r="V152" i="7"/>
  <c r="U430" i="8"/>
  <c r="V429" i="8"/>
  <c r="BB174" i="8"/>
  <c r="BC173" i="8"/>
  <c r="S189" i="11"/>
  <c r="T188" i="11"/>
  <c r="U172" i="8"/>
  <c r="V171" i="8"/>
  <c r="V153" i="7"/>
  <c r="U431" i="8"/>
  <c r="V430" i="8"/>
  <c r="BB175" i="8"/>
  <c r="BC174" i="8"/>
  <c r="S190" i="11"/>
  <c r="T189" i="11"/>
  <c r="U173" i="8"/>
  <c r="V172" i="8"/>
  <c r="V154" i="7"/>
  <c r="U432" i="8"/>
  <c r="V431" i="8"/>
  <c r="BB176" i="8"/>
  <c r="BC175" i="8"/>
  <c r="S191" i="11"/>
  <c r="T190" i="11"/>
  <c r="U174" i="8"/>
  <c r="V173" i="8"/>
  <c r="V155" i="7"/>
  <c r="U433" i="8"/>
  <c r="V432" i="8"/>
  <c r="BB177" i="8"/>
  <c r="BC176" i="8"/>
  <c r="S192" i="11"/>
  <c r="T191" i="11"/>
  <c r="U175" i="8"/>
  <c r="V174" i="8"/>
  <c r="V156" i="7"/>
  <c r="U434" i="8"/>
  <c r="V433" i="8"/>
  <c r="BB178" i="8"/>
  <c r="BC177" i="8"/>
  <c r="S193" i="11"/>
  <c r="T192" i="11"/>
  <c r="U176" i="8"/>
  <c r="V175" i="8"/>
  <c r="V157" i="7"/>
  <c r="U435" i="8"/>
  <c r="V434" i="8"/>
  <c r="BB179" i="8"/>
  <c r="BC178" i="8"/>
  <c r="S194" i="11"/>
  <c r="T193" i="11"/>
  <c r="U177" i="8"/>
  <c r="V176" i="8"/>
  <c r="V158" i="7"/>
  <c r="U436" i="8"/>
  <c r="V435" i="8"/>
  <c r="BB180" i="8"/>
  <c r="BC179" i="8"/>
  <c r="S195" i="11"/>
  <c r="T194" i="11"/>
  <c r="U178" i="8"/>
  <c r="V177" i="8"/>
  <c r="V159" i="7"/>
  <c r="U437" i="8"/>
  <c r="V436" i="8"/>
  <c r="BB181" i="8"/>
  <c r="BC180" i="8"/>
  <c r="S196" i="11"/>
  <c r="T195" i="11"/>
  <c r="U179" i="8"/>
  <c r="V178" i="8"/>
  <c r="V160" i="7"/>
  <c r="U438" i="8"/>
  <c r="V437" i="8"/>
  <c r="BB182" i="8"/>
  <c r="S197" i="11"/>
  <c r="T196" i="11"/>
  <c r="U180" i="8"/>
  <c r="V179" i="8"/>
  <c r="V161" i="7"/>
  <c r="U439" i="8"/>
  <c r="U440" i="8"/>
  <c r="V438" i="8"/>
  <c r="BC182" i="8"/>
  <c r="BB183" i="8"/>
  <c r="S198" i="11"/>
  <c r="T197" i="11"/>
  <c r="U181" i="8"/>
  <c r="U182" i="8"/>
  <c r="V180" i="8"/>
  <c r="V162" i="7"/>
  <c r="U441" i="8"/>
  <c r="V440" i="8"/>
  <c r="BC183" i="8"/>
  <c r="BB184" i="8"/>
  <c r="S199" i="11"/>
  <c r="T198" i="11"/>
  <c r="U183" i="8"/>
  <c r="V182" i="8"/>
  <c r="V163" i="7"/>
  <c r="U442" i="8"/>
  <c r="V441" i="8"/>
  <c r="BC184" i="8"/>
  <c r="BB185" i="8"/>
  <c r="S200" i="11"/>
  <c r="T199" i="11"/>
  <c r="U184" i="8"/>
  <c r="V183" i="8"/>
  <c r="V164" i="7"/>
  <c r="U443" i="8"/>
  <c r="V442" i="8"/>
  <c r="BC185" i="8"/>
  <c r="BB186" i="8"/>
  <c r="S201" i="11"/>
  <c r="T200" i="11"/>
  <c r="U185" i="8"/>
  <c r="V184" i="8"/>
  <c r="V165" i="7"/>
  <c r="U444" i="8"/>
  <c r="V443" i="8"/>
  <c r="BC186" i="8"/>
  <c r="BB187" i="8"/>
  <c r="S202" i="11"/>
  <c r="T201" i="11"/>
  <c r="U186" i="8"/>
  <c r="V185" i="8"/>
  <c r="V166" i="7"/>
  <c r="U445" i="8"/>
  <c r="V444" i="8"/>
  <c r="BC187" i="8"/>
  <c r="BB188" i="8"/>
  <c r="S203" i="11"/>
  <c r="T202" i="11"/>
  <c r="U187" i="8"/>
  <c r="V186" i="8"/>
  <c r="V167" i="7"/>
  <c r="U446" i="8"/>
  <c r="V445" i="8"/>
  <c r="BC188" i="8"/>
  <c r="BB189" i="8"/>
  <c r="S204" i="11"/>
  <c r="T203" i="11"/>
  <c r="U188" i="8"/>
  <c r="V187" i="8"/>
  <c r="V168" i="7"/>
  <c r="U447" i="8"/>
  <c r="V446" i="8"/>
  <c r="BC189" i="8"/>
  <c r="BB190" i="8"/>
  <c r="S205" i="11"/>
  <c r="T204" i="11"/>
  <c r="U189" i="8"/>
  <c r="V188" i="8"/>
  <c r="V169" i="7"/>
  <c r="U448" i="8"/>
  <c r="V447" i="8"/>
  <c r="BC190" i="8"/>
  <c r="BB191" i="8"/>
  <c r="S206" i="11"/>
  <c r="T205" i="11"/>
  <c r="U190" i="8"/>
  <c r="V189" i="8"/>
  <c r="V170" i="7"/>
  <c r="U449" i="8"/>
  <c r="V448" i="8"/>
  <c r="BC191" i="8"/>
  <c r="BB192" i="8"/>
  <c r="S207" i="11"/>
  <c r="T206" i="11"/>
  <c r="U191" i="8"/>
  <c r="V190" i="8"/>
  <c r="V171" i="7"/>
  <c r="U450" i="8"/>
  <c r="V449" i="8"/>
  <c r="BC192" i="8"/>
  <c r="BB193" i="8"/>
  <c r="S208" i="11"/>
  <c r="T207" i="11"/>
  <c r="U192" i="8"/>
  <c r="V191" i="8"/>
  <c r="V172" i="7"/>
  <c r="U451" i="8"/>
  <c r="U452" i="8"/>
  <c r="V450" i="8"/>
  <c r="BB194" i="8"/>
  <c r="S209" i="11"/>
  <c r="T208" i="11"/>
  <c r="U193" i="8"/>
  <c r="U194" i="8"/>
  <c r="V192" i="8"/>
  <c r="V173" i="7"/>
  <c r="U453" i="8"/>
  <c r="V452" i="8"/>
  <c r="BC194" i="8"/>
  <c r="BB195" i="8"/>
  <c r="S210" i="11"/>
  <c r="T209" i="11"/>
  <c r="U195" i="8"/>
  <c r="V194" i="8"/>
  <c r="V174" i="7"/>
  <c r="U454" i="8"/>
  <c r="V453" i="8"/>
  <c r="BC195" i="8"/>
  <c r="BB196" i="8"/>
  <c r="S211" i="11"/>
  <c r="T210" i="11"/>
  <c r="U196" i="8"/>
  <c r="V195" i="8"/>
  <c r="V175" i="7"/>
  <c r="U455" i="8"/>
  <c r="V454" i="8"/>
  <c r="BC196" i="8"/>
  <c r="BB197" i="8"/>
  <c r="S212" i="11"/>
  <c r="T211" i="11"/>
  <c r="U197" i="8"/>
  <c r="V196" i="8"/>
  <c r="V176" i="7"/>
  <c r="U456" i="8"/>
  <c r="V455" i="8"/>
  <c r="BC197" i="8"/>
  <c r="BB198" i="8"/>
  <c r="S213" i="11"/>
  <c r="T212" i="11"/>
  <c r="U198" i="8"/>
  <c r="V197" i="8"/>
  <c r="V177" i="7"/>
  <c r="U457" i="8"/>
  <c r="V456" i="8"/>
  <c r="BC198" i="8"/>
  <c r="BB199" i="8"/>
  <c r="S214" i="11"/>
  <c r="T213" i="11"/>
  <c r="U199" i="8"/>
  <c r="V198" i="8"/>
  <c r="V178" i="7"/>
  <c r="U458" i="8"/>
  <c r="V457" i="8"/>
  <c r="BC199" i="8"/>
  <c r="BB200" i="8"/>
  <c r="S215" i="11"/>
  <c r="T214" i="11"/>
  <c r="U200" i="8"/>
  <c r="V199" i="8"/>
  <c r="V179" i="7"/>
  <c r="U459" i="8"/>
  <c r="V458" i="8"/>
  <c r="BC200" i="8"/>
  <c r="BB201" i="8"/>
  <c r="S216" i="11"/>
  <c r="T215" i="11"/>
  <c r="U201" i="8"/>
  <c r="V200" i="8"/>
  <c r="V180" i="7"/>
  <c r="U460" i="8"/>
  <c r="V459" i="8"/>
  <c r="BC201" i="8"/>
  <c r="BB202" i="8"/>
  <c r="S217" i="11"/>
  <c r="T216" i="11"/>
  <c r="U202" i="8"/>
  <c r="V201" i="8"/>
  <c r="V181" i="7"/>
  <c r="U461" i="8"/>
  <c r="V460" i="8"/>
  <c r="BC202" i="8"/>
  <c r="BB203" i="8"/>
  <c r="S218" i="11"/>
  <c r="T217" i="11"/>
  <c r="U203" i="8"/>
  <c r="V202" i="8"/>
  <c r="V182" i="7"/>
  <c r="U462" i="8"/>
  <c r="V461" i="8"/>
  <c r="BC203" i="8"/>
  <c r="BB204" i="8"/>
  <c r="S219" i="11"/>
  <c r="T218" i="11"/>
  <c r="U204" i="8"/>
  <c r="V203" i="8"/>
  <c r="V183" i="7"/>
  <c r="U463" i="8"/>
  <c r="U464" i="8"/>
  <c r="V462" i="8"/>
  <c r="BC204" i="8"/>
  <c r="BB205" i="8"/>
  <c r="S220" i="11"/>
  <c r="T219" i="11"/>
  <c r="U205" i="8"/>
  <c r="U206" i="8"/>
  <c r="V204" i="8"/>
  <c r="V184" i="7"/>
  <c r="U465" i="8"/>
  <c r="V464" i="8"/>
  <c r="BB206" i="8"/>
  <c r="S221" i="11"/>
  <c r="T220" i="11"/>
  <c r="U207" i="8"/>
  <c r="V206" i="8"/>
  <c r="V185" i="7"/>
  <c r="U466" i="8"/>
  <c r="V465" i="8"/>
  <c r="BC206" i="8"/>
  <c r="BB207" i="8"/>
  <c r="S222" i="11"/>
  <c r="T221" i="11"/>
  <c r="U208" i="8"/>
  <c r="V207" i="8"/>
  <c r="V186" i="7"/>
  <c r="U467" i="8"/>
  <c r="V466" i="8"/>
  <c r="BC207" i="8"/>
  <c r="BB208" i="8"/>
  <c r="S223" i="11"/>
  <c r="T222" i="11"/>
  <c r="U209" i="8"/>
  <c r="V208" i="8"/>
  <c r="V187" i="7"/>
  <c r="U468" i="8"/>
  <c r="V467" i="8"/>
  <c r="BC208" i="8"/>
  <c r="BB209" i="8"/>
  <c r="S224" i="11"/>
  <c r="T223" i="11"/>
  <c r="U210" i="8"/>
  <c r="V209" i="8"/>
  <c r="V188" i="7"/>
  <c r="U469" i="8"/>
  <c r="V468" i="8"/>
  <c r="BC209" i="8"/>
  <c r="BB210" i="8"/>
  <c r="S225" i="11"/>
  <c r="T224" i="11"/>
  <c r="U211" i="8"/>
  <c r="V210" i="8"/>
  <c r="V189" i="7"/>
  <c r="U470" i="8"/>
  <c r="V469" i="8"/>
  <c r="BC210" i="8"/>
  <c r="BB211" i="8"/>
  <c r="S226" i="11"/>
  <c r="T225" i="11"/>
  <c r="U212" i="8"/>
  <c r="V211" i="8"/>
  <c r="V190" i="7"/>
  <c r="U471" i="8"/>
  <c r="V470" i="8"/>
  <c r="BC211" i="8"/>
  <c r="BB212" i="8"/>
  <c r="S227" i="11"/>
  <c r="T226" i="11"/>
  <c r="U213" i="8"/>
  <c r="V212" i="8"/>
  <c r="V191" i="7"/>
  <c r="U472" i="8"/>
  <c r="V471" i="8"/>
  <c r="BC212" i="8"/>
  <c r="BB213" i="8"/>
  <c r="S228" i="11"/>
  <c r="T227" i="11"/>
  <c r="U214" i="8"/>
  <c r="V213" i="8"/>
  <c r="V192" i="7"/>
  <c r="U473" i="8"/>
  <c r="V472" i="8"/>
  <c r="BC213" i="8"/>
  <c r="BB214" i="8"/>
  <c r="S229" i="11"/>
  <c r="T228" i="11"/>
  <c r="U215" i="8"/>
  <c r="V214" i="8"/>
  <c r="V193" i="7"/>
  <c r="U474" i="8"/>
  <c r="V473" i="8"/>
  <c r="BC214" i="8"/>
  <c r="BB215" i="8"/>
  <c r="S230" i="11"/>
  <c r="T229" i="11"/>
  <c r="U216" i="8"/>
  <c r="V215" i="8"/>
  <c r="V194" i="7"/>
  <c r="U475" i="8"/>
  <c r="U476" i="8"/>
  <c r="V474" i="8"/>
  <c r="BC215" i="8"/>
  <c r="BB216" i="8"/>
  <c r="S231" i="11"/>
  <c r="T230" i="11"/>
  <c r="U217" i="8"/>
  <c r="U218" i="8"/>
  <c r="V216" i="8"/>
  <c r="V195" i="7"/>
  <c r="U477" i="8"/>
  <c r="V476" i="8"/>
  <c r="BC216" i="8"/>
  <c r="BB217" i="8"/>
  <c r="S232" i="11"/>
  <c r="T231" i="11"/>
  <c r="U219" i="8"/>
  <c r="V218" i="8"/>
  <c r="V196" i="7"/>
  <c r="U478" i="8"/>
  <c r="V477" i="8"/>
  <c r="BB218" i="8"/>
  <c r="S233" i="11"/>
  <c r="T232" i="11"/>
  <c r="U220" i="8"/>
  <c r="V219" i="8"/>
  <c r="V197" i="7"/>
  <c r="U479" i="8"/>
  <c r="V478" i="8"/>
  <c r="BC218" i="8"/>
  <c r="BB219" i="8"/>
  <c r="S234" i="11"/>
  <c r="T233" i="11"/>
  <c r="U221" i="8"/>
  <c r="V220" i="8"/>
  <c r="V198" i="7"/>
  <c r="U480" i="8"/>
  <c r="V479" i="8"/>
  <c r="BC219" i="8"/>
  <c r="BB220" i="8"/>
  <c r="S235" i="11"/>
  <c r="T234" i="11"/>
  <c r="U222" i="8"/>
  <c r="V221" i="8"/>
  <c r="V199" i="7"/>
  <c r="U481" i="8"/>
  <c r="V480" i="8"/>
  <c r="BC220" i="8"/>
  <c r="BB221" i="8"/>
  <c r="S236" i="11"/>
  <c r="T235" i="11"/>
  <c r="U223" i="8"/>
  <c r="V222" i="8"/>
  <c r="V200" i="7"/>
  <c r="U482" i="8"/>
  <c r="V481" i="8"/>
  <c r="BC221" i="8"/>
  <c r="BB222" i="8"/>
  <c r="S237" i="11"/>
  <c r="T236" i="11"/>
  <c r="U224" i="8"/>
  <c r="V223" i="8"/>
  <c r="V201" i="7"/>
  <c r="U483" i="8"/>
  <c r="V482" i="8"/>
  <c r="BC222" i="8"/>
  <c r="BB223" i="8"/>
  <c r="S238" i="11"/>
  <c r="T237" i="11"/>
  <c r="U225" i="8"/>
  <c r="V224" i="8"/>
  <c r="V202" i="7"/>
  <c r="U484" i="8"/>
  <c r="V483" i="8"/>
  <c r="BC223" i="8"/>
  <c r="BB224" i="8"/>
  <c r="S239" i="11"/>
  <c r="T238" i="11"/>
  <c r="U226" i="8"/>
  <c r="V225" i="8"/>
  <c r="V203" i="7"/>
  <c r="U485" i="8"/>
  <c r="V484" i="8"/>
  <c r="BC224" i="8"/>
  <c r="BB225" i="8"/>
  <c r="S240" i="11"/>
  <c r="T239" i="11"/>
  <c r="U227" i="8"/>
  <c r="V226" i="8"/>
  <c r="V204" i="7"/>
  <c r="U486" i="8"/>
  <c r="V485" i="8"/>
  <c r="BC225" i="8"/>
  <c r="BB226" i="8"/>
  <c r="S241" i="11"/>
  <c r="T240" i="11"/>
  <c r="U228" i="8"/>
  <c r="V227" i="8"/>
  <c r="V205" i="7"/>
  <c r="U487" i="8"/>
  <c r="U488" i="8"/>
  <c r="V486" i="8"/>
  <c r="BC226" i="8"/>
  <c r="BB227" i="8"/>
  <c r="S242" i="11"/>
  <c r="T241" i="11"/>
  <c r="U229" i="8"/>
  <c r="U230" i="8"/>
  <c r="V228" i="8"/>
  <c r="V206" i="7"/>
  <c r="U489" i="8"/>
  <c r="V488" i="8"/>
  <c r="BC227" i="8"/>
  <c r="BB228" i="8"/>
  <c r="S243" i="11"/>
  <c r="T242" i="11"/>
  <c r="U231" i="8"/>
  <c r="V230" i="8"/>
  <c r="V207" i="7"/>
  <c r="U490" i="8"/>
  <c r="V489" i="8"/>
  <c r="BC228" i="8"/>
  <c r="BB229" i="8"/>
  <c r="S244" i="11"/>
  <c r="T243" i="11"/>
  <c r="U232" i="8"/>
  <c r="V231" i="8"/>
  <c r="V208" i="7"/>
  <c r="U491" i="8"/>
  <c r="V490" i="8"/>
  <c r="BB230" i="8"/>
  <c r="S245" i="11"/>
  <c r="T244" i="11"/>
  <c r="U233" i="8"/>
  <c r="V232" i="8"/>
  <c r="V209" i="7"/>
  <c r="U492" i="8"/>
  <c r="V491" i="8"/>
  <c r="BC230" i="8"/>
  <c r="BB231" i="8"/>
  <c r="S246" i="11"/>
  <c r="T245" i="11"/>
  <c r="U234" i="8"/>
  <c r="V233" i="8"/>
  <c r="V210" i="7"/>
  <c r="U493" i="8"/>
  <c r="V492" i="8"/>
  <c r="BC231" i="8"/>
  <c r="BB232" i="8"/>
  <c r="S247" i="11"/>
  <c r="T246" i="11"/>
  <c r="U235" i="8"/>
  <c r="V234" i="8"/>
  <c r="V211" i="7"/>
  <c r="U494" i="8"/>
  <c r="V493" i="8"/>
  <c r="BB233" i="8"/>
  <c r="BC232" i="8"/>
  <c r="S248" i="11"/>
  <c r="T247" i="11"/>
  <c r="U236" i="8"/>
  <c r="V235" i="8"/>
  <c r="V212" i="7"/>
  <c r="U495" i="8"/>
  <c r="V494" i="8"/>
  <c r="BB234" i="8"/>
  <c r="BC233" i="8"/>
  <c r="S249" i="11"/>
  <c r="T248" i="11"/>
  <c r="U237" i="8"/>
  <c r="V236" i="8"/>
  <c r="V213" i="7"/>
  <c r="U496" i="8"/>
  <c r="V495" i="8"/>
  <c r="BB235" i="8"/>
  <c r="BC234" i="8"/>
  <c r="S250" i="11"/>
  <c r="T249" i="11"/>
  <c r="U238" i="8"/>
  <c r="V237" i="8"/>
  <c r="V214" i="7"/>
  <c r="U497" i="8"/>
  <c r="V496" i="8"/>
  <c r="BB236" i="8"/>
  <c r="BC235" i="8"/>
  <c r="S251" i="11"/>
  <c r="T250" i="11"/>
  <c r="U239" i="8"/>
  <c r="V238" i="8"/>
  <c r="V215" i="7"/>
  <c r="U498" i="8"/>
  <c r="V497" i="8"/>
  <c r="BB237" i="8"/>
  <c r="BC236" i="8"/>
  <c r="S252" i="11"/>
  <c r="T251" i="11"/>
  <c r="U240" i="8"/>
  <c r="V239" i="8"/>
  <c r="V216" i="7"/>
  <c r="U499" i="8"/>
  <c r="U500" i="8"/>
  <c r="V498" i="8"/>
  <c r="BB238" i="8"/>
  <c r="BC237" i="8"/>
  <c r="S253" i="11"/>
  <c r="T252" i="11"/>
  <c r="U241" i="8"/>
  <c r="U242" i="8"/>
  <c r="V240" i="8"/>
  <c r="V217" i="7"/>
  <c r="U501" i="8"/>
  <c r="V500" i="8"/>
  <c r="BB239" i="8"/>
  <c r="BC238" i="8"/>
  <c r="S254" i="11"/>
  <c r="T253" i="11"/>
  <c r="U243" i="8"/>
  <c r="V242" i="8"/>
  <c r="V218" i="7"/>
  <c r="U502" i="8"/>
  <c r="V501" i="8"/>
  <c r="BB240" i="8"/>
  <c r="BC239" i="8"/>
  <c r="S255" i="11"/>
  <c r="T254" i="11"/>
  <c r="U244" i="8"/>
  <c r="V243" i="8"/>
  <c r="V219" i="7"/>
  <c r="U503" i="8"/>
  <c r="V502" i="8"/>
  <c r="BB241" i="8"/>
  <c r="BC240" i="8"/>
  <c r="S256" i="11"/>
  <c r="T255" i="11"/>
  <c r="U245" i="8"/>
  <c r="V244" i="8"/>
  <c r="V220" i="7"/>
  <c r="U504" i="8"/>
  <c r="V503" i="8"/>
  <c r="BB242" i="8"/>
  <c r="S257" i="11"/>
  <c r="T256" i="11"/>
  <c r="U246" i="8"/>
  <c r="V245" i="8"/>
  <c r="V221" i="7"/>
  <c r="U505" i="8"/>
  <c r="V504" i="8"/>
  <c r="BB243" i="8"/>
  <c r="BC242" i="8"/>
  <c r="S258" i="11"/>
  <c r="T257" i="11"/>
  <c r="U247" i="8"/>
  <c r="V246" i="8"/>
  <c r="V222" i="7"/>
  <c r="U506" i="8"/>
  <c r="V505" i="8"/>
  <c r="BB244" i="8"/>
  <c r="BC243" i="8"/>
  <c r="S259" i="11"/>
  <c r="T258" i="11"/>
  <c r="U248" i="8"/>
  <c r="V247" i="8"/>
  <c r="V223" i="7"/>
  <c r="U507" i="8"/>
  <c r="V506" i="8"/>
  <c r="BB245" i="8"/>
  <c r="BC244" i="8"/>
  <c r="S260" i="11"/>
  <c r="T259" i="11"/>
  <c r="U249" i="8"/>
  <c r="V248" i="8"/>
  <c r="V224" i="7"/>
  <c r="U508" i="8"/>
  <c r="V507" i="8"/>
  <c r="BB246" i="8"/>
  <c r="BC245" i="8"/>
  <c r="S261" i="11"/>
  <c r="T260" i="11"/>
  <c r="U250" i="8"/>
  <c r="V249" i="8"/>
  <c r="V225" i="7"/>
  <c r="U509" i="8"/>
  <c r="V508" i="8"/>
  <c r="BB247" i="8"/>
  <c r="BC246" i="8"/>
  <c r="S262" i="11"/>
  <c r="T261" i="11"/>
  <c r="U251" i="8"/>
  <c r="V250" i="8"/>
  <c r="V226" i="7"/>
  <c r="U510" i="8"/>
  <c r="V509" i="8"/>
  <c r="BB248" i="8"/>
  <c r="BC247" i="8"/>
  <c r="S263" i="11"/>
  <c r="T262" i="11"/>
  <c r="U252" i="8"/>
  <c r="V251" i="8"/>
  <c r="V227" i="7"/>
  <c r="U511" i="8"/>
  <c r="U512" i="8"/>
  <c r="V510" i="8"/>
  <c r="BB249" i="8"/>
  <c r="BC248" i="8"/>
  <c r="S264" i="11"/>
  <c r="T263" i="11"/>
  <c r="U253" i="8"/>
  <c r="U254" i="8"/>
  <c r="V252" i="8"/>
  <c r="V228" i="7"/>
  <c r="U513" i="8"/>
  <c r="V512" i="8"/>
  <c r="BB250" i="8"/>
  <c r="BC249" i="8"/>
  <c r="S265" i="11"/>
  <c r="T264" i="11"/>
  <c r="U255" i="8"/>
  <c r="V254" i="8"/>
  <c r="V229" i="7"/>
  <c r="U514" i="8"/>
  <c r="V513" i="8"/>
  <c r="BB251" i="8"/>
  <c r="BC250" i="8"/>
  <c r="S266" i="11"/>
  <c r="T265" i="11"/>
  <c r="U256" i="8"/>
  <c r="V255" i="8"/>
  <c r="V230" i="7"/>
  <c r="U515" i="8"/>
  <c r="V514" i="8"/>
  <c r="BB252" i="8"/>
  <c r="BC251" i="8"/>
  <c r="S267" i="11"/>
  <c r="T266" i="11"/>
  <c r="U257" i="8"/>
  <c r="V256" i="8"/>
  <c r="V231" i="7"/>
  <c r="U516" i="8"/>
  <c r="V515" i="8"/>
  <c r="BB253" i="8"/>
  <c r="BC252" i="8"/>
  <c r="S268" i="11"/>
  <c r="T267" i="11"/>
  <c r="U258" i="8"/>
  <c r="V257" i="8"/>
  <c r="V232" i="7"/>
  <c r="U517" i="8"/>
  <c r="V516" i="8"/>
  <c r="BB254" i="8"/>
  <c r="S269" i="11"/>
  <c r="T268" i="11"/>
  <c r="U259" i="8"/>
  <c r="V258" i="8"/>
  <c r="V233" i="7"/>
  <c r="U518" i="8"/>
  <c r="V517" i="8"/>
  <c r="BB255" i="8"/>
  <c r="BC254" i="8"/>
  <c r="S270" i="11"/>
  <c r="T269" i="11"/>
  <c r="U260" i="8"/>
  <c r="V259" i="8"/>
  <c r="V234" i="7"/>
  <c r="U519" i="8"/>
  <c r="V518" i="8"/>
  <c r="BB256" i="8"/>
  <c r="BC255" i="8"/>
  <c r="S271" i="11"/>
  <c r="T270" i="11"/>
  <c r="U261" i="8"/>
  <c r="V260" i="8"/>
  <c r="V235" i="7"/>
  <c r="U520" i="8"/>
  <c r="V519" i="8"/>
  <c r="BB257" i="8"/>
  <c r="BC256" i="8"/>
  <c r="S272" i="11"/>
  <c r="T271" i="11"/>
  <c r="U262" i="8"/>
  <c r="V261" i="8"/>
  <c r="V236" i="7"/>
  <c r="U521" i="8"/>
  <c r="V520" i="8"/>
  <c r="BC257" i="8"/>
  <c r="BB258" i="8"/>
  <c r="S273" i="11"/>
  <c r="T272" i="11"/>
  <c r="U263" i="8"/>
  <c r="V262" i="8"/>
  <c r="V237" i="7"/>
  <c r="U522" i="8"/>
  <c r="V522" i="8"/>
  <c r="V521" i="8"/>
  <c r="BC258" i="8"/>
  <c r="BB259" i="8"/>
  <c r="S274" i="11"/>
  <c r="T273" i="11"/>
  <c r="U264" i="8"/>
  <c r="V264" i="8"/>
  <c r="V263" i="8"/>
  <c r="V238" i="7"/>
  <c r="BC259" i="8"/>
  <c r="BB260" i="8"/>
  <c r="S275" i="11"/>
  <c r="T274" i="11"/>
  <c r="V239" i="7"/>
  <c r="BC260" i="8"/>
  <c r="BB261" i="8"/>
  <c r="S276" i="11"/>
  <c r="T275" i="11"/>
  <c r="V240" i="7"/>
  <c r="BC261" i="8"/>
  <c r="BB262" i="8"/>
  <c r="S277" i="11"/>
  <c r="T276" i="11"/>
  <c r="V241" i="7"/>
  <c r="BC262" i="8"/>
  <c r="BB263" i="8"/>
  <c r="S278" i="11"/>
  <c r="T277" i="11"/>
  <c r="V242" i="7"/>
  <c r="BC263" i="8"/>
  <c r="BB264" i="8"/>
  <c r="BC264" i="8"/>
  <c r="S279" i="11"/>
  <c r="T278" i="11"/>
  <c r="V243" i="7"/>
  <c r="S280" i="11"/>
  <c r="T279" i="11"/>
  <c r="V244" i="7"/>
  <c r="S281" i="11"/>
  <c r="T281" i="11"/>
  <c r="T280" i="11"/>
  <c r="V245" i="7"/>
  <c r="V246" i="7"/>
  <c r="V247" i="7"/>
  <c r="V248" i="7"/>
  <c r="V249" i="7"/>
  <c r="V250" i="7"/>
  <c r="V251" i="7"/>
  <c r="V252" i="7"/>
  <c r="V253" i="7"/>
  <c r="V254" i="7"/>
  <c r="V255" i="7"/>
  <c r="V256" i="7"/>
  <c r="V257" i="7"/>
  <c r="V115" i="1"/>
  <c r="V116" i="1"/>
  <c r="V117" i="1"/>
  <c r="W116" i="1"/>
  <c r="G3" i="4"/>
  <c r="B60" i="4"/>
  <c r="AH5" i="4"/>
  <c r="AN2" i="4"/>
  <c r="BC133" i="8"/>
  <c r="V118" i="1"/>
  <c r="W117" i="1"/>
  <c r="AG110" i="1"/>
  <c r="AG115" i="1"/>
  <c r="AG18" i="7"/>
  <c r="AG3" i="4"/>
  <c r="N5" i="4"/>
  <c r="B7" i="2"/>
  <c r="B4" i="2"/>
  <c r="B33" i="2"/>
  <c r="B17" i="2"/>
  <c r="V119" i="1"/>
  <c r="W118" i="1"/>
  <c r="Z4" i="4"/>
  <c r="D3" i="4"/>
  <c r="B3" i="4"/>
  <c r="F16" i="11"/>
  <c r="AL11" i="8"/>
  <c r="F6" i="4"/>
  <c r="K13" i="1"/>
  <c r="K14" i="1"/>
  <c r="I12" i="4"/>
  <c r="D50" i="1"/>
  <c r="K85" i="2"/>
  <c r="BD7" i="4"/>
  <c r="BD6" i="4"/>
  <c r="C72" i="1"/>
  <c r="C61" i="1"/>
  <c r="C77" i="1"/>
  <c r="R9" i="4"/>
  <c r="R8" i="4"/>
  <c r="G31" i="1"/>
  <c r="C40" i="1"/>
  <c r="F105" i="1"/>
  <c r="C15" i="1"/>
  <c r="D16" i="11"/>
  <c r="F8" i="4"/>
  <c r="W42" i="11"/>
  <c r="BE25" i="8"/>
  <c r="BE26" i="8"/>
  <c r="BE27" i="8"/>
  <c r="G5" i="4"/>
  <c r="AG8" i="4"/>
  <c r="AG7" i="4"/>
  <c r="C63" i="1"/>
  <c r="H85" i="2"/>
  <c r="C71" i="1"/>
  <c r="C27" i="1"/>
  <c r="K21" i="1"/>
  <c r="C46" i="1"/>
  <c r="V120" i="1"/>
  <c r="W119" i="1"/>
  <c r="B18" i="2"/>
  <c r="B34" i="2"/>
  <c r="K107" i="2"/>
  <c r="F15" i="4"/>
  <c r="B35" i="2"/>
  <c r="AB13" i="4"/>
  <c r="O3" i="4"/>
  <c r="H96" i="2"/>
  <c r="Q3" i="4"/>
  <c r="N103" i="2"/>
  <c r="N3" i="4"/>
  <c r="K113" i="1"/>
  <c r="S10" i="4"/>
  <c r="I94" i="2"/>
  <c r="J21" i="1"/>
  <c r="K25" i="1"/>
  <c r="K23" i="1"/>
  <c r="C59" i="1"/>
  <c r="C33" i="1"/>
  <c r="J31" i="1"/>
  <c r="B31" i="4"/>
  <c r="B23" i="4"/>
  <c r="B21" i="4"/>
  <c r="B25" i="4"/>
  <c r="C5" i="4"/>
  <c r="C65" i="1"/>
  <c r="F16" i="4"/>
  <c r="F3" i="4"/>
  <c r="B55" i="2"/>
  <c r="B56" i="2"/>
  <c r="B57" i="2"/>
  <c r="B53" i="2"/>
  <c r="D7" i="4"/>
  <c r="B61" i="2"/>
  <c r="B62" i="2"/>
  <c r="H4" i="2"/>
  <c r="H5" i="2"/>
  <c r="AF5" i="4"/>
  <c r="AF6" i="4"/>
  <c r="D6" i="4"/>
  <c r="W1" i="1"/>
  <c r="C38" i="1"/>
  <c r="H3" i="4"/>
  <c r="C5" i="2"/>
  <c r="C9" i="2"/>
  <c r="I3" i="4"/>
  <c r="BE1" i="4"/>
  <c r="BF1" i="4"/>
  <c r="BE4" i="4"/>
  <c r="E86" i="2"/>
  <c r="E43" i="1"/>
  <c r="E47" i="1"/>
  <c r="BE5" i="4"/>
  <c r="H86" i="2"/>
  <c r="H43" i="1"/>
  <c r="H47" i="1"/>
  <c r="BE6" i="4"/>
  <c r="K86" i="2"/>
  <c r="K43" i="1"/>
  <c r="K47" i="1"/>
  <c r="BE7" i="4"/>
  <c r="N86" i="2"/>
  <c r="N43" i="1"/>
  <c r="N47" i="1"/>
  <c r="H107" i="1"/>
  <c r="C4" i="2"/>
  <c r="C6" i="2"/>
  <c r="C7" i="2"/>
  <c r="C8" i="2"/>
  <c r="E90" i="2"/>
  <c r="C11" i="2"/>
  <c r="C12" i="2"/>
  <c r="E91" i="2"/>
  <c r="E111" i="2"/>
  <c r="E92" i="2"/>
  <c r="N114" i="1"/>
  <c r="L24" i="8"/>
  <c r="F25" i="8"/>
  <c r="F9" i="8"/>
  <c r="D25" i="8"/>
  <c r="E25" i="8"/>
  <c r="K25" i="8"/>
  <c r="L25" i="8"/>
  <c r="D26" i="8"/>
  <c r="F26" i="8"/>
  <c r="E26" i="8"/>
  <c r="K26" i="8"/>
  <c r="L26" i="8"/>
  <c r="M27" i="8"/>
  <c r="D27" i="8"/>
  <c r="F27" i="8"/>
  <c r="E27" i="8"/>
  <c r="K27" i="8"/>
  <c r="L27" i="8"/>
  <c r="D28" i="8"/>
  <c r="F28" i="8"/>
  <c r="E28" i="8"/>
  <c r="K28" i="8"/>
  <c r="L28" i="8"/>
  <c r="M29" i="8"/>
  <c r="D29" i="8"/>
  <c r="F29" i="8"/>
  <c r="E29" i="8"/>
  <c r="K29" i="8"/>
  <c r="L29" i="8"/>
  <c r="D30" i="8"/>
  <c r="F30" i="8"/>
  <c r="E30" i="8"/>
  <c r="K30" i="8"/>
  <c r="L30" i="8"/>
  <c r="M31" i="8"/>
  <c r="D31" i="8"/>
  <c r="F31" i="8"/>
  <c r="E31" i="8"/>
  <c r="K31" i="8"/>
  <c r="L31" i="8"/>
  <c r="D32" i="8"/>
  <c r="F32" i="8"/>
  <c r="E32" i="8"/>
  <c r="K32" i="8"/>
  <c r="L32" i="8"/>
  <c r="M33" i="8"/>
  <c r="D33" i="8"/>
  <c r="F33" i="8"/>
  <c r="E33" i="8"/>
  <c r="K33" i="8"/>
  <c r="L33" i="8"/>
  <c r="D34" i="8"/>
  <c r="F34" i="8"/>
  <c r="E34" i="8"/>
  <c r="K34" i="8"/>
  <c r="L34" i="8"/>
  <c r="D35" i="8"/>
  <c r="F35" i="8"/>
  <c r="E35" i="8"/>
  <c r="K35" i="8"/>
  <c r="L35" i="8"/>
  <c r="D36" i="8"/>
  <c r="F36" i="8"/>
  <c r="E36" i="8"/>
  <c r="K36" i="8"/>
  <c r="L36" i="8"/>
  <c r="D37" i="8"/>
  <c r="G37" i="8"/>
  <c r="H37" i="8"/>
  <c r="I37" i="8"/>
  <c r="F37" i="8"/>
  <c r="J37" i="8"/>
  <c r="K1" i="8"/>
  <c r="A24" i="8"/>
  <c r="A25" i="8"/>
  <c r="A26" i="8"/>
  <c r="A27" i="8"/>
  <c r="A28" i="8"/>
  <c r="A29" i="8"/>
  <c r="A30" i="8"/>
  <c r="A31" i="8"/>
  <c r="A32" i="8"/>
  <c r="A33" i="8"/>
  <c r="A34" i="8"/>
  <c r="A35" i="8"/>
  <c r="A36" i="8"/>
  <c r="A37" i="8"/>
  <c r="C23" i="2"/>
  <c r="C24" i="2"/>
  <c r="C25" i="2"/>
  <c r="C39" i="2"/>
  <c r="C40" i="2"/>
  <c r="C41" i="2"/>
  <c r="AF4" i="4"/>
  <c r="H3" i="2"/>
  <c r="H7" i="2"/>
  <c r="F9" i="2"/>
  <c r="BD4" i="4"/>
  <c r="E87" i="2"/>
  <c r="E98" i="2"/>
  <c r="N85" i="2"/>
  <c r="N87" i="2"/>
  <c r="N98" i="2"/>
  <c r="H87" i="2"/>
  <c r="H98" i="2"/>
  <c r="K87" i="2"/>
  <c r="K98" i="2"/>
  <c r="Y113" i="1"/>
  <c r="X25" i="8"/>
  <c r="X26" i="8"/>
  <c r="X27" i="8"/>
  <c r="X28" i="8"/>
  <c r="X29" i="8"/>
  <c r="X30" i="8"/>
  <c r="X31" i="8"/>
  <c r="X32" i="8"/>
  <c r="X33" i="8"/>
  <c r="X34" i="8"/>
  <c r="X35" i="8"/>
  <c r="X36" i="8"/>
  <c r="X37" i="8"/>
  <c r="Y37" i="8"/>
  <c r="K37" i="8"/>
  <c r="B29" i="4"/>
  <c r="B27" i="4"/>
  <c r="B19" i="4"/>
  <c r="K27" i="1"/>
  <c r="P113" i="1"/>
  <c r="C53" i="1"/>
  <c r="C55" i="1"/>
  <c r="C54" i="1"/>
  <c r="B19" i="2"/>
  <c r="K108" i="2"/>
  <c r="K33" i="1"/>
  <c r="K31" i="1"/>
  <c r="AG5" i="4"/>
  <c r="AG4" i="4"/>
  <c r="W211" i="7"/>
  <c r="AG6" i="4"/>
  <c r="F12" i="4"/>
  <c r="W20" i="7"/>
  <c r="W67" i="7"/>
  <c r="W136" i="7"/>
  <c r="W167" i="7"/>
  <c r="W43" i="7"/>
  <c r="W229" i="7"/>
  <c r="W135" i="7"/>
  <c r="W204" i="7"/>
  <c r="W194" i="7"/>
  <c r="W139" i="7"/>
  <c r="W219" i="7"/>
  <c r="W97" i="7"/>
  <c r="W157" i="7"/>
  <c r="W193" i="7"/>
  <c r="F42" i="11"/>
  <c r="AL25" i="8"/>
  <c r="N108" i="2"/>
  <c r="E108" i="2"/>
  <c r="K109" i="2"/>
  <c r="H107" i="2"/>
  <c r="H109" i="2"/>
  <c r="E107" i="2"/>
  <c r="E109" i="2"/>
  <c r="H103" i="2"/>
  <c r="K103" i="2"/>
  <c r="E103" i="2"/>
  <c r="L8" i="8"/>
  <c r="V121" i="1"/>
  <c r="W120" i="1"/>
  <c r="C262" i="7"/>
  <c r="C263" i="7"/>
  <c r="C264" i="7"/>
  <c r="C265" i="7"/>
  <c r="C266" i="7"/>
  <c r="C267" i="7"/>
  <c r="C268" i="7"/>
  <c r="AK25" i="8"/>
  <c r="AQ25" i="8"/>
  <c r="AR25" i="8"/>
  <c r="E42" i="11"/>
  <c r="V122" i="1"/>
  <c r="W121" i="1"/>
  <c r="Y34" i="7"/>
  <c r="Y165" i="7"/>
  <c r="Y56" i="7"/>
  <c r="Y45" i="7"/>
  <c r="Y138" i="7"/>
  <c r="Y244" i="7"/>
  <c r="Y199" i="7"/>
  <c r="Y205" i="7"/>
  <c r="Y81" i="7"/>
  <c r="Y179" i="7"/>
  <c r="Y54" i="7"/>
  <c r="Y120" i="7"/>
  <c r="Y88" i="7"/>
  <c r="Y137" i="7"/>
  <c r="Y201" i="7"/>
  <c r="Y93" i="7"/>
  <c r="Y110" i="7"/>
  <c r="Y152" i="7"/>
  <c r="Y238" i="7"/>
  <c r="Y143" i="7"/>
  <c r="Y207" i="7"/>
  <c r="Y182" i="7"/>
  <c r="Y32" i="7"/>
  <c r="Y73" i="7"/>
  <c r="Y59" i="7"/>
  <c r="Y157" i="7"/>
  <c r="Y97" i="7"/>
  <c r="Y28" i="7"/>
  <c r="Y255" i="7"/>
  <c r="Y230" i="7"/>
  <c r="Y184" i="7"/>
  <c r="Y36" i="7"/>
  <c r="Y128" i="7"/>
  <c r="Y62" i="7"/>
  <c r="Y209" i="7"/>
  <c r="Y95" i="7"/>
  <c r="Y177" i="7"/>
  <c r="Y175" i="7"/>
  <c r="Y29" i="7"/>
  <c r="Y63" i="7"/>
  <c r="Y129" i="7"/>
  <c r="Y85" i="7"/>
  <c r="Y256" i="7"/>
  <c r="Y145" i="7"/>
  <c r="Y218" i="7"/>
  <c r="H281" i="8"/>
  <c r="G281" i="8"/>
  <c r="V123" i="1"/>
  <c r="W122" i="1"/>
  <c r="K35" i="1"/>
  <c r="K37" i="1"/>
  <c r="AS25" i="8"/>
  <c r="AM26" i="8"/>
  <c r="V124" i="1"/>
  <c r="W123" i="1"/>
  <c r="K1"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K7" i="7"/>
  <c r="E7" i="7"/>
  <c r="E5" i="7"/>
  <c r="AL26" i="8"/>
  <c r="K104" i="2"/>
  <c r="E104" i="2"/>
  <c r="H104" i="2"/>
  <c r="N104" i="2"/>
  <c r="V125" i="1"/>
  <c r="W124" i="1"/>
  <c r="E105" i="2"/>
  <c r="H105" i="2"/>
  <c r="N105" i="2"/>
  <c r="K105" i="2"/>
  <c r="V126" i="1"/>
  <c r="W125" i="1"/>
  <c r="AR26" i="8"/>
  <c r="H106" i="2"/>
  <c r="K106" i="2"/>
  <c r="N106" i="2"/>
  <c r="E106" i="2"/>
  <c r="V127" i="1"/>
  <c r="W126" i="1"/>
  <c r="P117" i="1"/>
  <c r="P121" i="1"/>
  <c r="P119" i="1"/>
  <c r="P123" i="1"/>
  <c r="V128" i="1"/>
  <c r="AR27" i="8"/>
  <c r="V129" i="1"/>
  <c r="W128" i="1"/>
  <c r="T3" i="4"/>
  <c r="V130" i="1"/>
  <c r="W129" i="1"/>
  <c r="N1" i="1"/>
  <c r="A114" i="1"/>
  <c r="A115" i="1"/>
  <c r="A116" i="1"/>
  <c r="A117" i="1"/>
  <c r="A118" i="1"/>
  <c r="A119" i="1"/>
  <c r="A120" i="1"/>
  <c r="V131" i="1"/>
  <c r="W130" i="1"/>
  <c r="AR28" i="8"/>
  <c r="V132" i="1"/>
  <c r="W131" i="1"/>
  <c r="V133" i="1"/>
  <c r="W132" i="1"/>
  <c r="R4" i="4"/>
  <c r="AA3" i="4"/>
  <c r="R3" i="4"/>
  <c r="Y3" i="4"/>
  <c r="AR29" i="8"/>
  <c r="V134" i="1"/>
  <c r="W133" i="1"/>
  <c r="H23" i="8"/>
  <c r="H42" i="11"/>
  <c r="H39" i="11"/>
  <c r="N89" i="2"/>
  <c r="H89" i="2"/>
  <c r="H101" i="2"/>
  <c r="K42" i="11"/>
  <c r="V135" i="1"/>
  <c r="W134" i="1"/>
  <c r="K19" i="1"/>
  <c r="A84" i="2"/>
  <c r="AR30" i="8"/>
  <c r="L42" i="11"/>
  <c r="V136" i="1"/>
  <c r="W135" i="1"/>
  <c r="W4" i="4"/>
  <c r="M42" i="11"/>
  <c r="V137" i="1"/>
  <c r="W136" i="1"/>
  <c r="L94" i="2"/>
  <c r="AR31" i="8"/>
  <c r="AB43" i="11"/>
  <c r="V138" i="1"/>
  <c r="W137" i="1"/>
  <c r="F43" i="11"/>
  <c r="V139" i="1"/>
  <c r="W138" i="1"/>
  <c r="AR32" i="8"/>
  <c r="E43" i="11"/>
  <c r="V140" i="1"/>
  <c r="L43" i="11"/>
  <c r="V141" i="1"/>
  <c r="W140" i="1"/>
  <c r="V142" i="1"/>
  <c r="W141" i="1"/>
  <c r="AR33" i="8"/>
  <c r="AB44" i="11"/>
  <c r="V143" i="1"/>
  <c r="W142" i="1"/>
  <c r="V144" i="1"/>
  <c r="W143" i="1"/>
  <c r="V145" i="1"/>
  <c r="W144" i="1"/>
  <c r="AR34" i="8"/>
  <c r="L44" i="11"/>
  <c r="V146" i="1"/>
  <c r="W145" i="1"/>
  <c r="V147" i="1"/>
  <c r="W146" i="1"/>
  <c r="AB45" i="11"/>
  <c r="V148" i="1"/>
  <c r="W147" i="1"/>
  <c r="AR35" i="8"/>
  <c r="V149" i="1"/>
  <c r="W148" i="1"/>
  <c r="V150" i="1"/>
  <c r="W149" i="1"/>
  <c r="L45" i="11"/>
  <c r="V151" i="1"/>
  <c r="W150" i="1"/>
  <c r="AR36" i="8"/>
  <c r="V152" i="1"/>
  <c r="BA37" i="8"/>
  <c r="AB46" i="11"/>
  <c r="V153" i="1"/>
  <c r="W152" i="1"/>
  <c r="V154" i="1"/>
  <c r="W153" i="1"/>
  <c r="V155" i="1"/>
  <c r="W154" i="1"/>
  <c r="AR37" i="8"/>
  <c r="L46" i="11"/>
  <c r="V156" i="1"/>
  <c r="W155" i="1"/>
  <c r="V157" i="1"/>
  <c r="W156" i="1"/>
  <c r="AR38" i="8"/>
  <c r="AB47" i="11"/>
  <c r="V158" i="1"/>
  <c r="W157" i="1"/>
  <c r="L47" i="11"/>
  <c r="V159" i="1"/>
  <c r="W158" i="1"/>
  <c r="AB48" i="11"/>
  <c r="V160" i="1"/>
  <c r="W159" i="1"/>
  <c r="L48" i="11"/>
  <c r="V161" i="1"/>
  <c r="W160" i="1"/>
  <c r="AR39" i="8"/>
  <c r="AB49" i="11"/>
  <c r="V162" i="1"/>
  <c r="W161" i="1"/>
  <c r="V163" i="1"/>
  <c r="W162" i="1"/>
  <c r="L49" i="11"/>
  <c r="AB50" i="11"/>
  <c r="V164" i="1"/>
  <c r="AR40" i="8"/>
  <c r="V165" i="1"/>
  <c r="W164" i="1"/>
  <c r="L50" i="11"/>
  <c r="V166" i="1"/>
  <c r="W165" i="1"/>
  <c r="AB51" i="11"/>
  <c r="V167" i="1"/>
  <c r="W166" i="1"/>
  <c r="AR41" i="8"/>
  <c r="L51" i="11"/>
  <c r="V168" i="1"/>
  <c r="W167" i="1"/>
  <c r="AB52" i="11"/>
  <c r="V169" i="1"/>
  <c r="W168" i="1"/>
  <c r="AD52" i="11"/>
  <c r="AC52" i="11"/>
  <c r="Z52" i="11"/>
  <c r="AR42" i="8"/>
  <c r="V170" i="1"/>
  <c r="W169" i="1"/>
  <c r="L52" i="11"/>
  <c r="V171" i="1"/>
  <c r="W170" i="1"/>
  <c r="AR43" i="8"/>
  <c r="AB53" i="11"/>
  <c r="V172" i="1"/>
  <c r="W171" i="1"/>
  <c r="L53" i="11"/>
  <c r="U54" i="11"/>
  <c r="V173" i="1"/>
  <c r="W172" i="1"/>
  <c r="AR44" i="8"/>
  <c r="AB54" i="11"/>
  <c r="V174" i="1"/>
  <c r="W173" i="1"/>
  <c r="V175" i="1"/>
  <c r="W174" i="1"/>
  <c r="AR45" i="8"/>
  <c r="L54" i="11"/>
  <c r="V176" i="1"/>
  <c r="AD55" i="11"/>
  <c r="AC55" i="11"/>
  <c r="AB55" i="11"/>
  <c r="AA55" i="11"/>
  <c r="V177" i="1"/>
  <c r="W176" i="1"/>
  <c r="AR46" i="8"/>
  <c r="V178" i="1"/>
  <c r="W177" i="1"/>
  <c r="L55" i="11"/>
  <c r="V179" i="1"/>
  <c r="W178" i="1"/>
  <c r="AR47" i="8"/>
  <c r="AB56" i="11"/>
  <c r="V180" i="1"/>
  <c r="W179" i="1"/>
  <c r="L56" i="11"/>
  <c r="V181" i="1"/>
  <c r="W180" i="1"/>
  <c r="AB57" i="11"/>
  <c r="AR48" i="8"/>
  <c r="V182" i="1"/>
  <c r="W181" i="1"/>
  <c r="L57" i="11"/>
  <c r="V183" i="1"/>
  <c r="W182" i="1"/>
  <c r="AB58" i="11"/>
  <c r="V184" i="1"/>
  <c r="W183" i="1"/>
  <c r="L58" i="11"/>
  <c r="AR49" i="8"/>
  <c r="V185" i="1"/>
  <c r="W184" i="1"/>
  <c r="AD59" i="11"/>
  <c r="AC59" i="11"/>
  <c r="AB59" i="11"/>
  <c r="AA59" i="11"/>
  <c r="V186" i="1"/>
  <c r="W185" i="1"/>
  <c r="V187" i="1"/>
  <c r="W186" i="1"/>
  <c r="L59" i="11"/>
  <c r="AR50" i="8"/>
  <c r="V188" i="1"/>
  <c r="AB60" i="11"/>
  <c r="V189" i="1"/>
  <c r="W188" i="1"/>
  <c r="L60" i="11"/>
  <c r="V190" i="1"/>
  <c r="W189" i="1"/>
  <c r="AB61" i="11"/>
  <c r="AA61" i="11"/>
  <c r="AD61" i="11"/>
  <c r="AC61" i="11"/>
  <c r="V191" i="1"/>
  <c r="W190" i="1"/>
  <c r="V192" i="1"/>
  <c r="W191" i="1"/>
  <c r="L61" i="11"/>
  <c r="AB62" i="11"/>
  <c r="AR51" i="8"/>
  <c r="V193" i="1"/>
  <c r="W192" i="1"/>
  <c r="V194" i="1"/>
  <c r="W193" i="1"/>
  <c r="L62" i="11"/>
  <c r="AB63" i="11"/>
  <c r="V195" i="1"/>
  <c r="W194" i="1"/>
  <c r="AR52" i="8"/>
  <c r="V196" i="1"/>
  <c r="W195" i="1"/>
  <c r="L63" i="11"/>
  <c r="AB64" i="11"/>
  <c r="V197" i="1"/>
  <c r="W196" i="1"/>
  <c r="V198" i="1"/>
  <c r="W197" i="1"/>
  <c r="L64" i="11"/>
  <c r="AR53" i="8"/>
  <c r="AB65" i="11"/>
  <c r="V199" i="1"/>
  <c r="W198" i="1"/>
  <c r="V200" i="1"/>
  <c r="L65" i="11"/>
  <c r="AR54" i="8"/>
  <c r="AB66" i="11"/>
  <c r="V201" i="1"/>
  <c r="W200" i="1"/>
  <c r="V202" i="1"/>
  <c r="W201" i="1"/>
  <c r="L66" i="11"/>
  <c r="AR55" i="8"/>
  <c r="AB67" i="11"/>
  <c r="V203" i="1"/>
  <c r="W202" i="1"/>
  <c r="V204" i="1"/>
  <c r="W203" i="1"/>
  <c r="L67" i="11"/>
  <c r="AR56" i="8"/>
  <c r="AB68" i="11"/>
  <c r="V205" i="1"/>
  <c r="W204" i="1"/>
  <c r="V206" i="1"/>
  <c r="W205" i="1"/>
  <c r="L68" i="11"/>
  <c r="AR57" i="8"/>
  <c r="V207" i="1"/>
  <c r="W206" i="1"/>
  <c r="AB69" i="11"/>
  <c r="V208" i="1"/>
  <c r="W207" i="1"/>
  <c r="L69" i="11"/>
  <c r="AR58" i="8"/>
  <c r="V209" i="1"/>
  <c r="W208" i="1"/>
  <c r="AB70" i="11"/>
  <c r="V210" i="1"/>
  <c r="W209" i="1"/>
  <c r="L70" i="11"/>
  <c r="V211" i="1"/>
  <c r="W210" i="1"/>
  <c r="AB71" i="11"/>
  <c r="AR59" i="8"/>
  <c r="V212" i="1"/>
  <c r="V213" i="1"/>
  <c r="W212" i="1"/>
  <c r="L71" i="11"/>
  <c r="V214" i="1"/>
  <c r="W213" i="1"/>
  <c r="AB72" i="11"/>
  <c r="AR60" i="8"/>
  <c r="V215" i="1"/>
  <c r="W214" i="1"/>
  <c r="V216" i="1"/>
  <c r="W215" i="1"/>
  <c r="L72" i="11"/>
  <c r="AR61" i="8"/>
  <c r="V217" i="1"/>
  <c r="W216" i="1"/>
  <c r="AB73" i="11"/>
  <c r="V218" i="1"/>
  <c r="W217" i="1"/>
  <c r="L73" i="11"/>
  <c r="V219" i="1"/>
  <c r="W218" i="1"/>
  <c r="AB74" i="11"/>
  <c r="AR62" i="8"/>
  <c r="V220" i="1"/>
  <c r="W219" i="1"/>
  <c r="L74" i="11"/>
  <c r="AB75" i="11"/>
  <c r="V221" i="1"/>
  <c r="W220" i="1"/>
  <c r="V222" i="1"/>
  <c r="W221" i="1"/>
  <c r="L75" i="11"/>
  <c r="AR63" i="8"/>
  <c r="V223" i="1"/>
  <c r="W222" i="1"/>
  <c r="AB76" i="11"/>
  <c r="V224" i="1"/>
  <c r="V225" i="1"/>
  <c r="W224" i="1"/>
  <c r="L76" i="11"/>
  <c r="AR64" i="8"/>
  <c r="V226" i="1"/>
  <c r="W225" i="1"/>
  <c r="AB77" i="11"/>
  <c r="V227" i="1"/>
  <c r="W226" i="1"/>
  <c r="V228" i="1"/>
  <c r="W227" i="1"/>
  <c r="L77" i="11"/>
  <c r="V229" i="1"/>
  <c r="W228" i="1"/>
  <c r="AB78" i="11"/>
  <c r="V230" i="1"/>
  <c r="W229" i="1"/>
  <c r="L78" i="11"/>
  <c r="AB79" i="11"/>
  <c r="AR65" i="8"/>
  <c r="V231" i="1"/>
  <c r="W230" i="1"/>
  <c r="V232" i="1"/>
  <c r="W231" i="1"/>
  <c r="L79" i="11"/>
  <c r="AR66" i="8"/>
  <c r="V233" i="1"/>
  <c r="W232" i="1"/>
  <c r="AB80" i="11"/>
  <c r="V234" i="1"/>
  <c r="W233" i="1"/>
  <c r="L80" i="11"/>
  <c r="AR67" i="8"/>
  <c r="V235" i="1"/>
  <c r="W234" i="1"/>
  <c r="AB81" i="11"/>
  <c r="V236" i="1"/>
  <c r="L81" i="11"/>
  <c r="AR68" i="8"/>
  <c r="V237" i="1"/>
  <c r="W236" i="1"/>
  <c r="AB82" i="11"/>
  <c r="V238" i="1"/>
  <c r="W237" i="1"/>
  <c r="L82" i="11"/>
  <c r="AR69" i="8"/>
  <c r="V239" i="1"/>
  <c r="W238" i="1"/>
  <c r="AB83" i="11"/>
  <c r="V240" i="1"/>
  <c r="W239" i="1"/>
  <c r="AR70" i="8"/>
  <c r="V241" i="1"/>
  <c r="W240" i="1"/>
  <c r="L83" i="11"/>
  <c r="V242" i="1"/>
  <c r="W241" i="1"/>
  <c r="AB84" i="11"/>
  <c r="AR71" i="8"/>
  <c r="V243" i="1"/>
  <c r="W242" i="1"/>
  <c r="L84" i="11"/>
  <c r="V244" i="1"/>
  <c r="W243" i="1"/>
  <c r="AB85" i="11"/>
  <c r="AA85" i="11"/>
  <c r="V245" i="1"/>
  <c r="W244" i="1"/>
  <c r="AD85" i="11"/>
  <c r="AC85" i="11"/>
  <c r="AR72" i="8"/>
  <c r="V246" i="1"/>
  <c r="W245" i="1"/>
  <c r="L85" i="11"/>
  <c r="V247" i="1"/>
  <c r="W246" i="1"/>
  <c r="AB86" i="11"/>
  <c r="AD86" i="11"/>
  <c r="AC86" i="11"/>
  <c r="V248" i="1"/>
  <c r="V249" i="1"/>
  <c r="W248" i="1"/>
  <c r="L86" i="11"/>
  <c r="V250" i="1"/>
  <c r="W249" i="1"/>
  <c r="AB87" i="11"/>
  <c r="V251" i="1"/>
  <c r="W250" i="1"/>
  <c r="L87" i="11"/>
  <c r="AB88" i="11"/>
  <c r="V252" i="1"/>
  <c r="W251" i="1"/>
  <c r="V253" i="1"/>
  <c r="W252" i="1"/>
  <c r="L88" i="11"/>
  <c r="AB89" i="11"/>
  <c r="V254" i="1"/>
  <c r="W253" i="1"/>
  <c r="V255" i="1"/>
  <c r="W254" i="1"/>
  <c r="L89" i="11"/>
  <c r="V256" i="1"/>
  <c r="W255" i="1"/>
  <c r="V257" i="1"/>
  <c r="W256" i="1"/>
  <c r="AB90" i="11"/>
  <c r="V258" i="1"/>
  <c r="W257" i="1"/>
  <c r="L90" i="11"/>
  <c r="V259" i="1"/>
  <c r="W258" i="1"/>
  <c r="AB91" i="11"/>
  <c r="V260" i="1"/>
  <c r="L91" i="11"/>
  <c r="V261" i="1"/>
  <c r="W260" i="1"/>
  <c r="AB92" i="11"/>
  <c r="V262" i="1"/>
  <c r="W261" i="1"/>
  <c r="L92" i="11"/>
  <c r="AB93" i="11"/>
  <c r="V263" i="1"/>
  <c r="W262" i="1"/>
  <c r="V264" i="1"/>
  <c r="W263" i="1"/>
  <c r="L93" i="11"/>
  <c r="AB94" i="11"/>
  <c r="V265" i="1"/>
  <c r="W264" i="1"/>
  <c r="V266" i="1"/>
  <c r="W265" i="1"/>
  <c r="L94" i="11"/>
  <c r="V267" i="1"/>
  <c r="W266" i="1"/>
  <c r="AB95" i="11"/>
  <c r="V268" i="1"/>
  <c r="W267" i="1"/>
  <c r="L95" i="11"/>
  <c r="AB96" i="11"/>
  <c r="V269" i="1"/>
  <c r="W268" i="1"/>
  <c r="AD113" i="11"/>
  <c r="AC113" i="11"/>
  <c r="V270" i="1"/>
  <c r="W269" i="1"/>
  <c r="L96" i="11"/>
  <c r="V271" i="1"/>
  <c r="W270" i="1"/>
  <c r="AB97" i="11"/>
  <c r="V272" i="1"/>
  <c r="L97" i="11"/>
  <c r="V273" i="1"/>
  <c r="W272" i="1"/>
  <c r="AB98" i="11"/>
  <c r="V274" i="1"/>
  <c r="W273" i="1"/>
  <c r="L98" i="11"/>
  <c r="V275" i="1"/>
  <c r="W274" i="1"/>
  <c r="AB99" i="11"/>
  <c r="V276" i="1"/>
  <c r="W275" i="1"/>
  <c r="L99" i="11"/>
  <c r="V277" i="1"/>
  <c r="W276" i="1"/>
  <c r="AB100" i="11"/>
  <c r="V278" i="1"/>
  <c r="W277" i="1"/>
  <c r="L100" i="11"/>
  <c r="AB101" i="11"/>
  <c r="V279" i="1"/>
  <c r="W278" i="1"/>
  <c r="V280" i="1"/>
  <c r="W279" i="1"/>
  <c r="L101" i="11"/>
  <c r="AB102" i="11"/>
  <c r="V281" i="1"/>
  <c r="W280" i="1"/>
  <c r="V282" i="1"/>
  <c r="W281" i="1"/>
  <c r="L102" i="11"/>
  <c r="V283" i="1"/>
  <c r="W282" i="1"/>
  <c r="AB103" i="11"/>
  <c r="V284" i="1"/>
  <c r="L103" i="11"/>
  <c r="V285" i="1"/>
  <c r="W284" i="1"/>
  <c r="AB104" i="11"/>
  <c r="V286" i="1"/>
  <c r="W285" i="1"/>
  <c r="L104" i="11"/>
  <c r="AB105" i="11"/>
  <c r="V287" i="1"/>
  <c r="W286" i="1"/>
  <c r="V288" i="1"/>
  <c r="W287" i="1"/>
  <c r="L105" i="11"/>
  <c r="V289" i="1"/>
  <c r="W288" i="1"/>
  <c r="AB106" i="11"/>
  <c r="V290" i="1"/>
  <c r="W289" i="1"/>
  <c r="V291" i="1"/>
  <c r="W290" i="1"/>
  <c r="L106" i="11"/>
  <c r="AB107" i="11"/>
  <c r="V292" i="1"/>
  <c r="W291" i="1"/>
  <c r="V293" i="1"/>
  <c r="W292" i="1"/>
  <c r="L107" i="11"/>
  <c r="AB108" i="11"/>
  <c r="V294" i="1"/>
  <c r="W293" i="1"/>
  <c r="V295" i="1"/>
  <c r="W294" i="1"/>
  <c r="L108" i="11"/>
  <c r="AB109" i="11"/>
  <c r="V296" i="1"/>
  <c r="V297" i="1"/>
  <c r="W296" i="1"/>
  <c r="V298" i="1"/>
  <c r="W297" i="1"/>
  <c r="L109" i="11"/>
  <c r="AB110" i="11"/>
  <c r="V299" i="1"/>
  <c r="W298" i="1"/>
  <c r="L110" i="11"/>
  <c r="V300" i="1"/>
  <c r="W299" i="1"/>
  <c r="AB111" i="11"/>
  <c r="V301" i="1"/>
  <c r="W300" i="1"/>
  <c r="L111" i="11"/>
  <c r="V302" i="1"/>
  <c r="W301" i="1"/>
  <c r="AB112" i="11"/>
  <c r="V303" i="1"/>
  <c r="W302" i="1"/>
  <c r="L112" i="11"/>
  <c r="V304" i="1"/>
  <c r="W303" i="1"/>
  <c r="AB113" i="11"/>
  <c r="V305" i="1"/>
  <c r="W304" i="1"/>
  <c r="L113" i="11"/>
  <c r="AB114" i="11"/>
  <c r="V306" i="1"/>
  <c r="W305" i="1"/>
  <c r="V307" i="1"/>
  <c r="W306" i="1"/>
  <c r="L114" i="11"/>
  <c r="V308" i="1"/>
  <c r="AB115" i="11"/>
  <c r="V309" i="1"/>
  <c r="W308" i="1"/>
  <c r="V310" i="1"/>
  <c r="W309" i="1"/>
  <c r="V311" i="1"/>
  <c r="W310" i="1"/>
  <c r="L115" i="11"/>
  <c r="V312" i="1"/>
  <c r="W311" i="1"/>
  <c r="AB116" i="11"/>
  <c r="V313" i="1"/>
  <c r="W312" i="1"/>
  <c r="L116" i="11"/>
  <c r="V314" i="1"/>
  <c r="W313" i="1"/>
  <c r="AB117" i="11"/>
  <c r="V315" i="1"/>
  <c r="W314" i="1"/>
  <c r="L117" i="11"/>
  <c r="V316" i="1"/>
  <c r="W315" i="1"/>
  <c r="AB118" i="11"/>
  <c r="V317" i="1"/>
  <c r="W316" i="1"/>
  <c r="L118" i="11"/>
  <c r="V318" i="1"/>
  <c r="W317" i="1"/>
  <c r="AB119" i="11"/>
  <c r="V319" i="1"/>
  <c r="W318" i="1"/>
  <c r="V320" i="1"/>
  <c r="V321" i="1"/>
  <c r="W320" i="1"/>
  <c r="L119" i="11"/>
  <c r="V322" i="1"/>
  <c r="W321" i="1"/>
  <c r="AB120" i="11"/>
  <c r="AD121" i="11"/>
  <c r="AC121" i="11"/>
  <c r="Z121" i="11"/>
  <c r="V323" i="1"/>
  <c r="W322" i="1"/>
  <c r="L120" i="11"/>
  <c r="V324" i="1"/>
  <c r="W323" i="1"/>
  <c r="AB121" i="11"/>
  <c r="V325" i="1"/>
  <c r="W324" i="1"/>
  <c r="L121" i="11"/>
  <c r="V326" i="1"/>
  <c r="W325" i="1"/>
  <c r="AB122" i="11"/>
  <c r="V327" i="1"/>
  <c r="W326" i="1"/>
  <c r="L122" i="11"/>
  <c r="V328" i="1"/>
  <c r="W327" i="1"/>
  <c r="AB123" i="11"/>
  <c r="V329" i="1"/>
  <c r="W328" i="1"/>
  <c r="L123" i="11"/>
  <c r="AB124" i="11"/>
  <c r="V330" i="1"/>
  <c r="W329" i="1"/>
  <c r="V331" i="1"/>
  <c r="W330" i="1"/>
  <c r="L124" i="11"/>
  <c r="AB125" i="11"/>
  <c r="L125" i="11"/>
  <c r="V332" i="1"/>
  <c r="V333" i="1"/>
  <c r="W332" i="1"/>
  <c r="V334" i="1"/>
  <c r="W333" i="1"/>
  <c r="AB126" i="11"/>
  <c r="L126" i="11"/>
  <c r="V335" i="1"/>
  <c r="W334" i="1"/>
  <c r="V336" i="1"/>
  <c r="W335" i="1"/>
  <c r="AB127" i="11"/>
  <c r="L127" i="11"/>
  <c r="V337" i="1"/>
  <c r="W336" i="1"/>
  <c r="AB128" i="11"/>
  <c r="V338" i="1"/>
  <c r="W337" i="1"/>
  <c r="L128" i="11"/>
  <c r="V339" i="1"/>
  <c r="W338" i="1"/>
  <c r="AB129" i="11"/>
  <c r="V340" i="1"/>
  <c r="W339" i="1"/>
  <c r="L129" i="11"/>
  <c r="V341" i="1"/>
  <c r="W340" i="1"/>
  <c r="AB130" i="11"/>
  <c r="V342" i="1"/>
  <c r="W341" i="1"/>
  <c r="V343" i="1"/>
  <c r="W342" i="1"/>
  <c r="V344" i="1"/>
  <c r="L130" i="11"/>
  <c r="AB131" i="11"/>
  <c r="V345" i="1"/>
  <c r="W344" i="1"/>
  <c r="V346" i="1"/>
  <c r="W345" i="1"/>
  <c r="L131" i="11"/>
  <c r="AB132" i="11"/>
  <c r="V347" i="1"/>
  <c r="W346" i="1"/>
  <c r="V348" i="1"/>
  <c r="W347" i="1"/>
  <c r="L132" i="11"/>
  <c r="AB133" i="11"/>
  <c r="V349" i="1"/>
  <c r="W348" i="1"/>
  <c r="V350" i="1"/>
  <c r="W349" i="1"/>
  <c r="L133" i="11"/>
  <c r="AB134" i="11"/>
  <c r="V351" i="1"/>
  <c r="W350" i="1"/>
  <c r="V352" i="1"/>
  <c r="W351" i="1"/>
  <c r="L134" i="11"/>
  <c r="AB135" i="11"/>
  <c r="V353" i="1"/>
  <c r="W352" i="1"/>
  <c r="V354" i="1"/>
  <c r="W354" i="1"/>
  <c r="W353" i="1"/>
  <c r="L135" i="11"/>
  <c r="AB136" i="11"/>
  <c r="L136" i="11"/>
  <c r="AB137" i="11"/>
  <c r="L137" i="11"/>
  <c r="AB138" i="11"/>
  <c r="L138" i="11"/>
  <c r="AB139" i="11"/>
  <c r="L139" i="11"/>
  <c r="AB140" i="11"/>
  <c r="L140" i="11"/>
  <c r="AB141" i="11"/>
  <c r="L141" i="11"/>
  <c r="AB142" i="11"/>
  <c r="L142" i="11"/>
  <c r="AB143" i="11"/>
  <c r="AA143" i="11"/>
  <c r="AD143" i="11"/>
  <c r="AC143" i="11"/>
  <c r="L143" i="11"/>
  <c r="AB144" i="11"/>
  <c r="L144" i="11"/>
  <c r="Y40" i="7"/>
  <c r="AB145" i="11"/>
  <c r="Y109" i="7"/>
  <c r="L145" i="11"/>
  <c r="AR73" i="8"/>
  <c r="N102" i="2"/>
  <c r="AB146" i="11"/>
  <c r="L146" i="11"/>
  <c r="AB147" i="11"/>
  <c r="AR74" i="8"/>
  <c r="L147" i="11"/>
  <c r="AB148" i="11"/>
  <c r="L148" i="11"/>
  <c r="AR75" i="8"/>
  <c r="AB149" i="11"/>
  <c r="L149" i="11"/>
  <c r="AB150" i="11"/>
  <c r="L150" i="11"/>
  <c r="AR76" i="8"/>
  <c r="AB151" i="11"/>
  <c r="L151" i="11"/>
  <c r="AR77" i="8"/>
  <c r="B115" i="1"/>
  <c r="G115" i="1"/>
  <c r="D115" i="1"/>
  <c r="E115" i="1"/>
  <c r="F115" i="1"/>
  <c r="M115" i="1"/>
  <c r="N115" i="1"/>
  <c r="AD116" i="1"/>
  <c r="AB152" i="11"/>
  <c r="L152" i="11"/>
  <c r="AB153" i="11"/>
  <c r="AR78" i="8"/>
  <c r="L153" i="11"/>
  <c r="AB154" i="11"/>
  <c r="AR79" i="8"/>
  <c r="D116" i="1"/>
  <c r="E116" i="1"/>
  <c r="AC116" i="1"/>
  <c r="AB116" i="1"/>
  <c r="G116" i="1"/>
  <c r="F116" i="1"/>
  <c r="M116" i="1"/>
  <c r="N116" i="1"/>
  <c r="B116" i="1"/>
  <c r="AD117" i="1"/>
  <c r="L154" i="11"/>
  <c r="AB155" i="11"/>
  <c r="AF117" i="1"/>
  <c r="AE117" i="1"/>
  <c r="L155" i="11"/>
  <c r="AB156" i="11"/>
  <c r="AR80" i="8"/>
  <c r="L156" i="11"/>
  <c r="B117" i="1"/>
  <c r="D117" i="1"/>
  <c r="E117" i="1"/>
  <c r="AC117" i="1"/>
  <c r="AB117" i="1"/>
  <c r="G117" i="1"/>
  <c r="F117" i="1"/>
  <c r="M117" i="1"/>
  <c r="N117" i="1"/>
  <c r="AD118" i="1"/>
  <c r="AB157" i="11"/>
  <c r="AR81" i="8"/>
  <c r="L157" i="11"/>
  <c r="AB158" i="11"/>
  <c r="AR82" i="8"/>
  <c r="L158" i="11"/>
  <c r="B118" i="1"/>
  <c r="D118" i="1"/>
  <c r="E118" i="1"/>
  <c r="AC118" i="1"/>
  <c r="AB118" i="1"/>
  <c r="G118" i="1"/>
  <c r="F118" i="1"/>
  <c r="M118" i="1"/>
  <c r="N118" i="1"/>
  <c r="AD119" i="1"/>
  <c r="AB159" i="11"/>
  <c r="AR83" i="8"/>
  <c r="L159" i="11"/>
  <c r="AB160" i="11"/>
  <c r="L160" i="11"/>
  <c r="AR84" i="8"/>
  <c r="B119" i="1"/>
  <c r="D119" i="1"/>
  <c r="E119" i="1"/>
  <c r="AC119" i="1"/>
  <c r="AB119" i="1"/>
  <c r="G119" i="1"/>
  <c r="F119" i="1"/>
  <c r="M119" i="1"/>
  <c r="N119" i="1"/>
  <c r="AD120" i="1"/>
  <c r="AB161" i="11"/>
  <c r="AA161" i="11"/>
  <c r="AD161" i="11"/>
  <c r="AC161" i="11"/>
  <c r="L161" i="11"/>
  <c r="AR85" i="8"/>
  <c r="B120" i="1"/>
  <c r="D120" i="1"/>
  <c r="E120" i="1"/>
  <c r="AC120" i="1"/>
  <c r="AB120" i="1"/>
  <c r="G120" i="1"/>
  <c r="F120" i="1"/>
  <c r="M120" i="1"/>
  <c r="N120" i="1"/>
  <c r="AD121" i="1"/>
  <c r="AB162" i="11"/>
  <c r="AR86" i="8"/>
  <c r="L162" i="11"/>
  <c r="B121" i="1"/>
  <c r="D121" i="1"/>
  <c r="E121" i="1"/>
  <c r="AC121" i="1"/>
  <c r="AB121" i="1"/>
  <c r="G121" i="1"/>
  <c r="F121" i="1"/>
  <c r="M121" i="1"/>
  <c r="N121" i="1"/>
  <c r="AD122" i="1"/>
  <c r="AB163" i="11"/>
  <c r="AR87" i="8"/>
  <c r="L163" i="11"/>
  <c r="AB164" i="11"/>
  <c r="B122" i="1"/>
  <c r="D122" i="1"/>
  <c r="E122" i="1"/>
  <c r="AC122" i="1"/>
  <c r="AB122" i="1"/>
  <c r="G122" i="1"/>
  <c r="F122" i="1"/>
  <c r="M122" i="1"/>
  <c r="N122" i="1"/>
  <c r="AD123" i="1"/>
  <c r="L164" i="11"/>
  <c r="T37" i="8"/>
  <c r="AF123" i="1"/>
  <c r="AE123" i="1"/>
  <c r="AR88" i="8"/>
  <c r="D123" i="1"/>
  <c r="E123" i="1"/>
  <c r="H123" i="1"/>
  <c r="I123" i="1"/>
  <c r="J123" i="1"/>
  <c r="AC123" i="1"/>
  <c r="AB123" i="1"/>
  <c r="G123" i="1"/>
  <c r="K123" i="1"/>
  <c r="L123" i="1"/>
  <c r="A121" i="1"/>
  <c r="A122" i="1"/>
  <c r="A123" i="1"/>
  <c r="Y115" i="1"/>
  <c r="Y116" i="1"/>
  <c r="Y117" i="1"/>
  <c r="Y118" i="1"/>
  <c r="Y119" i="1"/>
  <c r="Y120" i="1"/>
  <c r="Y121" i="1"/>
  <c r="Y122" i="1"/>
  <c r="Y123" i="1"/>
  <c r="Z123" i="1"/>
  <c r="M123" i="1"/>
  <c r="AB165" i="11"/>
  <c r="B123" i="1"/>
  <c r="F123" i="1"/>
  <c r="N123" i="1"/>
  <c r="AD124" i="1"/>
  <c r="L165" i="11"/>
  <c r="AR89" i="8"/>
  <c r="AB166" i="11"/>
  <c r="AR90" i="8"/>
  <c r="B124" i="1"/>
  <c r="D124" i="1"/>
  <c r="E124" i="1"/>
  <c r="AB124" i="1"/>
  <c r="G124" i="1"/>
  <c r="F124" i="1"/>
  <c r="M124" i="1"/>
  <c r="N124" i="1"/>
  <c r="AD125" i="1"/>
  <c r="L166" i="11"/>
  <c r="AB167" i="11"/>
  <c r="AF125" i="1"/>
  <c r="AE125" i="1"/>
  <c r="AR91" i="8"/>
  <c r="L167" i="11"/>
  <c r="AB168" i="11"/>
  <c r="B125" i="1"/>
  <c r="D125" i="1"/>
  <c r="E125" i="1"/>
  <c r="AC125" i="1"/>
  <c r="AB125" i="1"/>
  <c r="G125" i="1"/>
  <c r="F125" i="1"/>
  <c r="M125" i="1"/>
  <c r="N125" i="1"/>
  <c r="AD126" i="1"/>
  <c r="AR92" i="8"/>
  <c r="L168" i="11"/>
  <c r="AB169" i="11"/>
  <c r="AR93" i="8"/>
  <c r="L169" i="11"/>
  <c r="U127" i="1"/>
  <c r="AB170" i="11"/>
  <c r="B126" i="1"/>
  <c r="D126" i="1"/>
  <c r="E126" i="1"/>
  <c r="AC126" i="1"/>
  <c r="AF126" i="1"/>
  <c r="AE126" i="1"/>
  <c r="AB126" i="1"/>
  <c r="G126" i="1"/>
  <c r="F126" i="1"/>
  <c r="M126" i="1"/>
  <c r="N126" i="1"/>
  <c r="AD127" i="1"/>
  <c r="AR94" i="8"/>
  <c r="L170" i="11"/>
  <c r="AB171" i="11"/>
  <c r="AR95" i="8"/>
  <c r="B127" i="1"/>
  <c r="D127" i="1"/>
  <c r="E127" i="1"/>
  <c r="AC127" i="1"/>
  <c r="AB127" i="1"/>
  <c r="G127" i="1"/>
  <c r="F127" i="1"/>
  <c r="M127" i="1"/>
  <c r="N127" i="1"/>
  <c r="AD128" i="1"/>
  <c r="L171" i="11"/>
  <c r="AB172" i="11"/>
  <c r="AR96" i="8"/>
  <c r="L172" i="11"/>
  <c r="AB173" i="11"/>
  <c r="B128" i="1"/>
  <c r="D128" i="1"/>
  <c r="E128" i="1"/>
  <c r="AC128" i="1"/>
  <c r="AB128" i="1"/>
  <c r="G128" i="1"/>
  <c r="F128" i="1"/>
  <c r="M128" i="1"/>
  <c r="N128" i="1"/>
  <c r="AD129" i="1"/>
  <c r="L173" i="11"/>
  <c r="AB174" i="11"/>
  <c r="AR97" i="8"/>
  <c r="B129" i="1"/>
  <c r="D129" i="1"/>
  <c r="E129" i="1"/>
  <c r="AC129" i="1"/>
  <c r="AB129" i="1"/>
  <c r="G129" i="1"/>
  <c r="F129" i="1"/>
  <c r="M129" i="1"/>
  <c r="N129" i="1"/>
  <c r="AD130" i="1"/>
  <c r="L174" i="11"/>
  <c r="AB175" i="11"/>
  <c r="AR98" i="8"/>
  <c r="L175" i="11"/>
  <c r="AB176" i="11"/>
  <c r="AR99" i="8"/>
  <c r="B130" i="1"/>
  <c r="D130" i="1"/>
  <c r="E130" i="1"/>
  <c r="AC130" i="1"/>
  <c r="AF130" i="1"/>
  <c r="AE130" i="1"/>
  <c r="AB130" i="1"/>
  <c r="G130" i="1"/>
  <c r="F130" i="1"/>
  <c r="M130" i="1"/>
  <c r="N130" i="1"/>
  <c r="AD131" i="1"/>
  <c r="L176" i="11"/>
  <c r="AB177" i="11"/>
  <c r="B131" i="1"/>
  <c r="D131" i="1"/>
  <c r="E131" i="1"/>
  <c r="AC131" i="1"/>
  <c r="AF131" i="1"/>
  <c r="AE131" i="1"/>
  <c r="AB131" i="1"/>
  <c r="G131" i="1"/>
  <c r="F131" i="1"/>
  <c r="M131" i="1"/>
  <c r="N131" i="1"/>
  <c r="AD132" i="1"/>
  <c r="L177" i="11"/>
  <c r="AB178" i="11"/>
  <c r="AR100" i="8"/>
  <c r="L178" i="11"/>
  <c r="AR101" i="8"/>
  <c r="B132" i="1"/>
  <c r="D132" i="1"/>
  <c r="E132" i="1"/>
  <c r="AC132" i="1"/>
  <c r="AB132" i="1"/>
  <c r="G132" i="1"/>
  <c r="F132" i="1"/>
  <c r="M132" i="1"/>
  <c r="N132" i="1"/>
  <c r="AD133" i="1"/>
  <c r="AB179" i="11"/>
  <c r="AR102" i="8"/>
  <c r="L179" i="11"/>
  <c r="B133" i="1"/>
  <c r="D133" i="1"/>
  <c r="E133" i="1"/>
  <c r="AC133" i="1"/>
  <c r="AB133" i="1"/>
  <c r="G133" i="1"/>
  <c r="F133" i="1"/>
  <c r="M133" i="1"/>
  <c r="N133" i="1"/>
  <c r="AD134" i="1"/>
  <c r="AC134" i="1"/>
  <c r="AF134" i="1"/>
  <c r="AE134" i="1"/>
  <c r="AB180" i="11"/>
  <c r="AR103" i="8"/>
  <c r="L180" i="11"/>
  <c r="B134" i="1"/>
  <c r="D134" i="1"/>
  <c r="E134" i="1"/>
  <c r="AB134" i="1"/>
  <c r="G134" i="1"/>
  <c r="F134" i="1"/>
  <c r="M134" i="1"/>
  <c r="N134" i="1"/>
  <c r="AD135" i="1"/>
  <c r="AB181" i="11"/>
  <c r="AC135" i="1"/>
  <c r="AR104" i="8"/>
  <c r="AF135" i="1"/>
  <c r="AE135" i="1"/>
  <c r="L181" i="11"/>
  <c r="AB182" i="11"/>
  <c r="AR105" i="8"/>
  <c r="B135" i="1"/>
  <c r="D135" i="1"/>
  <c r="E135" i="1"/>
  <c r="AB135" i="1"/>
  <c r="G135" i="1"/>
  <c r="F135" i="1"/>
  <c r="M135" i="1"/>
  <c r="N135" i="1"/>
  <c r="AD136" i="1"/>
  <c r="L182" i="11"/>
  <c r="AB183" i="11"/>
  <c r="AR106" i="8"/>
  <c r="B136" i="1"/>
  <c r="D136" i="1"/>
  <c r="E136" i="1"/>
  <c r="AC136" i="1"/>
  <c r="AF136" i="1"/>
  <c r="AE136" i="1"/>
  <c r="AB136" i="1"/>
  <c r="G136" i="1"/>
  <c r="F136" i="1"/>
  <c r="M136" i="1"/>
  <c r="N136" i="1"/>
  <c r="AD137" i="1"/>
  <c r="L183" i="11"/>
  <c r="AF137" i="1"/>
  <c r="AE137" i="1"/>
  <c r="AB184" i="11"/>
  <c r="L184" i="11"/>
  <c r="AR107" i="8"/>
  <c r="B137" i="1"/>
  <c r="D137" i="1"/>
  <c r="E137" i="1"/>
  <c r="AC137" i="1"/>
  <c r="AB137" i="1"/>
  <c r="G137" i="1"/>
  <c r="F137" i="1"/>
  <c r="M137" i="1"/>
  <c r="N137" i="1"/>
  <c r="AD138" i="1"/>
  <c r="AB185" i="11"/>
  <c r="L185" i="11"/>
  <c r="AB186" i="11"/>
  <c r="AR108" i="8"/>
  <c r="B138" i="1"/>
  <c r="D138" i="1"/>
  <c r="E138" i="1"/>
  <c r="AC138" i="1"/>
  <c r="AB138" i="1"/>
  <c r="G138" i="1"/>
  <c r="F138" i="1"/>
  <c r="M138" i="1"/>
  <c r="N138" i="1"/>
  <c r="AD139" i="1"/>
  <c r="L186" i="11"/>
  <c r="AB187" i="11"/>
  <c r="AR109" i="8"/>
  <c r="B139" i="1"/>
  <c r="D139" i="1"/>
  <c r="E139" i="1"/>
  <c r="AC139" i="1"/>
  <c r="AB139" i="1"/>
  <c r="G139" i="1"/>
  <c r="F139" i="1"/>
  <c r="M139" i="1"/>
  <c r="N139" i="1"/>
  <c r="AD140" i="1"/>
  <c r="L187" i="11"/>
  <c r="AB188" i="11"/>
  <c r="AR110" i="8"/>
  <c r="B140" i="1"/>
  <c r="D140" i="1"/>
  <c r="E140" i="1"/>
  <c r="AC140" i="1"/>
  <c r="AB140" i="1"/>
  <c r="G140" i="1"/>
  <c r="F140" i="1"/>
  <c r="M140" i="1"/>
  <c r="N140" i="1"/>
  <c r="AD141" i="1"/>
  <c r="L188" i="11"/>
  <c r="AR111" i="8"/>
  <c r="AB189" i="11"/>
  <c r="B141" i="1"/>
  <c r="D141" i="1"/>
  <c r="E141" i="1"/>
  <c r="AB141" i="1"/>
  <c r="G141" i="1"/>
  <c r="F141" i="1"/>
  <c r="M141" i="1"/>
  <c r="N141" i="1"/>
  <c r="AD142" i="1"/>
  <c r="L189" i="11"/>
  <c r="AB190" i="11"/>
  <c r="AR112" i="8"/>
  <c r="B142" i="1"/>
  <c r="D142" i="1"/>
  <c r="E142" i="1"/>
  <c r="AC142" i="1"/>
  <c r="AB142" i="1"/>
  <c r="G142" i="1"/>
  <c r="F142" i="1"/>
  <c r="M142" i="1"/>
  <c r="N142" i="1"/>
  <c r="AD143" i="1"/>
  <c r="L190" i="11"/>
  <c r="AB191" i="11"/>
  <c r="AR113" i="8"/>
  <c r="L191" i="11"/>
  <c r="AB192" i="11"/>
  <c r="L192" i="11"/>
  <c r="AR114" i="8"/>
  <c r="B143" i="1"/>
  <c r="D143" i="1"/>
  <c r="E143" i="1"/>
  <c r="AB143" i="1"/>
  <c r="G143" i="1"/>
  <c r="F143" i="1"/>
  <c r="M143" i="1"/>
  <c r="N143" i="1"/>
  <c r="AD144" i="1"/>
  <c r="AB193" i="11"/>
  <c r="AR115" i="8"/>
  <c r="L193" i="11"/>
  <c r="AB194" i="11"/>
  <c r="B144" i="1"/>
  <c r="D144" i="1"/>
  <c r="E144" i="1"/>
  <c r="AC144" i="1"/>
  <c r="AB144" i="1"/>
  <c r="G144" i="1"/>
  <c r="F144" i="1"/>
  <c r="M144" i="1"/>
  <c r="N144" i="1"/>
  <c r="AD145" i="1"/>
  <c r="L194" i="11"/>
  <c r="AB195" i="11"/>
  <c r="AR116" i="8"/>
  <c r="D145" i="1"/>
  <c r="E145" i="1"/>
  <c r="H145" i="1"/>
  <c r="I145" i="1"/>
  <c r="J145" i="1"/>
  <c r="AC145" i="1"/>
  <c r="AB145" i="1"/>
  <c r="G145" i="1"/>
  <c r="K145" i="1"/>
  <c r="L145" i="1"/>
  <c r="A124" i="1"/>
  <c r="A125" i="1"/>
  <c r="A126" i="1"/>
  <c r="A127" i="1"/>
  <c r="A128" i="1"/>
  <c r="A129" i="1"/>
  <c r="A130" i="1"/>
  <c r="A131" i="1"/>
  <c r="A132" i="1"/>
  <c r="A133" i="1"/>
  <c r="A134" i="1"/>
  <c r="A135" i="1"/>
  <c r="A136" i="1"/>
  <c r="A137" i="1"/>
  <c r="A138" i="1"/>
  <c r="A139" i="1"/>
  <c r="A140" i="1"/>
  <c r="A141" i="1"/>
  <c r="A142" i="1"/>
  <c r="A143" i="1"/>
  <c r="A144" i="1"/>
  <c r="A145" i="1"/>
  <c r="Y124" i="1"/>
  <c r="Y125" i="1"/>
  <c r="Y126" i="1"/>
  <c r="Y127" i="1"/>
  <c r="Y128" i="1"/>
  <c r="Y129" i="1"/>
  <c r="Y130" i="1"/>
  <c r="Y131" i="1"/>
  <c r="Y132" i="1"/>
  <c r="Y133" i="1"/>
  <c r="Y134" i="1"/>
  <c r="Y135" i="1"/>
  <c r="Y136" i="1"/>
  <c r="Y137" i="1"/>
  <c r="Y138" i="1"/>
  <c r="Y139" i="1"/>
  <c r="Y140" i="1"/>
  <c r="Y141" i="1"/>
  <c r="Y142" i="1"/>
  <c r="Y143" i="1"/>
  <c r="Y144" i="1"/>
  <c r="Y145" i="1"/>
  <c r="Z145" i="1"/>
  <c r="M145" i="1"/>
  <c r="B145" i="1"/>
  <c r="F145" i="1"/>
  <c r="N145" i="1"/>
  <c r="AD146" i="1"/>
  <c r="L195" i="11"/>
  <c r="AB196" i="11"/>
  <c r="AF147" i="1"/>
  <c r="AE147" i="1"/>
  <c r="AR117" i="8"/>
  <c r="L196" i="11"/>
  <c r="B146" i="1"/>
  <c r="D146" i="1"/>
  <c r="E146" i="1"/>
  <c r="AB146" i="1"/>
  <c r="G146" i="1"/>
  <c r="F146" i="1"/>
  <c r="M146" i="1"/>
  <c r="N146" i="1"/>
  <c r="AD147" i="1"/>
  <c r="AB197" i="11"/>
  <c r="AR118" i="8"/>
  <c r="L197" i="11"/>
  <c r="AB198" i="11"/>
  <c r="AR119" i="8"/>
  <c r="B147" i="1"/>
  <c r="D147" i="1"/>
  <c r="E147" i="1"/>
  <c r="AC147" i="1"/>
  <c r="AB147" i="1"/>
  <c r="G147" i="1"/>
  <c r="F147" i="1"/>
  <c r="M147" i="1"/>
  <c r="N147" i="1"/>
  <c r="AD148" i="1"/>
  <c r="L198" i="11"/>
  <c r="AB199" i="11"/>
  <c r="AR120" i="8"/>
  <c r="L199" i="11"/>
  <c r="AB200" i="11"/>
  <c r="AR121" i="8"/>
  <c r="B148" i="1"/>
  <c r="D148" i="1"/>
  <c r="E148" i="1"/>
  <c r="AC148" i="1"/>
  <c r="AF148" i="1"/>
  <c r="AE148" i="1"/>
  <c r="AB148" i="1"/>
  <c r="G148" i="1"/>
  <c r="F148" i="1"/>
  <c r="M148" i="1"/>
  <c r="N148" i="1"/>
  <c r="AD149" i="1"/>
  <c r="AR122" i="8"/>
  <c r="L200" i="11"/>
  <c r="AB201" i="11"/>
  <c r="B149" i="1"/>
  <c r="D149" i="1"/>
  <c r="E149" i="1"/>
  <c r="AC149" i="1"/>
  <c r="AF149" i="1"/>
  <c r="AE149" i="1"/>
  <c r="AB149" i="1"/>
  <c r="G149" i="1"/>
  <c r="F149" i="1"/>
  <c r="M149" i="1"/>
  <c r="N149" i="1"/>
  <c r="AD150" i="1"/>
  <c r="AR123" i="8"/>
  <c r="L201" i="11"/>
  <c r="AB202" i="11"/>
  <c r="AR124" i="8"/>
  <c r="L202" i="11"/>
  <c r="AR125" i="8"/>
  <c r="B150" i="1"/>
  <c r="D150" i="1"/>
  <c r="E150" i="1"/>
  <c r="AC150" i="1"/>
  <c r="AB150" i="1"/>
  <c r="G150" i="1"/>
  <c r="F150" i="1"/>
  <c r="M150" i="1"/>
  <c r="N150" i="1"/>
  <c r="AD151" i="1"/>
  <c r="AB203" i="11"/>
  <c r="L203" i="11"/>
  <c r="AB204" i="11"/>
  <c r="AR126" i="8"/>
  <c r="B151" i="1"/>
  <c r="D151" i="1"/>
  <c r="E151" i="1"/>
  <c r="AC151" i="1"/>
  <c r="AF151" i="1"/>
  <c r="AE151" i="1"/>
  <c r="AB151" i="1"/>
  <c r="G151" i="1"/>
  <c r="F151" i="1"/>
  <c r="M151" i="1"/>
  <c r="N151" i="1"/>
  <c r="AD152" i="1"/>
  <c r="L204" i="11"/>
  <c r="AB205" i="11"/>
  <c r="AR127" i="8"/>
  <c r="L205" i="11"/>
  <c r="AB206" i="11"/>
  <c r="L206" i="11"/>
  <c r="AR128" i="8"/>
  <c r="AB207" i="11"/>
  <c r="L207" i="11"/>
  <c r="AB208" i="11"/>
  <c r="AR129" i="8"/>
  <c r="L208" i="11"/>
  <c r="AB209" i="11"/>
  <c r="AR130" i="8"/>
  <c r="L209" i="11"/>
  <c r="AB210" i="11"/>
  <c r="AR131" i="8"/>
  <c r="AR132" i="8"/>
  <c r="L210" i="11"/>
  <c r="AB211" i="11"/>
  <c r="L211" i="11"/>
  <c r="AB212" i="11"/>
  <c r="AR133" i="8"/>
  <c r="L212" i="11"/>
  <c r="AB213" i="11"/>
  <c r="AR134" i="8"/>
  <c r="L213" i="11"/>
  <c r="AB214" i="11"/>
  <c r="AR135" i="8"/>
  <c r="L214" i="11"/>
  <c r="AB215" i="11"/>
  <c r="L215" i="11"/>
  <c r="AB216" i="11"/>
  <c r="AR136" i="8"/>
  <c r="L216" i="11"/>
  <c r="AB217" i="11"/>
  <c r="AR137" i="8"/>
  <c r="L217" i="11"/>
  <c r="AB218" i="11"/>
  <c r="L218" i="11"/>
  <c r="AB219" i="11"/>
  <c r="AR138" i="8"/>
  <c r="L219" i="11"/>
  <c r="AB220" i="11"/>
  <c r="AR139" i="8"/>
  <c r="L220" i="11"/>
  <c r="AB221" i="11"/>
  <c r="L221" i="11"/>
  <c r="AR140" i="8"/>
  <c r="AB222" i="11"/>
  <c r="L222" i="11"/>
  <c r="AR141" i="8"/>
  <c r="AB223" i="11"/>
  <c r="AR142" i="8"/>
  <c r="L223" i="11"/>
  <c r="AB224" i="11"/>
  <c r="L224" i="11"/>
  <c r="AB225" i="11"/>
  <c r="AR143" i="8"/>
  <c r="L225" i="11"/>
  <c r="AB226" i="11"/>
  <c r="AR144" i="8"/>
  <c r="L226" i="11"/>
  <c r="AB227" i="11"/>
  <c r="AR145" i="8"/>
  <c r="L227" i="11"/>
  <c r="AB228" i="11"/>
  <c r="L228" i="11"/>
  <c r="AB229" i="11"/>
  <c r="AR146" i="8"/>
  <c r="L229" i="11"/>
  <c r="AR147" i="8"/>
  <c r="AB230" i="11"/>
  <c r="L230" i="11"/>
  <c r="AB231" i="11"/>
  <c r="L231" i="11"/>
  <c r="AR148" i="8"/>
  <c r="AB232" i="11"/>
  <c r="L232" i="11"/>
  <c r="AB233" i="11"/>
  <c r="AR149" i="8"/>
  <c r="L233" i="11"/>
  <c r="AB234" i="11"/>
  <c r="L234" i="11"/>
  <c r="AR150" i="8"/>
  <c r="AB235" i="11"/>
  <c r="L235" i="11"/>
  <c r="AB236" i="11"/>
  <c r="AR151" i="8"/>
  <c r="L236" i="11"/>
  <c r="AB237" i="11"/>
  <c r="AR152" i="8"/>
  <c r="L237" i="11"/>
  <c r="AB238" i="11"/>
  <c r="L238" i="11"/>
  <c r="AR153" i="8"/>
  <c r="AB239" i="11"/>
  <c r="L239" i="11"/>
  <c r="AR154" i="8"/>
  <c r="AB240" i="11"/>
  <c r="L240" i="11"/>
  <c r="AR155" i="8"/>
  <c r="AB241" i="11"/>
  <c r="L241" i="11"/>
  <c r="AR156" i="8"/>
  <c r="AB242" i="11"/>
  <c r="AR157" i="8"/>
  <c r="L242" i="11"/>
  <c r="AB243" i="11"/>
  <c r="AR158" i="8"/>
  <c r="L243" i="11"/>
  <c r="AB244" i="11"/>
  <c r="L244" i="11"/>
  <c r="AR159" i="8"/>
  <c r="AB245" i="11"/>
  <c r="L245" i="11"/>
  <c r="AR160" i="8"/>
  <c r="AB246" i="11"/>
  <c r="L246" i="11"/>
  <c r="AR161" i="8"/>
  <c r="AB247" i="11"/>
  <c r="L247" i="11"/>
  <c r="AB248" i="11"/>
  <c r="AR162" i="8"/>
  <c r="L248" i="11"/>
  <c r="AB249" i="11"/>
  <c r="L249" i="11"/>
  <c r="AB250" i="11"/>
  <c r="AR163" i="8"/>
  <c r="L250" i="11"/>
  <c r="L251" i="11"/>
  <c r="AB251" i="11"/>
  <c r="AB252" i="11"/>
  <c r="L252" i="11"/>
  <c r="AR164" i="8"/>
  <c r="L253" i="11"/>
  <c r="AB253" i="11"/>
  <c r="AR165" i="8"/>
  <c r="AB254" i="11"/>
  <c r="L254" i="11"/>
  <c r="AB255" i="11"/>
  <c r="L255" i="11"/>
  <c r="AR166" i="8"/>
  <c r="AB256" i="11"/>
  <c r="L256" i="11"/>
  <c r="AR167" i="8"/>
  <c r="AB257" i="11"/>
  <c r="L257" i="11"/>
  <c r="AB258" i="11"/>
  <c r="AR168" i="8"/>
  <c r="L258" i="11"/>
  <c r="AB259" i="11"/>
  <c r="L259" i="11"/>
  <c r="AR169" i="8"/>
  <c r="AB260" i="11"/>
  <c r="L260" i="11"/>
  <c r="AR170" i="8"/>
  <c r="AB261" i="11"/>
  <c r="L261" i="11"/>
  <c r="AR171" i="8"/>
  <c r="AB262" i="11"/>
  <c r="L262" i="11"/>
  <c r="AB263" i="11"/>
  <c r="AR172" i="8"/>
  <c r="L263" i="11"/>
  <c r="AB264" i="11"/>
  <c r="L264" i="11"/>
  <c r="AR173" i="8"/>
  <c r="AB265" i="11"/>
  <c r="L265" i="11"/>
  <c r="AR174" i="8"/>
  <c r="AB266" i="11"/>
  <c r="L266" i="11"/>
  <c r="AB267" i="11"/>
  <c r="AR175" i="8"/>
  <c r="L267" i="11"/>
  <c r="L268" i="11"/>
  <c r="AB268" i="11"/>
  <c r="AR176" i="8"/>
  <c r="AB269" i="11"/>
  <c r="L269" i="11"/>
  <c r="AB270" i="11"/>
  <c r="AR177" i="8"/>
  <c r="L270" i="11"/>
  <c r="AB271" i="11"/>
  <c r="L271" i="11"/>
  <c r="AR178" i="8"/>
  <c r="AB272" i="11"/>
  <c r="L272" i="11"/>
  <c r="AB273" i="11"/>
  <c r="AR179" i="8"/>
  <c r="L273" i="11"/>
  <c r="AB274" i="11"/>
  <c r="L274" i="11"/>
  <c r="AR180" i="8"/>
  <c r="AB275" i="11"/>
  <c r="L275" i="11"/>
  <c r="AB276" i="11"/>
  <c r="AR181" i="8"/>
  <c r="L276" i="11"/>
  <c r="AB277" i="11"/>
  <c r="L277" i="11"/>
  <c r="AR182" i="8"/>
  <c r="AB278" i="11"/>
  <c r="L278" i="11"/>
  <c r="AR183" i="8"/>
  <c r="AB279" i="11"/>
  <c r="L279" i="11"/>
  <c r="AB280" i="11"/>
  <c r="AR184" i="8"/>
  <c r="L280" i="11"/>
  <c r="AB281" i="11"/>
  <c r="L281" i="11"/>
  <c r="AR185" i="8"/>
  <c r="AR186" i="8"/>
  <c r="AR187" i="8"/>
  <c r="AR188" i="8"/>
  <c r="AR189" i="8"/>
  <c r="AR190" i="8"/>
  <c r="AR191" i="8"/>
  <c r="AR192" i="8"/>
  <c r="AR193" i="8"/>
  <c r="AR194" i="8"/>
  <c r="AR195" i="8"/>
  <c r="AR196" i="8"/>
  <c r="AR197" i="8"/>
  <c r="AR198" i="8"/>
  <c r="AR199" i="8"/>
  <c r="AR200" i="8"/>
  <c r="AR201" i="8"/>
  <c r="AR202" i="8"/>
  <c r="AR203" i="8"/>
  <c r="AR204" i="8"/>
  <c r="E37" i="8"/>
  <c r="L37" i="8"/>
  <c r="D38" i="8"/>
  <c r="F38" i="8"/>
  <c r="E38" i="8"/>
  <c r="K38" i="8"/>
  <c r="L38" i="8"/>
  <c r="D39" i="8"/>
  <c r="F39" i="8"/>
  <c r="E39" i="8"/>
  <c r="K39" i="8"/>
  <c r="L39" i="8"/>
  <c r="D40" i="8"/>
  <c r="F40" i="8"/>
  <c r="E40" i="8"/>
  <c r="K40" i="8"/>
  <c r="L40" i="8"/>
  <c r="D41" i="8"/>
  <c r="F41" i="8"/>
  <c r="E41" i="8"/>
  <c r="K41" i="8"/>
  <c r="L41" i="8"/>
  <c r="D42" i="8"/>
  <c r="F42" i="8"/>
  <c r="E42" i="8"/>
  <c r="K42" i="8"/>
  <c r="L42" i="8"/>
  <c r="D43" i="8"/>
  <c r="F43" i="8"/>
  <c r="E43" i="8"/>
  <c r="K43" i="8"/>
  <c r="L43" i="8"/>
  <c r="D44" i="8"/>
  <c r="F44" i="8"/>
  <c r="E44" i="8"/>
  <c r="K44" i="8"/>
  <c r="L44" i="8"/>
  <c r="D45" i="8"/>
  <c r="F45" i="8"/>
  <c r="E45" i="8"/>
  <c r="K45" i="8"/>
  <c r="L45" i="8"/>
  <c r="D46" i="8"/>
  <c r="F46" i="8"/>
  <c r="E46" i="8"/>
  <c r="K46" i="8"/>
  <c r="L46" i="8"/>
  <c r="D47" i="8"/>
  <c r="F47" i="8"/>
  <c r="E47" i="8"/>
  <c r="K47" i="8"/>
  <c r="L47" i="8"/>
  <c r="D48" i="8"/>
  <c r="F48" i="8"/>
  <c r="E48" i="8"/>
  <c r="K48" i="8"/>
  <c r="L48" i="8"/>
  <c r="D49" i="8"/>
  <c r="F49" i="8"/>
  <c r="E49" i="8"/>
  <c r="K49" i="8"/>
  <c r="L49" i="8"/>
  <c r="D50" i="8"/>
  <c r="F50" i="8"/>
  <c r="E50" i="8"/>
  <c r="K50" i="8"/>
  <c r="L50" i="8"/>
  <c r="D51" i="8"/>
  <c r="F51" i="8"/>
  <c r="E51" i="8"/>
  <c r="K51" i="8"/>
  <c r="L51" i="8"/>
  <c r="D52" i="8"/>
  <c r="F52" i="8"/>
  <c r="E52" i="8"/>
  <c r="K52" i="8"/>
  <c r="L52" i="8"/>
  <c r="D53" i="8"/>
  <c r="F53" i="8"/>
  <c r="E53" i="8"/>
  <c r="K53" i="8"/>
  <c r="L53" i="8"/>
  <c r="D54" i="8"/>
  <c r="F54" i="8"/>
  <c r="E54" i="8"/>
  <c r="K54" i="8"/>
  <c r="L54" i="8"/>
  <c r="D55" i="8"/>
  <c r="F55" i="8"/>
  <c r="E55" i="8"/>
  <c r="K55" i="8"/>
  <c r="L55" i="8"/>
  <c r="D56" i="8"/>
  <c r="F56" i="8"/>
  <c r="E56" i="8"/>
  <c r="K56" i="8"/>
  <c r="L56" i="8"/>
  <c r="D57" i="8"/>
  <c r="F57" i="8"/>
  <c r="E57" i="8"/>
  <c r="K57" i="8"/>
  <c r="L57" i="8"/>
  <c r="D58" i="8"/>
  <c r="F58" i="8"/>
  <c r="E58" i="8"/>
  <c r="K58" i="8"/>
  <c r="L58" i="8"/>
  <c r="D59" i="8"/>
  <c r="F59" i="8"/>
  <c r="E59" i="8"/>
  <c r="K59" i="8"/>
  <c r="L59" i="8"/>
  <c r="D60" i="8"/>
  <c r="F60" i="8"/>
  <c r="E60" i="8"/>
  <c r="K60" i="8"/>
  <c r="L60" i="8"/>
  <c r="D61" i="8"/>
  <c r="F61" i="8"/>
  <c r="E61" i="8"/>
  <c r="K61" i="8"/>
  <c r="L61" i="8"/>
  <c r="D62" i="8"/>
  <c r="F62" i="8"/>
  <c r="E62" i="8"/>
  <c r="K62" i="8"/>
  <c r="L62" i="8"/>
  <c r="D63" i="8"/>
  <c r="F63" i="8"/>
  <c r="E63" i="8"/>
  <c r="K63" i="8"/>
  <c r="L63" i="8"/>
  <c r="D64" i="8"/>
  <c r="F64" i="8"/>
  <c r="E64" i="8"/>
  <c r="K64" i="8"/>
  <c r="L64" i="8"/>
  <c r="D65" i="8"/>
  <c r="F65" i="8"/>
  <c r="E65" i="8"/>
  <c r="K65" i="8"/>
  <c r="L65" i="8"/>
  <c r="D66" i="8"/>
  <c r="F66" i="8"/>
  <c r="E66" i="8"/>
  <c r="K66" i="8"/>
  <c r="L66" i="8"/>
  <c r="D67" i="8"/>
  <c r="F67" i="8"/>
  <c r="E67" i="8"/>
  <c r="K67" i="8"/>
  <c r="L67" i="8"/>
  <c r="D68" i="8"/>
  <c r="F68" i="8"/>
  <c r="E68" i="8"/>
  <c r="K68" i="8"/>
  <c r="L68" i="8"/>
  <c r="D69" i="8"/>
  <c r="F69" i="8"/>
  <c r="E69" i="8"/>
  <c r="K69" i="8"/>
  <c r="L69" i="8"/>
  <c r="D70" i="8"/>
  <c r="F70" i="8"/>
  <c r="E70" i="8"/>
  <c r="K70" i="8"/>
  <c r="L70" i="8"/>
  <c r="D71" i="8"/>
  <c r="F71" i="8"/>
  <c r="E71" i="8"/>
  <c r="K71" i="8"/>
  <c r="L71" i="8"/>
  <c r="D72" i="8"/>
  <c r="F72" i="8"/>
  <c r="E72" i="8"/>
  <c r="K72" i="8"/>
  <c r="L72" i="8"/>
  <c r="D73" i="8"/>
  <c r="F73" i="8"/>
  <c r="E73" i="8"/>
  <c r="K73" i="8"/>
  <c r="L73" i="8"/>
  <c r="D74" i="8"/>
  <c r="F74" i="8"/>
  <c r="E74" i="8"/>
  <c r="K74" i="8"/>
  <c r="L74" i="8"/>
  <c r="D75" i="8"/>
  <c r="F75" i="8"/>
  <c r="E75" i="8"/>
  <c r="K75" i="8"/>
  <c r="L75" i="8"/>
  <c r="D76" i="8"/>
  <c r="F76" i="8"/>
  <c r="E76" i="8"/>
  <c r="K76" i="8"/>
  <c r="L76" i="8"/>
  <c r="D77" i="8"/>
  <c r="F77" i="8"/>
  <c r="E77" i="8"/>
  <c r="K77" i="8"/>
  <c r="L77" i="8"/>
  <c r="D78" i="8"/>
  <c r="F78" i="8"/>
  <c r="E78" i="8"/>
  <c r="K78" i="8"/>
  <c r="L78" i="8"/>
  <c r="D79" i="8"/>
  <c r="F79" i="8"/>
  <c r="E79" i="8"/>
  <c r="K79" i="8"/>
  <c r="L79" i="8"/>
  <c r="D80" i="8"/>
  <c r="F80" i="8"/>
  <c r="E80" i="8"/>
  <c r="K80" i="8"/>
  <c r="L80" i="8"/>
  <c r="D81" i="8"/>
  <c r="F81" i="8"/>
  <c r="E81" i="8"/>
  <c r="K81" i="8"/>
  <c r="L81" i="8"/>
  <c r="D82" i="8"/>
  <c r="F82" i="8"/>
  <c r="E82" i="8"/>
  <c r="K82" i="8"/>
  <c r="L82" i="8"/>
  <c r="D83" i="8"/>
  <c r="F83" i="8"/>
  <c r="E83" i="8"/>
  <c r="K83" i="8"/>
  <c r="L83" i="8"/>
  <c r="D84" i="8"/>
  <c r="F84" i="8"/>
  <c r="E84" i="8"/>
  <c r="K84" i="8"/>
  <c r="L84" i="8"/>
  <c r="D85" i="8"/>
  <c r="F85" i="8"/>
  <c r="E85" i="8"/>
  <c r="K85" i="8"/>
  <c r="L85" i="8"/>
  <c r="D86" i="8"/>
  <c r="F86" i="8"/>
  <c r="E86" i="8"/>
  <c r="K86" i="8"/>
  <c r="L86" i="8"/>
  <c r="D87" i="8"/>
  <c r="F87" i="8"/>
  <c r="E87" i="8"/>
  <c r="K87" i="8"/>
  <c r="L87" i="8"/>
  <c r="D88" i="8"/>
  <c r="F88" i="8"/>
  <c r="E88" i="8"/>
  <c r="K88" i="8"/>
  <c r="L88" i="8"/>
  <c r="D89" i="8"/>
  <c r="F89" i="8"/>
  <c r="E89" i="8"/>
  <c r="K89" i="8"/>
  <c r="L89" i="8"/>
  <c r="D90" i="8"/>
  <c r="F90" i="8"/>
  <c r="E90" i="8"/>
  <c r="K90" i="8"/>
  <c r="L90" i="8"/>
  <c r="D91" i="8"/>
  <c r="F91" i="8"/>
  <c r="E91" i="8"/>
  <c r="K91" i="8"/>
  <c r="L91" i="8"/>
  <c r="D92" i="8"/>
  <c r="F92" i="8"/>
  <c r="E92" i="8"/>
  <c r="K92" i="8"/>
  <c r="L92" i="8"/>
  <c r="D93" i="8"/>
  <c r="F93" i="8"/>
  <c r="E93" i="8"/>
  <c r="K93" i="8"/>
  <c r="L93" i="8"/>
  <c r="D94" i="8"/>
  <c r="F94" i="8"/>
  <c r="E94" i="8"/>
  <c r="K94" i="8"/>
  <c r="L94" i="8"/>
  <c r="D95" i="8"/>
  <c r="F95" i="8"/>
  <c r="E95" i="8"/>
  <c r="K95" i="8"/>
  <c r="L95" i="8"/>
  <c r="D96" i="8"/>
  <c r="F96" i="8"/>
  <c r="E96" i="8"/>
  <c r="K96" i="8"/>
  <c r="L96" i="8"/>
  <c r="D97" i="8"/>
  <c r="F97" i="8"/>
  <c r="E97" i="8"/>
  <c r="K97" i="8"/>
  <c r="L97" i="8"/>
  <c r="D98" i="8"/>
  <c r="F98" i="8"/>
  <c r="E98" i="8"/>
  <c r="K98" i="8"/>
  <c r="L98" i="8"/>
  <c r="D99" i="8"/>
  <c r="F99" i="8"/>
  <c r="E99" i="8"/>
  <c r="K99" i="8"/>
  <c r="L99" i="8"/>
  <c r="D100" i="8"/>
  <c r="F100" i="8"/>
  <c r="E100" i="8"/>
  <c r="K100" i="8"/>
  <c r="L100" i="8"/>
  <c r="D101" i="8"/>
  <c r="F101" i="8"/>
  <c r="E101" i="8"/>
  <c r="K101" i="8"/>
  <c r="L101" i="8"/>
  <c r="D102" i="8"/>
  <c r="F102" i="8"/>
  <c r="E102" i="8"/>
  <c r="K102" i="8"/>
  <c r="L102" i="8"/>
  <c r="D103" i="8"/>
  <c r="F103" i="8"/>
  <c r="E103" i="8"/>
  <c r="K103" i="8"/>
  <c r="L103" i="8"/>
  <c r="D104" i="8"/>
  <c r="F104" i="8"/>
  <c r="E104" i="8"/>
  <c r="K104" i="8"/>
  <c r="L104" i="8"/>
  <c r="D105" i="8"/>
  <c r="F105" i="8"/>
  <c r="E105" i="8"/>
  <c r="K105" i="8"/>
  <c r="L105" i="8"/>
  <c r="D106" i="8"/>
  <c r="F106" i="8"/>
  <c r="E106" i="8"/>
  <c r="K106" i="8"/>
  <c r="L106" i="8"/>
  <c r="D107" i="8"/>
  <c r="F107" i="8"/>
  <c r="E107" i="8"/>
  <c r="K107" i="8"/>
  <c r="L107" i="8"/>
  <c r="D108" i="8"/>
  <c r="F108" i="8"/>
  <c r="E108" i="8"/>
  <c r="K108" i="8"/>
  <c r="L108" i="8"/>
  <c r="D109" i="8"/>
  <c r="F109" i="8"/>
  <c r="E109" i="8"/>
  <c r="K109" i="8"/>
  <c r="L109" i="8"/>
  <c r="D110" i="8"/>
  <c r="F110" i="8"/>
  <c r="E110" i="8"/>
  <c r="K110" i="8"/>
  <c r="L110" i="8"/>
  <c r="D111" i="8"/>
  <c r="F111" i="8"/>
  <c r="E111" i="8"/>
  <c r="K111" i="8"/>
  <c r="L111" i="8"/>
  <c r="D112" i="8"/>
  <c r="F112" i="8"/>
  <c r="E112" i="8"/>
  <c r="K112" i="8"/>
  <c r="L112" i="8"/>
  <c r="D113" i="8"/>
  <c r="F113" i="8"/>
  <c r="E113" i="8"/>
  <c r="K113" i="8"/>
  <c r="L113" i="8"/>
  <c r="D114" i="8"/>
  <c r="F114" i="8"/>
  <c r="E114" i="8"/>
  <c r="K114" i="8"/>
  <c r="L114" i="8"/>
  <c r="D115" i="8"/>
  <c r="F115" i="8"/>
  <c r="E115" i="8"/>
  <c r="K115" i="8"/>
  <c r="L115" i="8"/>
  <c r="D116" i="8"/>
  <c r="F116" i="8"/>
  <c r="E116" i="8"/>
  <c r="K116" i="8"/>
  <c r="L116" i="8"/>
  <c r="D117" i="8"/>
  <c r="F117" i="8"/>
  <c r="E117" i="8"/>
  <c r="K117" i="8"/>
  <c r="L117" i="8"/>
  <c r="D118" i="8"/>
  <c r="F118" i="8"/>
  <c r="E118" i="8"/>
  <c r="K118" i="8"/>
  <c r="L118" i="8"/>
  <c r="D119" i="8"/>
  <c r="F119" i="8"/>
  <c r="E119" i="8"/>
  <c r="K119" i="8"/>
  <c r="L119" i="8"/>
  <c r="D120" i="8"/>
  <c r="F120" i="8"/>
  <c r="E120" i="8"/>
  <c r="K120" i="8"/>
  <c r="L120" i="8"/>
  <c r="D121" i="8"/>
  <c r="F121" i="8"/>
  <c r="E121" i="8"/>
  <c r="K121" i="8"/>
  <c r="L121" i="8"/>
  <c r="D122" i="8"/>
  <c r="F122" i="8"/>
  <c r="E122" i="8"/>
  <c r="K122" i="8"/>
  <c r="L122" i="8"/>
  <c r="D123" i="8"/>
  <c r="F123" i="8"/>
  <c r="E123" i="8"/>
  <c r="K123" i="8"/>
  <c r="L123" i="8"/>
  <c r="D124" i="8"/>
  <c r="F124" i="8"/>
  <c r="E124" i="8"/>
  <c r="K124" i="8"/>
  <c r="L124" i="8"/>
  <c r="D125" i="8"/>
  <c r="F125" i="8"/>
  <c r="E125" i="8"/>
  <c r="K125" i="8"/>
  <c r="L125" i="8"/>
  <c r="D126" i="8"/>
  <c r="F126" i="8"/>
  <c r="E126" i="8"/>
  <c r="K126" i="8"/>
  <c r="L126" i="8"/>
  <c r="D127" i="8"/>
  <c r="F127" i="8"/>
  <c r="E127" i="8"/>
  <c r="K127" i="8"/>
  <c r="L127" i="8"/>
  <c r="D128" i="8"/>
  <c r="F128" i="8"/>
  <c r="E128" i="8"/>
  <c r="K128" i="8"/>
  <c r="L128" i="8"/>
  <c r="D129" i="8"/>
  <c r="F129" i="8"/>
  <c r="E129" i="8"/>
  <c r="K129" i="8"/>
  <c r="L129" i="8"/>
  <c r="D130" i="8"/>
  <c r="F130" i="8"/>
  <c r="E130" i="8"/>
  <c r="K130" i="8"/>
  <c r="L130" i="8"/>
  <c r="D131" i="8"/>
  <c r="F131" i="8"/>
  <c r="E131" i="8"/>
  <c r="K131" i="8"/>
  <c r="L131" i="8"/>
  <c r="D132" i="8"/>
  <c r="F132" i="8"/>
  <c r="E132" i="8"/>
  <c r="K132" i="8"/>
  <c r="L132" i="8"/>
  <c r="D133" i="8"/>
  <c r="G133" i="8"/>
  <c r="H133" i="8"/>
  <c r="I133" i="8"/>
  <c r="F133" i="8"/>
  <c r="J133"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X38" i="8"/>
  <c r="X39" i="8"/>
  <c r="X40" i="8"/>
  <c r="X41" i="8"/>
  <c r="X42" i="8"/>
  <c r="X43" i="8"/>
  <c r="X44" i="8"/>
  <c r="X45" i="8"/>
  <c r="X46" i="8"/>
  <c r="X47" i="8"/>
  <c r="X48" i="8"/>
  <c r="X49" i="8"/>
  <c r="X50" i="8"/>
  <c r="X51" i="8"/>
  <c r="X52" i="8"/>
  <c r="X53" i="8"/>
  <c r="X54" i="8"/>
  <c r="X55" i="8"/>
  <c r="X56" i="8"/>
  <c r="X57" i="8"/>
  <c r="X58" i="8"/>
  <c r="X59" i="8"/>
  <c r="X60" i="8"/>
  <c r="X61" i="8"/>
  <c r="X62" i="8"/>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Y133" i="8"/>
  <c r="K133" i="8"/>
  <c r="AR205" i="8"/>
  <c r="AR206" i="8"/>
  <c r="AR207" i="8"/>
  <c r="AR208" i="8"/>
  <c r="AR209" i="8"/>
  <c r="AR210" i="8"/>
  <c r="AR211" i="8"/>
  <c r="AR212" i="8"/>
  <c r="AR213" i="8"/>
  <c r="AR214" i="8"/>
  <c r="AR215" i="8"/>
  <c r="AR216" i="8"/>
  <c r="AR217" i="8"/>
  <c r="AR218" i="8"/>
  <c r="AR219" i="8"/>
  <c r="AR220" i="8"/>
  <c r="AR221" i="8"/>
  <c r="AR222" i="8"/>
  <c r="AR223" i="8"/>
  <c r="AR224" i="8"/>
  <c r="AR225" i="8"/>
  <c r="AR226" i="8"/>
  <c r="AR227" i="8"/>
  <c r="AR228" i="8"/>
  <c r="AR229" i="8"/>
  <c r="AR230" i="8"/>
  <c r="AR231" i="8"/>
  <c r="AR232" i="8"/>
  <c r="AR233" i="8"/>
  <c r="AR234" i="8"/>
  <c r="AR235" i="8"/>
  <c r="AR236" i="8"/>
  <c r="AR237" i="8"/>
  <c r="AR238" i="8"/>
  <c r="AR239" i="8"/>
  <c r="AR240" i="8"/>
  <c r="AR241" i="8"/>
  <c r="AR242" i="8"/>
  <c r="AR243" i="8"/>
  <c r="AR244" i="8"/>
  <c r="AR245" i="8"/>
  <c r="AR246" i="8"/>
  <c r="AR247" i="8"/>
  <c r="AR248" i="8"/>
  <c r="AR249" i="8"/>
  <c r="AR250" i="8"/>
  <c r="AR251" i="8"/>
  <c r="AR252" i="8"/>
  <c r="AR253" i="8"/>
  <c r="AR254" i="8"/>
  <c r="AR255" i="8"/>
  <c r="AR256" i="8"/>
  <c r="AR257" i="8"/>
  <c r="AR258" i="8"/>
  <c r="AR259" i="8"/>
  <c r="AR260" i="8"/>
  <c r="AR261" i="8"/>
  <c r="AR262" i="8"/>
  <c r="AR263" i="8"/>
  <c r="AR264" i="8"/>
  <c r="E133" i="8"/>
  <c r="L133" i="8"/>
  <c r="D134" i="8"/>
  <c r="F134" i="8"/>
  <c r="E134" i="8"/>
  <c r="K134" i="8"/>
  <c r="L134" i="8"/>
  <c r="D135" i="8"/>
  <c r="F135" i="8"/>
  <c r="E135" i="8"/>
  <c r="K135" i="8"/>
  <c r="L135" i="8"/>
  <c r="D136" i="8"/>
  <c r="F136" i="8"/>
  <c r="E136" i="8"/>
  <c r="K136" i="8"/>
  <c r="L136" i="8"/>
  <c r="D137" i="8"/>
  <c r="F137" i="8"/>
  <c r="E137" i="8"/>
  <c r="K137" i="8"/>
  <c r="L137" i="8"/>
  <c r="D138" i="8"/>
  <c r="F138" i="8"/>
  <c r="E138" i="8"/>
  <c r="K138" i="8"/>
  <c r="L138" i="8"/>
  <c r="D139" i="8"/>
  <c r="F139" i="8"/>
  <c r="E139" i="8"/>
  <c r="K139" i="8"/>
  <c r="L139" i="8"/>
  <c r="D140" i="8"/>
  <c r="F140" i="8"/>
  <c r="E140" i="8"/>
  <c r="K140" i="8"/>
  <c r="L140" i="8"/>
  <c r="D141" i="8"/>
  <c r="F141" i="8"/>
  <c r="E141" i="8"/>
  <c r="K141" i="8"/>
  <c r="L141" i="8"/>
  <c r="D142" i="8"/>
  <c r="F142" i="8"/>
  <c r="E142" i="8"/>
  <c r="K142" i="8"/>
  <c r="L142" i="8"/>
  <c r="D143" i="8"/>
  <c r="F143" i="8"/>
  <c r="E143" i="8"/>
  <c r="K143" i="8"/>
  <c r="L143" i="8"/>
  <c r="D144" i="8"/>
  <c r="F144" i="8"/>
  <c r="E144" i="8"/>
  <c r="K144" i="8"/>
  <c r="L144" i="8"/>
  <c r="D145" i="8"/>
  <c r="F145" i="8"/>
  <c r="E145" i="8"/>
  <c r="K145" i="8"/>
  <c r="L145" i="8"/>
  <c r="D146" i="8"/>
  <c r="F146" i="8"/>
  <c r="E146" i="8"/>
  <c r="K146" i="8"/>
  <c r="L146" i="8"/>
  <c r="D147" i="8"/>
  <c r="F147" i="8"/>
  <c r="E147" i="8"/>
  <c r="K147" i="8"/>
  <c r="L147" i="8"/>
  <c r="D148" i="8"/>
  <c r="F148" i="8"/>
  <c r="E148" i="8"/>
  <c r="K148" i="8"/>
  <c r="L148" i="8"/>
  <c r="D149" i="8"/>
  <c r="F149" i="8"/>
  <c r="E149" i="8"/>
  <c r="K149" i="8"/>
  <c r="L149" i="8"/>
  <c r="D150" i="8"/>
  <c r="F150" i="8"/>
  <c r="E150" i="8"/>
  <c r="K150" i="8"/>
  <c r="L150" i="8"/>
  <c r="D151" i="8"/>
  <c r="F151" i="8"/>
  <c r="E151" i="8"/>
  <c r="K151" i="8"/>
  <c r="L151" i="8"/>
  <c r="D152" i="8"/>
  <c r="F152" i="8"/>
  <c r="E152" i="8"/>
  <c r="K152" i="8"/>
  <c r="L152" i="8"/>
  <c r="D153" i="8"/>
  <c r="F153" i="8"/>
  <c r="E153" i="8"/>
  <c r="K153" i="8"/>
  <c r="L153" i="8"/>
  <c r="D154" i="8"/>
  <c r="F154" i="8"/>
  <c r="E154" i="8"/>
  <c r="K154" i="8"/>
  <c r="L154" i="8"/>
  <c r="D155" i="8"/>
  <c r="F155" i="8"/>
  <c r="E155" i="8"/>
  <c r="K155" i="8"/>
  <c r="L155" i="8"/>
  <c r="D156" i="8"/>
  <c r="F156" i="8"/>
  <c r="E156" i="8"/>
  <c r="K156" i="8"/>
  <c r="L156" i="8"/>
  <c r="D157" i="8"/>
  <c r="F157" i="8"/>
  <c r="E157" i="8"/>
  <c r="K157" i="8"/>
  <c r="L157" i="8"/>
  <c r="D158" i="8"/>
  <c r="F158" i="8"/>
  <c r="E158" i="8"/>
  <c r="K158" i="8"/>
  <c r="L158" i="8"/>
  <c r="D159" i="8"/>
  <c r="F159" i="8"/>
  <c r="E159" i="8"/>
  <c r="K159" i="8"/>
  <c r="L159" i="8"/>
  <c r="D160" i="8"/>
  <c r="F160" i="8"/>
  <c r="E160" i="8"/>
  <c r="K160" i="8"/>
  <c r="L160" i="8"/>
  <c r="D161" i="8"/>
  <c r="F161" i="8"/>
  <c r="E161" i="8"/>
  <c r="K161" i="8"/>
  <c r="L161" i="8"/>
  <c r="D162" i="8"/>
  <c r="F162" i="8"/>
  <c r="E162" i="8"/>
  <c r="K162" i="8"/>
  <c r="L162" i="8"/>
  <c r="D163" i="8"/>
  <c r="F163" i="8"/>
  <c r="E163" i="8"/>
  <c r="K163" i="8"/>
  <c r="L163" i="8"/>
  <c r="D164" i="8"/>
  <c r="F164" i="8"/>
  <c r="E164" i="8"/>
  <c r="K164" i="8"/>
  <c r="L164" i="8"/>
  <c r="D165" i="8"/>
  <c r="F165" i="8"/>
  <c r="E165" i="8"/>
  <c r="K165" i="8"/>
  <c r="L165" i="8"/>
  <c r="D166" i="8"/>
  <c r="F166" i="8"/>
  <c r="E166" i="8"/>
  <c r="K166" i="8"/>
  <c r="L166" i="8"/>
  <c r="D167" i="8"/>
  <c r="F167" i="8"/>
  <c r="E167" i="8"/>
  <c r="K167" i="8"/>
  <c r="L167" i="8"/>
  <c r="D168" i="8"/>
  <c r="F168" i="8"/>
  <c r="E168" i="8"/>
  <c r="K168" i="8"/>
  <c r="L168" i="8"/>
  <c r="D169" i="8"/>
  <c r="F169" i="8"/>
  <c r="E169" i="8"/>
  <c r="K169" i="8"/>
  <c r="L169" i="8"/>
  <c r="D170" i="8"/>
  <c r="F170" i="8"/>
  <c r="E170" i="8"/>
  <c r="K170" i="8"/>
  <c r="L170" i="8"/>
  <c r="D171" i="8"/>
  <c r="F171" i="8"/>
  <c r="E171" i="8"/>
  <c r="K171" i="8"/>
  <c r="L171" i="8"/>
  <c r="D172" i="8"/>
  <c r="F172" i="8"/>
  <c r="E172" i="8"/>
  <c r="K172" i="8"/>
  <c r="L172" i="8"/>
  <c r="D173" i="8"/>
  <c r="F173" i="8"/>
  <c r="E173" i="8"/>
  <c r="K173" i="8"/>
  <c r="L173" i="8"/>
  <c r="D174" i="8"/>
  <c r="F174" i="8"/>
  <c r="E174" i="8"/>
  <c r="K174" i="8"/>
  <c r="L174" i="8"/>
  <c r="D175" i="8"/>
  <c r="F175" i="8"/>
  <c r="E175" i="8"/>
  <c r="K175" i="8"/>
  <c r="L175" i="8"/>
  <c r="D176" i="8"/>
  <c r="F176" i="8"/>
  <c r="E176" i="8"/>
  <c r="K176" i="8"/>
  <c r="L176" i="8"/>
  <c r="D177" i="8"/>
  <c r="F177" i="8"/>
  <c r="E177" i="8"/>
  <c r="K177" i="8"/>
  <c r="L177" i="8"/>
  <c r="D178" i="8"/>
  <c r="F178" i="8"/>
  <c r="E178" i="8"/>
  <c r="K178" i="8"/>
  <c r="L178" i="8"/>
  <c r="D179" i="8"/>
  <c r="F179" i="8"/>
  <c r="E179" i="8"/>
  <c r="K179" i="8"/>
  <c r="L179" i="8"/>
  <c r="D180" i="8"/>
  <c r="F180" i="8"/>
  <c r="E180" i="8"/>
  <c r="K180" i="8"/>
  <c r="L180" i="8"/>
  <c r="D181" i="8"/>
  <c r="F181" i="8"/>
  <c r="E181" i="8"/>
  <c r="K181" i="8"/>
  <c r="L181" i="8"/>
  <c r="D182" i="8"/>
  <c r="F182" i="8"/>
  <c r="E182" i="8"/>
  <c r="K182" i="8"/>
  <c r="L182" i="8"/>
  <c r="D183" i="8"/>
  <c r="F183" i="8"/>
  <c r="E183" i="8"/>
  <c r="K183" i="8"/>
  <c r="L183" i="8"/>
  <c r="D184" i="8"/>
  <c r="F184" i="8"/>
  <c r="E184" i="8"/>
  <c r="K184" i="8"/>
  <c r="L184" i="8"/>
  <c r="D185" i="8"/>
  <c r="F185" i="8"/>
  <c r="E185" i="8"/>
  <c r="K185" i="8"/>
  <c r="L185" i="8"/>
  <c r="D186" i="8"/>
  <c r="F186" i="8"/>
  <c r="E186" i="8"/>
  <c r="K186" i="8"/>
  <c r="L186" i="8"/>
  <c r="D187" i="8"/>
  <c r="F187" i="8"/>
  <c r="E187" i="8"/>
  <c r="K187" i="8"/>
  <c r="L187" i="8"/>
  <c r="D188" i="8"/>
  <c r="F188" i="8"/>
  <c r="E188" i="8"/>
  <c r="K188" i="8"/>
  <c r="L188" i="8"/>
  <c r="D189" i="8"/>
  <c r="F189" i="8"/>
  <c r="E189" i="8"/>
  <c r="K189" i="8"/>
  <c r="L189" i="8"/>
  <c r="D190" i="8"/>
  <c r="F190" i="8"/>
  <c r="E190" i="8"/>
  <c r="K190" i="8"/>
  <c r="L190" i="8"/>
  <c r="D191" i="8"/>
  <c r="F191" i="8"/>
  <c r="E191" i="8"/>
  <c r="K191" i="8"/>
  <c r="L191" i="8"/>
  <c r="D192" i="8"/>
  <c r="F192" i="8"/>
  <c r="E192" i="8"/>
  <c r="K192" i="8"/>
  <c r="L192" i="8"/>
  <c r="D193" i="8"/>
  <c r="F193" i="8"/>
  <c r="E193" i="8"/>
  <c r="K193" i="8"/>
  <c r="L193" i="8"/>
  <c r="D194" i="8"/>
  <c r="F194" i="8"/>
  <c r="E194" i="8"/>
  <c r="K194" i="8"/>
  <c r="L194" i="8"/>
  <c r="D195" i="8"/>
  <c r="F195" i="8"/>
  <c r="E195" i="8"/>
  <c r="K195" i="8"/>
  <c r="L195" i="8"/>
  <c r="D196" i="8"/>
  <c r="F196" i="8"/>
  <c r="E196" i="8"/>
  <c r="K196" i="8"/>
  <c r="L196" i="8"/>
  <c r="D197" i="8"/>
  <c r="F197" i="8"/>
  <c r="E197" i="8"/>
  <c r="K197" i="8"/>
  <c r="L197" i="8"/>
  <c r="D198" i="8"/>
  <c r="F198" i="8"/>
  <c r="E198" i="8"/>
  <c r="K198" i="8"/>
  <c r="L198" i="8"/>
  <c r="D199" i="8"/>
  <c r="F199" i="8"/>
  <c r="E199" i="8"/>
  <c r="K199" i="8"/>
  <c r="L199" i="8"/>
  <c r="D200" i="8"/>
  <c r="F200" i="8"/>
  <c r="E200" i="8"/>
  <c r="K200" i="8"/>
  <c r="L200" i="8"/>
  <c r="D201" i="8"/>
  <c r="F201" i="8"/>
  <c r="E201" i="8"/>
  <c r="K201" i="8"/>
  <c r="L201" i="8"/>
  <c r="D202" i="8"/>
  <c r="F202" i="8"/>
  <c r="E202" i="8"/>
  <c r="K202" i="8"/>
  <c r="L202" i="8"/>
  <c r="D203" i="8"/>
  <c r="F203" i="8"/>
  <c r="E203" i="8"/>
  <c r="K203" i="8"/>
  <c r="L203" i="8"/>
  <c r="D204" i="8"/>
  <c r="F204" i="8"/>
  <c r="E204" i="8"/>
  <c r="K204" i="8"/>
  <c r="L204" i="8"/>
  <c r="D205" i="8"/>
  <c r="F205" i="8"/>
  <c r="E205" i="8"/>
  <c r="K205" i="8"/>
  <c r="L205" i="8"/>
  <c r="D206" i="8"/>
  <c r="F206" i="8"/>
  <c r="E206" i="8"/>
  <c r="K206" i="8"/>
  <c r="L206" i="8"/>
  <c r="D207" i="8"/>
  <c r="F207" i="8"/>
  <c r="E207" i="8"/>
  <c r="K207" i="8"/>
  <c r="L207" i="8"/>
  <c r="D208" i="8"/>
  <c r="F208" i="8"/>
  <c r="E208" i="8"/>
  <c r="K208" i="8"/>
  <c r="L208" i="8"/>
  <c r="D209" i="8"/>
  <c r="F209" i="8"/>
  <c r="E209" i="8"/>
  <c r="K209" i="8"/>
  <c r="L209" i="8"/>
  <c r="D210" i="8"/>
  <c r="G210" i="8"/>
  <c r="H210" i="8"/>
  <c r="I210" i="8"/>
  <c r="F210" i="8"/>
  <c r="J210"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Y210" i="8"/>
  <c r="K210" i="8"/>
  <c r="B152" i="1"/>
  <c r="D152" i="1"/>
  <c r="E152" i="1"/>
  <c r="AC152" i="1"/>
  <c r="AF152" i="1"/>
  <c r="AE152" i="1"/>
  <c r="AB152" i="1"/>
  <c r="G152" i="1"/>
  <c r="F152" i="1"/>
  <c r="M152" i="1"/>
  <c r="N152" i="1"/>
  <c r="AD153" i="1"/>
  <c r="B153" i="1"/>
  <c r="D153" i="1"/>
  <c r="E153" i="1"/>
  <c r="AC153" i="1"/>
  <c r="AB153" i="1"/>
  <c r="G153" i="1"/>
  <c r="F153" i="1"/>
  <c r="M153" i="1"/>
  <c r="N153" i="1"/>
  <c r="AD154" i="1"/>
  <c r="B154" i="1"/>
  <c r="D154" i="1"/>
  <c r="E154" i="1"/>
  <c r="AC154" i="1"/>
  <c r="AB154" i="1"/>
  <c r="G154" i="1"/>
  <c r="F154" i="1"/>
  <c r="M154" i="1"/>
  <c r="N154" i="1"/>
  <c r="AD155" i="1"/>
  <c r="AF155" i="1"/>
  <c r="AE155" i="1"/>
  <c r="B155" i="1"/>
  <c r="D155" i="1"/>
  <c r="E155" i="1"/>
  <c r="AC155" i="1"/>
  <c r="AB155" i="1"/>
  <c r="G155" i="1"/>
  <c r="F155" i="1"/>
  <c r="M155" i="1"/>
  <c r="N155" i="1"/>
  <c r="AD156" i="1"/>
  <c r="AF156" i="1"/>
  <c r="AE156" i="1"/>
  <c r="B156" i="1"/>
  <c r="D156" i="1"/>
  <c r="E156" i="1"/>
  <c r="AC156" i="1"/>
  <c r="AB156" i="1"/>
  <c r="G156" i="1"/>
  <c r="F156" i="1"/>
  <c r="M156" i="1"/>
  <c r="N156" i="1"/>
  <c r="AD157" i="1"/>
  <c r="B157" i="1"/>
  <c r="D157" i="1"/>
  <c r="E157" i="1"/>
  <c r="AC157" i="1"/>
  <c r="AF157" i="1"/>
  <c r="AE157" i="1"/>
  <c r="AB157" i="1"/>
  <c r="G157" i="1"/>
  <c r="F157" i="1"/>
  <c r="M157" i="1"/>
  <c r="N157" i="1"/>
  <c r="AD158" i="1"/>
  <c r="B158" i="1"/>
  <c r="D158" i="1"/>
  <c r="E158" i="1"/>
  <c r="AC158" i="1"/>
  <c r="AB158" i="1"/>
  <c r="G158" i="1"/>
  <c r="F158" i="1"/>
  <c r="M158" i="1"/>
  <c r="N158" i="1"/>
  <c r="AD159" i="1"/>
  <c r="AF159" i="1"/>
  <c r="AE159" i="1"/>
  <c r="B159" i="1"/>
  <c r="D159" i="1"/>
  <c r="E159" i="1"/>
  <c r="AC159" i="1"/>
  <c r="AB159" i="1"/>
  <c r="G159" i="1"/>
  <c r="F159" i="1"/>
  <c r="M159" i="1"/>
  <c r="N159" i="1"/>
  <c r="AD160" i="1"/>
  <c r="B160" i="1"/>
  <c r="D160" i="1"/>
  <c r="E160" i="1"/>
  <c r="AC160" i="1"/>
  <c r="AB160" i="1"/>
  <c r="G160" i="1"/>
  <c r="F160" i="1"/>
  <c r="M160" i="1"/>
  <c r="N160" i="1"/>
  <c r="AD161" i="1"/>
  <c r="B161" i="1"/>
  <c r="D161" i="1"/>
  <c r="E161" i="1"/>
  <c r="AC161" i="1"/>
  <c r="AB161" i="1"/>
  <c r="G161" i="1"/>
  <c r="F161" i="1"/>
  <c r="M161" i="1"/>
  <c r="N161" i="1"/>
  <c r="AD162" i="1"/>
  <c r="B162" i="1"/>
  <c r="D162" i="1"/>
  <c r="E162" i="1"/>
  <c r="AC162" i="1"/>
  <c r="AB162" i="1"/>
  <c r="G162" i="1"/>
  <c r="F162" i="1"/>
  <c r="M162" i="1"/>
  <c r="N162" i="1"/>
  <c r="AD163" i="1"/>
  <c r="B163" i="1"/>
  <c r="D163" i="1"/>
  <c r="E163" i="1"/>
  <c r="AC163" i="1"/>
  <c r="AF163" i="1"/>
  <c r="AE163" i="1"/>
  <c r="AB163" i="1"/>
  <c r="G163" i="1"/>
  <c r="F163" i="1"/>
  <c r="M163" i="1"/>
  <c r="N163" i="1"/>
  <c r="AD164" i="1"/>
  <c r="AC164" i="1"/>
  <c r="AF164" i="1"/>
  <c r="AE164" i="1"/>
  <c r="D164" i="1"/>
  <c r="E164" i="1"/>
  <c r="H164" i="1"/>
  <c r="I164" i="1"/>
  <c r="J164" i="1"/>
  <c r="AB164" i="1"/>
  <c r="G164" i="1"/>
  <c r="K164" i="1"/>
  <c r="L164" i="1"/>
  <c r="A146" i="1"/>
  <c r="A147" i="1"/>
  <c r="A148" i="1"/>
  <c r="A149" i="1"/>
  <c r="A150" i="1"/>
  <c r="A151" i="1"/>
  <c r="A152" i="1"/>
  <c r="A153" i="1"/>
  <c r="A154" i="1"/>
  <c r="A155" i="1"/>
  <c r="A156" i="1"/>
  <c r="A157" i="1"/>
  <c r="A158" i="1"/>
  <c r="A159" i="1"/>
  <c r="A160" i="1"/>
  <c r="A161" i="1"/>
  <c r="A162" i="1"/>
  <c r="A163" i="1"/>
  <c r="A164" i="1"/>
  <c r="Z164" i="1"/>
  <c r="M164" i="1"/>
  <c r="B164" i="1"/>
  <c r="F164" i="1"/>
  <c r="N164" i="1"/>
  <c r="AD165" i="1"/>
  <c r="B165" i="1"/>
  <c r="D165" i="1"/>
  <c r="E165" i="1"/>
  <c r="AC165" i="1"/>
  <c r="AB165" i="1"/>
  <c r="G165" i="1"/>
  <c r="F165" i="1"/>
  <c r="M165" i="1"/>
  <c r="N165" i="1"/>
  <c r="AD166" i="1"/>
  <c r="B166" i="1"/>
  <c r="D166" i="1"/>
  <c r="E166" i="1"/>
  <c r="AC166" i="1"/>
  <c r="AB166" i="1"/>
  <c r="G166" i="1"/>
  <c r="F166" i="1"/>
  <c r="M166" i="1"/>
  <c r="N166" i="1"/>
  <c r="AD167" i="1"/>
  <c r="B167" i="1"/>
  <c r="D167" i="1"/>
  <c r="E167" i="1"/>
  <c r="AC167" i="1"/>
  <c r="AB167" i="1"/>
  <c r="G167" i="1"/>
  <c r="F167" i="1"/>
  <c r="M167" i="1"/>
  <c r="N167" i="1"/>
  <c r="AD168" i="1"/>
  <c r="AC168" i="1"/>
  <c r="AF168" i="1"/>
  <c r="AE168" i="1"/>
  <c r="B168" i="1"/>
  <c r="D168" i="1"/>
  <c r="E168" i="1"/>
  <c r="AB168" i="1"/>
  <c r="G168" i="1"/>
  <c r="F168" i="1"/>
  <c r="M168" i="1"/>
  <c r="N168" i="1"/>
  <c r="AD169" i="1"/>
  <c r="B169" i="1"/>
  <c r="D169" i="1"/>
  <c r="E169" i="1"/>
  <c r="AC169" i="1"/>
  <c r="AB169" i="1"/>
  <c r="G169" i="1"/>
  <c r="F169" i="1"/>
  <c r="M169" i="1"/>
  <c r="N169" i="1"/>
  <c r="AD170" i="1"/>
  <c r="B170" i="1"/>
  <c r="D170" i="1"/>
  <c r="E170" i="1"/>
  <c r="AC170" i="1"/>
  <c r="AB170" i="1"/>
  <c r="G170" i="1"/>
  <c r="F170" i="1"/>
  <c r="M170" i="1"/>
  <c r="N170" i="1"/>
  <c r="AD171" i="1"/>
  <c r="B171" i="1"/>
  <c r="D171" i="1"/>
  <c r="E171" i="1"/>
  <c r="AC171" i="1"/>
  <c r="AB171" i="1"/>
  <c r="G171" i="1"/>
  <c r="F171" i="1"/>
  <c r="M171" i="1"/>
  <c r="N171" i="1"/>
  <c r="AD172" i="1"/>
  <c r="B172" i="1"/>
  <c r="D172" i="1"/>
  <c r="E172" i="1"/>
  <c r="AC172" i="1"/>
  <c r="AB172" i="1"/>
  <c r="G172" i="1"/>
  <c r="F172" i="1"/>
  <c r="M172" i="1"/>
  <c r="N172" i="1"/>
  <c r="AD173" i="1"/>
  <c r="D173" i="1"/>
  <c r="E173" i="1"/>
  <c r="H173" i="1"/>
  <c r="I173" i="1"/>
  <c r="J173" i="1"/>
  <c r="AC173" i="1"/>
  <c r="AB173" i="1"/>
  <c r="G173" i="1"/>
  <c r="K173" i="1"/>
  <c r="L173" i="1"/>
  <c r="A165" i="1"/>
  <c r="A166" i="1"/>
  <c r="A167" i="1"/>
  <c r="A168" i="1"/>
  <c r="A169" i="1"/>
  <c r="A170" i="1"/>
  <c r="A171" i="1"/>
  <c r="A172" i="1"/>
  <c r="A173"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Z173" i="1"/>
  <c r="M173" i="1"/>
  <c r="B173" i="1"/>
  <c r="F173" i="1"/>
  <c r="N173" i="1"/>
  <c r="AD174" i="1"/>
  <c r="B174" i="1"/>
  <c r="D174" i="1"/>
  <c r="E174" i="1"/>
  <c r="AC174" i="1"/>
  <c r="AB174" i="1"/>
  <c r="G174" i="1"/>
  <c r="F174" i="1"/>
  <c r="M174" i="1"/>
  <c r="N174" i="1"/>
  <c r="AD175" i="1"/>
  <c r="AF175" i="1"/>
  <c r="AE175" i="1"/>
  <c r="B175" i="1"/>
  <c r="D175" i="1"/>
  <c r="E175" i="1"/>
  <c r="AC175" i="1"/>
  <c r="AB175" i="1"/>
  <c r="G175" i="1"/>
  <c r="F175" i="1"/>
  <c r="M175" i="1"/>
  <c r="N175" i="1"/>
  <c r="AD176" i="1"/>
  <c r="E210" i="8"/>
  <c r="L210" i="8"/>
  <c r="D211" i="8"/>
  <c r="F211" i="8"/>
  <c r="E211" i="8"/>
  <c r="K211" i="8"/>
  <c r="L211" i="8"/>
  <c r="D212" i="8"/>
  <c r="F212" i="8"/>
  <c r="E212" i="8"/>
  <c r="K212" i="8"/>
  <c r="L212" i="8"/>
  <c r="D213" i="8"/>
  <c r="F213" i="8"/>
  <c r="E213" i="8"/>
  <c r="K213" i="8"/>
  <c r="L213" i="8"/>
  <c r="D214" i="8"/>
  <c r="F214" i="8"/>
  <c r="E214" i="8"/>
  <c r="K214" i="8"/>
  <c r="L214" i="8"/>
  <c r="D215" i="8"/>
  <c r="F215" i="8"/>
  <c r="E215" i="8"/>
  <c r="K215" i="8"/>
  <c r="L215" i="8"/>
  <c r="D216" i="8"/>
  <c r="F216" i="8"/>
  <c r="E216" i="8"/>
  <c r="K216" i="8"/>
  <c r="L216" i="8"/>
  <c r="D217" i="8"/>
  <c r="F217" i="8"/>
  <c r="E217" i="8"/>
  <c r="K217" i="8"/>
  <c r="L217" i="8"/>
  <c r="D218" i="8"/>
  <c r="F218" i="8"/>
  <c r="E218" i="8"/>
  <c r="K218" i="8"/>
  <c r="L218" i="8"/>
  <c r="D219" i="8"/>
  <c r="F219" i="8"/>
  <c r="E219" i="8"/>
  <c r="K219" i="8"/>
  <c r="L219" i="8"/>
  <c r="D220" i="8"/>
  <c r="F220" i="8"/>
  <c r="E220" i="8"/>
  <c r="K220" i="8"/>
  <c r="L220" i="8"/>
  <c r="D221" i="8"/>
  <c r="F221" i="8"/>
  <c r="E221" i="8"/>
  <c r="K221" i="8"/>
  <c r="L221" i="8"/>
  <c r="D222" i="8"/>
  <c r="F222" i="8"/>
  <c r="E222" i="8"/>
  <c r="K222" i="8"/>
  <c r="L222" i="8"/>
  <c r="D223" i="8"/>
  <c r="F223" i="8"/>
  <c r="E223" i="8"/>
  <c r="K223" i="8"/>
  <c r="L223" i="8"/>
  <c r="D224" i="8"/>
  <c r="F224" i="8"/>
  <c r="E224" i="8"/>
  <c r="K224" i="8"/>
  <c r="L224" i="8"/>
  <c r="D225" i="8"/>
  <c r="F225" i="8"/>
  <c r="E225" i="8"/>
  <c r="K225" i="8"/>
  <c r="L225" i="8"/>
  <c r="D226" i="8"/>
  <c r="F226" i="8"/>
  <c r="E226" i="8"/>
  <c r="K226" i="8"/>
  <c r="L226" i="8"/>
  <c r="D227" i="8"/>
  <c r="F227" i="8"/>
  <c r="E227" i="8"/>
  <c r="K227" i="8"/>
  <c r="L227" i="8"/>
  <c r="D228" i="8"/>
  <c r="F228" i="8"/>
  <c r="E228" i="8"/>
  <c r="K228" i="8"/>
  <c r="L228" i="8"/>
  <c r="D229" i="8"/>
  <c r="F229" i="8"/>
  <c r="E229" i="8"/>
  <c r="K229" i="8"/>
  <c r="L229" i="8"/>
  <c r="D230" i="8"/>
  <c r="F230" i="8"/>
  <c r="E230" i="8"/>
  <c r="K230" i="8"/>
  <c r="L230" i="8"/>
  <c r="D231" i="8"/>
  <c r="F231" i="8"/>
  <c r="E231" i="8"/>
  <c r="K231" i="8"/>
  <c r="L231" i="8"/>
  <c r="D232" i="8"/>
  <c r="F232" i="8"/>
  <c r="E232" i="8"/>
  <c r="K232" i="8"/>
  <c r="L232" i="8"/>
  <c r="D233" i="8"/>
  <c r="F233" i="8"/>
  <c r="E233" i="8"/>
  <c r="K233" i="8"/>
  <c r="L233" i="8"/>
  <c r="D234" i="8"/>
  <c r="F234" i="8"/>
  <c r="E234" i="8"/>
  <c r="K234" i="8"/>
  <c r="L234" i="8"/>
  <c r="D235" i="8"/>
  <c r="F235" i="8"/>
  <c r="E235" i="8"/>
  <c r="K235" i="8"/>
  <c r="L235" i="8"/>
  <c r="D236" i="8"/>
  <c r="F236" i="8"/>
  <c r="E236" i="8"/>
  <c r="K236" i="8"/>
  <c r="L236" i="8"/>
  <c r="D237" i="8"/>
  <c r="F237" i="8"/>
  <c r="E237" i="8"/>
  <c r="K237" i="8"/>
  <c r="L237" i="8"/>
  <c r="D238" i="8"/>
  <c r="F238" i="8"/>
  <c r="E238" i="8"/>
  <c r="K238" i="8"/>
  <c r="L238" i="8"/>
  <c r="D239" i="8"/>
  <c r="F239" i="8"/>
  <c r="E239" i="8"/>
  <c r="K239" i="8"/>
  <c r="L239" i="8"/>
  <c r="D240" i="8"/>
  <c r="F240" i="8"/>
  <c r="E240" i="8"/>
  <c r="K240" i="8"/>
  <c r="L240" i="8"/>
  <c r="D241" i="8"/>
  <c r="F241" i="8"/>
  <c r="E241" i="8"/>
  <c r="K241" i="8"/>
  <c r="L241" i="8"/>
  <c r="D242" i="8"/>
  <c r="F242" i="8"/>
  <c r="E242" i="8"/>
  <c r="K242" i="8"/>
  <c r="L242" i="8"/>
  <c r="D243" i="8"/>
  <c r="F243" i="8"/>
  <c r="E243" i="8"/>
  <c r="K243" i="8"/>
  <c r="L243" i="8"/>
  <c r="D244" i="8"/>
  <c r="F244" i="8"/>
  <c r="E244" i="8"/>
  <c r="K244" i="8"/>
  <c r="L244" i="8"/>
  <c r="D245" i="8"/>
  <c r="F245" i="8"/>
  <c r="E245" i="8"/>
  <c r="K245" i="8"/>
  <c r="L245" i="8"/>
  <c r="D246" i="8"/>
  <c r="F246" i="8"/>
  <c r="E246" i="8"/>
  <c r="K246" i="8"/>
  <c r="L246" i="8"/>
  <c r="D247" i="8"/>
  <c r="F247" i="8"/>
  <c r="E247" i="8"/>
  <c r="K247" i="8"/>
  <c r="L247" i="8"/>
  <c r="D248" i="8"/>
  <c r="F248" i="8"/>
  <c r="E248" i="8"/>
  <c r="K248" i="8"/>
  <c r="L248" i="8"/>
  <c r="D249" i="8"/>
  <c r="F249" i="8"/>
  <c r="E249" i="8"/>
  <c r="K249" i="8"/>
  <c r="L249" i="8"/>
  <c r="D250" i="8"/>
  <c r="F250" i="8"/>
  <c r="E250" i="8"/>
  <c r="K250" i="8"/>
  <c r="L250" i="8"/>
  <c r="D251" i="8"/>
  <c r="F251" i="8"/>
  <c r="E251" i="8"/>
  <c r="K251" i="8"/>
  <c r="L251" i="8"/>
  <c r="D252" i="8"/>
  <c r="F252" i="8"/>
  <c r="E252" i="8"/>
  <c r="K252" i="8"/>
  <c r="L252" i="8"/>
  <c r="D253" i="8"/>
  <c r="F253" i="8"/>
  <c r="E253" i="8"/>
  <c r="K253" i="8"/>
  <c r="L253" i="8"/>
  <c r="D254" i="8"/>
  <c r="F254" i="8"/>
  <c r="E254" i="8"/>
  <c r="K254" i="8"/>
  <c r="L254" i="8"/>
  <c r="D255" i="8"/>
  <c r="F255" i="8"/>
  <c r="E255" i="8"/>
  <c r="K255" i="8"/>
  <c r="L255" i="8"/>
  <c r="D256" i="8"/>
  <c r="G256" i="8"/>
  <c r="H256" i="8"/>
  <c r="I256" i="8"/>
  <c r="F256" i="8"/>
  <c r="J256"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Y256" i="8"/>
  <c r="K256" i="8"/>
  <c r="B176" i="1"/>
  <c r="D176" i="1"/>
  <c r="E176" i="1"/>
  <c r="AC176" i="1"/>
  <c r="AF176" i="1"/>
  <c r="AE176" i="1"/>
  <c r="AB176" i="1"/>
  <c r="G176" i="1"/>
  <c r="F176" i="1"/>
  <c r="M176" i="1"/>
  <c r="N176" i="1"/>
  <c r="AD177" i="1"/>
  <c r="E256" i="8"/>
  <c r="L256" i="8"/>
  <c r="D257" i="8"/>
  <c r="G257" i="8"/>
  <c r="H257" i="8"/>
  <c r="I257" i="8"/>
  <c r="F257" i="8"/>
  <c r="J257" i="8"/>
  <c r="A257"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Y257" i="8"/>
  <c r="K257" i="8"/>
  <c r="AF177" i="1"/>
  <c r="AE177" i="1"/>
  <c r="B177" i="1"/>
  <c r="D177" i="1"/>
  <c r="E177" i="1"/>
  <c r="AC177" i="1"/>
  <c r="AB177" i="1"/>
  <c r="G177" i="1"/>
  <c r="F177" i="1"/>
  <c r="M177" i="1"/>
  <c r="N177" i="1"/>
  <c r="AD178" i="1"/>
  <c r="B178" i="1"/>
  <c r="D178" i="1"/>
  <c r="E178" i="1"/>
  <c r="AC178" i="1"/>
  <c r="AB178" i="1"/>
  <c r="G178" i="1"/>
  <c r="F178" i="1"/>
  <c r="M178" i="1"/>
  <c r="N178" i="1"/>
  <c r="AD179" i="1"/>
  <c r="B179" i="1"/>
  <c r="D179" i="1"/>
  <c r="E179" i="1"/>
  <c r="AC179" i="1"/>
  <c r="AF179" i="1"/>
  <c r="AE179" i="1"/>
  <c r="AB179" i="1"/>
  <c r="G179" i="1"/>
  <c r="F179" i="1"/>
  <c r="M179" i="1"/>
  <c r="N179" i="1"/>
  <c r="AD180" i="1"/>
  <c r="B180" i="1"/>
  <c r="D180" i="1"/>
  <c r="E180" i="1"/>
  <c r="AC180" i="1"/>
  <c r="AF180" i="1"/>
  <c r="AE180" i="1"/>
  <c r="AB180" i="1"/>
  <c r="G180" i="1"/>
  <c r="F180" i="1"/>
  <c r="M180" i="1"/>
  <c r="N180" i="1"/>
  <c r="AD181" i="1"/>
  <c r="B181" i="1"/>
  <c r="D181" i="1"/>
  <c r="E181" i="1"/>
  <c r="AC181" i="1"/>
  <c r="AF181" i="1"/>
  <c r="AE181" i="1"/>
  <c r="AB181" i="1"/>
  <c r="G181" i="1"/>
  <c r="F181" i="1"/>
  <c r="M181" i="1"/>
  <c r="N181" i="1"/>
  <c r="AD182" i="1"/>
  <c r="B182" i="1"/>
  <c r="D182" i="1"/>
  <c r="E182" i="1"/>
  <c r="AB182" i="1"/>
  <c r="G182" i="1"/>
  <c r="F182" i="1"/>
  <c r="M182" i="1"/>
  <c r="N182" i="1"/>
  <c r="AD183" i="1"/>
  <c r="B183" i="1"/>
  <c r="D183" i="1"/>
  <c r="E183" i="1"/>
  <c r="AC183" i="1"/>
  <c r="AF183" i="1"/>
  <c r="AE183" i="1"/>
  <c r="AB183" i="1"/>
  <c r="G183" i="1"/>
  <c r="F183" i="1"/>
  <c r="M183" i="1"/>
  <c r="N183" i="1"/>
  <c r="AD184" i="1"/>
  <c r="B184" i="1"/>
  <c r="D184" i="1"/>
  <c r="E184" i="1"/>
  <c r="AC184" i="1"/>
  <c r="AB184" i="1"/>
  <c r="G184" i="1"/>
  <c r="F184" i="1"/>
  <c r="M184" i="1"/>
  <c r="N184" i="1"/>
  <c r="AD185" i="1"/>
  <c r="B185" i="1"/>
  <c r="D185" i="1"/>
  <c r="E185" i="1"/>
  <c r="AC185" i="1"/>
  <c r="AB185" i="1"/>
  <c r="G185" i="1"/>
  <c r="F185" i="1"/>
  <c r="M185" i="1"/>
  <c r="N185" i="1"/>
  <c r="AD186" i="1"/>
  <c r="B186" i="1"/>
  <c r="D186" i="1"/>
  <c r="E186" i="1"/>
  <c r="AC186" i="1"/>
  <c r="AB186" i="1"/>
  <c r="G186" i="1"/>
  <c r="F186" i="1"/>
  <c r="M186" i="1"/>
  <c r="N186" i="1"/>
  <c r="AD187" i="1"/>
  <c r="AF187" i="1"/>
  <c r="AE187" i="1"/>
  <c r="B187" i="1"/>
  <c r="D187" i="1"/>
  <c r="E187" i="1"/>
  <c r="AC187" i="1"/>
  <c r="AB187" i="1"/>
  <c r="G187" i="1"/>
  <c r="F187" i="1"/>
  <c r="M187" i="1"/>
  <c r="N187" i="1"/>
  <c r="AD188" i="1"/>
  <c r="B188" i="1"/>
  <c r="D188" i="1"/>
  <c r="E188" i="1"/>
  <c r="AC188" i="1"/>
  <c r="AB188" i="1"/>
  <c r="G188" i="1"/>
  <c r="F188" i="1"/>
  <c r="M188" i="1"/>
  <c r="N188" i="1"/>
  <c r="AD189" i="1"/>
  <c r="B189" i="1"/>
  <c r="D189" i="1"/>
  <c r="E189" i="1"/>
  <c r="AC189" i="1"/>
  <c r="AF189" i="1"/>
  <c r="AE189" i="1"/>
  <c r="AB189" i="1"/>
  <c r="G189" i="1"/>
  <c r="F189" i="1"/>
  <c r="M189" i="1"/>
  <c r="N189" i="1"/>
  <c r="AD190" i="1"/>
  <c r="B190" i="1"/>
  <c r="D190" i="1"/>
  <c r="E190" i="1"/>
  <c r="AC190" i="1"/>
  <c r="AB190" i="1"/>
  <c r="G190" i="1"/>
  <c r="F190" i="1"/>
  <c r="M190" i="1"/>
  <c r="N190" i="1"/>
  <c r="AD191" i="1"/>
  <c r="B191" i="1"/>
  <c r="D191" i="1"/>
  <c r="E191" i="1"/>
  <c r="AC191" i="1"/>
  <c r="AB191" i="1"/>
  <c r="G191" i="1"/>
  <c r="F191" i="1"/>
  <c r="M191" i="1"/>
  <c r="N191" i="1"/>
  <c r="AD192" i="1"/>
  <c r="AF192" i="1"/>
  <c r="AE192" i="1"/>
  <c r="AC192" i="1"/>
  <c r="B192" i="1"/>
  <c r="D192" i="1"/>
  <c r="E192" i="1"/>
  <c r="AB192" i="1"/>
  <c r="G192" i="1"/>
  <c r="F192" i="1"/>
  <c r="M192" i="1"/>
  <c r="N192" i="1"/>
  <c r="AD193" i="1"/>
  <c r="B193" i="1"/>
  <c r="D193" i="1"/>
  <c r="E193" i="1"/>
  <c r="AC193" i="1"/>
  <c r="AB193" i="1"/>
  <c r="G193" i="1"/>
  <c r="F193" i="1"/>
  <c r="M193" i="1"/>
  <c r="N193" i="1"/>
  <c r="AD194" i="1"/>
  <c r="B194" i="1"/>
  <c r="D194" i="1"/>
  <c r="E194" i="1"/>
  <c r="AB194" i="1"/>
  <c r="G194" i="1"/>
  <c r="F194" i="1"/>
  <c r="M194" i="1"/>
  <c r="N194" i="1"/>
  <c r="AD195" i="1"/>
  <c r="B195" i="1"/>
  <c r="D195" i="1"/>
  <c r="E195" i="1"/>
  <c r="AC195" i="1"/>
  <c r="AB195" i="1"/>
  <c r="G195" i="1"/>
  <c r="F195" i="1"/>
  <c r="M195" i="1"/>
  <c r="N195" i="1"/>
  <c r="AD196" i="1"/>
  <c r="AC196" i="1"/>
  <c r="AF196" i="1"/>
  <c r="AE196" i="1"/>
  <c r="B196" i="1"/>
  <c r="D196" i="1"/>
  <c r="E196" i="1"/>
  <c r="AB196" i="1"/>
  <c r="G196" i="1"/>
  <c r="F196" i="1"/>
  <c r="M196" i="1"/>
  <c r="N196" i="1"/>
  <c r="AD197" i="1"/>
  <c r="B197" i="1"/>
  <c r="D197" i="1"/>
  <c r="E197" i="1"/>
  <c r="AB197" i="1"/>
  <c r="G197" i="1"/>
  <c r="F197" i="1"/>
  <c r="M197" i="1"/>
  <c r="N197" i="1"/>
  <c r="AD198" i="1"/>
  <c r="B198" i="1"/>
  <c r="D198" i="1"/>
  <c r="E198" i="1"/>
  <c r="AC198" i="1"/>
  <c r="AB198" i="1"/>
  <c r="G198" i="1"/>
  <c r="F198" i="1"/>
  <c r="M198" i="1"/>
  <c r="N198" i="1"/>
  <c r="AD199" i="1"/>
  <c r="AC199" i="1"/>
  <c r="AF199" i="1"/>
  <c r="AE199" i="1"/>
  <c r="B199" i="1"/>
  <c r="D199" i="1"/>
  <c r="E199" i="1"/>
  <c r="AB199" i="1"/>
  <c r="G199" i="1"/>
  <c r="F199" i="1"/>
  <c r="M199" i="1"/>
  <c r="N199" i="1"/>
  <c r="AD200" i="1"/>
  <c r="AF200" i="1"/>
  <c r="AE200" i="1"/>
  <c r="B200" i="1"/>
  <c r="D200" i="1"/>
  <c r="E200" i="1"/>
  <c r="AC200" i="1"/>
  <c r="AB200" i="1"/>
  <c r="G200" i="1"/>
  <c r="F200" i="1"/>
  <c r="M200" i="1"/>
  <c r="N200" i="1"/>
  <c r="AD201" i="1"/>
  <c r="B201" i="1"/>
  <c r="D201" i="1"/>
  <c r="E201" i="1"/>
  <c r="AC201" i="1"/>
  <c r="AB201" i="1"/>
  <c r="G201" i="1"/>
  <c r="F201" i="1"/>
  <c r="M201" i="1"/>
  <c r="N201" i="1"/>
  <c r="AD202" i="1"/>
  <c r="AF202" i="1"/>
  <c r="AE202" i="1"/>
  <c r="B202" i="1"/>
  <c r="D202" i="1"/>
  <c r="E202" i="1"/>
  <c r="AC202" i="1"/>
  <c r="AB202" i="1"/>
  <c r="G202" i="1"/>
  <c r="F202" i="1"/>
  <c r="M202" i="1"/>
  <c r="N202" i="1"/>
  <c r="AD203" i="1"/>
  <c r="B203" i="1"/>
  <c r="D203" i="1"/>
  <c r="E203" i="1"/>
  <c r="AC203" i="1"/>
  <c r="AF203" i="1"/>
  <c r="AE203" i="1"/>
  <c r="AB203" i="1"/>
  <c r="G203" i="1"/>
  <c r="F203" i="1"/>
  <c r="M203" i="1"/>
  <c r="N203" i="1"/>
  <c r="AD204" i="1"/>
  <c r="B204" i="1"/>
  <c r="D204" i="1"/>
  <c r="E204" i="1"/>
  <c r="AC204" i="1"/>
  <c r="AF204" i="1"/>
  <c r="AE204" i="1"/>
  <c r="AB204" i="1"/>
  <c r="G204" i="1"/>
  <c r="F204" i="1"/>
  <c r="M204" i="1"/>
  <c r="N204" i="1"/>
  <c r="AD205" i="1"/>
  <c r="B205" i="1"/>
  <c r="D205" i="1"/>
  <c r="E205" i="1"/>
  <c r="AC205" i="1"/>
  <c r="AB205" i="1"/>
  <c r="G205" i="1"/>
  <c r="F205" i="1"/>
  <c r="M205" i="1"/>
  <c r="N205" i="1"/>
  <c r="AD206" i="1"/>
  <c r="B206" i="1"/>
  <c r="D206" i="1"/>
  <c r="E206" i="1"/>
  <c r="AB206" i="1"/>
  <c r="G206" i="1"/>
  <c r="F206" i="1"/>
  <c r="M206" i="1"/>
  <c r="N206" i="1"/>
  <c r="AD207" i="1"/>
  <c r="AF209" i="1"/>
  <c r="AE209" i="1"/>
  <c r="B207" i="1"/>
  <c r="D207" i="1"/>
  <c r="E207" i="1"/>
  <c r="AC207" i="1"/>
  <c r="AF207" i="1"/>
  <c r="AE207" i="1"/>
  <c r="AB207" i="1"/>
  <c r="G207" i="1"/>
  <c r="F207" i="1"/>
  <c r="M207" i="1"/>
  <c r="N207" i="1"/>
  <c r="AD208" i="1"/>
  <c r="B208" i="1"/>
  <c r="D208" i="1"/>
  <c r="E208" i="1"/>
  <c r="AC208" i="1"/>
  <c r="AF208" i="1"/>
  <c r="AE208" i="1"/>
  <c r="AB208" i="1"/>
  <c r="G208" i="1"/>
  <c r="F208" i="1"/>
  <c r="M208" i="1"/>
  <c r="N208" i="1"/>
  <c r="AD209" i="1"/>
  <c r="B209" i="1"/>
  <c r="D209" i="1"/>
  <c r="E209" i="1"/>
  <c r="AC209" i="1"/>
  <c r="AB209" i="1"/>
  <c r="G209" i="1"/>
  <c r="F209" i="1"/>
  <c r="M209" i="1"/>
  <c r="N209" i="1"/>
  <c r="AD210" i="1"/>
  <c r="B210" i="1"/>
  <c r="D210" i="1"/>
  <c r="E210" i="1"/>
  <c r="AC210" i="1"/>
  <c r="AB210" i="1"/>
  <c r="G210" i="1"/>
  <c r="F210" i="1"/>
  <c r="M210" i="1"/>
  <c r="N210" i="1"/>
  <c r="AD211" i="1"/>
  <c r="B211" i="1"/>
  <c r="D211" i="1"/>
  <c r="E211" i="1"/>
  <c r="AC211" i="1"/>
  <c r="AB211" i="1"/>
  <c r="G211" i="1"/>
  <c r="F211" i="1"/>
  <c r="M211" i="1"/>
  <c r="N211" i="1"/>
  <c r="AD212" i="1"/>
  <c r="B212" i="1"/>
  <c r="D212" i="1"/>
  <c r="E212" i="1"/>
  <c r="AB212" i="1"/>
  <c r="G212" i="1"/>
  <c r="F212" i="1"/>
  <c r="M212" i="1"/>
  <c r="N212" i="1"/>
  <c r="AD213" i="1"/>
  <c r="B213" i="1"/>
  <c r="D213" i="1"/>
  <c r="E213" i="1"/>
  <c r="AC213" i="1"/>
  <c r="AF213" i="1"/>
  <c r="AE213" i="1"/>
  <c r="AB213" i="1"/>
  <c r="G213" i="1"/>
  <c r="F213" i="1"/>
  <c r="M213" i="1"/>
  <c r="N213" i="1"/>
  <c r="AD214" i="1"/>
  <c r="B214" i="1"/>
  <c r="D214" i="1"/>
  <c r="E214" i="1"/>
  <c r="AC214" i="1"/>
  <c r="AB214" i="1"/>
  <c r="G214" i="1"/>
  <c r="F214" i="1"/>
  <c r="M214" i="1"/>
  <c r="N214" i="1"/>
  <c r="AD215" i="1"/>
  <c r="B215" i="1"/>
  <c r="D215" i="1"/>
  <c r="E215" i="1"/>
  <c r="AC215" i="1"/>
  <c r="AB215" i="1"/>
  <c r="G215" i="1"/>
  <c r="F215" i="1"/>
  <c r="M215" i="1"/>
  <c r="N215" i="1"/>
  <c r="AD216" i="1"/>
  <c r="D216" i="1"/>
  <c r="E216" i="1"/>
  <c r="H216" i="1"/>
  <c r="I216" i="1"/>
  <c r="J216" i="1"/>
  <c r="AC216" i="1"/>
  <c r="AB216" i="1"/>
  <c r="G216" i="1"/>
  <c r="K216" i="1"/>
  <c r="L216"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Z216" i="1"/>
  <c r="M216" i="1"/>
  <c r="B216" i="1"/>
  <c r="F216" i="1"/>
  <c r="N216" i="1"/>
  <c r="AD217" i="1"/>
  <c r="AF218" i="1"/>
  <c r="AE218" i="1"/>
  <c r="B217" i="1"/>
  <c r="D217" i="1"/>
  <c r="E217" i="1"/>
  <c r="AC217" i="1"/>
  <c r="AB217" i="1"/>
  <c r="G217" i="1"/>
  <c r="F217" i="1"/>
  <c r="M217" i="1"/>
  <c r="N217" i="1"/>
  <c r="AD218" i="1"/>
  <c r="B218" i="1"/>
  <c r="D218" i="1"/>
  <c r="E218" i="1"/>
  <c r="AC218" i="1"/>
  <c r="AB218" i="1"/>
  <c r="G218" i="1"/>
  <c r="F218" i="1"/>
  <c r="M218" i="1"/>
  <c r="N218" i="1"/>
  <c r="AD219" i="1"/>
  <c r="B219" i="1"/>
  <c r="D219" i="1"/>
  <c r="E219" i="1"/>
  <c r="AC219" i="1"/>
  <c r="AF219" i="1"/>
  <c r="AE219" i="1"/>
  <c r="AB219" i="1"/>
  <c r="G219" i="1"/>
  <c r="F219" i="1"/>
  <c r="M219" i="1"/>
  <c r="N219" i="1"/>
  <c r="AD220" i="1"/>
  <c r="B220" i="1"/>
  <c r="D220" i="1"/>
  <c r="E220" i="1"/>
  <c r="AC220" i="1"/>
  <c r="AB220" i="1"/>
  <c r="G220" i="1"/>
  <c r="F220" i="1"/>
  <c r="M220" i="1"/>
  <c r="N220" i="1"/>
  <c r="AD221" i="1"/>
  <c r="B221" i="1"/>
  <c r="D221" i="1"/>
  <c r="E221" i="1"/>
  <c r="AC221" i="1"/>
  <c r="AF221" i="1"/>
  <c r="AE221" i="1"/>
  <c r="AB221" i="1"/>
  <c r="G221" i="1"/>
  <c r="F221" i="1"/>
  <c r="M221" i="1"/>
  <c r="N221" i="1"/>
  <c r="AD222" i="1"/>
  <c r="B222" i="1"/>
  <c r="D222" i="1"/>
  <c r="E222" i="1"/>
  <c r="AC222" i="1"/>
  <c r="AB222" i="1"/>
  <c r="G222" i="1"/>
  <c r="F222" i="1"/>
  <c r="M222" i="1"/>
  <c r="N222" i="1"/>
  <c r="AD223" i="1"/>
  <c r="B223" i="1"/>
  <c r="D223" i="1"/>
  <c r="E223" i="1"/>
  <c r="AC223" i="1"/>
  <c r="AF223" i="1"/>
  <c r="AE223" i="1"/>
  <c r="AB223" i="1"/>
  <c r="G223" i="1"/>
  <c r="F223" i="1"/>
  <c r="M223" i="1"/>
  <c r="N223" i="1"/>
  <c r="AD224" i="1"/>
  <c r="B224" i="1"/>
  <c r="D224" i="1"/>
  <c r="E224" i="1"/>
  <c r="AC224" i="1"/>
  <c r="AB224" i="1"/>
  <c r="G224" i="1"/>
  <c r="F224" i="1"/>
  <c r="M224" i="1"/>
  <c r="N224" i="1"/>
  <c r="AD225" i="1"/>
  <c r="B225" i="1"/>
  <c r="D225" i="1"/>
  <c r="E225" i="1"/>
  <c r="AC225" i="1"/>
  <c r="AB225" i="1"/>
  <c r="G225" i="1"/>
  <c r="F225" i="1"/>
  <c r="M225" i="1"/>
  <c r="N225" i="1"/>
  <c r="AD226" i="1"/>
  <c r="B226" i="1"/>
  <c r="D226" i="1"/>
  <c r="E226" i="1"/>
  <c r="AB226" i="1"/>
  <c r="G226" i="1"/>
  <c r="F226" i="1"/>
  <c r="M226" i="1"/>
  <c r="N226" i="1"/>
  <c r="AD227" i="1"/>
  <c r="B227" i="1"/>
  <c r="D227" i="1"/>
  <c r="E227" i="1"/>
  <c r="AC227" i="1"/>
  <c r="AB227" i="1"/>
  <c r="G227" i="1"/>
  <c r="F227" i="1"/>
  <c r="M227" i="1"/>
  <c r="N227" i="1"/>
  <c r="AD228" i="1"/>
  <c r="B228" i="1"/>
  <c r="D228" i="1"/>
  <c r="E228" i="1"/>
  <c r="AC228" i="1"/>
  <c r="AB228" i="1"/>
  <c r="G228" i="1"/>
  <c r="F228" i="1"/>
  <c r="M228" i="1"/>
  <c r="N228" i="1"/>
  <c r="AD229" i="1"/>
  <c r="B229" i="1"/>
  <c r="D229" i="1"/>
  <c r="E229" i="1"/>
  <c r="AC229" i="1"/>
  <c r="AB229" i="1"/>
  <c r="G229" i="1"/>
  <c r="F229" i="1"/>
  <c r="M229" i="1"/>
  <c r="N229" i="1"/>
  <c r="AD230" i="1"/>
  <c r="B230" i="1"/>
  <c r="D230" i="1"/>
  <c r="E230" i="1"/>
  <c r="AC230" i="1"/>
  <c r="AB230" i="1"/>
  <c r="G230" i="1"/>
  <c r="F230" i="1"/>
  <c r="M230" i="1"/>
  <c r="N230" i="1"/>
  <c r="AD231" i="1"/>
  <c r="B231" i="1"/>
  <c r="D231" i="1"/>
  <c r="E231" i="1"/>
  <c r="AC231" i="1"/>
  <c r="AB231" i="1"/>
  <c r="G231" i="1"/>
  <c r="F231" i="1"/>
  <c r="M231" i="1"/>
  <c r="N231" i="1"/>
  <c r="AD232" i="1"/>
  <c r="B232" i="1"/>
  <c r="D232" i="1"/>
  <c r="E232" i="1"/>
  <c r="AB232" i="1"/>
  <c r="G232" i="1"/>
  <c r="F232" i="1"/>
  <c r="M232" i="1"/>
  <c r="N232" i="1"/>
  <c r="AD233" i="1"/>
  <c r="B233" i="1"/>
  <c r="D233" i="1"/>
  <c r="E233" i="1"/>
  <c r="AB233" i="1"/>
  <c r="G233" i="1"/>
  <c r="F233" i="1"/>
  <c r="M233" i="1"/>
  <c r="N233" i="1"/>
  <c r="AD234" i="1"/>
  <c r="AF234" i="1"/>
  <c r="AE234" i="1"/>
  <c r="B234" i="1"/>
  <c r="D234" i="1"/>
  <c r="E234" i="1"/>
  <c r="AC234" i="1"/>
  <c r="AB234" i="1"/>
  <c r="G234" i="1"/>
  <c r="F234" i="1"/>
  <c r="M234" i="1"/>
  <c r="N234" i="1"/>
  <c r="AD235" i="1"/>
  <c r="B235" i="1"/>
  <c r="D235" i="1"/>
  <c r="E235" i="1"/>
  <c r="AC235" i="1"/>
  <c r="AF235" i="1"/>
  <c r="AE235" i="1"/>
  <c r="AB235" i="1"/>
  <c r="G235" i="1"/>
  <c r="F235" i="1"/>
  <c r="M235" i="1"/>
  <c r="N235" i="1"/>
  <c r="AD236" i="1"/>
  <c r="B236" i="1"/>
  <c r="D236" i="1"/>
  <c r="E236" i="1"/>
  <c r="AC236" i="1"/>
  <c r="AB236" i="1"/>
  <c r="G236" i="1"/>
  <c r="F236" i="1"/>
  <c r="M236" i="1"/>
  <c r="N236" i="1"/>
  <c r="AD237" i="1"/>
  <c r="B237" i="1"/>
  <c r="D237" i="1"/>
  <c r="E237" i="1"/>
  <c r="AC237" i="1"/>
  <c r="AB237" i="1"/>
  <c r="G237" i="1"/>
  <c r="F237" i="1"/>
  <c r="M237" i="1"/>
  <c r="N237" i="1"/>
  <c r="AD238" i="1"/>
  <c r="B238" i="1"/>
  <c r="D238" i="1"/>
  <c r="E238" i="1"/>
  <c r="AC238" i="1"/>
  <c r="AB238" i="1"/>
  <c r="G238" i="1"/>
  <c r="F238" i="1"/>
  <c r="M238" i="1"/>
  <c r="N238" i="1"/>
  <c r="AD239" i="1"/>
  <c r="B239" i="1"/>
  <c r="D239" i="1"/>
  <c r="E239" i="1"/>
  <c r="AC239" i="1"/>
  <c r="AF239" i="1"/>
  <c r="AE239" i="1"/>
  <c r="AB239" i="1"/>
  <c r="G239" i="1"/>
  <c r="F239" i="1"/>
  <c r="M239" i="1"/>
  <c r="N239" i="1"/>
  <c r="AD240" i="1"/>
  <c r="B240" i="1"/>
  <c r="D240" i="1"/>
  <c r="E240" i="1"/>
  <c r="AC240" i="1"/>
  <c r="AB240" i="1"/>
  <c r="G240" i="1"/>
  <c r="F240" i="1"/>
  <c r="M240" i="1"/>
  <c r="N240" i="1"/>
  <c r="AD241" i="1"/>
  <c r="B241" i="1"/>
  <c r="D241" i="1"/>
  <c r="E241" i="1"/>
  <c r="AC241" i="1"/>
  <c r="AB241" i="1"/>
  <c r="G241" i="1"/>
  <c r="F241" i="1"/>
  <c r="M241" i="1"/>
  <c r="N241" i="1"/>
  <c r="AD242" i="1"/>
  <c r="AF242" i="1"/>
  <c r="AE242" i="1"/>
  <c r="D242" i="1"/>
  <c r="E242" i="1"/>
  <c r="H242" i="1"/>
  <c r="I242" i="1"/>
  <c r="J242" i="1"/>
  <c r="AC242" i="1"/>
  <c r="AB242" i="1"/>
  <c r="G242" i="1"/>
  <c r="K242" i="1"/>
  <c r="L242"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Z242" i="1"/>
  <c r="M242" i="1"/>
  <c r="B242" i="1"/>
  <c r="F242" i="1"/>
  <c r="N242" i="1"/>
  <c r="AD243" i="1"/>
  <c r="B243" i="1"/>
  <c r="D243" i="1"/>
  <c r="E243" i="1"/>
  <c r="AC243" i="1"/>
  <c r="AB243" i="1"/>
  <c r="G243" i="1"/>
  <c r="F243" i="1"/>
  <c r="M243" i="1"/>
  <c r="N243" i="1"/>
  <c r="AD244" i="1"/>
  <c r="D244" i="1"/>
  <c r="E244" i="1"/>
  <c r="H244" i="1"/>
  <c r="I244" i="1"/>
  <c r="J244" i="1"/>
  <c r="AC244" i="1"/>
  <c r="AB244" i="1"/>
  <c r="G244" i="1"/>
  <c r="K244" i="1"/>
  <c r="L244" i="1"/>
  <c r="A243" i="1"/>
  <c r="A244" i="1"/>
  <c r="Z244" i="1"/>
  <c r="M244" i="1"/>
  <c r="B244" i="1"/>
  <c r="F244" i="1"/>
  <c r="N244" i="1"/>
  <c r="AD245" i="1"/>
  <c r="D245" i="1"/>
  <c r="E245" i="1"/>
  <c r="H245" i="1"/>
  <c r="I245" i="1"/>
  <c r="J245" i="1"/>
  <c r="AC245" i="1"/>
  <c r="AB245" i="1"/>
  <c r="G245" i="1"/>
  <c r="K245" i="1"/>
  <c r="L245" i="1"/>
  <c r="A245"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Z245" i="1"/>
  <c r="M245" i="1"/>
  <c r="B245" i="1"/>
  <c r="F245" i="1"/>
  <c r="N245" i="1"/>
  <c r="AD246" i="1"/>
  <c r="B246" i="1"/>
  <c r="D246" i="1"/>
  <c r="E246" i="1"/>
  <c r="AB246" i="1"/>
  <c r="G246" i="1"/>
  <c r="F246" i="1"/>
  <c r="M246" i="1"/>
  <c r="N246" i="1"/>
  <c r="AD247" i="1"/>
  <c r="B247" i="1"/>
  <c r="D247" i="1"/>
  <c r="E247" i="1"/>
  <c r="AC247" i="1"/>
  <c r="AB247" i="1"/>
  <c r="G247" i="1"/>
  <c r="F247" i="1"/>
  <c r="M247" i="1"/>
  <c r="N247" i="1"/>
  <c r="AD248" i="1"/>
  <c r="B248" i="1"/>
  <c r="D248" i="1"/>
  <c r="E248" i="1"/>
  <c r="AB248" i="1"/>
  <c r="G248" i="1"/>
  <c r="F248" i="1"/>
  <c r="M248" i="1"/>
  <c r="N248" i="1"/>
  <c r="AD249" i="1"/>
  <c r="B249" i="1"/>
  <c r="D249" i="1"/>
  <c r="E249" i="1"/>
  <c r="AC249" i="1"/>
  <c r="AB249" i="1"/>
  <c r="G249" i="1"/>
  <c r="F249" i="1"/>
  <c r="M249" i="1"/>
  <c r="N249" i="1"/>
  <c r="AD250" i="1"/>
  <c r="B250" i="1"/>
  <c r="D250" i="1"/>
  <c r="E250" i="1"/>
  <c r="AC250" i="1"/>
  <c r="AB250" i="1"/>
  <c r="G250" i="1"/>
  <c r="F250" i="1"/>
  <c r="M250" i="1"/>
  <c r="N250" i="1"/>
  <c r="AD251" i="1"/>
  <c r="B251" i="1"/>
  <c r="D251" i="1"/>
  <c r="E251" i="1"/>
  <c r="AF251" i="1"/>
  <c r="AE251" i="1"/>
  <c r="AB251" i="1"/>
  <c r="G251" i="1"/>
  <c r="F251" i="1"/>
  <c r="M251" i="1"/>
  <c r="N251" i="1"/>
  <c r="AD252" i="1"/>
  <c r="B252" i="1"/>
  <c r="D252" i="1"/>
  <c r="E252" i="1"/>
  <c r="AC252" i="1"/>
  <c r="AB252" i="1"/>
  <c r="G252" i="1"/>
  <c r="F252" i="1"/>
  <c r="M252" i="1"/>
  <c r="N252" i="1"/>
  <c r="AD253" i="1"/>
  <c r="B253" i="1"/>
  <c r="D253" i="1"/>
  <c r="E253" i="1"/>
  <c r="AB253" i="1"/>
  <c r="G253" i="1"/>
  <c r="F253" i="1"/>
  <c r="M253" i="1"/>
  <c r="N253" i="1"/>
  <c r="AD254" i="1"/>
  <c r="B254" i="1"/>
  <c r="D254" i="1"/>
  <c r="E254" i="1"/>
  <c r="AC254" i="1"/>
  <c r="AB254" i="1"/>
  <c r="G254" i="1"/>
  <c r="F254" i="1"/>
  <c r="M254" i="1"/>
  <c r="N254" i="1"/>
  <c r="AD255" i="1"/>
  <c r="AG255" i="1"/>
  <c r="AG158" i="7"/>
  <c r="B255" i="1"/>
  <c r="D255" i="1"/>
  <c r="E255" i="1"/>
  <c r="AC255" i="1"/>
  <c r="AF255" i="1"/>
  <c r="AE255" i="1"/>
  <c r="AB255" i="1"/>
  <c r="G255" i="1"/>
  <c r="F255" i="1"/>
  <c r="M255" i="1"/>
  <c r="N255" i="1"/>
  <c r="AD256" i="1"/>
  <c r="B256" i="1"/>
  <c r="D256" i="1"/>
  <c r="E256" i="1"/>
  <c r="AC256" i="1"/>
  <c r="AB256" i="1"/>
  <c r="G256" i="1"/>
  <c r="F256" i="1"/>
  <c r="M256" i="1"/>
  <c r="N256" i="1"/>
  <c r="AD257" i="1"/>
  <c r="B257" i="1"/>
  <c r="D257" i="1"/>
  <c r="E257" i="1"/>
  <c r="AC257" i="1"/>
  <c r="AB257" i="1"/>
  <c r="G257" i="1"/>
  <c r="F257" i="1"/>
  <c r="M257" i="1"/>
  <c r="N257" i="1"/>
  <c r="AD258" i="1"/>
  <c r="AG258" i="1"/>
  <c r="AG161" i="7"/>
  <c r="B258" i="1"/>
  <c r="D258" i="1"/>
  <c r="E258" i="1"/>
  <c r="AC258" i="1"/>
  <c r="AB258" i="1"/>
  <c r="G258" i="1"/>
  <c r="F258" i="1"/>
  <c r="M258" i="1"/>
  <c r="N258" i="1"/>
  <c r="AD259" i="1"/>
  <c r="B259" i="1"/>
  <c r="D259" i="1"/>
  <c r="E259" i="1"/>
  <c r="AC259" i="1"/>
  <c r="AB259" i="1"/>
  <c r="G259" i="1"/>
  <c r="F259" i="1"/>
  <c r="M259" i="1"/>
  <c r="N259" i="1"/>
  <c r="AD260" i="1"/>
  <c r="B260" i="1"/>
  <c r="D260" i="1"/>
  <c r="E260" i="1"/>
  <c r="AC260" i="1"/>
  <c r="AB260" i="1"/>
  <c r="G260" i="1"/>
  <c r="F260" i="1"/>
  <c r="M260" i="1"/>
  <c r="N260" i="1"/>
  <c r="AD261" i="1"/>
  <c r="B261" i="1"/>
  <c r="D261" i="1"/>
  <c r="E261" i="1"/>
  <c r="AC261" i="1"/>
  <c r="AB261" i="1"/>
  <c r="G261" i="1"/>
  <c r="F261" i="1"/>
  <c r="M261" i="1"/>
  <c r="N261" i="1"/>
  <c r="AD262" i="1"/>
  <c r="B262" i="1"/>
  <c r="D262" i="1"/>
  <c r="E262" i="1"/>
  <c r="AC262" i="1"/>
  <c r="AB262" i="1"/>
  <c r="G262" i="1"/>
  <c r="F262" i="1"/>
  <c r="M262" i="1"/>
  <c r="N262" i="1"/>
  <c r="AD263" i="1"/>
  <c r="B263" i="1"/>
  <c r="D263" i="1"/>
  <c r="E263" i="1"/>
  <c r="AC263" i="1"/>
  <c r="AB263" i="1"/>
  <c r="G263" i="1"/>
  <c r="F263" i="1"/>
  <c r="M263" i="1"/>
  <c r="N263" i="1"/>
  <c r="AD264" i="1"/>
  <c r="B264" i="1"/>
  <c r="D264" i="1"/>
  <c r="E264" i="1"/>
  <c r="AC264" i="1"/>
  <c r="AB264" i="1"/>
  <c r="G264" i="1"/>
  <c r="F264" i="1"/>
  <c r="M264" i="1"/>
  <c r="N264" i="1"/>
  <c r="AD265" i="1"/>
  <c r="B265" i="1"/>
  <c r="D265" i="1"/>
  <c r="E265" i="1"/>
  <c r="AC265" i="1"/>
  <c r="AB265" i="1"/>
  <c r="G265" i="1"/>
  <c r="F265" i="1"/>
  <c r="M265" i="1"/>
  <c r="N265" i="1"/>
  <c r="AD266" i="1"/>
  <c r="B266" i="1"/>
  <c r="D266" i="1"/>
  <c r="E266" i="1"/>
  <c r="AC266" i="1"/>
  <c r="AB266" i="1"/>
  <c r="G266" i="1"/>
  <c r="F266" i="1"/>
  <c r="M266" i="1"/>
  <c r="N266" i="1"/>
  <c r="AD267" i="1"/>
  <c r="B267" i="1"/>
  <c r="D267" i="1"/>
  <c r="E267" i="1"/>
  <c r="AC267" i="1"/>
  <c r="AF267" i="1"/>
  <c r="AE267" i="1"/>
  <c r="AB267" i="1"/>
  <c r="G267" i="1"/>
  <c r="F267" i="1"/>
  <c r="M267" i="1"/>
  <c r="N267" i="1"/>
  <c r="AD268" i="1"/>
  <c r="B268" i="1"/>
  <c r="D268" i="1"/>
  <c r="E268" i="1"/>
  <c r="AC268" i="1"/>
  <c r="AB268" i="1"/>
  <c r="G268" i="1"/>
  <c r="F268" i="1"/>
  <c r="M268" i="1"/>
  <c r="N268" i="1"/>
  <c r="AD269" i="1"/>
  <c r="B269" i="1"/>
  <c r="D269" i="1"/>
  <c r="E269" i="1"/>
  <c r="AB269" i="1"/>
  <c r="G269" i="1"/>
  <c r="F269" i="1"/>
  <c r="M269" i="1"/>
  <c r="N269" i="1"/>
  <c r="AD270" i="1"/>
  <c r="B270" i="1"/>
  <c r="D270" i="1"/>
  <c r="E270" i="1"/>
  <c r="AC270" i="1"/>
  <c r="AB270" i="1"/>
  <c r="G270" i="1"/>
  <c r="F270" i="1"/>
  <c r="M270" i="1"/>
  <c r="N270" i="1"/>
  <c r="AD271" i="1"/>
  <c r="B271" i="1"/>
  <c r="D271" i="1"/>
  <c r="E271" i="1"/>
  <c r="AC271" i="1"/>
  <c r="AF271" i="1"/>
  <c r="AE271" i="1"/>
  <c r="AB271" i="1"/>
  <c r="G271" i="1"/>
  <c r="F271" i="1"/>
  <c r="M271" i="1"/>
  <c r="N271" i="1"/>
  <c r="AD272" i="1"/>
  <c r="AF272" i="1"/>
  <c r="AE272" i="1"/>
  <c r="B272" i="1"/>
  <c r="D272" i="1"/>
  <c r="E272" i="1"/>
  <c r="AC272" i="1"/>
  <c r="AB272" i="1"/>
  <c r="G272" i="1"/>
  <c r="F272" i="1"/>
  <c r="M272" i="1"/>
  <c r="N272" i="1"/>
  <c r="AD273" i="1"/>
  <c r="B273" i="1"/>
  <c r="D273" i="1"/>
  <c r="E273" i="1"/>
  <c r="AC273" i="1"/>
  <c r="AB273" i="1"/>
  <c r="G273" i="1"/>
  <c r="F273" i="1"/>
  <c r="M273" i="1"/>
  <c r="N273" i="1"/>
  <c r="AD274" i="1"/>
  <c r="D274" i="1"/>
  <c r="E274" i="1"/>
  <c r="H274" i="1"/>
  <c r="I274" i="1"/>
  <c r="J274" i="1"/>
  <c r="AB274" i="1"/>
  <c r="G274" i="1"/>
  <c r="K274" i="1"/>
  <c r="L274"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Z274" i="1"/>
  <c r="M274" i="1"/>
  <c r="B274" i="1"/>
  <c r="F274" i="1"/>
  <c r="N274" i="1"/>
  <c r="AD275" i="1"/>
  <c r="AF275" i="1"/>
  <c r="AE275" i="1"/>
  <c r="B275" i="1"/>
  <c r="D275" i="1"/>
  <c r="E275" i="1"/>
  <c r="AC275" i="1"/>
  <c r="AB275" i="1"/>
  <c r="G275" i="1"/>
  <c r="F275" i="1"/>
  <c r="M275" i="1"/>
  <c r="N275" i="1"/>
  <c r="AD276" i="1"/>
  <c r="B276" i="1"/>
  <c r="D276" i="1"/>
  <c r="E276" i="1"/>
  <c r="AC276" i="1"/>
  <c r="AB276" i="1"/>
  <c r="G276" i="1"/>
  <c r="F276" i="1"/>
  <c r="M276" i="1"/>
  <c r="N276" i="1"/>
  <c r="AD277" i="1"/>
  <c r="B277" i="1"/>
  <c r="D277" i="1"/>
  <c r="E277" i="1"/>
  <c r="AC277" i="1"/>
  <c r="AB277" i="1"/>
  <c r="G277" i="1"/>
  <c r="F277" i="1"/>
  <c r="M277" i="1"/>
  <c r="N277" i="1"/>
  <c r="AD278" i="1"/>
  <c r="B278" i="1"/>
  <c r="D278" i="1"/>
  <c r="E278" i="1"/>
  <c r="AC278" i="1"/>
  <c r="AB278" i="1"/>
  <c r="G278" i="1"/>
  <c r="F278" i="1"/>
  <c r="M278" i="1"/>
  <c r="N278" i="1"/>
  <c r="AD279" i="1"/>
  <c r="B279" i="1"/>
  <c r="D279" i="1"/>
  <c r="E279" i="1"/>
  <c r="AC279" i="1"/>
  <c r="AB279" i="1"/>
  <c r="G279" i="1"/>
  <c r="F279" i="1"/>
  <c r="M279" i="1"/>
  <c r="N279" i="1"/>
  <c r="AD280" i="1"/>
  <c r="D280" i="1"/>
  <c r="E280" i="1"/>
  <c r="H280" i="1"/>
  <c r="I280" i="1"/>
  <c r="J280" i="1"/>
  <c r="AC280" i="1"/>
  <c r="AB280" i="1"/>
  <c r="G280" i="1"/>
  <c r="K280" i="1"/>
  <c r="L280" i="1"/>
  <c r="A275" i="1"/>
  <c r="A276" i="1"/>
  <c r="A277" i="1"/>
  <c r="A278" i="1"/>
  <c r="A279" i="1"/>
  <c r="A280" i="1"/>
  <c r="Z280" i="1"/>
  <c r="M280" i="1"/>
  <c r="B280" i="1"/>
  <c r="F280" i="1"/>
  <c r="N280" i="1"/>
  <c r="AD281" i="1"/>
  <c r="B281" i="1"/>
  <c r="D281" i="1"/>
  <c r="E281" i="1"/>
  <c r="AC281" i="1"/>
  <c r="AB281" i="1"/>
  <c r="G281" i="1"/>
  <c r="F281" i="1"/>
  <c r="M281" i="1"/>
  <c r="N281" i="1"/>
  <c r="AD282" i="1"/>
  <c r="B282" i="1"/>
  <c r="D282" i="1"/>
  <c r="E282" i="1"/>
  <c r="AC282" i="1"/>
  <c r="AB282" i="1"/>
  <c r="G282" i="1"/>
  <c r="F282" i="1"/>
  <c r="M282" i="1"/>
  <c r="N282" i="1"/>
  <c r="AD283" i="1"/>
  <c r="B283" i="1"/>
  <c r="D283" i="1"/>
  <c r="E283" i="1"/>
  <c r="AC283" i="1"/>
  <c r="AB283" i="1"/>
  <c r="G283" i="1"/>
  <c r="F283" i="1"/>
  <c r="M283" i="1"/>
  <c r="N283" i="1"/>
  <c r="AD284" i="1"/>
  <c r="B284" i="1"/>
  <c r="D284" i="1"/>
  <c r="E284" i="1"/>
  <c r="AC284" i="1"/>
  <c r="AB284" i="1"/>
  <c r="G284" i="1"/>
  <c r="F284" i="1"/>
  <c r="M284" i="1"/>
  <c r="N284" i="1"/>
  <c r="AD285" i="1"/>
  <c r="B285" i="1"/>
  <c r="D285" i="1"/>
  <c r="E285" i="1"/>
  <c r="AC285" i="1"/>
  <c r="AB285" i="1"/>
  <c r="G285" i="1"/>
  <c r="F285" i="1"/>
  <c r="M285" i="1"/>
  <c r="N285" i="1"/>
  <c r="AD286" i="1"/>
  <c r="D286" i="1"/>
  <c r="E286" i="1"/>
  <c r="H286" i="1"/>
  <c r="I286" i="1"/>
  <c r="J286" i="1"/>
  <c r="AC286" i="1"/>
  <c r="AB286" i="1"/>
  <c r="G286" i="1"/>
  <c r="K286" i="1"/>
  <c r="L286" i="1"/>
  <c r="A281" i="1"/>
  <c r="A282" i="1"/>
  <c r="A283" i="1"/>
  <c r="A284" i="1"/>
  <c r="A285" i="1"/>
  <c r="A286" i="1"/>
  <c r="Z286" i="1"/>
  <c r="M286" i="1"/>
  <c r="B286" i="1"/>
  <c r="F286" i="1"/>
  <c r="N286" i="1"/>
  <c r="AD287" i="1"/>
  <c r="B287" i="1"/>
  <c r="D287" i="1"/>
  <c r="E287" i="1"/>
  <c r="AC287" i="1"/>
  <c r="AF287" i="1"/>
  <c r="AE287" i="1"/>
  <c r="AB287" i="1"/>
  <c r="G287" i="1"/>
  <c r="F287" i="1"/>
  <c r="M287" i="1"/>
  <c r="N287" i="1"/>
  <c r="AD288" i="1"/>
  <c r="B288" i="1"/>
  <c r="D288" i="1"/>
  <c r="E288" i="1"/>
  <c r="AB288" i="1"/>
  <c r="G288" i="1"/>
  <c r="F288" i="1"/>
  <c r="M288" i="1"/>
  <c r="N288" i="1"/>
  <c r="AD289" i="1"/>
  <c r="B289" i="1"/>
  <c r="D289" i="1"/>
  <c r="E289" i="1"/>
  <c r="AB289" i="1"/>
  <c r="G289" i="1"/>
  <c r="F289" i="1"/>
  <c r="M289" i="1"/>
  <c r="N289" i="1"/>
  <c r="AD290" i="1"/>
  <c r="B290" i="1"/>
  <c r="D290" i="1"/>
  <c r="E290" i="1"/>
  <c r="AB290" i="1"/>
  <c r="G290" i="1"/>
  <c r="F290" i="1"/>
  <c r="M290" i="1"/>
  <c r="N290" i="1"/>
  <c r="AD291" i="1"/>
  <c r="B291" i="1"/>
  <c r="D291" i="1"/>
  <c r="E291" i="1"/>
  <c r="AC291" i="1"/>
  <c r="AF291" i="1"/>
  <c r="AE291" i="1"/>
  <c r="AB291" i="1"/>
  <c r="G291" i="1"/>
  <c r="F291" i="1"/>
  <c r="M291" i="1"/>
  <c r="N291" i="1"/>
  <c r="AD292" i="1"/>
  <c r="B292" i="1"/>
  <c r="D292" i="1"/>
  <c r="E292" i="1"/>
  <c r="AC292" i="1"/>
  <c r="AB292" i="1"/>
  <c r="G292" i="1"/>
  <c r="F292" i="1"/>
  <c r="M292" i="1"/>
  <c r="N292" i="1"/>
  <c r="AD293" i="1"/>
  <c r="B293" i="1"/>
  <c r="D293" i="1"/>
  <c r="E293" i="1"/>
  <c r="AC293" i="1"/>
  <c r="AB293" i="1"/>
  <c r="G293" i="1"/>
  <c r="F293" i="1"/>
  <c r="M293" i="1"/>
  <c r="N293" i="1"/>
  <c r="AD294" i="1"/>
  <c r="B294" i="1"/>
  <c r="D294" i="1"/>
  <c r="E294" i="1"/>
  <c r="AC294" i="1"/>
  <c r="AB294" i="1"/>
  <c r="G294" i="1"/>
  <c r="F294" i="1"/>
  <c r="M294" i="1"/>
  <c r="N294" i="1"/>
  <c r="AD295" i="1"/>
  <c r="B295" i="1"/>
  <c r="D295" i="1"/>
  <c r="E295" i="1"/>
  <c r="AC295" i="1"/>
  <c r="AB295" i="1"/>
  <c r="G295" i="1"/>
  <c r="F295" i="1"/>
  <c r="M295" i="1"/>
  <c r="N295" i="1"/>
  <c r="AD296" i="1"/>
  <c r="B296" i="1"/>
  <c r="D296" i="1"/>
  <c r="E296" i="1"/>
  <c r="AB296" i="1"/>
  <c r="G296" i="1"/>
  <c r="F296" i="1"/>
  <c r="M296" i="1"/>
  <c r="N296" i="1"/>
  <c r="AD297" i="1"/>
  <c r="B297" i="1"/>
  <c r="D297" i="1"/>
  <c r="E297" i="1"/>
  <c r="AC297" i="1"/>
  <c r="AB297" i="1"/>
  <c r="G297" i="1"/>
  <c r="F297" i="1"/>
  <c r="M297" i="1"/>
  <c r="N297" i="1"/>
  <c r="AD298" i="1"/>
  <c r="B298" i="1"/>
  <c r="D298" i="1"/>
  <c r="E298" i="1"/>
  <c r="AC298" i="1"/>
  <c r="AB298" i="1"/>
  <c r="G298" i="1"/>
  <c r="F298" i="1"/>
  <c r="M298" i="1"/>
  <c r="N298" i="1"/>
  <c r="AD299" i="1"/>
  <c r="B299" i="1"/>
  <c r="D299" i="1"/>
  <c r="E299" i="1"/>
  <c r="AC299" i="1"/>
  <c r="AB299" i="1"/>
  <c r="G299" i="1"/>
  <c r="F299" i="1"/>
  <c r="M299" i="1"/>
  <c r="N299" i="1"/>
  <c r="AD300" i="1"/>
  <c r="B300" i="1"/>
  <c r="D300" i="1"/>
  <c r="E300" i="1"/>
  <c r="AC300" i="1"/>
  <c r="AB300" i="1"/>
  <c r="G300" i="1"/>
  <c r="F300" i="1"/>
  <c r="M300" i="1"/>
  <c r="N300" i="1"/>
  <c r="AD301" i="1"/>
  <c r="B301" i="1"/>
  <c r="D301" i="1"/>
  <c r="E301" i="1"/>
  <c r="AC301" i="1"/>
  <c r="AB301" i="1"/>
  <c r="G301" i="1"/>
  <c r="F301" i="1"/>
  <c r="M301" i="1"/>
  <c r="N301" i="1"/>
  <c r="AD302" i="1"/>
  <c r="B302" i="1"/>
  <c r="D302" i="1"/>
  <c r="E302" i="1"/>
  <c r="AC302" i="1"/>
  <c r="AB302" i="1"/>
  <c r="G302" i="1"/>
  <c r="F302" i="1"/>
  <c r="M302" i="1"/>
  <c r="N302" i="1"/>
  <c r="AD303" i="1"/>
  <c r="B303" i="1"/>
  <c r="D303" i="1"/>
  <c r="E303" i="1"/>
  <c r="AC303" i="1"/>
  <c r="AF303" i="1"/>
  <c r="AE303" i="1"/>
  <c r="AB303" i="1"/>
  <c r="G303" i="1"/>
  <c r="F303" i="1"/>
  <c r="M303" i="1"/>
  <c r="N303" i="1"/>
  <c r="AD304" i="1"/>
  <c r="B304" i="1"/>
  <c r="D304" i="1"/>
  <c r="E304" i="1"/>
  <c r="AC304" i="1"/>
  <c r="AB304" i="1"/>
  <c r="G304" i="1"/>
  <c r="F304" i="1"/>
  <c r="M304" i="1"/>
  <c r="N304" i="1"/>
  <c r="AD305" i="1"/>
  <c r="B305" i="1"/>
  <c r="D305" i="1"/>
  <c r="E305" i="1"/>
  <c r="AC305" i="1"/>
  <c r="AB305" i="1"/>
  <c r="G305" i="1"/>
  <c r="F305" i="1"/>
  <c r="M305" i="1"/>
  <c r="N305" i="1"/>
  <c r="AD306" i="1"/>
  <c r="B306" i="1"/>
  <c r="D306" i="1"/>
  <c r="E306" i="1"/>
  <c r="AC306" i="1"/>
  <c r="AB306" i="1"/>
  <c r="G306" i="1"/>
  <c r="F306" i="1"/>
  <c r="M306" i="1"/>
  <c r="N306" i="1"/>
  <c r="AD307" i="1"/>
  <c r="B307" i="1"/>
  <c r="D307" i="1"/>
  <c r="E307" i="1"/>
  <c r="AC307" i="1"/>
  <c r="AF307" i="1"/>
  <c r="AE307" i="1"/>
  <c r="AB307" i="1"/>
  <c r="G307" i="1"/>
  <c r="F307" i="1"/>
  <c r="M307" i="1"/>
  <c r="N307" i="1"/>
  <c r="AD308" i="1"/>
  <c r="B308" i="1"/>
  <c r="D308" i="1"/>
  <c r="E308" i="1"/>
  <c r="AC308" i="1"/>
  <c r="AB308" i="1"/>
  <c r="G308" i="1"/>
  <c r="F308" i="1"/>
  <c r="M308" i="1"/>
  <c r="N308" i="1"/>
  <c r="AD309" i="1"/>
  <c r="B309" i="1"/>
  <c r="D309" i="1"/>
  <c r="E309" i="1"/>
  <c r="AC309" i="1"/>
  <c r="AB309" i="1"/>
  <c r="G309" i="1"/>
  <c r="F309" i="1"/>
  <c r="M309" i="1"/>
  <c r="N309" i="1"/>
  <c r="AD310" i="1"/>
  <c r="B310" i="1"/>
  <c r="D310" i="1"/>
  <c r="E310" i="1"/>
  <c r="AC310" i="1"/>
  <c r="AB310" i="1"/>
  <c r="G310" i="1"/>
  <c r="F310" i="1"/>
  <c r="M310" i="1"/>
  <c r="N310" i="1"/>
  <c r="AD311" i="1"/>
  <c r="B311" i="1"/>
  <c r="D311" i="1"/>
  <c r="E311" i="1"/>
  <c r="AC311" i="1"/>
  <c r="AB311" i="1"/>
  <c r="G311" i="1"/>
  <c r="F311" i="1"/>
  <c r="M311" i="1"/>
  <c r="N311" i="1"/>
  <c r="AD312" i="1"/>
  <c r="B312" i="1"/>
  <c r="D312" i="1"/>
  <c r="E312" i="1"/>
  <c r="AB312" i="1"/>
  <c r="G312" i="1"/>
  <c r="F312" i="1"/>
  <c r="M312" i="1"/>
  <c r="N312" i="1"/>
  <c r="AD313" i="1"/>
  <c r="B313" i="1"/>
  <c r="D313" i="1"/>
  <c r="E313" i="1"/>
  <c r="AC313" i="1"/>
  <c r="AB313" i="1"/>
  <c r="G313" i="1"/>
  <c r="F313" i="1"/>
  <c r="M313" i="1"/>
  <c r="N313" i="1"/>
  <c r="AD314" i="1"/>
  <c r="B314" i="1"/>
  <c r="D314" i="1"/>
  <c r="E314" i="1"/>
  <c r="AC314" i="1"/>
  <c r="AB314" i="1"/>
  <c r="G314" i="1"/>
  <c r="F314" i="1"/>
  <c r="M314" i="1"/>
  <c r="N314" i="1"/>
  <c r="AD315" i="1"/>
  <c r="B315" i="1"/>
  <c r="D315" i="1"/>
  <c r="E315" i="1"/>
  <c r="AB315" i="1"/>
  <c r="G315" i="1"/>
  <c r="F315" i="1"/>
  <c r="M315" i="1"/>
  <c r="N315" i="1"/>
  <c r="AD316" i="1"/>
  <c r="B316" i="1"/>
  <c r="D316" i="1"/>
  <c r="E316" i="1"/>
  <c r="AC316" i="1"/>
  <c r="AB316" i="1"/>
  <c r="G316" i="1"/>
  <c r="F316" i="1"/>
  <c r="M316" i="1"/>
  <c r="N316" i="1"/>
  <c r="AD317" i="1"/>
  <c r="B317" i="1"/>
  <c r="D317" i="1"/>
  <c r="E317" i="1"/>
  <c r="AB317" i="1"/>
  <c r="G317" i="1"/>
  <c r="F317" i="1"/>
  <c r="M317" i="1"/>
  <c r="N317" i="1"/>
  <c r="AD318" i="1"/>
  <c r="B318" i="1"/>
  <c r="D318" i="1"/>
  <c r="E318" i="1"/>
  <c r="AB318" i="1"/>
  <c r="G318" i="1"/>
  <c r="F318" i="1"/>
  <c r="M318" i="1"/>
  <c r="N318" i="1"/>
  <c r="AD319" i="1"/>
  <c r="B319" i="1"/>
  <c r="D319" i="1"/>
  <c r="E319" i="1"/>
  <c r="AC319" i="1"/>
  <c r="AF319" i="1"/>
  <c r="AE319" i="1"/>
  <c r="AB319" i="1"/>
  <c r="G319" i="1"/>
  <c r="F319" i="1"/>
  <c r="M319" i="1"/>
  <c r="N319" i="1"/>
  <c r="AD320" i="1"/>
  <c r="B320" i="1"/>
  <c r="D320" i="1"/>
  <c r="E320" i="1"/>
  <c r="AC320" i="1"/>
  <c r="AB320" i="1"/>
  <c r="G320" i="1"/>
  <c r="F320" i="1"/>
  <c r="M320" i="1"/>
  <c r="N320" i="1"/>
  <c r="AD321" i="1"/>
  <c r="B321" i="1"/>
  <c r="D321" i="1"/>
  <c r="E321" i="1"/>
  <c r="AC321" i="1"/>
  <c r="AB321" i="1"/>
  <c r="G321" i="1"/>
  <c r="F321" i="1"/>
  <c r="M321" i="1"/>
  <c r="N321" i="1"/>
  <c r="AD322" i="1"/>
  <c r="B322" i="1"/>
  <c r="D322" i="1"/>
  <c r="E322" i="1"/>
  <c r="AC322" i="1"/>
  <c r="AB322" i="1"/>
  <c r="G322" i="1"/>
  <c r="F322" i="1"/>
  <c r="M322" i="1"/>
  <c r="N322" i="1"/>
  <c r="AD323" i="1"/>
  <c r="B323" i="1"/>
  <c r="D323" i="1"/>
  <c r="E323" i="1"/>
  <c r="AC323" i="1"/>
  <c r="AF323" i="1"/>
  <c r="AE323" i="1"/>
  <c r="AB323" i="1"/>
  <c r="G323" i="1"/>
  <c r="F323" i="1"/>
  <c r="M323" i="1"/>
  <c r="N323" i="1"/>
  <c r="AD324" i="1"/>
  <c r="B324" i="1"/>
  <c r="D324" i="1"/>
  <c r="E324" i="1"/>
  <c r="AC324" i="1"/>
  <c r="AB324" i="1"/>
  <c r="G324" i="1"/>
  <c r="F324" i="1"/>
  <c r="M324" i="1"/>
  <c r="N324" i="1"/>
  <c r="AD325" i="1"/>
  <c r="B325" i="1"/>
  <c r="D325" i="1"/>
  <c r="E325" i="1"/>
  <c r="AC325" i="1"/>
  <c r="AB325" i="1"/>
  <c r="G325" i="1"/>
  <c r="F325" i="1"/>
  <c r="M325" i="1"/>
  <c r="N325" i="1"/>
  <c r="AD326" i="1"/>
  <c r="B326" i="1"/>
  <c r="D326" i="1"/>
  <c r="E326" i="1"/>
  <c r="AC326" i="1"/>
  <c r="AB326" i="1"/>
  <c r="G326" i="1"/>
  <c r="F326" i="1"/>
  <c r="M326" i="1"/>
  <c r="N326" i="1"/>
  <c r="AD327" i="1"/>
  <c r="B327" i="1"/>
  <c r="D327" i="1"/>
  <c r="E327" i="1"/>
  <c r="AC327" i="1"/>
  <c r="AB327" i="1"/>
  <c r="G327" i="1"/>
  <c r="F327" i="1"/>
  <c r="M327" i="1"/>
  <c r="N327" i="1"/>
  <c r="AD328" i="1"/>
  <c r="B328" i="1"/>
  <c r="D328" i="1"/>
  <c r="E328" i="1"/>
  <c r="AC328" i="1"/>
  <c r="AB328" i="1"/>
  <c r="G328" i="1"/>
  <c r="F328" i="1"/>
  <c r="M328" i="1"/>
  <c r="N328" i="1"/>
  <c r="AD329" i="1"/>
  <c r="B329" i="1"/>
  <c r="D329" i="1"/>
  <c r="E329" i="1"/>
  <c r="AC329" i="1"/>
  <c r="AB329" i="1"/>
  <c r="G329" i="1"/>
  <c r="F329" i="1"/>
  <c r="M329" i="1"/>
  <c r="N329" i="1"/>
  <c r="AD330" i="1"/>
  <c r="B330" i="1"/>
  <c r="D330" i="1"/>
  <c r="E330" i="1"/>
  <c r="AC330" i="1"/>
  <c r="AB330" i="1"/>
  <c r="G330" i="1"/>
  <c r="F330" i="1"/>
  <c r="M330" i="1"/>
  <c r="N330" i="1"/>
  <c r="AD331" i="1"/>
  <c r="B331" i="1"/>
  <c r="D331" i="1"/>
  <c r="E331" i="1"/>
  <c r="AC331" i="1"/>
  <c r="AB331" i="1"/>
  <c r="G331" i="1"/>
  <c r="F331" i="1"/>
  <c r="M331" i="1"/>
  <c r="N331" i="1"/>
  <c r="AD332" i="1"/>
  <c r="B332" i="1"/>
  <c r="D332" i="1"/>
  <c r="E332" i="1"/>
  <c r="AB332" i="1"/>
  <c r="G332" i="1"/>
  <c r="F332" i="1"/>
  <c r="M332" i="1"/>
  <c r="N332" i="1"/>
  <c r="AD333" i="1"/>
  <c r="B333" i="1"/>
  <c r="D333" i="1"/>
  <c r="E333" i="1"/>
  <c r="AB333" i="1"/>
  <c r="G333" i="1"/>
  <c r="F333" i="1"/>
  <c r="M333" i="1"/>
  <c r="N333" i="1"/>
  <c r="AD334" i="1"/>
  <c r="B334" i="1"/>
  <c r="D334" i="1"/>
  <c r="E334" i="1"/>
  <c r="AC334" i="1"/>
  <c r="AB334" i="1"/>
  <c r="G334" i="1"/>
  <c r="F334" i="1"/>
  <c r="M334" i="1"/>
  <c r="N334" i="1"/>
  <c r="AD335" i="1"/>
  <c r="B335" i="1"/>
  <c r="D335" i="1"/>
  <c r="E335" i="1"/>
  <c r="AC335" i="1"/>
  <c r="AF335" i="1"/>
  <c r="AE335" i="1"/>
  <c r="AB335" i="1"/>
  <c r="G335" i="1"/>
  <c r="F335" i="1"/>
  <c r="M335" i="1"/>
  <c r="N335" i="1"/>
  <c r="AD336" i="1"/>
  <c r="B336" i="1"/>
  <c r="D336" i="1"/>
  <c r="E336" i="1"/>
  <c r="AC336" i="1"/>
  <c r="AB336" i="1"/>
  <c r="G336" i="1"/>
  <c r="F336" i="1"/>
  <c r="M336" i="1"/>
  <c r="N336" i="1"/>
  <c r="AD337" i="1"/>
  <c r="B337" i="1"/>
  <c r="D337" i="1"/>
  <c r="E337" i="1"/>
  <c r="AC337" i="1"/>
  <c r="AB337" i="1"/>
  <c r="G337" i="1"/>
  <c r="F337" i="1"/>
  <c r="M337" i="1"/>
  <c r="N337" i="1"/>
  <c r="AD338" i="1"/>
  <c r="B338" i="1"/>
  <c r="D338" i="1"/>
  <c r="E338" i="1"/>
  <c r="AB338" i="1"/>
  <c r="G338" i="1"/>
  <c r="F338" i="1"/>
  <c r="M338" i="1"/>
  <c r="N338" i="1"/>
  <c r="AD339" i="1"/>
  <c r="B339" i="1"/>
  <c r="D339" i="1"/>
  <c r="E339" i="1"/>
  <c r="AC339" i="1"/>
  <c r="AF339" i="1"/>
  <c r="AE339" i="1"/>
  <c r="AB339" i="1"/>
  <c r="G339" i="1"/>
  <c r="F339" i="1"/>
  <c r="M339" i="1"/>
  <c r="N339" i="1"/>
  <c r="AD340" i="1"/>
  <c r="B340" i="1"/>
  <c r="D340" i="1"/>
  <c r="E340" i="1"/>
  <c r="AC340" i="1"/>
  <c r="AB340" i="1"/>
  <c r="G340" i="1"/>
  <c r="F340" i="1"/>
  <c r="M340" i="1"/>
  <c r="N340" i="1"/>
  <c r="AD341" i="1"/>
  <c r="B341" i="1"/>
  <c r="D341" i="1"/>
  <c r="E341" i="1"/>
  <c r="AC341" i="1"/>
  <c r="AB341" i="1"/>
  <c r="G341" i="1"/>
  <c r="F341" i="1"/>
  <c r="M341" i="1"/>
  <c r="N341" i="1"/>
  <c r="AD342" i="1"/>
  <c r="B342" i="1"/>
  <c r="D342" i="1"/>
  <c r="E342" i="1"/>
  <c r="AC342" i="1"/>
  <c r="AB342" i="1"/>
  <c r="G342" i="1"/>
  <c r="F342" i="1"/>
  <c r="M342" i="1"/>
  <c r="N342" i="1"/>
  <c r="AD343" i="1"/>
  <c r="B343" i="1"/>
  <c r="D343" i="1"/>
  <c r="E343" i="1"/>
  <c r="AC343" i="1"/>
  <c r="AB343" i="1"/>
  <c r="G343" i="1"/>
  <c r="F343" i="1"/>
  <c r="M343" i="1"/>
  <c r="N343" i="1"/>
  <c r="AD344" i="1"/>
  <c r="AF345" i="1"/>
  <c r="AE345" i="1"/>
  <c r="B344" i="1"/>
  <c r="D344" i="1"/>
  <c r="E344" i="1"/>
  <c r="AC344" i="1"/>
  <c r="AB344" i="1"/>
  <c r="G344" i="1"/>
  <c r="F344" i="1"/>
  <c r="M344" i="1"/>
  <c r="N344" i="1"/>
  <c r="AD345" i="1"/>
  <c r="B345" i="1"/>
  <c r="D345" i="1"/>
  <c r="E345" i="1"/>
  <c r="AC345" i="1"/>
  <c r="AB345" i="1"/>
  <c r="G345" i="1"/>
  <c r="F345" i="1"/>
  <c r="M345" i="1"/>
  <c r="N345" i="1"/>
  <c r="AD346" i="1"/>
  <c r="D346" i="1"/>
  <c r="E346" i="1"/>
  <c r="H346" i="1"/>
  <c r="I346" i="1"/>
  <c r="J346" i="1"/>
  <c r="AC346" i="1"/>
  <c r="AB346" i="1"/>
  <c r="G346" i="1"/>
  <c r="K346" i="1"/>
  <c r="L34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Z346" i="1"/>
  <c r="M346" i="1"/>
  <c r="B346" i="1"/>
  <c r="F346" i="1"/>
  <c r="N346" i="1"/>
  <c r="AD347" i="1"/>
  <c r="B347" i="1"/>
  <c r="D347" i="1"/>
  <c r="E347" i="1"/>
  <c r="AC347" i="1"/>
  <c r="AB347" i="1"/>
  <c r="G347" i="1"/>
  <c r="F347" i="1"/>
  <c r="M347" i="1"/>
  <c r="N347" i="1"/>
  <c r="AD348" i="1"/>
  <c r="B348" i="1"/>
  <c r="D348" i="1"/>
  <c r="E348" i="1"/>
  <c r="AC348" i="1"/>
  <c r="AB348" i="1"/>
  <c r="G348" i="1"/>
  <c r="F348" i="1"/>
  <c r="M348" i="1"/>
  <c r="N348" i="1"/>
  <c r="AD349" i="1"/>
  <c r="B349" i="1"/>
  <c r="D349" i="1"/>
  <c r="E349" i="1"/>
  <c r="AC349" i="1"/>
  <c r="AB349" i="1"/>
  <c r="G349" i="1"/>
  <c r="F349" i="1"/>
  <c r="M349" i="1"/>
  <c r="N349" i="1"/>
  <c r="AD350" i="1"/>
  <c r="B350" i="1"/>
  <c r="D350" i="1"/>
  <c r="E350" i="1"/>
  <c r="AC350" i="1"/>
  <c r="AB350" i="1"/>
  <c r="G350" i="1"/>
  <c r="F350" i="1"/>
  <c r="M350" i="1"/>
  <c r="N350" i="1"/>
  <c r="AD351" i="1"/>
  <c r="B351" i="1"/>
  <c r="D351" i="1"/>
  <c r="E351" i="1"/>
  <c r="AC351" i="1"/>
  <c r="AF351" i="1"/>
  <c r="AE351" i="1"/>
  <c r="AB351" i="1"/>
  <c r="G351" i="1"/>
  <c r="F351" i="1"/>
  <c r="M351" i="1"/>
  <c r="N351" i="1"/>
  <c r="AD352" i="1"/>
  <c r="AC352" i="1"/>
  <c r="B352" i="1"/>
  <c r="D352" i="1"/>
  <c r="E352" i="1"/>
  <c r="AB352" i="1"/>
  <c r="G352" i="1"/>
  <c r="F352" i="1"/>
  <c r="M352" i="1"/>
  <c r="N352" i="1"/>
  <c r="AD353" i="1"/>
  <c r="B353" i="1"/>
  <c r="D353" i="1"/>
  <c r="E353" i="1"/>
  <c r="AC353" i="1"/>
  <c r="AB353" i="1"/>
  <c r="G353" i="1"/>
  <c r="F353" i="1"/>
  <c r="M353" i="1"/>
  <c r="N353" i="1"/>
  <c r="AD354" i="1"/>
  <c r="AF354" i="1"/>
  <c r="AE354" i="1"/>
  <c r="C70" i="2"/>
  <c r="AD12" i="7"/>
  <c r="C29" i="1"/>
  <c r="B35" i="4"/>
  <c r="Z155" i="11"/>
  <c r="Z100" i="11"/>
  <c r="Z169" i="11"/>
  <c r="Z70" i="11"/>
  <c r="Z247" i="11"/>
  <c r="Z276" i="11"/>
  <c r="Z278" i="11"/>
  <c r="Z214" i="11"/>
  <c r="Z262" i="11"/>
  <c r="Z230" i="11"/>
  <c r="Z150" i="11"/>
  <c r="Z57" i="11"/>
  <c r="Z92" i="11"/>
  <c r="Z173" i="11"/>
  <c r="Z151" i="11"/>
  <c r="Z133" i="11"/>
  <c r="Z54" i="11"/>
  <c r="Z220" i="11"/>
  <c r="Z118" i="11"/>
  <c r="Z83" i="11"/>
  <c r="Z86" i="11"/>
  <c r="Z59" i="11"/>
  <c r="Z177" i="11"/>
  <c r="Z108" i="11"/>
  <c r="Z233" i="11"/>
  <c r="Z211" i="11"/>
  <c r="Z135" i="11"/>
  <c r="Z49" i="11"/>
  <c r="Z253" i="11"/>
  <c r="Z212" i="11"/>
  <c r="Z91" i="11"/>
  <c r="G23" i="8"/>
  <c r="C368" i="1"/>
  <c r="C270" i="7"/>
  <c r="C71" i="2"/>
  <c r="Z227" i="11"/>
  <c r="Z119" i="11"/>
  <c r="Z76" i="11"/>
  <c r="Z264" i="11"/>
  <c r="Z221" i="11"/>
  <c r="Z231" i="11"/>
  <c r="Z160" i="11"/>
  <c r="Z217" i="11"/>
  <c r="Z90" i="11"/>
  <c r="Z161" i="11"/>
  <c r="Y192" i="7"/>
  <c r="Y171" i="7"/>
  <c r="Y82" i="7"/>
  <c r="Y113" i="7"/>
  <c r="Y220" i="7"/>
  <c r="Y30" i="7"/>
  <c r="Y107" i="7"/>
  <c r="Y43" i="7"/>
  <c r="Y79" i="7"/>
  <c r="Y174" i="7"/>
  <c r="Y27" i="7"/>
  <c r="Y251" i="7"/>
  <c r="Y136" i="7"/>
  <c r="Y57" i="7"/>
  <c r="Y105" i="7"/>
  <c r="AV25" i="8"/>
  <c r="W230" i="7"/>
  <c r="W245" i="7"/>
  <c r="W252" i="7"/>
  <c r="W94" i="7"/>
  <c r="D17" i="2"/>
  <c r="D22" i="2"/>
  <c r="AG181" i="1"/>
  <c r="AG84" i="7"/>
  <c r="AG216" i="1"/>
  <c r="AG119" i="7"/>
  <c r="AG209" i="1"/>
  <c r="AG112" i="7"/>
  <c r="AG208" i="1"/>
  <c r="AG111" i="7"/>
  <c r="AG204" i="1"/>
  <c r="AG107" i="7"/>
  <c r="AG190" i="1"/>
  <c r="AG93" i="7"/>
  <c r="AG282" i="1"/>
  <c r="AG185" i="7"/>
  <c r="AG212" i="1"/>
  <c r="AG115" i="7"/>
  <c r="AG284" i="1"/>
  <c r="AG187" i="7"/>
  <c r="AG263" i="1"/>
  <c r="AG166" i="7"/>
  <c r="AG188" i="1"/>
  <c r="AG91" i="7"/>
  <c r="AG169" i="1"/>
  <c r="AG72" i="7"/>
  <c r="AG159" i="1"/>
  <c r="AG62" i="7"/>
  <c r="E53" i="4"/>
  <c r="E89" i="2"/>
  <c r="N95" i="2"/>
  <c r="F3" i="2"/>
  <c r="K89" i="2"/>
  <c r="K101" i="2"/>
  <c r="AF123" i="7"/>
  <c r="AD114" i="7"/>
  <c r="AD112" i="7"/>
  <c r="AD130" i="7"/>
  <c r="AD87" i="7"/>
  <c r="AG328" i="1"/>
  <c r="AG231" i="7"/>
  <c r="AC182" i="7"/>
  <c r="AD211" i="7"/>
  <c r="AD113" i="7"/>
  <c r="AF255" i="7"/>
  <c r="AE255" i="7"/>
  <c r="AD239" i="7"/>
  <c r="AD226" i="7"/>
  <c r="AD46" i="7"/>
  <c r="BC229" i="8"/>
  <c r="AC31" i="7"/>
  <c r="AD242" i="7"/>
  <c r="AD221" i="7"/>
  <c r="AD149" i="7"/>
  <c r="AD109" i="7"/>
  <c r="AD102" i="7"/>
  <c r="AF93" i="7"/>
  <c r="AE93" i="7"/>
  <c r="AC77" i="7"/>
  <c r="AD233" i="7"/>
  <c r="AD104" i="7"/>
  <c r="AD57" i="7"/>
  <c r="AF130" i="7"/>
  <c r="AE130" i="7"/>
  <c r="AC96" i="7"/>
  <c r="AF115" i="1"/>
  <c r="AE115" i="1"/>
  <c r="AC159" i="7"/>
  <c r="AF125" i="7"/>
  <c r="AE125" i="7"/>
  <c r="AC196" i="7"/>
  <c r="AC142" i="7"/>
  <c r="AF63" i="7"/>
  <c r="AE63" i="7"/>
  <c r="AF88" i="7"/>
  <c r="AE88" i="7"/>
  <c r="AC118" i="7"/>
  <c r="AC54" i="7"/>
  <c r="AC28" i="7"/>
  <c r="AC105" i="7"/>
  <c r="AF114" i="7"/>
  <c r="AE114" i="7"/>
  <c r="AF58" i="7"/>
  <c r="AD25" i="7"/>
  <c r="AF110" i="7"/>
  <c r="AE110" i="7"/>
  <c r="AF35" i="7"/>
  <c r="AE35" i="7"/>
  <c r="AD257" i="7"/>
  <c r="AD236" i="7"/>
  <c r="AD129" i="7"/>
  <c r="AF77" i="7"/>
  <c r="AE77" i="7"/>
  <c r="AC60" i="7"/>
  <c r="AG343" i="1"/>
  <c r="AG246" i="7"/>
  <c r="AC220" i="7"/>
  <c r="AF155" i="7"/>
  <c r="AE155" i="7"/>
  <c r="AC57" i="7"/>
  <c r="AG290" i="1"/>
  <c r="AG193" i="7"/>
  <c r="AG288" i="1"/>
  <c r="AG191" i="7"/>
  <c r="AG280" i="1"/>
  <c r="AG183" i="7"/>
  <c r="AG278" i="1"/>
  <c r="AG181" i="7"/>
  <c r="AG277" i="1"/>
  <c r="AG180" i="7"/>
  <c r="AG271" i="1"/>
  <c r="AG174" i="7"/>
  <c r="AG248" i="1"/>
  <c r="AG151" i="7"/>
  <c r="AG246" i="1"/>
  <c r="AG149" i="7"/>
  <c r="AG244" i="1"/>
  <c r="AG147" i="7"/>
  <c r="AG218" i="1"/>
  <c r="AG121" i="7"/>
  <c r="AG205" i="1"/>
  <c r="AG108" i="7"/>
  <c r="AG202" i="1"/>
  <c r="AG105" i="7"/>
  <c r="AG197" i="1"/>
  <c r="AG100" i="7"/>
  <c r="AG191" i="1"/>
  <c r="AG94" i="7"/>
  <c r="AG182" i="1"/>
  <c r="AG85" i="7"/>
  <c r="AG179" i="1"/>
  <c r="AG82" i="7"/>
  <c r="AG152" i="1"/>
  <c r="AG55" i="7"/>
  <c r="AG139" i="1"/>
  <c r="AG42" i="7"/>
  <c r="AG132" i="1"/>
  <c r="AG35" i="7"/>
  <c r="AG117" i="1"/>
  <c r="AG20" i="7"/>
  <c r="AG339" i="1"/>
  <c r="AG242" i="7"/>
  <c r="AG332" i="1"/>
  <c r="AG235" i="7"/>
  <c r="AG291" i="1"/>
  <c r="AG194" i="7"/>
  <c r="AG283" i="1"/>
  <c r="AG186" i="7"/>
  <c r="AG281" i="1"/>
  <c r="AG184" i="7"/>
  <c r="AG264" i="1"/>
  <c r="AG167" i="7"/>
  <c r="AG259" i="1"/>
  <c r="AG162" i="7"/>
  <c r="AG256" i="1"/>
  <c r="AG159" i="7"/>
  <c r="AG254" i="1"/>
  <c r="AG157" i="7"/>
  <c r="AG249" i="1"/>
  <c r="AG152" i="7"/>
  <c r="AG245" i="1"/>
  <c r="AG148" i="7"/>
  <c r="AG241" i="1"/>
  <c r="AG144" i="7"/>
  <c r="AG238" i="1"/>
  <c r="AG141" i="7"/>
  <c r="AG224" i="1"/>
  <c r="AG127" i="7"/>
  <c r="AG222" i="1"/>
  <c r="AG125" i="7"/>
  <c r="AG213" i="1"/>
  <c r="AG116" i="7"/>
  <c r="AG210" i="1"/>
  <c r="AG113" i="7"/>
  <c r="AG207" i="1"/>
  <c r="AG110" i="7"/>
  <c r="AG199" i="1"/>
  <c r="AG102" i="7"/>
  <c r="AG194" i="1"/>
  <c r="AG97" i="7"/>
  <c r="AG177" i="1"/>
  <c r="AG80" i="7"/>
  <c r="AG170" i="1"/>
  <c r="AG73" i="7"/>
  <c r="AG163" i="1"/>
  <c r="AG66" i="7"/>
  <c r="AG160" i="1"/>
  <c r="AG63" i="7"/>
  <c r="AG123" i="1"/>
  <c r="AG26" i="7"/>
  <c r="W247" i="1"/>
  <c r="F8" i="8"/>
  <c r="V379" i="8"/>
  <c r="AG347" i="1"/>
  <c r="AG250" i="7"/>
  <c r="V439" i="8"/>
  <c r="BC37" i="8"/>
  <c r="B114" i="1"/>
  <c r="F269" i="8"/>
  <c r="BC217" i="8"/>
  <c r="B17" i="7"/>
  <c r="AG289" i="1"/>
  <c r="AG192" i="7"/>
  <c r="AG287" i="1"/>
  <c r="AG190" i="7"/>
  <c r="AG276" i="1"/>
  <c r="AG179" i="7"/>
  <c r="AG270" i="1"/>
  <c r="AG173" i="7"/>
  <c r="AG257" i="1"/>
  <c r="AG160" i="7"/>
  <c r="AG250" i="1"/>
  <c r="AG153" i="7"/>
  <c r="AG247" i="1"/>
  <c r="AG150" i="7"/>
  <c r="AG223" i="1"/>
  <c r="AG126" i="7"/>
  <c r="AG221" i="1"/>
  <c r="AG124" i="7"/>
  <c r="AG214" i="1"/>
  <c r="AG117" i="7"/>
  <c r="AG201" i="1"/>
  <c r="AG104" i="7"/>
  <c r="AG173" i="1"/>
  <c r="AG76" i="7"/>
  <c r="AG171" i="1"/>
  <c r="AG74" i="7"/>
  <c r="AG165" i="1"/>
  <c r="AG68" i="7"/>
  <c r="AG155" i="1"/>
  <c r="AG58" i="7"/>
  <c r="AG151" i="1"/>
  <c r="AG54" i="7"/>
  <c r="W151" i="1"/>
  <c r="V61" i="8"/>
  <c r="AG327" i="1"/>
  <c r="AG230" i="7"/>
  <c r="V121" i="8"/>
  <c r="AJ2" i="4"/>
  <c r="E60" i="4"/>
  <c r="AP3" i="4"/>
  <c r="H262" i="1"/>
  <c r="I262" i="1"/>
  <c r="J262" i="1"/>
  <c r="K262" i="1"/>
  <c r="L262" i="1"/>
  <c r="Z262" i="1"/>
  <c r="H230" i="1"/>
  <c r="I230" i="1"/>
  <c r="J230" i="1"/>
  <c r="K230" i="1"/>
  <c r="L230" i="1"/>
  <c r="Z230" i="1"/>
  <c r="H202" i="1"/>
  <c r="I202" i="1"/>
  <c r="J202" i="1"/>
  <c r="K202" i="1"/>
  <c r="L202" i="1"/>
  <c r="Z202" i="1"/>
  <c r="G252" i="8"/>
  <c r="H252" i="8"/>
  <c r="I252" i="8"/>
  <c r="J252" i="8"/>
  <c r="Y252" i="8"/>
  <c r="H165" i="1"/>
  <c r="I165" i="1"/>
  <c r="J165" i="1"/>
  <c r="K165" i="1"/>
  <c r="L165" i="1"/>
  <c r="Z165" i="1"/>
  <c r="G203" i="8"/>
  <c r="H203" i="8"/>
  <c r="I203" i="8"/>
  <c r="J203" i="8"/>
  <c r="Y203" i="8"/>
  <c r="G69" i="8"/>
  <c r="H69" i="8"/>
  <c r="I69" i="8"/>
  <c r="J69" i="8"/>
  <c r="Y69" i="8"/>
  <c r="Z99" i="11"/>
  <c r="Z127" i="11"/>
  <c r="Z266" i="11"/>
  <c r="Z170" i="11"/>
  <c r="H254" i="1"/>
  <c r="I254" i="1"/>
  <c r="J254" i="1"/>
  <c r="K254" i="1"/>
  <c r="L254" i="1"/>
  <c r="Z254" i="1"/>
  <c r="H223" i="1"/>
  <c r="I223" i="1"/>
  <c r="J223" i="1"/>
  <c r="K223" i="1"/>
  <c r="L223" i="1"/>
  <c r="Z223" i="1"/>
  <c r="H204" i="1"/>
  <c r="I204" i="1"/>
  <c r="J204" i="1"/>
  <c r="K204" i="1"/>
  <c r="L204" i="1"/>
  <c r="Z204" i="1"/>
  <c r="G253" i="8"/>
  <c r="H253" i="8"/>
  <c r="I253" i="8"/>
  <c r="J253" i="8"/>
  <c r="Y253" i="8"/>
  <c r="G229" i="8"/>
  <c r="H229" i="8"/>
  <c r="I229" i="8"/>
  <c r="J229" i="8"/>
  <c r="Y229" i="8"/>
  <c r="G141" i="8"/>
  <c r="H141" i="8"/>
  <c r="I141" i="8"/>
  <c r="J141" i="8"/>
  <c r="Y141" i="8"/>
  <c r="G78" i="8"/>
  <c r="H78" i="8"/>
  <c r="I78" i="8"/>
  <c r="J78" i="8"/>
  <c r="Y78" i="8"/>
  <c r="O94" i="2"/>
  <c r="F94" i="2"/>
  <c r="X6" i="4"/>
  <c r="AL27" i="8"/>
  <c r="AK26" i="8"/>
  <c r="W36" i="7"/>
  <c r="W116" i="7"/>
  <c r="W155" i="7"/>
  <c r="W248" i="7"/>
  <c r="W58" i="7"/>
  <c r="W191" i="7"/>
  <c r="W73" i="7"/>
  <c r="W71" i="7"/>
  <c r="W163" i="7"/>
  <c r="W74" i="7"/>
  <c r="W23" i="7"/>
  <c r="W192" i="7"/>
  <c r="W255" i="7"/>
  <c r="W37" i="7"/>
  <c r="Z239" i="11"/>
  <c r="Z186" i="11"/>
  <c r="Z117" i="11"/>
  <c r="Z257" i="11"/>
  <c r="Z138" i="11"/>
  <c r="Z181" i="11"/>
  <c r="Z141" i="11"/>
  <c r="Z139" i="11"/>
  <c r="H348" i="1"/>
  <c r="I348" i="1"/>
  <c r="J348" i="1"/>
  <c r="K348" i="1"/>
  <c r="L348" i="1"/>
  <c r="A347" i="1"/>
  <c r="A348" i="1"/>
  <c r="Z348" i="1"/>
  <c r="H221" i="1"/>
  <c r="I221" i="1"/>
  <c r="J221" i="1"/>
  <c r="K221" i="1"/>
  <c r="L221" i="1"/>
  <c r="Z221" i="1"/>
  <c r="H218" i="1"/>
  <c r="I218" i="1"/>
  <c r="J218" i="1"/>
  <c r="K218" i="1"/>
  <c r="L218" i="1"/>
  <c r="Z218" i="1"/>
  <c r="H201" i="1"/>
  <c r="I201" i="1"/>
  <c r="J201" i="1"/>
  <c r="K201" i="1"/>
  <c r="L201" i="1"/>
  <c r="Z201" i="1"/>
  <c r="G96" i="8"/>
  <c r="H96" i="8"/>
  <c r="I96" i="8"/>
  <c r="J96" i="8"/>
  <c r="Y96" i="8"/>
  <c r="H151" i="1"/>
  <c r="I151" i="1"/>
  <c r="J151" i="1"/>
  <c r="K151" i="1"/>
  <c r="L151" i="1"/>
  <c r="Z151" i="1"/>
  <c r="G43" i="8"/>
  <c r="H43" i="8"/>
  <c r="I43" i="8"/>
  <c r="J43" i="8"/>
  <c r="Y43" i="8"/>
  <c r="Z85" i="11"/>
  <c r="Z224" i="11"/>
  <c r="H350" i="1"/>
  <c r="I350" i="1"/>
  <c r="J350" i="1"/>
  <c r="K350" i="1"/>
  <c r="L350" i="1"/>
  <c r="A349" i="1"/>
  <c r="A350" i="1"/>
  <c r="Z350" i="1"/>
  <c r="H268" i="1"/>
  <c r="I268" i="1"/>
  <c r="J268" i="1"/>
  <c r="K268" i="1"/>
  <c r="L268" i="1"/>
  <c r="Z268" i="1"/>
  <c r="H265" i="1"/>
  <c r="I265" i="1"/>
  <c r="J265" i="1"/>
  <c r="K265" i="1"/>
  <c r="L265" i="1"/>
  <c r="Y246" i="1"/>
  <c r="Y247" i="1"/>
  <c r="Y248" i="1"/>
  <c r="Y249" i="1"/>
  <c r="Y250" i="1"/>
  <c r="Y251" i="1"/>
  <c r="Y252" i="1"/>
  <c r="Y253" i="1"/>
  <c r="Y254" i="1"/>
  <c r="Y255" i="1"/>
  <c r="Y256" i="1"/>
  <c r="Y257" i="1"/>
  <c r="Y258" i="1"/>
  <c r="Y259" i="1"/>
  <c r="Y260" i="1"/>
  <c r="Y261" i="1"/>
  <c r="Y262" i="1"/>
  <c r="Y263" i="1"/>
  <c r="Y264" i="1"/>
  <c r="Y265" i="1"/>
  <c r="Z265" i="1"/>
  <c r="H205" i="1"/>
  <c r="I205" i="1"/>
  <c r="J205" i="1"/>
  <c r="K205" i="1"/>
  <c r="L205" i="1"/>
  <c r="Z205" i="1"/>
  <c r="H203" i="1"/>
  <c r="I203" i="1"/>
  <c r="J203" i="1"/>
  <c r="K203" i="1"/>
  <c r="L203" i="1"/>
  <c r="Z203" i="1"/>
  <c r="G170" i="8"/>
  <c r="H170" i="8"/>
  <c r="I170" i="8"/>
  <c r="J170" i="8"/>
  <c r="Y170" i="8"/>
  <c r="H142" i="1"/>
  <c r="I142" i="1"/>
  <c r="J142" i="1"/>
  <c r="K142" i="1"/>
  <c r="L142" i="1"/>
  <c r="Z142" i="1"/>
  <c r="H124" i="1"/>
  <c r="I124" i="1"/>
  <c r="J124" i="1"/>
  <c r="K124" i="1"/>
  <c r="L124" i="1"/>
  <c r="Z124" i="1"/>
  <c r="H284" i="1"/>
  <c r="I284" i="1"/>
  <c r="J284" i="1"/>
  <c r="K284" i="1"/>
  <c r="L284" i="1"/>
  <c r="Z284" i="1"/>
  <c r="H271" i="1"/>
  <c r="I271" i="1"/>
  <c r="J271" i="1"/>
  <c r="K271" i="1"/>
  <c r="L271" i="1"/>
  <c r="Y266" i="1"/>
  <c r="Y267" i="1"/>
  <c r="Y268" i="1"/>
  <c r="Y269" i="1"/>
  <c r="Y270" i="1"/>
  <c r="Y271" i="1"/>
  <c r="Z271" i="1"/>
  <c r="H215" i="1"/>
  <c r="I215" i="1"/>
  <c r="J215" i="1"/>
  <c r="K215" i="1"/>
  <c r="L215" i="1"/>
  <c r="Z215" i="1"/>
  <c r="H198" i="1"/>
  <c r="I198" i="1"/>
  <c r="J198" i="1"/>
  <c r="K198" i="1"/>
  <c r="L198" i="1"/>
  <c r="Z198" i="1"/>
  <c r="G188" i="8"/>
  <c r="H188" i="8"/>
  <c r="I188" i="8"/>
  <c r="J188" i="8"/>
  <c r="Y188" i="8"/>
  <c r="G153" i="8"/>
  <c r="H153" i="8"/>
  <c r="I153" i="8"/>
  <c r="J153" i="8"/>
  <c r="Y153" i="8"/>
  <c r="G143" i="8"/>
  <c r="H143" i="8"/>
  <c r="I143" i="8"/>
  <c r="J143" i="8"/>
  <c r="Y143" i="8"/>
  <c r="G73" i="8"/>
  <c r="H73" i="8"/>
  <c r="I73" i="8"/>
  <c r="J73" i="8"/>
  <c r="Y73" i="8"/>
  <c r="G72" i="8"/>
  <c r="H72" i="8"/>
  <c r="I72" i="8"/>
  <c r="J72" i="8"/>
  <c r="Y72" i="8"/>
  <c r="G279" i="8"/>
  <c r="Y35" i="7"/>
  <c r="Y252" i="7"/>
  <c r="Y140" i="7"/>
  <c r="Y167" i="7"/>
  <c r="Y101" i="7"/>
  <c r="Y172" i="7"/>
  <c r="Y225" i="7"/>
  <c r="Y94" i="7"/>
  <c r="Y48" i="7"/>
  <c r="Y156" i="7"/>
  <c r="Y112" i="7"/>
  <c r="Y119" i="7"/>
  <c r="Y33" i="7"/>
  <c r="Y217" i="7"/>
  <c r="Y71" i="7"/>
  <c r="Y127" i="7"/>
  <c r="Y237" i="7"/>
  <c r="Y219" i="7"/>
  <c r="Y91" i="7"/>
  <c r="Y84" i="7"/>
  <c r="H108" i="2"/>
  <c r="N107" i="2"/>
  <c r="N109" i="2"/>
  <c r="W207" i="7"/>
  <c r="W64" i="7"/>
  <c r="W19" i="7"/>
  <c r="W124" i="7"/>
  <c r="W131" i="7"/>
  <c r="W27" i="7"/>
  <c r="Z245" i="11"/>
  <c r="Z175" i="11"/>
  <c r="Z56" i="11"/>
  <c r="Z188" i="11"/>
  <c r="Z58" i="11"/>
  <c r="Z103" i="11"/>
  <c r="Z63" i="11"/>
  <c r="Z3" i="1"/>
  <c r="I13" i="4"/>
  <c r="AI4" i="4"/>
  <c r="Z93" i="11"/>
  <c r="Z281" i="11"/>
  <c r="Z153" i="11"/>
  <c r="Z43" i="11"/>
  <c r="Z248" i="11"/>
  <c r="Z163" i="11"/>
  <c r="Z77" i="11"/>
  <c r="Z193" i="11"/>
  <c r="Z140" i="11"/>
  <c r="Z200" i="11"/>
  <c r="Z115" i="11"/>
  <c r="Z167" i="11"/>
  <c r="Z124" i="11"/>
  <c r="Z81" i="11"/>
  <c r="Z256" i="11"/>
  <c r="Z235" i="11"/>
  <c r="Z192" i="11"/>
  <c r="Z107" i="11"/>
  <c r="Z53" i="11"/>
  <c r="Z249" i="11"/>
  <c r="Z116" i="11"/>
  <c r="Z73" i="11"/>
  <c r="Z210" i="11"/>
  <c r="Z178" i="11"/>
  <c r="Z146" i="11"/>
  <c r="AE123" i="7"/>
  <c r="AD253" i="7"/>
  <c r="AD238" i="7"/>
  <c r="AD80" i="7"/>
  <c r="AD72" i="7"/>
  <c r="AD174" i="7"/>
  <c r="AD138" i="7"/>
  <c r="AD38" i="7"/>
  <c r="AE58" i="7"/>
  <c r="AD229" i="7"/>
  <c r="AD147" i="7"/>
  <c r="AD123" i="7"/>
  <c r="AD79" i="7"/>
  <c r="AD77" i="7"/>
  <c r="AD75" i="7"/>
  <c r="AD111" i="7"/>
  <c r="AD71" i="7"/>
  <c r="AD55" i="7"/>
  <c r="AD47" i="7"/>
  <c r="C271" i="7"/>
  <c r="AD241" i="7"/>
  <c r="AD142" i="7"/>
  <c r="AD82" i="7"/>
  <c r="AD76" i="7"/>
  <c r="AD206" i="7"/>
  <c r="AD65" i="7"/>
  <c r="AD255" i="7"/>
  <c r="AD247" i="7"/>
  <c r="AD245" i="7"/>
  <c r="AD228" i="7"/>
  <c r="AD224" i="7"/>
  <c r="AD143" i="7"/>
  <c r="AD128" i="7"/>
  <c r="AD120" i="7"/>
  <c r="AD108" i="7"/>
  <c r="AD106" i="7"/>
  <c r="AD217" i="7"/>
  <c r="AD200" i="7"/>
  <c r="AD193" i="7"/>
  <c r="AD175" i="7"/>
  <c r="AD115" i="7"/>
  <c r="AD107" i="7"/>
  <c r="AD70" i="7"/>
  <c r="AG323" i="1"/>
  <c r="AG226" i="7"/>
  <c r="L5" i="11"/>
  <c r="D30" i="11"/>
  <c r="H344" i="1"/>
  <c r="I344" i="1"/>
  <c r="J344" i="1"/>
  <c r="K344" i="1"/>
  <c r="L344" i="1"/>
  <c r="Z344" i="1"/>
  <c r="H340" i="1"/>
  <c r="I340" i="1"/>
  <c r="J340" i="1"/>
  <c r="K340" i="1"/>
  <c r="L340" i="1"/>
  <c r="Z340" i="1"/>
  <c r="H336" i="1"/>
  <c r="I336" i="1"/>
  <c r="J336" i="1"/>
  <c r="K336" i="1"/>
  <c r="L336" i="1"/>
  <c r="Z336" i="1"/>
  <c r="H332" i="1"/>
  <c r="I332" i="1"/>
  <c r="J332" i="1"/>
  <c r="K332" i="1"/>
  <c r="L332" i="1"/>
  <c r="Z332" i="1"/>
  <c r="H328" i="1"/>
  <c r="I328" i="1"/>
  <c r="J328" i="1"/>
  <c r="K328" i="1"/>
  <c r="L328" i="1"/>
  <c r="Z328" i="1"/>
  <c r="H324" i="1"/>
  <c r="I324" i="1"/>
  <c r="J324" i="1"/>
  <c r="K324" i="1"/>
  <c r="L324" i="1"/>
  <c r="Z324" i="1"/>
  <c r="H322" i="1"/>
  <c r="I322" i="1"/>
  <c r="J322" i="1"/>
  <c r="K322" i="1"/>
  <c r="L322" i="1"/>
  <c r="Z322" i="1"/>
  <c r="H318" i="1"/>
  <c r="I318" i="1"/>
  <c r="J318" i="1"/>
  <c r="K318" i="1"/>
  <c r="L318" i="1"/>
  <c r="Z318" i="1"/>
  <c r="H314" i="1"/>
  <c r="I314" i="1"/>
  <c r="J314" i="1"/>
  <c r="K314" i="1"/>
  <c r="L314" i="1"/>
  <c r="Z314" i="1"/>
  <c r="H310" i="1"/>
  <c r="I310" i="1"/>
  <c r="J310" i="1"/>
  <c r="K310" i="1"/>
  <c r="L310" i="1"/>
  <c r="Z310" i="1"/>
  <c r="H306" i="1"/>
  <c r="I306" i="1"/>
  <c r="J306" i="1"/>
  <c r="K306" i="1"/>
  <c r="L306" i="1"/>
  <c r="Z306" i="1"/>
  <c r="H302" i="1"/>
  <c r="I302" i="1"/>
  <c r="J302" i="1"/>
  <c r="K302" i="1"/>
  <c r="L302" i="1"/>
  <c r="Z302" i="1"/>
  <c r="H298" i="1"/>
  <c r="I298" i="1"/>
  <c r="J298" i="1"/>
  <c r="K298" i="1"/>
  <c r="L298" i="1"/>
  <c r="Z298" i="1"/>
  <c r="H294" i="1"/>
  <c r="I294" i="1"/>
  <c r="J294" i="1"/>
  <c r="K294" i="1"/>
  <c r="L294" i="1"/>
  <c r="Z294" i="1"/>
  <c r="H287" i="1"/>
  <c r="I287" i="1"/>
  <c r="J287" i="1"/>
  <c r="K287" i="1"/>
  <c r="L287" i="1"/>
  <c r="Y272" i="1"/>
  <c r="Y273" i="1"/>
  <c r="Y274" i="1"/>
  <c r="Y275" i="1"/>
  <c r="Y276" i="1"/>
  <c r="Y277" i="1"/>
  <c r="Y278" i="1"/>
  <c r="Y279" i="1"/>
  <c r="Y280" i="1"/>
  <c r="Y281" i="1"/>
  <c r="Y282" i="1"/>
  <c r="Y283" i="1"/>
  <c r="Y284" i="1"/>
  <c r="Y285" i="1"/>
  <c r="Y286" i="1"/>
  <c r="Y287" i="1"/>
  <c r="Z287" i="1"/>
  <c r="H281" i="1"/>
  <c r="I281" i="1"/>
  <c r="J281" i="1"/>
  <c r="K281" i="1"/>
  <c r="L281" i="1"/>
  <c r="Z281" i="1"/>
  <c r="H266" i="1"/>
  <c r="I266" i="1"/>
  <c r="J266" i="1"/>
  <c r="K266" i="1"/>
  <c r="L266" i="1"/>
  <c r="Z266" i="1"/>
  <c r="H258" i="1"/>
  <c r="I258" i="1"/>
  <c r="J258" i="1"/>
  <c r="K258" i="1"/>
  <c r="L258" i="1"/>
  <c r="Z258" i="1"/>
  <c r="H246" i="1"/>
  <c r="I246" i="1"/>
  <c r="J246" i="1"/>
  <c r="K246" i="1"/>
  <c r="L246" i="1"/>
  <c r="Z246" i="1"/>
  <c r="H195" i="1"/>
  <c r="I195" i="1"/>
  <c r="J195" i="1"/>
  <c r="K195" i="1"/>
  <c r="L195" i="1"/>
  <c r="Z195" i="1"/>
  <c r="H189" i="1"/>
  <c r="I189" i="1"/>
  <c r="J189" i="1"/>
  <c r="K189" i="1"/>
  <c r="L189" i="1"/>
  <c r="Z189" i="1"/>
  <c r="H186" i="1"/>
  <c r="I186" i="1"/>
  <c r="J186" i="1"/>
  <c r="K186" i="1"/>
  <c r="L186" i="1"/>
  <c r="Z186" i="1"/>
  <c r="H181" i="1"/>
  <c r="I181" i="1"/>
  <c r="J181" i="1"/>
  <c r="K181" i="1"/>
  <c r="L181" i="1"/>
  <c r="Z181" i="1"/>
  <c r="E257" i="8"/>
  <c r="L257" i="8"/>
  <c r="D258" i="8"/>
  <c r="F258" i="8"/>
  <c r="E258" i="8"/>
  <c r="K258" i="8"/>
  <c r="L258" i="8"/>
  <c r="D259" i="8"/>
  <c r="F259" i="8"/>
  <c r="E259" i="8"/>
  <c r="K259" i="8"/>
  <c r="L259" i="8"/>
  <c r="D260" i="8"/>
  <c r="F260" i="8"/>
  <c r="E260" i="8"/>
  <c r="K260" i="8"/>
  <c r="L260" i="8"/>
  <c r="D261" i="8"/>
  <c r="F261" i="8"/>
  <c r="E261" i="8"/>
  <c r="K261" i="8"/>
  <c r="L261" i="8"/>
  <c r="D262" i="8"/>
  <c r="G262" i="8"/>
  <c r="H262" i="8"/>
  <c r="I262" i="8"/>
  <c r="F262" i="8"/>
  <c r="J262" i="8"/>
  <c r="A258" i="8"/>
  <c r="A259" i="8"/>
  <c r="A260" i="8"/>
  <c r="A261" i="8"/>
  <c r="A262" i="8"/>
  <c r="Y262" i="8"/>
  <c r="K262" i="8"/>
  <c r="G259" i="8"/>
  <c r="H259" i="8"/>
  <c r="I259" i="8"/>
  <c r="J259" i="8"/>
  <c r="X258" i="8"/>
  <c r="X259" i="8"/>
  <c r="Y259" i="8"/>
  <c r="G254" i="8"/>
  <c r="H254" i="8"/>
  <c r="I254" i="8"/>
  <c r="J254" i="8"/>
  <c r="Y254" i="8"/>
  <c r="G247" i="8"/>
  <c r="H247" i="8"/>
  <c r="I247" i="8"/>
  <c r="J247" i="8"/>
  <c r="Y247" i="8"/>
  <c r="G243" i="8"/>
  <c r="H243" i="8"/>
  <c r="I243" i="8"/>
  <c r="J243" i="8"/>
  <c r="Y243" i="8"/>
  <c r="G241" i="8"/>
  <c r="H241" i="8"/>
  <c r="I241" i="8"/>
  <c r="J241" i="8"/>
  <c r="Y241" i="8"/>
  <c r="G223" i="8"/>
  <c r="H223" i="8"/>
  <c r="I223" i="8"/>
  <c r="J223" i="8"/>
  <c r="Y223" i="8"/>
  <c r="G208" i="8"/>
  <c r="H208" i="8"/>
  <c r="I208" i="8"/>
  <c r="J208" i="8"/>
  <c r="Y208" i="8"/>
  <c r="G195" i="8"/>
  <c r="H195" i="8"/>
  <c r="I195" i="8"/>
  <c r="J195" i="8"/>
  <c r="Y195" i="8"/>
  <c r="G183" i="8"/>
  <c r="H183" i="8"/>
  <c r="I183" i="8"/>
  <c r="J183" i="8"/>
  <c r="Y183" i="8"/>
  <c r="G161" i="8"/>
  <c r="H161" i="8"/>
  <c r="I161" i="8"/>
  <c r="J161" i="8"/>
  <c r="Y161" i="8"/>
  <c r="G130" i="8"/>
  <c r="H130" i="8"/>
  <c r="I130" i="8"/>
  <c r="J130" i="8"/>
  <c r="Y130" i="8"/>
  <c r="G121" i="8"/>
  <c r="H121" i="8"/>
  <c r="I121" i="8"/>
  <c r="J121" i="8"/>
  <c r="Y121" i="8"/>
  <c r="G115" i="8"/>
  <c r="H115" i="8"/>
  <c r="I115" i="8"/>
  <c r="J115" i="8"/>
  <c r="Y115" i="8"/>
  <c r="G75" i="8"/>
  <c r="H75" i="8"/>
  <c r="I75" i="8"/>
  <c r="J75" i="8"/>
  <c r="Y75" i="8"/>
  <c r="H138" i="1"/>
  <c r="I138" i="1"/>
  <c r="J138" i="1"/>
  <c r="K138" i="1"/>
  <c r="L138" i="1"/>
  <c r="Z138" i="1"/>
  <c r="H136" i="1"/>
  <c r="I136" i="1"/>
  <c r="J136" i="1"/>
  <c r="K136" i="1"/>
  <c r="L136" i="1"/>
  <c r="Z136" i="1"/>
  <c r="G41" i="8"/>
  <c r="H41" i="8"/>
  <c r="I41" i="8"/>
  <c r="J41" i="8"/>
  <c r="Y41" i="8"/>
  <c r="D354" i="1"/>
  <c r="E354" i="1"/>
  <c r="H354" i="1"/>
  <c r="I354" i="1"/>
  <c r="J354" i="1"/>
  <c r="AB354" i="1"/>
  <c r="G354" i="1"/>
  <c r="K354" i="1"/>
  <c r="L354" i="1"/>
  <c r="A351" i="1"/>
  <c r="A352" i="1"/>
  <c r="A353" i="1"/>
  <c r="A354" i="1"/>
  <c r="Z354" i="1"/>
  <c r="M354" i="1"/>
  <c r="H351" i="1"/>
  <c r="I351" i="1"/>
  <c r="J351" i="1"/>
  <c r="K351" i="1"/>
  <c r="L351"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Z351" i="1"/>
  <c r="H349" i="1"/>
  <c r="I349" i="1"/>
  <c r="J349" i="1"/>
  <c r="K349" i="1"/>
  <c r="L349" i="1"/>
  <c r="Z349" i="1"/>
  <c r="H347" i="1"/>
  <c r="I347" i="1"/>
  <c r="J347" i="1"/>
  <c r="K347" i="1"/>
  <c r="L347" i="1"/>
  <c r="Z347" i="1"/>
  <c r="H345" i="1"/>
  <c r="I345" i="1"/>
  <c r="J345" i="1"/>
  <c r="K345" i="1"/>
  <c r="L345" i="1"/>
  <c r="Z345" i="1"/>
  <c r="H290" i="1"/>
  <c r="I290" i="1"/>
  <c r="J290" i="1"/>
  <c r="K290" i="1"/>
  <c r="L290" i="1"/>
  <c r="Z290" i="1"/>
  <c r="H289" i="1"/>
  <c r="I289" i="1"/>
  <c r="J289" i="1"/>
  <c r="K289" i="1"/>
  <c r="L289" i="1"/>
  <c r="Z289" i="1"/>
  <c r="H288" i="1"/>
  <c r="I288" i="1"/>
  <c r="J288" i="1"/>
  <c r="K288" i="1"/>
  <c r="L288" i="1"/>
  <c r="Z288" i="1"/>
  <c r="H285" i="1"/>
  <c r="I285" i="1"/>
  <c r="J285" i="1"/>
  <c r="K285" i="1"/>
  <c r="L285" i="1"/>
  <c r="Z285" i="1"/>
  <c r="H282" i="1"/>
  <c r="I282" i="1"/>
  <c r="J282" i="1"/>
  <c r="K282" i="1"/>
  <c r="L282" i="1"/>
  <c r="Z282" i="1"/>
  <c r="H278" i="1"/>
  <c r="I278" i="1"/>
  <c r="J278" i="1"/>
  <c r="K278" i="1"/>
  <c r="L278" i="1"/>
  <c r="Z278" i="1"/>
  <c r="H277" i="1"/>
  <c r="I277" i="1"/>
  <c r="J277" i="1"/>
  <c r="K277" i="1"/>
  <c r="L277" i="1"/>
  <c r="Z277" i="1"/>
  <c r="H272" i="1"/>
  <c r="I272" i="1"/>
  <c r="J272" i="1"/>
  <c r="K272" i="1"/>
  <c r="L272" i="1"/>
  <c r="Z272" i="1"/>
  <c r="H269" i="1"/>
  <c r="I269" i="1"/>
  <c r="J269" i="1"/>
  <c r="K269" i="1"/>
  <c r="L269" i="1"/>
  <c r="Z269" i="1"/>
  <c r="H267" i="1"/>
  <c r="I267" i="1"/>
  <c r="J267" i="1"/>
  <c r="K267" i="1"/>
  <c r="L267" i="1"/>
  <c r="Z267" i="1"/>
  <c r="H259" i="1"/>
  <c r="I259" i="1"/>
  <c r="J259" i="1"/>
  <c r="K259" i="1"/>
  <c r="L259" i="1"/>
  <c r="Z259" i="1"/>
  <c r="H251" i="1"/>
  <c r="I251" i="1"/>
  <c r="J251" i="1"/>
  <c r="K251" i="1"/>
  <c r="L251" i="1"/>
  <c r="Z251" i="1"/>
  <c r="H249" i="1"/>
  <c r="I249" i="1"/>
  <c r="J249" i="1"/>
  <c r="K249" i="1"/>
  <c r="L249" i="1"/>
  <c r="Z249" i="1"/>
  <c r="H248" i="1"/>
  <c r="I248" i="1"/>
  <c r="J248" i="1"/>
  <c r="K248" i="1"/>
  <c r="L248" i="1"/>
  <c r="Z248" i="1"/>
  <c r="H247" i="1"/>
  <c r="I247" i="1"/>
  <c r="J247" i="1"/>
  <c r="K247" i="1"/>
  <c r="L247" i="1"/>
  <c r="Z247" i="1"/>
  <c r="H226" i="1"/>
  <c r="I226" i="1"/>
  <c r="J226" i="1"/>
  <c r="K226" i="1"/>
  <c r="L226" i="1"/>
  <c r="Z226" i="1"/>
  <c r="H222" i="1"/>
  <c r="I222" i="1"/>
  <c r="J222" i="1"/>
  <c r="K222" i="1"/>
  <c r="L222" i="1"/>
  <c r="Z222" i="1"/>
  <c r="H214" i="1"/>
  <c r="I214" i="1"/>
  <c r="J214" i="1"/>
  <c r="K214" i="1"/>
  <c r="L214" i="1"/>
  <c r="Z214" i="1"/>
  <c r="H210" i="1"/>
  <c r="I210" i="1"/>
  <c r="J210" i="1"/>
  <c r="K210" i="1"/>
  <c r="L210" i="1"/>
  <c r="Z210" i="1"/>
  <c r="H207" i="1"/>
  <c r="I207" i="1"/>
  <c r="J207" i="1"/>
  <c r="K207" i="1"/>
  <c r="L207" i="1"/>
  <c r="Z207" i="1"/>
  <c r="H197" i="1"/>
  <c r="I197" i="1"/>
  <c r="J197" i="1"/>
  <c r="K197" i="1"/>
  <c r="L197" i="1"/>
  <c r="Z197" i="1"/>
  <c r="H187" i="1"/>
  <c r="I187" i="1"/>
  <c r="J187" i="1"/>
  <c r="K187" i="1"/>
  <c r="L187" i="1"/>
  <c r="Z187" i="1"/>
  <c r="H184" i="1"/>
  <c r="I184" i="1"/>
  <c r="J184" i="1"/>
  <c r="K184" i="1"/>
  <c r="L184" i="1"/>
  <c r="Z184" i="1"/>
  <c r="H182" i="1"/>
  <c r="I182" i="1"/>
  <c r="J182" i="1"/>
  <c r="K182" i="1"/>
  <c r="L182" i="1"/>
  <c r="Z182" i="1"/>
  <c r="G244" i="8"/>
  <c r="H244" i="8"/>
  <c r="I244" i="8"/>
  <c r="J244" i="8"/>
  <c r="Y244" i="8"/>
  <c r="H169" i="1"/>
  <c r="I169" i="1"/>
  <c r="J169" i="1"/>
  <c r="K169" i="1"/>
  <c r="L169" i="1"/>
  <c r="Z169" i="1"/>
  <c r="G240" i="8"/>
  <c r="H240" i="8"/>
  <c r="I240" i="8"/>
  <c r="J240" i="8"/>
  <c r="Y240" i="8"/>
  <c r="G235" i="8"/>
  <c r="H235" i="8"/>
  <c r="I235" i="8"/>
  <c r="J235" i="8"/>
  <c r="Y235" i="8"/>
  <c r="H159" i="1"/>
  <c r="I159" i="1"/>
  <c r="J159" i="1"/>
  <c r="K159" i="1"/>
  <c r="L159" i="1"/>
  <c r="Z159" i="1"/>
  <c r="H158" i="1"/>
  <c r="I158" i="1"/>
  <c r="J158" i="1"/>
  <c r="K158" i="1"/>
  <c r="L158" i="1"/>
  <c r="Z158" i="1"/>
  <c r="G216" i="8"/>
  <c r="H216" i="8"/>
  <c r="I216" i="8"/>
  <c r="J216" i="8"/>
  <c r="Y216" i="8"/>
  <c r="G205" i="8"/>
  <c r="H205" i="8"/>
  <c r="I205" i="8"/>
  <c r="J205" i="8"/>
  <c r="Y205" i="8"/>
  <c r="G192" i="8"/>
  <c r="H192" i="8"/>
  <c r="I192" i="8"/>
  <c r="J192" i="8"/>
  <c r="Y192" i="8"/>
  <c r="G187" i="8"/>
  <c r="H187" i="8"/>
  <c r="I187" i="8"/>
  <c r="J187" i="8"/>
  <c r="Y187" i="8"/>
  <c r="G154" i="8"/>
  <c r="H154" i="8"/>
  <c r="I154" i="8"/>
  <c r="J154" i="8"/>
  <c r="Y154" i="8"/>
  <c r="G146" i="8"/>
  <c r="H146" i="8"/>
  <c r="I146" i="8"/>
  <c r="J146" i="8"/>
  <c r="Y146" i="8"/>
  <c r="G144" i="8"/>
  <c r="H144" i="8"/>
  <c r="I144" i="8"/>
  <c r="J144" i="8"/>
  <c r="Y144" i="8"/>
  <c r="G142" i="8"/>
  <c r="H142" i="8"/>
  <c r="I142" i="8"/>
  <c r="J142" i="8"/>
  <c r="Y142" i="8"/>
  <c r="G140" i="8"/>
  <c r="H140" i="8"/>
  <c r="I140" i="8"/>
  <c r="J140" i="8"/>
  <c r="Y140" i="8"/>
  <c r="G98" i="8"/>
  <c r="H98" i="8"/>
  <c r="I98" i="8"/>
  <c r="J98" i="8"/>
  <c r="Y98" i="8"/>
  <c r="G71" i="8"/>
  <c r="H71" i="8"/>
  <c r="I71" i="8"/>
  <c r="J71" i="8"/>
  <c r="Y71" i="8"/>
  <c r="G67" i="8"/>
  <c r="H67" i="8"/>
  <c r="I67" i="8"/>
  <c r="J67" i="8"/>
  <c r="Y67" i="8"/>
  <c r="G66" i="8"/>
  <c r="H66" i="8"/>
  <c r="I66" i="8"/>
  <c r="J66" i="8"/>
  <c r="Y66" i="8"/>
  <c r="H149" i="1"/>
  <c r="I149" i="1"/>
  <c r="J149" i="1"/>
  <c r="K149" i="1"/>
  <c r="L149" i="1"/>
  <c r="Z149" i="1"/>
  <c r="G57" i="8"/>
  <c r="H57" i="8"/>
  <c r="I57" i="8"/>
  <c r="J57" i="8"/>
  <c r="Y57" i="8"/>
  <c r="H140" i="1"/>
  <c r="I140" i="1"/>
  <c r="J140" i="1"/>
  <c r="K140" i="1"/>
  <c r="L140" i="1"/>
  <c r="Z140" i="1"/>
  <c r="H132" i="1"/>
  <c r="I132" i="1"/>
  <c r="J132" i="1"/>
  <c r="K132" i="1"/>
  <c r="L132" i="1"/>
  <c r="Z132" i="1"/>
  <c r="H130" i="1"/>
  <c r="I130" i="1"/>
  <c r="J130" i="1"/>
  <c r="K130" i="1"/>
  <c r="L130" i="1"/>
  <c r="Z130" i="1"/>
  <c r="G44" i="8"/>
  <c r="H44" i="8"/>
  <c r="I44" i="8"/>
  <c r="J44" i="8"/>
  <c r="Y44" i="8"/>
  <c r="H128" i="1"/>
  <c r="I128" i="1"/>
  <c r="J128" i="1"/>
  <c r="K128" i="1"/>
  <c r="L128" i="1"/>
  <c r="Z128" i="1"/>
  <c r="G38" i="8"/>
  <c r="H38" i="8"/>
  <c r="I38" i="8"/>
  <c r="J38" i="8"/>
  <c r="Y38" i="8"/>
  <c r="G25" i="8"/>
  <c r="H25" i="8"/>
  <c r="I25" i="8"/>
  <c r="J25" i="8"/>
  <c r="G28" i="8"/>
  <c r="H28" i="8"/>
  <c r="I28" i="8"/>
  <c r="J28" i="8"/>
  <c r="Y28" i="8"/>
  <c r="G32" i="8"/>
  <c r="H32" i="8"/>
  <c r="I32" i="8"/>
  <c r="J32" i="8"/>
  <c r="Y32" i="8"/>
  <c r="G33" i="8"/>
  <c r="H33" i="8"/>
  <c r="I33" i="8"/>
  <c r="J33" i="8"/>
  <c r="Y33" i="8"/>
  <c r="M113" i="1"/>
  <c r="G27" i="8"/>
  <c r="H27" i="8"/>
  <c r="I27" i="8"/>
  <c r="J27" i="8"/>
  <c r="Y27" i="8"/>
  <c r="H117" i="1"/>
  <c r="I117" i="1"/>
  <c r="J117" i="1"/>
  <c r="K117" i="1"/>
  <c r="L117" i="1"/>
  <c r="Z117" i="1"/>
  <c r="G29" i="8"/>
  <c r="H29" i="8"/>
  <c r="I29" i="8"/>
  <c r="J29" i="8"/>
  <c r="Y29" i="8"/>
  <c r="G31" i="8"/>
  <c r="H31" i="8"/>
  <c r="I31" i="8"/>
  <c r="J31" i="8"/>
  <c r="Y31" i="8"/>
  <c r="H120" i="1"/>
  <c r="I120" i="1"/>
  <c r="J120" i="1"/>
  <c r="K120" i="1"/>
  <c r="L120" i="1"/>
  <c r="Z120" i="1"/>
  <c r="G34" i="8"/>
  <c r="H34" i="8"/>
  <c r="I34" i="8"/>
  <c r="J34" i="8"/>
  <c r="Y34" i="8"/>
  <c r="G35" i="8"/>
  <c r="H35" i="8"/>
  <c r="I35" i="8"/>
  <c r="J35" i="8"/>
  <c r="Y35" i="8"/>
  <c r="G36" i="8"/>
  <c r="H36" i="8"/>
  <c r="I36" i="8"/>
  <c r="J36" i="8"/>
  <c r="Y36" i="8"/>
  <c r="G46" i="8"/>
  <c r="H46" i="8"/>
  <c r="I46" i="8"/>
  <c r="J46" i="8"/>
  <c r="Y46" i="8"/>
  <c r="H135" i="1"/>
  <c r="I135" i="1"/>
  <c r="J135" i="1"/>
  <c r="K135" i="1"/>
  <c r="L135" i="1"/>
  <c r="Z135" i="1"/>
  <c r="G53" i="8"/>
  <c r="H53" i="8"/>
  <c r="I53" i="8"/>
  <c r="J53" i="8"/>
  <c r="Y53" i="8"/>
  <c r="G55" i="8"/>
  <c r="H55" i="8"/>
  <c r="I55" i="8"/>
  <c r="J55" i="8"/>
  <c r="Y55" i="8"/>
  <c r="H141" i="1"/>
  <c r="I141" i="1"/>
  <c r="J141" i="1"/>
  <c r="K141" i="1"/>
  <c r="L141" i="1"/>
  <c r="Z141" i="1"/>
  <c r="G59" i="8"/>
  <c r="H59" i="8"/>
  <c r="I59" i="8"/>
  <c r="J59" i="8"/>
  <c r="Y59" i="8"/>
  <c r="H144" i="1"/>
  <c r="I144" i="1"/>
  <c r="J144" i="1"/>
  <c r="K144" i="1"/>
  <c r="L144" i="1"/>
  <c r="Z144" i="1"/>
  <c r="H146" i="1"/>
  <c r="I146" i="1"/>
  <c r="J146" i="1"/>
  <c r="K146" i="1"/>
  <c r="L146" i="1"/>
  <c r="Z146" i="1"/>
  <c r="H148" i="1"/>
  <c r="I148" i="1"/>
  <c r="J148" i="1"/>
  <c r="K148" i="1"/>
  <c r="L148" i="1"/>
  <c r="Z148" i="1"/>
  <c r="G70" i="8"/>
  <c r="H70" i="8"/>
  <c r="I70" i="8"/>
  <c r="J70" i="8"/>
  <c r="Y70" i="8"/>
  <c r="G79" i="8"/>
  <c r="H79" i="8"/>
  <c r="I79" i="8"/>
  <c r="J79" i="8"/>
  <c r="Y79" i="8"/>
  <c r="G85" i="8"/>
  <c r="H85" i="8"/>
  <c r="I85" i="8"/>
  <c r="J85" i="8"/>
  <c r="Y85" i="8"/>
  <c r="G86" i="8"/>
  <c r="H86" i="8"/>
  <c r="I86" i="8"/>
  <c r="J86" i="8"/>
  <c r="Y86" i="8"/>
  <c r="G97" i="8"/>
  <c r="H97" i="8"/>
  <c r="I97" i="8"/>
  <c r="J97" i="8"/>
  <c r="Y97" i="8"/>
  <c r="G101" i="8"/>
  <c r="H101" i="8"/>
  <c r="I101" i="8"/>
  <c r="J101" i="8"/>
  <c r="Y101" i="8"/>
  <c r="G102" i="8"/>
  <c r="H102" i="8"/>
  <c r="I102" i="8"/>
  <c r="J102" i="8"/>
  <c r="Y102" i="8"/>
  <c r="G104" i="8"/>
  <c r="H104" i="8"/>
  <c r="I104" i="8"/>
  <c r="J104" i="8"/>
  <c r="Y104" i="8"/>
  <c r="G105" i="8"/>
  <c r="H105" i="8"/>
  <c r="I105" i="8"/>
  <c r="J105" i="8"/>
  <c r="Y105" i="8"/>
  <c r="G106" i="8"/>
  <c r="H106" i="8"/>
  <c r="I106" i="8"/>
  <c r="J106" i="8"/>
  <c r="Y106" i="8"/>
  <c r="G122" i="8"/>
  <c r="H122" i="8"/>
  <c r="I122" i="8"/>
  <c r="J122" i="8"/>
  <c r="Y122" i="8"/>
  <c r="G124" i="8"/>
  <c r="H124" i="8"/>
  <c r="I124" i="8"/>
  <c r="J124" i="8"/>
  <c r="Y124" i="8"/>
  <c r="G125" i="8"/>
  <c r="H125" i="8"/>
  <c r="I125" i="8"/>
  <c r="J125" i="8"/>
  <c r="Y125" i="8"/>
  <c r="G132" i="8"/>
  <c r="H132" i="8"/>
  <c r="I132" i="8"/>
  <c r="J132" i="8"/>
  <c r="Y132" i="8"/>
  <c r="G134" i="8"/>
  <c r="H134" i="8"/>
  <c r="I134" i="8"/>
  <c r="J134" i="8"/>
  <c r="Y134" i="8"/>
  <c r="G136" i="8"/>
  <c r="H136" i="8"/>
  <c r="I136" i="8"/>
  <c r="J136" i="8"/>
  <c r="Y136" i="8"/>
  <c r="G138" i="8"/>
  <c r="H138" i="8"/>
  <c r="I138" i="8"/>
  <c r="J138" i="8"/>
  <c r="Y138" i="8"/>
  <c r="G145" i="8"/>
  <c r="H145" i="8"/>
  <c r="I145" i="8"/>
  <c r="J145" i="8"/>
  <c r="Y145" i="8"/>
  <c r="G147" i="8"/>
  <c r="H147" i="8"/>
  <c r="I147" i="8"/>
  <c r="J147" i="8"/>
  <c r="Y147" i="8"/>
  <c r="G149" i="8"/>
  <c r="H149" i="8"/>
  <c r="I149" i="8"/>
  <c r="J149" i="8"/>
  <c r="Y149" i="8"/>
  <c r="G151" i="8"/>
  <c r="H151" i="8"/>
  <c r="I151" i="8"/>
  <c r="J151" i="8"/>
  <c r="Y151" i="8"/>
  <c r="G156" i="8"/>
  <c r="H156" i="8"/>
  <c r="I156" i="8"/>
  <c r="J156" i="8"/>
  <c r="Y156" i="8"/>
  <c r="G158" i="8"/>
  <c r="H158" i="8"/>
  <c r="I158" i="8"/>
  <c r="J158" i="8"/>
  <c r="Y158" i="8"/>
  <c r="G160" i="8"/>
  <c r="H160" i="8"/>
  <c r="I160" i="8"/>
  <c r="J160" i="8"/>
  <c r="Y160" i="8"/>
  <c r="G162" i="8"/>
  <c r="H162" i="8"/>
  <c r="I162" i="8"/>
  <c r="J162" i="8"/>
  <c r="Y162" i="8"/>
  <c r="G164" i="8"/>
  <c r="H164" i="8"/>
  <c r="I164" i="8"/>
  <c r="J164" i="8"/>
  <c r="Y164" i="8"/>
  <c r="G169" i="8"/>
  <c r="H169" i="8"/>
  <c r="I169" i="8"/>
  <c r="J169" i="8"/>
  <c r="Y169" i="8"/>
  <c r="G174" i="8"/>
  <c r="H174" i="8"/>
  <c r="I174" i="8"/>
  <c r="J174" i="8"/>
  <c r="Y174" i="8"/>
  <c r="G177" i="8"/>
  <c r="H177" i="8"/>
  <c r="I177" i="8"/>
  <c r="J177" i="8"/>
  <c r="Y177" i="8"/>
  <c r="G179" i="8"/>
  <c r="H179" i="8"/>
  <c r="I179" i="8"/>
  <c r="J179" i="8"/>
  <c r="Y179" i="8"/>
  <c r="G181" i="8"/>
  <c r="H181" i="8"/>
  <c r="I181" i="8"/>
  <c r="J181" i="8"/>
  <c r="Y181" i="8"/>
  <c r="G190" i="8"/>
  <c r="H190" i="8"/>
  <c r="I190" i="8"/>
  <c r="J190" i="8"/>
  <c r="Y190" i="8"/>
  <c r="G194" i="8"/>
  <c r="H194" i="8"/>
  <c r="I194" i="8"/>
  <c r="J194" i="8"/>
  <c r="Y194" i="8"/>
  <c r="G197" i="8"/>
  <c r="H197" i="8"/>
  <c r="I197" i="8"/>
  <c r="J197" i="8"/>
  <c r="Y197" i="8"/>
  <c r="G200" i="8"/>
  <c r="H200" i="8"/>
  <c r="I200" i="8"/>
  <c r="J200" i="8"/>
  <c r="Y200" i="8"/>
  <c r="G204" i="8"/>
  <c r="H204" i="8"/>
  <c r="I204" i="8"/>
  <c r="J204" i="8"/>
  <c r="Y204" i="8"/>
  <c r="G207" i="8"/>
  <c r="H207" i="8"/>
  <c r="I207" i="8"/>
  <c r="J207" i="8"/>
  <c r="Y207" i="8"/>
  <c r="G211" i="8"/>
  <c r="H211" i="8"/>
  <c r="I211" i="8"/>
  <c r="J211" i="8"/>
  <c r="Y211" i="8"/>
  <c r="G215" i="8"/>
  <c r="H215" i="8"/>
  <c r="I215" i="8"/>
  <c r="J215" i="8"/>
  <c r="Y215" i="8"/>
  <c r="G219" i="8"/>
  <c r="H219" i="8"/>
  <c r="I219" i="8"/>
  <c r="J219" i="8"/>
  <c r="Y219" i="8"/>
  <c r="G222" i="8"/>
  <c r="H222" i="8"/>
  <c r="I222" i="8"/>
  <c r="J222" i="8"/>
  <c r="Y222" i="8"/>
  <c r="H153" i="1"/>
  <c r="I153" i="1"/>
  <c r="J153" i="1"/>
  <c r="K153" i="1"/>
  <c r="L153" i="1"/>
  <c r="Z153" i="1"/>
  <c r="H155" i="1"/>
  <c r="I155" i="1"/>
  <c r="J155" i="1"/>
  <c r="K155" i="1"/>
  <c r="L155" i="1"/>
  <c r="Z155" i="1"/>
  <c r="G227" i="8"/>
  <c r="H227" i="8"/>
  <c r="I227" i="8"/>
  <c r="J227" i="8"/>
  <c r="Y227" i="8"/>
  <c r="H157" i="1"/>
  <c r="I157" i="1"/>
  <c r="J157" i="1"/>
  <c r="K157" i="1"/>
  <c r="L157" i="1"/>
  <c r="Z157" i="1"/>
  <c r="G230" i="8"/>
  <c r="H230" i="8"/>
  <c r="I230" i="8"/>
  <c r="J230" i="8"/>
  <c r="Y230" i="8"/>
  <c r="G231" i="8"/>
  <c r="H231" i="8"/>
  <c r="I231" i="8"/>
  <c r="J231" i="8"/>
  <c r="Y231" i="8"/>
  <c r="G232" i="8"/>
  <c r="H232" i="8"/>
  <c r="I232" i="8"/>
  <c r="J232" i="8"/>
  <c r="Y232" i="8"/>
  <c r="H161" i="1"/>
  <c r="I161" i="1"/>
  <c r="J161" i="1"/>
  <c r="K161" i="1"/>
  <c r="L161" i="1"/>
  <c r="Z161" i="1"/>
  <c r="H162" i="1"/>
  <c r="I162" i="1"/>
  <c r="J162" i="1"/>
  <c r="K162" i="1"/>
  <c r="L162" i="1"/>
  <c r="Z162" i="1"/>
  <c r="H166" i="1"/>
  <c r="I166" i="1"/>
  <c r="J166" i="1"/>
  <c r="K166" i="1"/>
  <c r="L166" i="1"/>
  <c r="Z166" i="1"/>
  <c r="G239" i="8"/>
  <c r="H239" i="8"/>
  <c r="I239" i="8"/>
  <c r="J239" i="8"/>
  <c r="Y239" i="8"/>
  <c r="H168" i="1"/>
  <c r="I168" i="1"/>
  <c r="J168" i="1"/>
  <c r="K168" i="1"/>
  <c r="L168" i="1"/>
  <c r="Z168" i="1"/>
  <c r="G242" i="8"/>
  <c r="H242" i="8"/>
  <c r="I242" i="8"/>
  <c r="J242" i="8"/>
  <c r="Y242" i="8"/>
  <c r="H171" i="1"/>
  <c r="I171" i="1"/>
  <c r="J171" i="1"/>
  <c r="K171" i="1"/>
  <c r="L171" i="1"/>
  <c r="Z171" i="1"/>
  <c r="G249" i="8"/>
  <c r="H249" i="8"/>
  <c r="I249" i="8"/>
  <c r="J249" i="8"/>
  <c r="Y249" i="8"/>
  <c r="G250" i="8"/>
  <c r="H250" i="8"/>
  <c r="I250" i="8"/>
  <c r="J250" i="8"/>
  <c r="Y250" i="8"/>
  <c r="G251" i="8"/>
  <c r="H251" i="8"/>
  <c r="I251" i="8"/>
  <c r="J251" i="8"/>
  <c r="Y251" i="8"/>
  <c r="G255" i="8"/>
  <c r="H255" i="8"/>
  <c r="I255" i="8"/>
  <c r="J255" i="8"/>
  <c r="Y255" i="8"/>
  <c r="G258" i="8"/>
  <c r="H258" i="8"/>
  <c r="I258" i="8"/>
  <c r="J258" i="8"/>
  <c r="Y258" i="8"/>
  <c r="H178" i="1"/>
  <c r="I178" i="1"/>
  <c r="J178" i="1"/>
  <c r="K178" i="1"/>
  <c r="L178" i="1"/>
  <c r="Z178" i="1"/>
  <c r="H179" i="1"/>
  <c r="I179" i="1"/>
  <c r="J179" i="1"/>
  <c r="K179" i="1"/>
  <c r="L179" i="1"/>
  <c r="Z179" i="1"/>
  <c r="H183" i="1"/>
  <c r="I183" i="1"/>
  <c r="J183" i="1"/>
  <c r="K183" i="1"/>
  <c r="L183" i="1"/>
  <c r="Z183" i="1"/>
  <c r="H190" i="1"/>
  <c r="I190" i="1"/>
  <c r="J190" i="1"/>
  <c r="K190" i="1"/>
  <c r="L190" i="1"/>
  <c r="Z190" i="1"/>
  <c r="H191" i="1"/>
  <c r="I191" i="1"/>
  <c r="J191" i="1"/>
  <c r="K191" i="1"/>
  <c r="L191" i="1"/>
  <c r="Z191" i="1"/>
  <c r="H193" i="1"/>
  <c r="I193" i="1"/>
  <c r="J193" i="1"/>
  <c r="K193" i="1"/>
  <c r="L193" i="1"/>
  <c r="Z193" i="1"/>
  <c r="H194" i="1"/>
  <c r="I194" i="1"/>
  <c r="J194" i="1"/>
  <c r="K194" i="1"/>
  <c r="L194" i="1"/>
  <c r="Z194" i="1"/>
  <c r="G26" i="8"/>
  <c r="H26" i="8"/>
  <c r="I26" i="8"/>
  <c r="J26" i="8"/>
  <c r="Y26" i="8"/>
  <c r="H116" i="1"/>
  <c r="I116" i="1"/>
  <c r="J116" i="1"/>
  <c r="K116" i="1"/>
  <c r="L116" i="1"/>
  <c r="Z116" i="1"/>
  <c r="G30" i="8"/>
  <c r="H30" i="8"/>
  <c r="I30" i="8"/>
  <c r="J30" i="8"/>
  <c r="Y30" i="8"/>
  <c r="H118" i="1"/>
  <c r="I118" i="1"/>
  <c r="J118" i="1"/>
  <c r="K118" i="1"/>
  <c r="L118" i="1"/>
  <c r="Z118" i="1"/>
  <c r="H119" i="1"/>
  <c r="I119" i="1"/>
  <c r="J119" i="1"/>
  <c r="K119" i="1"/>
  <c r="L119" i="1"/>
  <c r="Z119" i="1"/>
  <c r="H121" i="1"/>
  <c r="I121" i="1"/>
  <c r="J121" i="1"/>
  <c r="K121" i="1"/>
  <c r="L121" i="1"/>
  <c r="Z121" i="1"/>
  <c r="G47" i="8"/>
  <c r="H47" i="8"/>
  <c r="I47" i="8"/>
  <c r="J47" i="8"/>
  <c r="Y47" i="8"/>
  <c r="H133" i="1"/>
  <c r="I133" i="1"/>
  <c r="J133" i="1"/>
  <c r="K133" i="1"/>
  <c r="L133" i="1"/>
  <c r="Z133" i="1"/>
  <c r="G49" i="8"/>
  <c r="H49" i="8"/>
  <c r="I49" i="8"/>
  <c r="J49" i="8"/>
  <c r="Y49" i="8"/>
  <c r="H134" i="1"/>
  <c r="I134" i="1"/>
  <c r="J134" i="1"/>
  <c r="K134" i="1"/>
  <c r="L134" i="1"/>
  <c r="Z134" i="1"/>
  <c r="G50" i="8"/>
  <c r="H50" i="8"/>
  <c r="I50" i="8"/>
  <c r="J50" i="8"/>
  <c r="Y50" i="8"/>
  <c r="G52" i="8"/>
  <c r="H52" i="8"/>
  <c r="I52" i="8"/>
  <c r="J52" i="8"/>
  <c r="Y52" i="8"/>
  <c r="H137" i="1"/>
  <c r="I137" i="1"/>
  <c r="J137" i="1"/>
  <c r="K137" i="1"/>
  <c r="L137" i="1"/>
  <c r="Z137" i="1"/>
  <c r="G65" i="8"/>
  <c r="H65" i="8"/>
  <c r="I65" i="8"/>
  <c r="J65" i="8"/>
  <c r="Y65" i="8"/>
  <c r="G74" i="8"/>
  <c r="H74" i="8"/>
  <c r="I74" i="8"/>
  <c r="J74" i="8"/>
  <c r="Y74" i="8"/>
  <c r="G77" i="8"/>
  <c r="H77" i="8"/>
  <c r="I77" i="8"/>
  <c r="J77" i="8"/>
  <c r="Y77" i="8"/>
  <c r="G81" i="8"/>
  <c r="H81" i="8"/>
  <c r="I81" i="8"/>
  <c r="J81" i="8"/>
  <c r="Y81" i="8"/>
  <c r="G82" i="8"/>
  <c r="H82" i="8"/>
  <c r="I82" i="8"/>
  <c r="J82" i="8"/>
  <c r="Y82" i="8"/>
  <c r="G84" i="8"/>
  <c r="H84" i="8"/>
  <c r="I84" i="8"/>
  <c r="J84" i="8"/>
  <c r="Y84" i="8"/>
  <c r="G88" i="8"/>
  <c r="H88" i="8"/>
  <c r="I88" i="8"/>
  <c r="J88" i="8"/>
  <c r="Y88" i="8"/>
  <c r="G89" i="8"/>
  <c r="H89" i="8"/>
  <c r="I89" i="8"/>
  <c r="J89" i="8"/>
  <c r="Y89" i="8"/>
  <c r="G91" i="8"/>
  <c r="H91" i="8"/>
  <c r="I91" i="8"/>
  <c r="J91" i="8"/>
  <c r="Y91" i="8"/>
  <c r="G92" i="8"/>
  <c r="H92" i="8"/>
  <c r="I92" i="8"/>
  <c r="J92" i="8"/>
  <c r="Y92" i="8"/>
  <c r="G93" i="8"/>
  <c r="H93" i="8"/>
  <c r="I93" i="8"/>
  <c r="J93" i="8"/>
  <c r="Y93" i="8"/>
  <c r="G99" i="8"/>
  <c r="H99" i="8"/>
  <c r="I99" i="8"/>
  <c r="J99" i="8"/>
  <c r="Y99" i="8"/>
  <c r="G108" i="8"/>
  <c r="H108" i="8"/>
  <c r="I108" i="8"/>
  <c r="J108" i="8"/>
  <c r="Y108" i="8"/>
  <c r="G114" i="8"/>
  <c r="H114" i="8"/>
  <c r="I114" i="8"/>
  <c r="J114" i="8"/>
  <c r="Y114" i="8"/>
  <c r="G117" i="8"/>
  <c r="H117" i="8"/>
  <c r="I117" i="8"/>
  <c r="J117" i="8"/>
  <c r="Y117" i="8"/>
  <c r="G118" i="8"/>
  <c r="H118" i="8"/>
  <c r="I118" i="8"/>
  <c r="J118" i="8"/>
  <c r="Y118" i="8"/>
  <c r="G120" i="8"/>
  <c r="H120" i="8"/>
  <c r="I120" i="8"/>
  <c r="J120" i="8"/>
  <c r="Y120" i="8"/>
  <c r="G126" i="8"/>
  <c r="H126" i="8"/>
  <c r="I126" i="8"/>
  <c r="J126" i="8"/>
  <c r="Y126" i="8"/>
  <c r="G131" i="8"/>
  <c r="H131" i="8"/>
  <c r="I131" i="8"/>
  <c r="J131" i="8"/>
  <c r="Y131" i="8"/>
  <c r="G139" i="8"/>
  <c r="H139" i="8"/>
  <c r="I139" i="8"/>
  <c r="J139" i="8"/>
  <c r="Y139" i="8"/>
  <c r="G152" i="8"/>
  <c r="H152" i="8"/>
  <c r="I152" i="8"/>
  <c r="J152" i="8"/>
  <c r="Y152" i="8"/>
  <c r="G155" i="8"/>
  <c r="H155" i="8"/>
  <c r="I155" i="8"/>
  <c r="J155" i="8"/>
  <c r="Y155" i="8"/>
  <c r="G157" i="8"/>
  <c r="H157" i="8"/>
  <c r="I157" i="8"/>
  <c r="J157" i="8"/>
  <c r="Y157" i="8"/>
  <c r="G163" i="8"/>
  <c r="H163" i="8"/>
  <c r="I163" i="8"/>
  <c r="J163" i="8"/>
  <c r="Y163" i="8"/>
  <c r="G165" i="8"/>
  <c r="H165" i="8"/>
  <c r="I165" i="8"/>
  <c r="J165" i="8"/>
  <c r="Y165" i="8"/>
  <c r="G167" i="8"/>
  <c r="H167" i="8"/>
  <c r="I167" i="8"/>
  <c r="J167" i="8"/>
  <c r="Y167" i="8"/>
  <c r="G178" i="8"/>
  <c r="H178" i="8"/>
  <c r="I178" i="8"/>
  <c r="J178" i="8"/>
  <c r="Y178" i="8"/>
  <c r="G191" i="8"/>
  <c r="H191" i="8"/>
  <c r="I191" i="8"/>
  <c r="J191" i="8"/>
  <c r="Y191" i="8"/>
  <c r="G199" i="8"/>
  <c r="H199" i="8"/>
  <c r="I199" i="8"/>
  <c r="J199" i="8"/>
  <c r="Y199" i="8"/>
  <c r="G209" i="8"/>
  <c r="H209" i="8"/>
  <c r="I209" i="8"/>
  <c r="J209" i="8"/>
  <c r="Y209" i="8"/>
  <c r="G214" i="8"/>
  <c r="H214" i="8"/>
  <c r="I214" i="8"/>
  <c r="J214" i="8"/>
  <c r="Y214" i="8"/>
  <c r="G220" i="8"/>
  <c r="H220" i="8"/>
  <c r="I220" i="8"/>
  <c r="J220" i="8"/>
  <c r="Y220" i="8"/>
  <c r="H154" i="1"/>
  <c r="I154" i="1"/>
  <c r="J154" i="1"/>
  <c r="K154" i="1"/>
  <c r="L154" i="1"/>
  <c r="Z154" i="1"/>
  <c r="G225" i="8"/>
  <c r="H225" i="8"/>
  <c r="I225" i="8"/>
  <c r="J225" i="8"/>
  <c r="Y225" i="8"/>
  <c r="H156" i="1"/>
  <c r="I156" i="1"/>
  <c r="J156" i="1"/>
  <c r="K156" i="1"/>
  <c r="L156" i="1"/>
  <c r="Z156" i="1"/>
  <c r="H160" i="1"/>
  <c r="I160" i="1"/>
  <c r="J160" i="1"/>
  <c r="K160" i="1"/>
  <c r="L160" i="1"/>
  <c r="Z160" i="1"/>
  <c r="G234" i="8"/>
  <c r="H234" i="8"/>
  <c r="I234" i="8"/>
  <c r="J234" i="8"/>
  <c r="Y234" i="8"/>
  <c r="H163" i="1"/>
  <c r="I163" i="1"/>
  <c r="J163" i="1"/>
  <c r="K163" i="1"/>
  <c r="L163" i="1"/>
  <c r="Z163" i="1"/>
  <c r="G238" i="8"/>
  <c r="H238" i="8"/>
  <c r="I238" i="8"/>
  <c r="J238" i="8"/>
  <c r="Y238" i="8"/>
  <c r="H167" i="1"/>
  <c r="I167" i="1"/>
  <c r="J167" i="1"/>
  <c r="K167" i="1"/>
  <c r="L167" i="1"/>
  <c r="Z167" i="1"/>
  <c r="H170" i="1"/>
  <c r="I170" i="1"/>
  <c r="J170" i="1"/>
  <c r="K170" i="1"/>
  <c r="L170" i="1"/>
  <c r="Z170" i="1"/>
  <c r="G246" i="8"/>
  <c r="H246" i="8"/>
  <c r="I246" i="8"/>
  <c r="J246" i="8"/>
  <c r="Y246" i="8"/>
  <c r="H172" i="1"/>
  <c r="I172" i="1"/>
  <c r="J172" i="1"/>
  <c r="K172" i="1"/>
  <c r="L172" i="1"/>
  <c r="Z172" i="1"/>
  <c r="H175" i="1"/>
  <c r="I175" i="1"/>
  <c r="J175" i="1"/>
  <c r="K175" i="1"/>
  <c r="L175" i="1"/>
  <c r="Z175" i="1"/>
  <c r="H176" i="1"/>
  <c r="I176" i="1"/>
  <c r="J176" i="1"/>
  <c r="K176" i="1"/>
  <c r="L176" i="1"/>
  <c r="Z176" i="1"/>
  <c r="H177" i="1"/>
  <c r="I177" i="1"/>
  <c r="J177" i="1"/>
  <c r="K177" i="1"/>
  <c r="L177" i="1"/>
  <c r="Z177" i="1"/>
  <c r="H180" i="1"/>
  <c r="I180" i="1"/>
  <c r="J180" i="1"/>
  <c r="K180" i="1"/>
  <c r="L180" i="1"/>
  <c r="Z180" i="1"/>
  <c r="E262" i="8"/>
  <c r="L262" i="8"/>
  <c r="D263" i="8"/>
  <c r="G263" i="8"/>
  <c r="H263" i="8"/>
  <c r="I263" i="8"/>
  <c r="F263" i="8"/>
  <c r="J263" i="8"/>
  <c r="A263" i="8"/>
  <c r="X260" i="8"/>
  <c r="X261" i="8"/>
  <c r="X262" i="8"/>
  <c r="X263" i="8"/>
  <c r="Y263" i="8"/>
  <c r="K263" i="8"/>
  <c r="H196" i="1"/>
  <c r="I196" i="1"/>
  <c r="J196" i="1"/>
  <c r="K196" i="1"/>
  <c r="L196" i="1"/>
  <c r="Z196" i="1"/>
  <c r="H199" i="1"/>
  <c r="I199" i="1"/>
  <c r="J199" i="1"/>
  <c r="K199" i="1"/>
  <c r="L199" i="1"/>
  <c r="Z199" i="1"/>
  <c r="H200" i="1"/>
  <c r="I200" i="1"/>
  <c r="J200" i="1"/>
  <c r="K200" i="1"/>
  <c r="L200" i="1"/>
  <c r="Z200" i="1"/>
  <c r="H208" i="1"/>
  <c r="I208" i="1"/>
  <c r="J208" i="1"/>
  <c r="K208" i="1"/>
  <c r="L208" i="1"/>
  <c r="Z208" i="1"/>
  <c r="H213" i="1"/>
  <c r="I213" i="1"/>
  <c r="J213" i="1"/>
  <c r="K213" i="1"/>
  <c r="L213" i="1"/>
  <c r="Z213" i="1"/>
  <c r="H219" i="1"/>
  <c r="I219" i="1"/>
  <c r="J219" i="1"/>
  <c r="K219" i="1"/>
  <c r="L219" i="1"/>
  <c r="Z219" i="1"/>
  <c r="H220" i="1"/>
  <c r="I220" i="1"/>
  <c r="J220" i="1"/>
  <c r="K220" i="1"/>
  <c r="L220" i="1"/>
  <c r="Z220" i="1"/>
  <c r="H225" i="1"/>
  <c r="I225" i="1"/>
  <c r="J225" i="1"/>
  <c r="K225" i="1"/>
  <c r="L225" i="1"/>
  <c r="Z225" i="1"/>
  <c r="H227" i="1"/>
  <c r="I227" i="1"/>
  <c r="J227" i="1"/>
  <c r="K227" i="1"/>
  <c r="L227" i="1"/>
  <c r="Z227" i="1"/>
  <c r="H229" i="1"/>
  <c r="I229" i="1"/>
  <c r="J229" i="1"/>
  <c r="K229" i="1"/>
  <c r="L229" i="1"/>
  <c r="Z229" i="1"/>
  <c r="H231" i="1"/>
  <c r="I231" i="1"/>
  <c r="J231" i="1"/>
  <c r="K231" i="1"/>
  <c r="L231" i="1"/>
  <c r="Z231" i="1"/>
  <c r="H233" i="1"/>
  <c r="I233" i="1"/>
  <c r="J233" i="1"/>
  <c r="K233" i="1"/>
  <c r="L233" i="1"/>
  <c r="Z233" i="1"/>
  <c r="H238" i="1"/>
  <c r="I238" i="1"/>
  <c r="J238" i="1"/>
  <c r="K238" i="1"/>
  <c r="L238" i="1"/>
  <c r="Z238" i="1"/>
  <c r="H240" i="1"/>
  <c r="I240" i="1"/>
  <c r="J240" i="1"/>
  <c r="K240" i="1"/>
  <c r="L240" i="1"/>
  <c r="Z240" i="1"/>
  <c r="H243" i="1"/>
  <c r="I243" i="1"/>
  <c r="J243" i="1"/>
  <c r="K243" i="1"/>
  <c r="L243" i="1"/>
  <c r="Z243" i="1"/>
  <c r="H250" i="1"/>
  <c r="I250" i="1"/>
  <c r="J250" i="1"/>
  <c r="K250" i="1"/>
  <c r="L250" i="1"/>
  <c r="Z250" i="1"/>
  <c r="H252" i="1"/>
  <c r="I252" i="1"/>
  <c r="J252" i="1"/>
  <c r="K252" i="1"/>
  <c r="L252" i="1"/>
  <c r="Z252" i="1"/>
  <c r="H255" i="1"/>
  <c r="I255" i="1"/>
  <c r="J255" i="1"/>
  <c r="K255" i="1"/>
  <c r="L255" i="1"/>
  <c r="Z255" i="1"/>
  <c r="H256" i="1"/>
  <c r="I256" i="1"/>
  <c r="J256" i="1"/>
  <c r="K256" i="1"/>
  <c r="L256" i="1"/>
  <c r="Z256" i="1"/>
  <c r="H257" i="1"/>
  <c r="I257" i="1"/>
  <c r="J257" i="1"/>
  <c r="K257" i="1"/>
  <c r="L257" i="1"/>
  <c r="Z257" i="1"/>
  <c r="H260" i="1"/>
  <c r="I260" i="1"/>
  <c r="J260" i="1"/>
  <c r="K260" i="1"/>
  <c r="L260" i="1"/>
  <c r="Z260" i="1"/>
  <c r="H263" i="1"/>
  <c r="I263" i="1"/>
  <c r="J263" i="1"/>
  <c r="K263" i="1"/>
  <c r="L263" i="1"/>
  <c r="Z263" i="1"/>
  <c r="H264" i="1"/>
  <c r="I264" i="1"/>
  <c r="J264" i="1"/>
  <c r="K264" i="1"/>
  <c r="L264" i="1"/>
  <c r="Z264" i="1"/>
  <c r="H270" i="1"/>
  <c r="I270" i="1"/>
  <c r="J270" i="1"/>
  <c r="K270" i="1"/>
  <c r="L270" i="1"/>
  <c r="Z270" i="1"/>
  <c r="H115" i="1"/>
  <c r="I115" i="1"/>
  <c r="J115" i="1"/>
  <c r="K115" i="1"/>
  <c r="L115" i="1"/>
  <c r="H122" i="1"/>
  <c r="I122" i="1"/>
  <c r="J122" i="1"/>
  <c r="K122" i="1"/>
  <c r="L122" i="1"/>
  <c r="Z122" i="1"/>
  <c r="G39" i="8"/>
  <c r="H39" i="8"/>
  <c r="I39" i="8"/>
  <c r="J39" i="8"/>
  <c r="Y39" i="8"/>
  <c r="H125" i="1"/>
  <c r="I125" i="1"/>
  <c r="J125" i="1"/>
  <c r="K125" i="1"/>
  <c r="L125" i="1"/>
  <c r="Z125" i="1"/>
  <c r="G40" i="8"/>
  <c r="H40" i="8"/>
  <c r="I40" i="8"/>
  <c r="J40" i="8"/>
  <c r="Y40" i="8"/>
  <c r="G42" i="8"/>
  <c r="H42" i="8"/>
  <c r="I42" i="8"/>
  <c r="J42" i="8"/>
  <c r="Y42" i="8"/>
  <c r="H129" i="1"/>
  <c r="I129" i="1"/>
  <c r="J129" i="1"/>
  <c r="K129" i="1"/>
  <c r="L129" i="1"/>
  <c r="Z129" i="1"/>
  <c r="G45" i="8"/>
  <c r="H45" i="8"/>
  <c r="I45" i="8"/>
  <c r="J45" i="8"/>
  <c r="Y45" i="8"/>
  <c r="H131" i="1"/>
  <c r="I131" i="1"/>
  <c r="J131" i="1"/>
  <c r="K131" i="1"/>
  <c r="L131" i="1"/>
  <c r="Z131" i="1"/>
  <c r="G48" i="8"/>
  <c r="H48" i="8"/>
  <c r="I48" i="8"/>
  <c r="J48" i="8"/>
  <c r="Y48" i="8"/>
  <c r="G51" i="8"/>
  <c r="H51" i="8"/>
  <c r="I51" i="8"/>
  <c r="J51" i="8"/>
  <c r="Y51" i="8"/>
  <c r="G54" i="8"/>
  <c r="H54" i="8"/>
  <c r="I54" i="8"/>
  <c r="J54" i="8"/>
  <c r="Y54" i="8"/>
  <c r="G56" i="8"/>
  <c r="H56" i="8"/>
  <c r="I56" i="8"/>
  <c r="J56" i="8"/>
  <c r="Y56" i="8"/>
  <c r="G58" i="8"/>
  <c r="H58" i="8"/>
  <c r="I58" i="8"/>
  <c r="J58" i="8"/>
  <c r="Y58" i="8"/>
  <c r="G61" i="8"/>
  <c r="H61" i="8"/>
  <c r="I61" i="8"/>
  <c r="J61" i="8"/>
  <c r="Y61" i="8"/>
  <c r="G62" i="8"/>
  <c r="H62" i="8"/>
  <c r="I62" i="8"/>
  <c r="J62" i="8"/>
  <c r="Y62" i="8"/>
  <c r="H147" i="1"/>
  <c r="I147" i="1"/>
  <c r="J147" i="1"/>
  <c r="K147" i="1"/>
  <c r="L147" i="1"/>
  <c r="Z147" i="1"/>
  <c r="G63" i="8"/>
  <c r="H63" i="8"/>
  <c r="I63" i="8"/>
  <c r="J63" i="8"/>
  <c r="Y63" i="8"/>
  <c r="H150" i="1"/>
  <c r="I150" i="1"/>
  <c r="J150" i="1"/>
  <c r="K150" i="1"/>
  <c r="L150" i="1"/>
  <c r="Z150" i="1"/>
  <c r="G68" i="8"/>
  <c r="H68" i="8"/>
  <c r="I68" i="8"/>
  <c r="J68" i="8"/>
  <c r="Y68" i="8"/>
  <c r="G80" i="8"/>
  <c r="H80" i="8"/>
  <c r="I80" i="8"/>
  <c r="J80" i="8"/>
  <c r="Y80" i="8"/>
  <c r="G83" i="8"/>
  <c r="H83" i="8"/>
  <c r="I83" i="8"/>
  <c r="J83" i="8"/>
  <c r="Y83" i="8"/>
  <c r="G87" i="8"/>
  <c r="H87" i="8"/>
  <c r="I87" i="8"/>
  <c r="J87" i="8"/>
  <c r="Y87" i="8"/>
  <c r="G90" i="8"/>
  <c r="H90" i="8"/>
  <c r="I90" i="8"/>
  <c r="J90" i="8"/>
  <c r="Y90" i="8"/>
  <c r="G94" i="8"/>
  <c r="H94" i="8"/>
  <c r="I94" i="8"/>
  <c r="J94" i="8"/>
  <c r="Y94" i="8"/>
  <c r="G95" i="8"/>
  <c r="H95" i="8"/>
  <c r="I95" i="8"/>
  <c r="J95" i="8"/>
  <c r="Y95" i="8"/>
  <c r="G107" i="8"/>
  <c r="H107" i="8"/>
  <c r="I107" i="8"/>
  <c r="J107" i="8"/>
  <c r="Y107" i="8"/>
  <c r="G110" i="8"/>
  <c r="H110" i="8"/>
  <c r="I110" i="8"/>
  <c r="J110" i="8"/>
  <c r="Y110" i="8"/>
  <c r="G111" i="8"/>
  <c r="H111" i="8"/>
  <c r="I111" i="8"/>
  <c r="J111" i="8"/>
  <c r="Y111" i="8"/>
  <c r="G113" i="8"/>
  <c r="H113" i="8"/>
  <c r="I113" i="8"/>
  <c r="J113" i="8"/>
  <c r="Y113" i="8"/>
  <c r="G119" i="8"/>
  <c r="H119" i="8"/>
  <c r="I119" i="8"/>
  <c r="J119" i="8"/>
  <c r="Y119" i="8"/>
  <c r="G123" i="8"/>
  <c r="H123" i="8"/>
  <c r="I123" i="8"/>
  <c r="J123" i="8"/>
  <c r="Y123" i="8"/>
  <c r="G135" i="8"/>
  <c r="H135" i="8"/>
  <c r="I135" i="8"/>
  <c r="J135" i="8"/>
  <c r="Y135" i="8"/>
  <c r="G148" i="8"/>
  <c r="H148" i="8"/>
  <c r="I148" i="8"/>
  <c r="J148" i="8"/>
  <c r="Y148" i="8"/>
  <c r="G159" i="8"/>
  <c r="H159" i="8"/>
  <c r="I159" i="8"/>
  <c r="J159" i="8"/>
  <c r="Y159" i="8"/>
  <c r="G166" i="8"/>
  <c r="H166" i="8"/>
  <c r="I166" i="8"/>
  <c r="J166" i="8"/>
  <c r="Y166" i="8"/>
  <c r="G168" i="8"/>
  <c r="H168" i="8"/>
  <c r="I168" i="8"/>
  <c r="J168" i="8"/>
  <c r="Y168" i="8"/>
  <c r="G171" i="8"/>
  <c r="H171" i="8"/>
  <c r="I171" i="8"/>
  <c r="J171" i="8"/>
  <c r="Y171" i="8"/>
  <c r="G173" i="8"/>
  <c r="H173" i="8"/>
  <c r="I173" i="8"/>
  <c r="J173" i="8"/>
  <c r="Y173" i="8"/>
  <c r="G175" i="8"/>
  <c r="H175" i="8"/>
  <c r="I175" i="8"/>
  <c r="J175" i="8"/>
  <c r="Y175" i="8"/>
  <c r="G176" i="8"/>
  <c r="H176" i="8"/>
  <c r="I176" i="8"/>
  <c r="J176" i="8"/>
  <c r="Y176" i="8"/>
  <c r="G186" i="8"/>
  <c r="H186" i="8"/>
  <c r="I186" i="8"/>
  <c r="J186" i="8"/>
  <c r="Y186" i="8"/>
  <c r="G189" i="8"/>
  <c r="H189" i="8"/>
  <c r="I189" i="8"/>
  <c r="J189" i="8"/>
  <c r="Y189" i="8"/>
  <c r="G193" i="8"/>
  <c r="H193" i="8"/>
  <c r="I193" i="8"/>
  <c r="J193" i="8"/>
  <c r="Y193" i="8"/>
  <c r="G198" i="8"/>
  <c r="H198" i="8"/>
  <c r="I198" i="8"/>
  <c r="J198" i="8"/>
  <c r="Y198" i="8"/>
  <c r="G202" i="8"/>
  <c r="H202" i="8"/>
  <c r="I202" i="8"/>
  <c r="J202" i="8"/>
  <c r="Y202" i="8"/>
  <c r="G206" i="8"/>
  <c r="H206" i="8"/>
  <c r="I206" i="8"/>
  <c r="J206" i="8"/>
  <c r="Y206" i="8"/>
  <c r="G212" i="8"/>
  <c r="H212" i="8"/>
  <c r="I212" i="8"/>
  <c r="J212" i="8"/>
  <c r="Y212" i="8"/>
  <c r="G217" i="8"/>
  <c r="H217" i="8"/>
  <c r="I217" i="8"/>
  <c r="J217" i="8"/>
  <c r="Y217" i="8"/>
  <c r="G221" i="8"/>
  <c r="H221" i="8"/>
  <c r="I221" i="8"/>
  <c r="J221" i="8"/>
  <c r="Y221" i="8"/>
  <c r="G226" i="8"/>
  <c r="H226" i="8"/>
  <c r="I226" i="8"/>
  <c r="J226" i="8"/>
  <c r="Y226" i="8"/>
  <c r="G228" i="8"/>
  <c r="H228" i="8"/>
  <c r="I228" i="8"/>
  <c r="J228" i="8"/>
  <c r="Y228" i="8"/>
  <c r="H353" i="1"/>
  <c r="I353" i="1"/>
  <c r="J353" i="1"/>
  <c r="K353" i="1"/>
  <c r="L353" i="1"/>
  <c r="Y352" i="1"/>
  <c r="Y353" i="1"/>
  <c r="Z353" i="1"/>
  <c r="H342" i="1"/>
  <c r="I342" i="1"/>
  <c r="J342" i="1"/>
  <c r="K342" i="1"/>
  <c r="L342" i="1"/>
  <c r="Z342" i="1"/>
  <c r="H338" i="1"/>
  <c r="I338" i="1"/>
  <c r="J338" i="1"/>
  <c r="K338" i="1"/>
  <c r="L338" i="1"/>
  <c r="Z338" i="1"/>
  <c r="H334" i="1"/>
  <c r="I334" i="1"/>
  <c r="J334" i="1"/>
  <c r="K334" i="1"/>
  <c r="L334" i="1"/>
  <c r="Z334" i="1"/>
  <c r="H330" i="1"/>
  <c r="I330" i="1"/>
  <c r="J330" i="1"/>
  <c r="K330" i="1"/>
  <c r="L330" i="1"/>
  <c r="Z330" i="1"/>
  <c r="H326" i="1"/>
  <c r="I326" i="1"/>
  <c r="J326" i="1"/>
  <c r="K326" i="1"/>
  <c r="L326" i="1"/>
  <c r="Z326" i="1"/>
  <c r="H320" i="1"/>
  <c r="I320" i="1"/>
  <c r="J320" i="1"/>
  <c r="K320" i="1"/>
  <c r="L320" i="1"/>
  <c r="Z320" i="1"/>
  <c r="H316" i="1"/>
  <c r="I316" i="1"/>
  <c r="J316" i="1"/>
  <c r="K316" i="1"/>
  <c r="L316" i="1"/>
  <c r="Z316" i="1"/>
  <c r="H312" i="1"/>
  <c r="I312" i="1"/>
  <c r="J312" i="1"/>
  <c r="K312" i="1"/>
  <c r="L312" i="1"/>
  <c r="Z312" i="1"/>
  <c r="H308" i="1"/>
  <c r="I308" i="1"/>
  <c r="J308" i="1"/>
  <c r="K308" i="1"/>
  <c r="L308" i="1"/>
  <c r="Z308" i="1"/>
  <c r="H304" i="1"/>
  <c r="I304" i="1"/>
  <c r="J304" i="1"/>
  <c r="K304" i="1"/>
  <c r="L304" i="1"/>
  <c r="Z304" i="1"/>
  <c r="H300" i="1"/>
  <c r="I300" i="1"/>
  <c r="J300" i="1"/>
  <c r="K300" i="1"/>
  <c r="L300" i="1"/>
  <c r="Z300" i="1"/>
  <c r="H296" i="1"/>
  <c r="I296" i="1"/>
  <c r="J296" i="1"/>
  <c r="K296" i="1"/>
  <c r="L296" i="1"/>
  <c r="Z296" i="1"/>
  <c r="H292" i="1"/>
  <c r="I292" i="1"/>
  <c r="J292" i="1"/>
  <c r="K292" i="1"/>
  <c r="L292" i="1"/>
  <c r="Z292" i="1"/>
  <c r="H236" i="1"/>
  <c r="I236" i="1"/>
  <c r="J236" i="1"/>
  <c r="K236" i="1"/>
  <c r="L236" i="1"/>
  <c r="Z236" i="1"/>
  <c r="H234" i="1"/>
  <c r="I234" i="1"/>
  <c r="J234" i="1"/>
  <c r="K234" i="1"/>
  <c r="L234" i="1"/>
  <c r="Z234" i="1"/>
  <c r="H232" i="1"/>
  <c r="I232" i="1"/>
  <c r="J232" i="1"/>
  <c r="K232" i="1"/>
  <c r="L232" i="1"/>
  <c r="Z232" i="1"/>
  <c r="H224" i="1"/>
  <c r="I224" i="1"/>
  <c r="J224" i="1"/>
  <c r="K224" i="1"/>
  <c r="L224" i="1"/>
  <c r="Z224" i="1"/>
  <c r="H209" i="1"/>
  <c r="I209" i="1"/>
  <c r="J209" i="1"/>
  <c r="K209" i="1"/>
  <c r="L209" i="1"/>
  <c r="Z209" i="1"/>
  <c r="H206" i="1"/>
  <c r="I206" i="1"/>
  <c r="J206" i="1"/>
  <c r="K206" i="1"/>
  <c r="L206" i="1"/>
  <c r="Z206" i="1"/>
  <c r="H192" i="1"/>
  <c r="I192" i="1"/>
  <c r="J192" i="1"/>
  <c r="K192" i="1"/>
  <c r="L192" i="1"/>
  <c r="Z192" i="1"/>
  <c r="E263" i="8"/>
  <c r="L263" i="8"/>
  <c r="D264" i="8"/>
  <c r="G264" i="8"/>
  <c r="H264" i="8"/>
  <c r="I264" i="8"/>
  <c r="F264" i="8"/>
  <c r="J264" i="8"/>
  <c r="A264" i="8"/>
  <c r="Y264" i="8"/>
  <c r="K264" i="8"/>
  <c r="H174" i="1"/>
  <c r="I174" i="1"/>
  <c r="J174" i="1"/>
  <c r="K174" i="1"/>
  <c r="L174" i="1"/>
  <c r="Z174" i="1"/>
  <c r="G245" i="8"/>
  <c r="H245" i="8"/>
  <c r="I245" i="8"/>
  <c r="J245" i="8"/>
  <c r="Y245" i="8"/>
  <c r="G218" i="8"/>
  <c r="H218" i="8"/>
  <c r="I218" i="8"/>
  <c r="J218" i="8"/>
  <c r="Y218" i="8"/>
  <c r="G201" i="8"/>
  <c r="H201" i="8"/>
  <c r="I201" i="8"/>
  <c r="J201" i="8"/>
  <c r="Y201" i="8"/>
  <c r="G185" i="8"/>
  <c r="H185" i="8"/>
  <c r="I185" i="8"/>
  <c r="J185" i="8"/>
  <c r="Y185" i="8"/>
  <c r="G180" i="8"/>
  <c r="H180" i="8"/>
  <c r="I180" i="8"/>
  <c r="J180" i="8"/>
  <c r="Y180" i="8"/>
  <c r="G150" i="8"/>
  <c r="H150" i="8"/>
  <c r="I150" i="8"/>
  <c r="J150" i="8"/>
  <c r="Y150" i="8"/>
  <c r="G128" i="8"/>
  <c r="H128" i="8"/>
  <c r="I128" i="8"/>
  <c r="J128" i="8"/>
  <c r="Y128" i="8"/>
  <c r="G116" i="8"/>
  <c r="H116" i="8"/>
  <c r="I116" i="8"/>
  <c r="J116" i="8"/>
  <c r="Y116" i="8"/>
  <c r="G109" i="8"/>
  <c r="H109" i="8"/>
  <c r="I109" i="8"/>
  <c r="J109" i="8"/>
  <c r="Y109" i="8"/>
  <c r="G76" i="8"/>
  <c r="H76" i="8"/>
  <c r="I76" i="8"/>
  <c r="J76" i="8"/>
  <c r="Y76" i="8"/>
  <c r="H126" i="1"/>
  <c r="I126" i="1"/>
  <c r="J126" i="1"/>
  <c r="K126" i="1"/>
  <c r="L126" i="1"/>
  <c r="Z126" i="1"/>
  <c r="H352" i="1"/>
  <c r="I352" i="1"/>
  <c r="J352" i="1"/>
  <c r="K352" i="1"/>
  <c r="L352" i="1"/>
  <c r="Z352" i="1"/>
  <c r="H343" i="1"/>
  <c r="I343" i="1"/>
  <c r="J343" i="1"/>
  <c r="K343" i="1"/>
  <c r="L343" i="1"/>
  <c r="Z343" i="1"/>
  <c r="H341" i="1"/>
  <c r="I341" i="1"/>
  <c r="J341" i="1"/>
  <c r="K341" i="1"/>
  <c r="L341" i="1"/>
  <c r="Z341" i="1"/>
  <c r="H339" i="1"/>
  <c r="I339" i="1"/>
  <c r="J339" i="1"/>
  <c r="K339" i="1"/>
  <c r="L339" i="1"/>
  <c r="Z339" i="1"/>
  <c r="H337" i="1"/>
  <c r="I337" i="1"/>
  <c r="J337" i="1"/>
  <c r="K337" i="1"/>
  <c r="L337" i="1"/>
  <c r="Z337" i="1"/>
  <c r="H335" i="1"/>
  <c r="I335" i="1"/>
  <c r="J335" i="1"/>
  <c r="K335" i="1"/>
  <c r="L335" i="1"/>
  <c r="Z335" i="1"/>
  <c r="H333" i="1"/>
  <c r="I333" i="1"/>
  <c r="J333" i="1"/>
  <c r="K333" i="1"/>
  <c r="L333" i="1"/>
  <c r="Z333" i="1"/>
  <c r="H331" i="1"/>
  <c r="I331" i="1"/>
  <c r="J331" i="1"/>
  <c r="K331" i="1"/>
  <c r="L331" i="1"/>
  <c r="Z331" i="1"/>
  <c r="H329" i="1"/>
  <c r="I329" i="1"/>
  <c r="J329" i="1"/>
  <c r="K329" i="1"/>
  <c r="L329" i="1"/>
  <c r="Z329" i="1"/>
  <c r="H327" i="1"/>
  <c r="I327" i="1"/>
  <c r="J327" i="1"/>
  <c r="K327" i="1"/>
  <c r="L327" i="1"/>
  <c r="Z327" i="1"/>
  <c r="H325" i="1"/>
  <c r="I325" i="1"/>
  <c r="J325" i="1"/>
  <c r="K325" i="1"/>
  <c r="L325" i="1"/>
  <c r="Z325" i="1"/>
  <c r="H323" i="1"/>
  <c r="I323" i="1"/>
  <c r="J323" i="1"/>
  <c r="K323" i="1"/>
  <c r="L323" i="1"/>
  <c r="Z323" i="1"/>
  <c r="H321" i="1"/>
  <c r="I321" i="1"/>
  <c r="J321" i="1"/>
  <c r="K321" i="1"/>
  <c r="L321" i="1"/>
  <c r="Z321" i="1"/>
  <c r="H319" i="1"/>
  <c r="I319" i="1"/>
  <c r="J319" i="1"/>
  <c r="K319" i="1"/>
  <c r="L319" i="1"/>
  <c r="Z319" i="1"/>
  <c r="H317" i="1"/>
  <c r="I317" i="1"/>
  <c r="J317" i="1"/>
  <c r="K317" i="1"/>
  <c r="L317" i="1"/>
  <c r="Z317" i="1"/>
  <c r="H315" i="1"/>
  <c r="I315" i="1"/>
  <c r="J315" i="1"/>
  <c r="K315" i="1"/>
  <c r="L315" i="1"/>
  <c r="Z315" i="1"/>
  <c r="H313" i="1"/>
  <c r="I313" i="1"/>
  <c r="J313" i="1"/>
  <c r="K313" i="1"/>
  <c r="L313" i="1"/>
  <c r="Z313" i="1"/>
  <c r="H311" i="1"/>
  <c r="I311" i="1"/>
  <c r="J311" i="1"/>
  <c r="K311" i="1"/>
  <c r="L311" i="1"/>
  <c r="Z311" i="1"/>
  <c r="H309" i="1"/>
  <c r="I309" i="1"/>
  <c r="J309" i="1"/>
  <c r="K309" i="1"/>
  <c r="L309" i="1"/>
  <c r="Z309" i="1"/>
  <c r="H307" i="1"/>
  <c r="I307" i="1"/>
  <c r="J307" i="1"/>
  <c r="K307" i="1"/>
  <c r="L307" i="1"/>
  <c r="Z307" i="1"/>
  <c r="H305" i="1"/>
  <c r="I305" i="1"/>
  <c r="J305" i="1"/>
  <c r="K305" i="1"/>
  <c r="L305" i="1"/>
  <c r="Z305" i="1"/>
  <c r="H303" i="1"/>
  <c r="I303" i="1"/>
  <c r="J303" i="1"/>
  <c r="K303" i="1"/>
  <c r="L303" i="1"/>
  <c r="Z303" i="1"/>
  <c r="H301" i="1"/>
  <c r="I301" i="1"/>
  <c r="J301" i="1"/>
  <c r="K301" i="1"/>
  <c r="L301" i="1"/>
  <c r="Z301" i="1"/>
  <c r="H299" i="1"/>
  <c r="I299" i="1"/>
  <c r="J299" i="1"/>
  <c r="K299" i="1"/>
  <c r="L299" i="1"/>
  <c r="Z299" i="1"/>
  <c r="H297" i="1"/>
  <c r="I297" i="1"/>
  <c r="J297" i="1"/>
  <c r="K297" i="1"/>
  <c r="L297" i="1"/>
  <c r="Z297" i="1"/>
  <c r="H295" i="1"/>
  <c r="I295" i="1"/>
  <c r="J295" i="1"/>
  <c r="K295" i="1"/>
  <c r="L295" i="1"/>
  <c r="Z295" i="1"/>
  <c r="H293" i="1"/>
  <c r="I293" i="1"/>
  <c r="J293" i="1"/>
  <c r="K293" i="1"/>
  <c r="L293" i="1"/>
  <c r="Z293" i="1"/>
  <c r="H291" i="1"/>
  <c r="I291" i="1"/>
  <c r="J291" i="1"/>
  <c r="K291" i="1"/>
  <c r="L291" i="1"/>
  <c r="Z291" i="1"/>
  <c r="H283" i="1"/>
  <c r="I283" i="1"/>
  <c r="J283" i="1"/>
  <c r="K283" i="1"/>
  <c r="L283" i="1"/>
  <c r="Z283" i="1"/>
  <c r="H279" i="1"/>
  <c r="I279" i="1"/>
  <c r="J279" i="1"/>
  <c r="K279" i="1"/>
  <c r="L279" i="1"/>
  <c r="Z279" i="1"/>
  <c r="H276" i="1"/>
  <c r="I276" i="1"/>
  <c r="J276" i="1"/>
  <c r="K276" i="1"/>
  <c r="L276" i="1"/>
  <c r="Z276" i="1"/>
  <c r="H275" i="1"/>
  <c r="I275" i="1"/>
  <c r="J275" i="1"/>
  <c r="K275" i="1"/>
  <c r="L275" i="1"/>
  <c r="Z275" i="1"/>
  <c r="H273" i="1"/>
  <c r="I273" i="1"/>
  <c r="J273" i="1"/>
  <c r="K273" i="1"/>
  <c r="L273" i="1"/>
  <c r="Z273" i="1"/>
  <c r="H261" i="1"/>
  <c r="I261" i="1"/>
  <c r="J261" i="1"/>
  <c r="K261" i="1"/>
  <c r="L261" i="1"/>
  <c r="Z261" i="1"/>
  <c r="H253" i="1"/>
  <c r="I253" i="1"/>
  <c r="J253" i="1"/>
  <c r="K253" i="1"/>
  <c r="L253" i="1"/>
  <c r="Z253" i="1"/>
  <c r="H241" i="1"/>
  <c r="I241" i="1"/>
  <c r="J241" i="1"/>
  <c r="K241" i="1"/>
  <c r="L241" i="1"/>
  <c r="Z241" i="1"/>
  <c r="H239" i="1"/>
  <c r="I239" i="1"/>
  <c r="J239" i="1"/>
  <c r="K239" i="1"/>
  <c r="L239" i="1"/>
  <c r="Z239" i="1"/>
  <c r="H237" i="1"/>
  <c r="I237" i="1"/>
  <c r="J237" i="1"/>
  <c r="K237" i="1"/>
  <c r="L237" i="1"/>
  <c r="Z237" i="1"/>
  <c r="H235" i="1"/>
  <c r="I235" i="1"/>
  <c r="J235" i="1"/>
  <c r="K235" i="1"/>
  <c r="L235" i="1"/>
  <c r="Z235" i="1"/>
  <c r="H228" i="1"/>
  <c r="I228" i="1"/>
  <c r="J228" i="1"/>
  <c r="K228" i="1"/>
  <c r="L228" i="1"/>
  <c r="Z228" i="1"/>
  <c r="H217" i="1"/>
  <c r="I217" i="1"/>
  <c r="J217" i="1"/>
  <c r="K217" i="1"/>
  <c r="L217" i="1"/>
  <c r="Z217" i="1"/>
  <c r="H212" i="1"/>
  <c r="I212" i="1"/>
  <c r="J212" i="1"/>
  <c r="K212" i="1"/>
  <c r="L212" i="1"/>
  <c r="Z212" i="1"/>
  <c r="H211" i="1"/>
  <c r="I211" i="1"/>
  <c r="J211" i="1"/>
  <c r="K211" i="1"/>
  <c r="L211" i="1"/>
  <c r="Z211" i="1"/>
  <c r="H188" i="1"/>
  <c r="I188" i="1"/>
  <c r="J188" i="1"/>
  <c r="K188" i="1"/>
  <c r="L188" i="1"/>
  <c r="Z188" i="1"/>
  <c r="H185" i="1"/>
  <c r="I185" i="1"/>
  <c r="J185" i="1"/>
  <c r="K185" i="1"/>
  <c r="L185" i="1"/>
  <c r="Z185" i="1"/>
  <c r="G261" i="8"/>
  <c r="H261" i="8"/>
  <c r="I261" i="8"/>
  <c r="J261" i="8"/>
  <c r="Y261" i="8"/>
  <c r="G260" i="8"/>
  <c r="H260" i="8"/>
  <c r="I260" i="8"/>
  <c r="J260" i="8"/>
  <c r="Y260" i="8"/>
  <c r="G248" i="8"/>
  <c r="H248" i="8"/>
  <c r="I248" i="8"/>
  <c r="J248" i="8"/>
  <c r="Y248" i="8"/>
  <c r="G237" i="8"/>
  <c r="H237" i="8"/>
  <c r="I237" i="8"/>
  <c r="J237" i="8"/>
  <c r="Y237" i="8"/>
  <c r="G236" i="8"/>
  <c r="H236" i="8"/>
  <c r="I236" i="8"/>
  <c r="J236" i="8"/>
  <c r="Y236" i="8"/>
  <c r="G233" i="8"/>
  <c r="H233" i="8"/>
  <c r="I233" i="8"/>
  <c r="J233" i="8"/>
  <c r="Y233" i="8"/>
  <c r="G224" i="8"/>
  <c r="H224" i="8"/>
  <c r="I224" i="8"/>
  <c r="J224" i="8"/>
  <c r="Y224" i="8"/>
  <c r="H152" i="1"/>
  <c r="I152" i="1"/>
  <c r="J152" i="1"/>
  <c r="K152" i="1"/>
  <c r="L152" i="1"/>
  <c r="Z152" i="1"/>
  <c r="G213" i="8"/>
  <c r="H213" i="8"/>
  <c r="I213" i="8"/>
  <c r="J213" i="8"/>
  <c r="Y213" i="8"/>
  <c r="G196" i="8"/>
  <c r="H196" i="8"/>
  <c r="I196" i="8"/>
  <c r="J196" i="8"/>
  <c r="Y196" i="8"/>
  <c r="G184" i="8"/>
  <c r="H184" i="8"/>
  <c r="I184" i="8"/>
  <c r="J184" i="8"/>
  <c r="Y184" i="8"/>
  <c r="G182" i="8"/>
  <c r="H182" i="8"/>
  <c r="I182" i="8"/>
  <c r="J182" i="8"/>
  <c r="Y182" i="8"/>
  <c r="G172" i="8"/>
  <c r="H172" i="8"/>
  <c r="I172" i="8"/>
  <c r="J172" i="8"/>
  <c r="Y172" i="8"/>
  <c r="G137" i="8"/>
  <c r="H137" i="8"/>
  <c r="I137" i="8"/>
  <c r="J137" i="8"/>
  <c r="Y137" i="8"/>
  <c r="G129" i="8"/>
  <c r="H129" i="8"/>
  <c r="I129" i="8"/>
  <c r="J129" i="8"/>
  <c r="Y129" i="8"/>
  <c r="G127" i="8"/>
  <c r="H127" i="8"/>
  <c r="I127" i="8"/>
  <c r="J127" i="8"/>
  <c r="Y127" i="8"/>
  <c r="G112" i="8"/>
  <c r="H112" i="8"/>
  <c r="I112" i="8"/>
  <c r="J112" i="8"/>
  <c r="Y112" i="8"/>
  <c r="G103" i="8"/>
  <c r="H103" i="8"/>
  <c r="I103" i="8"/>
  <c r="J103" i="8"/>
  <c r="Y103" i="8"/>
  <c r="G100" i="8"/>
  <c r="H100" i="8"/>
  <c r="I100" i="8"/>
  <c r="J100" i="8"/>
  <c r="Y100" i="8"/>
  <c r="G64" i="8"/>
  <c r="H64" i="8"/>
  <c r="I64" i="8"/>
  <c r="J64" i="8"/>
  <c r="Y64" i="8"/>
  <c r="G60" i="8"/>
  <c r="H60" i="8"/>
  <c r="I60" i="8"/>
  <c r="J60" i="8"/>
  <c r="Y60" i="8"/>
  <c r="H143" i="1"/>
  <c r="I143" i="1"/>
  <c r="J143" i="1"/>
  <c r="K143" i="1"/>
  <c r="L143" i="1"/>
  <c r="Z143" i="1"/>
  <c r="H139" i="1"/>
  <c r="I139" i="1"/>
  <c r="J139" i="1"/>
  <c r="K139" i="1"/>
  <c r="L139" i="1"/>
  <c r="Z139" i="1"/>
  <c r="H127" i="1"/>
  <c r="I127" i="1"/>
  <c r="J127" i="1"/>
  <c r="K127" i="1"/>
  <c r="L127" i="1"/>
  <c r="Z127" i="1"/>
  <c r="I9" i="4"/>
  <c r="X43" i="11"/>
  <c r="E97" i="2"/>
  <c r="AG335" i="1"/>
  <c r="AG238" i="7"/>
  <c r="AG341" i="1"/>
  <c r="AG244" i="7"/>
  <c r="AG324" i="1"/>
  <c r="AG227" i="7"/>
  <c r="AG308" i="1"/>
  <c r="AG211" i="7"/>
  <c r="AG352" i="1"/>
  <c r="AG255" i="7"/>
  <c r="AG336" i="1"/>
  <c r="AG239" i="7"/>
  <c r="AG319" i="1"/>
  <c r="AG222" i="7"/>
  <c r="AG303" i="1"/>
  <c r="AG206" i="7"/>
  <c r="AG342" i="1"/>
  <c r="AG245" i="7"/>
  <c r="AG309" i="1"/>
  <c r="AG212" i="7"/>
  <c r="AG330" i="1"/>
  <c r="AG233" i="7"/>
  <c r="AG298" i="1"/>
  <c r="AG201" i="7"/>
  <c r="AG329" i="1"/>
  <c r="AG232" i="7"/>
  <c r="AG297" i="1"/>
  <c r="AG200" i="7"/>
  <c r="AG334" i="1"/>
  <c r="AG237" i="7"/>
  <c r="AG310" i="1"/>
  <c r="AG213" i="7"/>
  <c r="AG120" i="1"/>
  <c r="AG23" i="7"/>
  <c r="AG122" i="1"/>
  <c r="AG25" i="7"/>
  <c r="AG125" i="1"/>
  <c r="AG28" i="7"/>
  <c r="AG126" i="1"/>
  <c r="AG29" i="7"/>
  <c r="AG131" i="1"/>
  <c r="AG34" i="7"/>
  <c r="AG136" i="1"/>
  <c r="AG39" i="7"/>
  <c r="AG137" i="1"/>
  <c r="AG40" i="7"/>
  <c r="AG138" i="1"/>
  <c r="AG41" i="7"/>
  <c r="AG145" i="1"/>
  <c r="AG48" i="7"/>
  <c r="AG147" i="1"/>
  <c r="AG50" i="7"/>
  <c r="AG148" i="1"/>
  <c r="AG51" i="7"/>
  <c r="AG150" i="1"/>
  <c r="AG53" i="7"/>
  <c r="AG353" i="1"/>
  <c r="AG256" i="7"/>
  <c r="AG337" i="1"/>
  <c r="AG240" i="7"/>
  <c r="AG320" i="1"/>
  <c r="AG223" i="7"/>
  <c r="AG304" i="1"/>
  <c r="AG207" i="7"/>
  <c r="AG348" i="1"/>
  <c r="AG251" i="7"/>
  <c r="AG331" i="1"/>
  <c r="AG234" i="7"/>
  <c r="AG315" i="1"/>
  <c r="AG218" i="7"/>
  <c r="AG299" i="1"/>
  <c r="AG202" i="7"/>
  <c r="AG333" i="1"/>
  <c r="AG236" i="7"/>
  <c r="AG301" i="1"/>
  <c r="AG204" i="7"/>
  <c r="AG322" i="1"/>
  <c r="AG225" i="7"/>
  <c r="AG116" i="1"/>
  <c r="AG19" i="7"/>
  <c r="AG321" i="1"/>
  <c r="AG224" i="7"/>
  <c r="AG351" i="1"/>
  <c r="AG254" i="7"/>
  <c r="AG326" i="1"/>
  <c r="AG229" i="7"/>
  <c r="AG121" i="1"/>
  <c r="AG24" i="7"/>
  <c r="AG129" i="1"/>
  <c r="AG32" i="7"/>
  <c r="AG130" i="1"/>
  <c r="AG33" i="7"/>
  <c r="AG133" i="1"/>
  <c r="AG36" i="7"/>
  <c r="AG135" i="1"/>
  <c r="AG38" i="7"/>
  <c r="AG140" i="1"/>
  <c r="AG43" i="7"/>
  <c r="AG141" i="1"/>
  <c r="AG44" i="7"/>
  <c r="AG142" i="1"/>
  <c r="AG45" i="7"/>
  <c r="AG146" i="1"/>
  <c r="AG49" i="7"/>
  <c r="AG149" i="1"/>
  <c r="AG52" i="7"/>
  <c r="AG153" i="1"/>
  <c r="AG56" i="7"/>
  <c r="AG156" i="1"/>
  <c r="AG59" i="7"/>
  <c r="AG161" i="1"/>
  <c r="AG64" i="7"/>
  <c r="AG162" i="1"/>
  <c r="AG65" i="7"/>
  <c r="AG345" i="1"/>
  <c r="AG248" i="7"/>
  <c r="AG312" i="1"/>
  <c r="AG215" i="7"/>
  <c r="AG340" i="1"/>
  <c r="AG243" i="7"/>
  <c r="AG307" i="1"/>
  <c r="AG210" i="7"/>
  <c r="AG317" i="1"/>
  <c r="AG220" i="7"/>
  <c r="AG306" i="1"/>
  <c r="AG209" i="7"/>
  <c r="AG305" i="1"/>
  <c r="AG208" i="7"/>
  <c r="AG318" i="1"/>
  <c r="AG221" i="7"/>
  <c r="AG349" i="1"/>
  <c r="AG252" i="7"/>
  <c r="AG316" i="1"/>
  <c r="AG219" i="7"/>
  <c r="AG344" i="1"/>
  <c r="AG247" i="7"/>
  <c r="AG311" i="1"/>
  <c r="AG214" i="7"/>
  <c r="AG325" i="1"/>
  <c r="AG228" i="7"/>
  <c r="AG314" i="1"/>
  <c r="AG217" i="7"/>
  <c r="AG313" i="1"/>
  <c r="AG216" i="7"/>
  <c r="AG118" i="1"/>
  <c r="AG21" i="7"/>
  <c r="AG119" i="1"/>
  <c r="AG22" i="7"/>
  <c r="AG124" i="1"/>
  <c r="AG27" i="7"/>
  <c r="AG127" i="1"/>
  <c r="AG30" i="7"/>
  <c r="AG128" i="1"/>
  <c r="AG31" i="7"/>
  <c r="AG134" i="1"/>
  <c r="AG37" i="7"/>
  <c r="AG143" i="1"/>
  <c r="AG46" i="7"/>
  <c r="AG154" i="1"/>
  <c r="AG57" i="7"/>
  <c r="AG158" i="1"/>
  <c r="AG61" i="7"/>
  <c r="AG164" i="1"/>
  <c r="AG67" i="7"/>
  <c r="AG166" i="1"/>
  <c r="AG69" i="7"/>
  <c r="AC234" i="7"/>
  <c r="AC83" i="7"/>
  <c r="AC123" i="7"/>
  <c r="AC223" i="7"/>
  <c r="AC202" i="7"/>
  <c r="AC214" i="7"/>
  <c r="AC167" i="7"/>
  <c r="AC68" i="7"/>
  <c r="AC186" i="7"/>
  <c r="AC170" i="7"/>
  <c r="AC102" i="7"/>
  <c r="AC230" i="7"/>
  <c r="AC121" i="7"/>
  <c r="AC255" i="7"/>
  <c r="AC198" i="7"/>
  <c r="AC193" i="7"/>
  <c r="AC67" i="7"/>
  <c r="AC249" i="7"/>
  <c r="AC240" i="7"/>
  <c r="AC38" i="7"/>
  <c r="AF187" i="7"/>
  <c r="AE187" i="7"/>
  <c r="AF223" i="7"/>
  <c r="AE223" i="7"/>
  <c r="AC137" i="7"/>
  <c r="AC128" i="7"/>
  <c r="AF236" i="7"/>
  <c r="AE236" i="7"/>
  <c r="AF92" i="7"/>
  <c r="AE92" i="7"/>
  <c r="AF81" i="7"/>
  <c r="AE81" i="7"/>
  <c r="AF168" i="7"/>
  <c r="AE168" i="7"/>
  <c r="AF64" i="7"/>
  <c r="AE64" i="7"/>
  <c r="AF129" i="7"/>
  <c r="AE129" i="7"/>
  <c r="AF201" i="7"/>
  <c r="AE201" i="7"/>
  <c r="AF21" i="7"/>
  <c r="AE21" i="7"/>
  <c r="AF170" i="7"/>
  <c r="AE170" i="7"/>
  <c r="AF254" i="7"/>
  <c r="AE254" i="7"/>
  <c r="AF99" i="7"/>
  <c r="AE99" i="7"/>
  <c r="AF104" i="7"/>
  <c r="AE104" i="7"/>
  <c r="AF195" i="7"/>
  <c r="AE195" i="7"/>
  <c r="AF56" i="7"/>
  <c r="AE56" i="7"/>
  <c r="AF164" i="7"/>
  <c r="AE164" i="7"/>
  <c r="AF249" i="7"/>
  <c r="AE249" i="7"/>
  <c r="AF128" i="7"/>
  <c r="AE128" i="7"/>
  <c r="AF213" i="7"/>
  <c r="AE213" i="7"/>
  <c r="AF109" i="7"/>
  <c r="AE109" i="7"/>
  <c r="AF199" i="7"/>
  <c r="AE199" i="7"/>
  <c r="AC42" i="7"/>
  <c r="AC106" i="7"/>
  <c r="AC71" i="7"/>
  <c r="AC48" i="7"/>
  <c r="AC148" i="7"/>
  <c r="AC212" i="7"/>
  <c r="AC84" i="7"/>
  <c r="AC65" i="7"/>
  <c r="AC157" i="7"/>
  <c r="AF210" i="7"/>
  <c r="AE210" i="7"/>
  <c r="AF38" i="7"/>
  <c r="AE38" i="7"/>
  <c r="AF103" i="7"/>
  <c r="AE103" i="7"/>
  <c r="AF136" i="7"/>
  <c r="AE136" i="7"/>
  <c r="AF221" i="7"/>
  <c r="AE221" i="7"/>
  <c r="AF127" i="7"/>
  <c r="AE127" i="7"/>
  <c r="AF212" i="7"/>
  <c r="AE212" i="7"/>
  <c r="AF108" i="7"/>
  <c r="AE108" i="7"/>
  <c r="AF197" i="7"/>
  <c r="AE197" i="7"/>
  <c r="AF52" i="7"/>
  <c r="AE52" i="7"/>
  <c r="AF161" i="7"/>
  <c r="AE161" i="7"/>
  <c r="AF247" i="7"/>
  <c r="AE247" i="7"/>
  <c r="AC94" i="7"/>
  <c r="AC75" i="7"/>
  <c r="AC56" i="7"/>
  <c r="AC152" i="7"/>
  <c r="AC216" i="7"/>
  <c r="AC100" i="7"/>
  <c r="AC73" i="7"/>
  <c r="AC161" i="7"/>
  <c r="AC226" i="7"/>
  <c r="AC231" i="7"/>
  <c r="AC219" i="7"/>
  <c r="AC163" i="7"/>
  <c r="AC253" i="7"/>
  <c r="AC189" i="7"/>
  <c r="AC49" i="7"/>
  <c r="AC204" i="7"/>
  <c r="AC32" i="7"/>
  <c r="AC98" i="7"/>
  <c r="AF188" i="7"/>
  <c r="AE188" i="7"/>
  <c r="AF139" i="7"/>
  <c r="AE139" i="7"/>
  <c r="AC155" i="7"/>
  <c r="AC195" i="7"/>
  <c r="AC143" i="7"/>
  <c r="AC233" i="7"/>
  <c r="AC147" i="7"/>
  <c r="AC250" i="7"/>
  <c r="AC257" i="7"/>
  <c r="AF172" i="7"/>
  <c r="AE172" i="7"/>
  <c r="AC225" i="7"/>
  <c r="AC191" i="7"/>
  <c r="AC122" i="7"/>
  <c r="AC104" i="7"/>
  <c r="AC209" i="7"/>
  <c r="AC40" i="7"/>
  <c r="AF151" i="7"/>
  <c r="AE151" i="7"/>
  <c r="AC256" i="7"/>
  <c r="AC86" i="7"/>
  <c r="AF180" i="7"/>
  <c r="AE180" i="7"/>
  <c r="AF253" i="7"/>
  <c r="AE253" i="7"/>
  <c r="AF250" i="7"/>
  <c r="AE250" i="7"/>
  <c r="AF251" i="7"/>
  <c r="AE251" i="7"/>
  <c r="AF211" i="7"/>
  <c r="AE211" i="7"/>
  <c r="AF138" i="7"/>
  <c r="AE138" i="7"/>
  <c r="AF34" i="7"/>
  <c r="AE34" i="7"/>
  <c r="AF39" i="7"/>
  <c r="AE39" i="7"/>
  <c r="AF173" i="7"/>
  <c r="AE173" i="7"/>
  <c r="AF89" i="7"/>
  <c r="AE89" i="7"/>
  <c r="AF207" i="7"/>
  <c r="AE207" i="7"/>
  <c r="AF100" i="7"/>
  <c r="AE100" i="7"/>
  <c r="AF235" i="7"/>
  <c r="AE235" i="7"/>
  <c r="AF156" i="7"/>
  <c r="AE156" i="7"/>
  <c r="AC22" i="7"/>
  <c r="AC23" i="7"/>
  <c r="AC103" i="7"/>
  <c r="AC132" i="7"/>
  <c r="AC228" i="7"/>
  <c r="AC166" i="7"/>
  <c r="AC141" i="7"/>
  <c r="AF226" i="7"/>
  <c r="AE226" i="7"/>
  <c r="AF71" i="7"/>
  <c r="AE71" i="7"/>
  <c r="AF112" i="7"/>
  <c r="AE112" i="7"/>
  <c r="AF243" i="7"/>
  <c r="AE243" i="7"/>
  <c r="AF169" i="7"/>
  <c r="AE169" i="7"/>
  <c r="AF76" i="7"/>
  <c r="AE76" i="7"/>
  <c r="AF219" i="7"/>
  <c r="AE219" i="7"/>
  <c r="AF117" i="7"/>
  <c r="AE117" i="7"/>
  <c r="AF225" i="7"/>
  <c r="AE225" i="7"/>
  <c r="AC110" i="7"/>
  <c r="AC107" i="7"/>
  <c r="AC136" i="7"/>
  <c r="AC232" i="7"/>
  <c r="AC174" i="7"/>
  <c r="AC145" i="7"/>
  <c r="AC194" i="7"/>
  <c r="AC151" i="7"/>
  <c r="AB151" i="7"/>
  <c r="AC206" i="7"/>
  <c r="AC237" i="7"/>
  <c r="AC149" i="7"/>
  <c r="AC236" i="7"/>
  <c r="AC95" i="7"/>
  <c r="AC34" i="7"/>
  <c r="AF181" i="7"/>
  <c r="AE181" i="7"/>
  <c r="AF175" i="7"/>
  <c r="AE175" i="7"/>
  <c r="AF205" i="7"/>
  <c r="AE205" i="7"/>
  <c r="AF107" i="7"/>
  <c r="AE107" i="7"/>
  <c r="AF146" i="7"/>
  <c r="AE146" i="7"/>
  <c r="AF96" i="7"/>
  <c r="AE96" i="7"/>
  <c r="AF234" i="7"/>
  <c r="AE234" i="7"/>
  <c r="AB234" i="7"/>
  <c r="AC101" i="7"/>
  <c r="AC93" i="7"/>
  <c r="AC117" i="7"/>
  <c r="AC222" i="7"/>
  <c r="AC146" i="7"/>
  <c r="AC229" i="7"/>
  <c r="AC165" i="7"/>
  <c r="AC116" i="7"/>
  <c r="AC156" i="7"/>
  <c r="AC79" i="7"/>
  <c r="AC50" i="7"/>
  <c r="AF124" i="7"/>
  <c r="AE124" i="7"/>
  <c r="AF160" i="7"/>
  <c r="AE160" i="7"/>
  <c r="AF196" i="7"/>
  <c r="AE196" i="7"/>
  <c r="AF227" i="7"/>
  <c r="AE227" i="7"/>
  <c r="AF23" i="7"/>
  <c r="AE23" i="7"/>
  <c r="AC85" i="7"/>
  <c r="AC138" i="7"/>
  <c r="AC218" i="7"/>
  <c r="AC207" i="7"/>
  <c r="AB207" i="7"/>
  <c r="AC144" i="7"/>
  <c r="AC177" i="7"/>
  <c r="AC239" i="7"/>
  <c r="AC153" i="7"/>
  <c r="AC235" i="7"/>
  <c r="AC208" i="7"/>
  <c r="AC21" i="7"/>
  <c r="AB21" i="7"/>
  <c r="AC241" i="7"/>
  <c r="AF257" i="7"/>
  <c r="AE257" i="7"/>
  <c r="AC169" i="7"/>
  <c r="AC35" i="7"/>
  <c r="AF244" i="7"/>
  <c r="AE244" i="7"/>
  <c r="AC217" i="7"/>
  <c r="AC192" i="7"/>
  <c r="AF137" i="7"/>
  <c r="AE137" i="7"/>
  <c r="AF46" i="7"/>
  <c r="AE46" i="7"/>
  <c r="AF162" i="7"/>
  <c r="AE162" i="7"/>
  <c r="AF165" i="7"/>
  <c r="AE165" i="7"/>
  <c r="AF111" i="7"/>
  <c r="AE111" i="7"/>
  <c r="AF198" i="7"/>
  <c r="AE198" i="7"/>
  <c r="AF67" i="7"/>
  <c r="AE67" i="7"/>
  <c r="AF72" i="7"/>
  <c r="AE72" i="7"/>
  <c r="AF216" i="7"/>
  <c r="AE216" i="7"/>
  <c r="AF121" i="7"/>
  <c r="AE121" i="7"/>
  <c r="AB121" i="7"/>
  <c r="AF228" i="7"/>
  <c r="AE228" i="7"/>
  <c r="AF149" i="7"/>
  <c r="AE149" i="7"/>
  <c r="AF256" i="7"/>
  <c r="AE256" i="7"/>
  <c r="AF177" i="7"/>
  <c r="AE177" i="7"/>
  <c r="AC58" i="7"/>
  <c r="AC39" i="7"/>
  <c r="AC119" i="7"/>
  <c r="AC164" i="7"/>
  <c r="AC244" i="7"/>
  <c r="AC33" i="7"/>
  <c r="AF94" i="7"/>
  <c r="AE94" i="7"/>
  <c r="AF242" i="7"/>
  <c r="AE242" i="7"/>
  <c r="AF87" i="7"/>
  <c r="AE87" i="7"/>
  <c r="AF157" i="7"/>
  <c r="AE157" i="7"/>
  <c r="AF65" i="7"/>
  <c r="AE65" i="7"/>
  <c r="AB65" i="7"/>
  <c r="AF191" i="7"/>
  <c r="AE191" i="7"/>
  <c r="AF133" i="7"/>
  <c r="AE133" i="7"/>
  <c r="AF240" i="7"/>
  <c r="AE240" i="7"/>
  <c r="AB240" i="7"/>
  <c r="AF140" i="7"/>
  <c r="AE140" i="7"/>
  <c r="AC46" i="7"/>
  <c r="AB46" i="7"/>
  <c r="AC27" i="7"/>
  <c r="AC24" i="7"/>
  <c r="AC168" i="7"/>
  <c r="AB168" i="7"/>
  <c r="AC248" i="7"/>
  <c r="AC41" i="7"/>
  <c r="AC243" i="7"/>
  <c r="AB243" i="7"/>
  <c r="AC139" i="7"/>
  <c r="AC53" i="7"/>
  <c r="AC162" i="7"/>
  <c r="AB162" i="7"/>
  <c r="AC221" i="7"/>
  <c r="AC113" i="7"/>
  <c r="AC172" i="7"/>
  <c r="AB172" i="7"/>
  <c r="AC63" i="7"/>
  <c r="AF231" i="7"/>
  <c r="AE231" i="7"/>
  <c r="AF84" i="7"/>
  <c r="AE84" i="7"/>
  <c r="AF132" i="7"/>
  <c r="AE132" i="7"/>
  <c r="AF163" i="7"/>
  <c r="AE163" i="7"/>
  <c r="AF42" i="7"/>
  <c r="AE42" i="7"/>
  <c r="AF232" i="7"/>
  <c r="AE232" i="7"/>
  <c r="AF31" i="7"/>
  <c r="AE31" i="7"/>
  <c r="AF194" i="7"/>
  <c r="AE194" i="7"/>
  <c r="AC242" i="7"/>
  <c r="AC247" i="7"/>
  <c r="AC251" i="7"/>
  <c r="AC190" i="7"/>
  <c r="AC108" i="7"/>
  <c r="AC213" i="7"/>
  <c r="AC133" i="7"/>
  <c r="AC252" i="7"/>
  <c r="AC124" i="7"/>
  <c r="AC47" i="7"/>
  <c r="AF252" i="7"/>
  <c r="AE252" i="7"/>
  <c r="AF61" i="7"/>
  <c r="AE61" i="7"/>
  <c r="AF116" i="7"/>
  <c r="AE116" i="7"/>
  <c r="AF153" i="7"/>
  <c r="AE153" i="7"/>
  <c r="AF184" i="7"/>
  <c r="AE184" i="7"/>
  <c r="AF91" i="7"/>
  <c r="AE91" i="7"/>
  <c r="AF186" i="7"/>
  <c r="AE186" i="7"/>
  <c r="AF74" i="7"/>
  <c r="AE74" i="7"/>
  <c r="AF126" i="7"/>
  <c r="AE126" i="7"/>
  <c r="AF41" i="7"/>
  <c r="AE41" i="7"/>
  <c r="AF154" i="7"/>
  <c r="AE154" i="7"/>
  <c r="AF62" i="7"/>
  <c r="AE62" i="7"/>
  <c r="AF150" i="7"/>
  <c r="AE150" i="7"/>
  <c r="AF86" i="7"/>
  <c r="AE86" i="7"/>
  <c r="AF70" i="7"/>
  <c r="AE70" i="7"/>
  <c r="AC201" i="7"/>
  <c r="AC126" i="7"/>
  <c r="AB126" i="7"/>
  <c r="AC227" i="7"/>
  <c r="AC72" i="7"/>
  <c r="AB72" i="7"/>
  <c r="AC70" i="7"/>
  <c r="AC224" i="7"/>
  <c r="AC160" i="7"/>
  <c r="AB160" i="7"/>
  <c r="AF144" i="7"/>
  <c r="AE144" i="7"/>
  <c r="AC51" i="7"/>
  <c r="AF48" i="7"/>
  <c r="AE48" i="7"/>
  <c r="AF215" i="7"/>
  <c r="AE215" i="7"/>
  <c r="AF49" i="7"/>
  <c r="AE49" i="7"/>
  <c r="AF115" i="7"/>
  <c r="AE115" i="7"/>
  <c r="AF24" i="7"/>
  <c r="AE24" i="7"/>
  <c r="AF68" i="7"/>
  <c r="AE68" i="7"/>
  <c r="AF135" i="7"/>
  <c r="AE135" i="7"/>
  <c r="AC90" i="7"/>
  <c r="AC112" i="7"/>
  <c r="AC134" i="7"/>
  <c r="AF178" i="7"/>
  <c r="AE178" i="7"/>
  <c r="AF80" i="7"/>
  <c r="AE80" i="7"/>
  <c r="AF148" i="7"/>
  <c r="AE148" i="7"/>
  <c r="AF176" i="7"/>
  <c r="AE176" i="7"/>
  <c r="AF204" i="7"/>
  <c r="AE204" i="7"/>
  <c r="AC91" i="7"/>
  <c r="AC200" i="7"/>
  <c r="AC129" i="7"/>
  <c r="AB129" i="7"/>
  <c r="AC199" i="7"/>
  <c r="AC76" i="7"/>
  <c r="AC52" i="7"/>
  <c r="AC66" i="7"/>
  <c r="AF217" i="7"/>
  <c r="AE217" i="7"/>
  <c r="AF55" i="7"/>
  <c r="AE55" i="7"/>
  <c r="AF147" i="7"/>
  <c r="AE147" i="7"/>
  <c r="AC211" i="7"/>
  <c r="AC183" i="7"/>
  <c r="AC178" i="7"/>
  <c r="AC181" i="7"/>
  <c r="AC188" i="7"/>
  <c r="AC82" i="7"/>
  <c r="AF203" i="7"/>
  <c r="AE203" i="7"/>
  <c r="AF40" i="7"/>
  <c r="AE40" i="7"/>
  <c r="AF22" i="7"/>
  <c r="AE22" i="7"/>
  <c r="AF82" i="7"/>
  <c r="AE82" i="7"/>
  <c r="AF98" i="7"/>
  <c r="AE98" i="7"/>
  <c r="AF190" i="7"/>
  <c r="AE190" i="7"/>
  <c r="AF90" i="7"/>
  <c r="AE90" i="7"/>
  <c r="AF134" i="7"/>
  <c r="AE134" i="7"/>
  <c r="AF45" i="7"/>
  <c r="AE45" i="7"/>
  <c r="AD20" i="7"/>
  <c r="AD27" i="7"/>
  <c r="AD29" i="7"/>
  <c r="AF26" i="7"/>
  <c r="AE26" i="7"/>
  <c r="AF30" i="7"/>
  <c r="AE30" i="7"/>
  <c r="AD31" i="7"/>
  <c r="AD34" i="7"/>
  <c r="AD40" i="7"/>
  <c r="AD41" i="7"/>
  <c r="AD42" i="7"/>
  <c r="AD43" i="7"/>
  <c r="AD48" i="7"/>
  <c r="AF50" i="7"/>
  <c r="AE50" i="7"/>
  <c r="AD51" i="7"/>
  <c r="AD52" i="7"/>
  <c r="AD53" i="7"/>
  <c r="AD54" i="7"/>
  <c r="AD56" i="7"/>
  <c r="AD63" i="7"/>
  <c r="AD89" i="7"/>
  <c r="AD90" i="7"/>
  <c r="AD101" i="7"/>
  <c r="AD105" i="7"/>
  <c r="AD118" i="7"/>
  <c r="AD132" i="7"/>
  <c r="AD145" i="7"/>
  <c r="AD151" i="7"/>
  <c r="AD157" i="7"/>
  <c r="AD159" i="7"/>
  <c r="AD161" i="7"/>
  <c r="AD164" i="7"/>
  <c r="AD165" i="7"/>
  <c r="AD168" i="7"/>
  <c r="AD173" i="7"/>
  <c r="AD177" i="7"/>
  <c r="AD179" i="7"/>
  <c r="AD181" i="7"/>
  <c r="AD184" i="7"/>
  <c r="AD185" i="7"/>
  <c r="AD191" i="7"/>
  <c r="AD195" i="7"/>
  <c r="AD198" i="7"/>
  <c r="AD218" i="7"/>
  <c r="AD232" i="7"/>
  <c r="AD234" i="7"/>
  <c r="AC203" i="7"/>
  <c r="AC179" i="7"/>
  <c r="AC61" i="7"/>
  <c r="AC135" i="7"/>
  <c r="AC109" i="7"/>
  <c r="AC69" i="7"/>
  <c r="AF193" i="7"/>
  <c r="AE193" i="7"/>
  <c r="AB193" i="7"/>
  <c r="AF36" i="7"/>
  <c r="AE36" i="7"/>
  <c r="AC185" i="7"/>
  <c r="AF101" i="7"/>
  <c r="AE101" i="7"/>
  <c r="AF79" i="7"/>
  <c r="AE79" i="7"/>
  <c r="AF59" i="7"/>
  <c r="AE59" i="7"/>
  <c r="AF222" i="7"/>
  <c r="AE222" i="7"/>
  <c r="AF131" i="7"/>
  <c r="AE131" i="7"/>
  <c r="AF143" i="7"/>
  <c r="AE143" i="7"/>
  <c r="AF171" i="7"/>
  <c r="AE171" i="7"/>
  <c r="AF220" i="7"/>
  <c r="AE220" i="7"/>
  <c r="AC55" i="7"/>
  <c r="AC180" i="7"/>
  <c r="AC97" i="7"/>
  <c r="AF18" i="7"/>
  <c r="AE18" i="7"/>
  <c r="AF179" i="7"/>
  <c r="AE179" i="7"/>
  <c r="AF233" i="7"/>
  <c r="AE233" i="7"/>
  <c r="AF20" i="7"/>
  <c r="AE20" i="7"/>
  <c r="AC62" i="7"/>
  <c r="AC88" i="7"/>
  <c r="AC36" i="7"/>
  <c r="AC175" i="7"/>
  <c r="AC127" i="7"/>
  <c r="AC205" i="7"/>
  <c r="AC140" i="7"/>
  <c r="AB140" i="7"/>
  <c r="AF28" i="7"/>
  <c r="AE28" i="7"/>
  <c r="AF73" i="7"/>
  <c r="AE73" i="7"/>
  <c r="AF246" i="7"/>
  <c r="AE246" i="7"/>
  <c r="AF95" i="7"/>
  <c r="AE95" i="7"/>
  <c r="AC210" i="7"/>
  <c r="AC187" i="7"/>
  <c r="AC44" i="7"/>
  <c r="AC81" i="7"/>
  <c r="AC64" i="7"/>
  <c r="AB64" i="7"/>
  <c r="AF209" i="7"/>
  <c r="AE209" i="7"/>
  <c r="AF51" i="7"/>
  <c r="AE51" i="7"/>
  <c r="AF141" i="7"/>
  <c r="AE141" i="7"/>
  <c r="AF230" i="7"/>
  <c r="AE230" i="7"/>
  <c r="AF202" i="7"/>
  <c r="AE202" i="7"/>
  <c r="AF57" i="7"/>
  <c r="AE57" i="7"/>
  <c r="AF174" i="7"/>
  <c r="AE174" i="7"/>
  <c r="AF33" i="7"/>
  <c r="AE33" i="7"/>
  <c r="AF118" i="7"/>
  <c r="AE118" i="7"/>
  <c r="AF25" i="7"/>
  <c r="AE25" i="7"/>
  <c r="AD21" i="7"/>
  <c r="AD22" i="7"/>
  <c r="AF27" i="7"/>
  <c r="AE27" i="7"/>
  <c r="AD30" i="7"/>
  <c r="AD33" i="7"/>
  <c r="AD35" i="7"/>
  <c r="AD39" i="7"/>
  <c r="AC43" i="7"/>
  <c r="AD45" i="7"/>
  <c r="AD58" i="7"/>
  <c r="AD61" i="7"/>
  <c r="AD64" i="7"/>
  <c r="AD66" i="7"/>
  <c r="AD68" i="7"/>
  <c r="AD69" i="7"/>
  <c r="AF75" i="7"/>
  <c r="AE75" i="7"/>
  <c r="AD84" i="7"/>
  <c r="AD93" i="7"/>
  <c r="AD94" i="7"/>
  <c r="AD96" i="7"/>
  <c r="AD100" i="7"/>
  <c r="AD116" i="7"/>
  <c r="AF119" i="7"/>
  <c r="AE119" i="7"/>
  <c r="AD124" i="7"/>
  <c r="AD131" i="7"/>
  <c r="AD134" i="7"/>
  <c r="AD139" i="7"/>
  <c r="AF145" i="7"/>
  <c r="AE145" i="7"/>
  <c r="AD150" i="7"/>
  <c r="AD154" i="7"/>
  <c r="AD156" i="7"/>
  <c r="AD166" i="7"/>
  <c r="AD167" i="7"/>
  <c r="AD171" i="7"/>
  <c r="AD176" i="7"/>
  <c r="AD180" i="7"/>
  <c r="AD186" i="7"/>
  <c r="AD187" i="7"/>
  <c r="AD188" i="7"/>
  <c r="AD194" i="7"/>
  <c r="AD196" i="7"/>
  <c r="AD199" i="7"/>
  <c r="AD201" i="7"/>
  <c r="AD203" i="7"/>
  <c r="AD205" i="7"/>
  <c r="AD207" i="7"/>
  <c r="AD209" i="7"/>
  <c r="AD212" i="7"/>
  <c r="AD214" i="7"/>
  <c r="AD216" i="7"/>
  <c r="AD231" i="7"/>
  <c r="AF60" i="7"/>
  <c r="AE60" i="7"/>
  <c r="AC154" i="7"/>
  <c r="AC176" i="7"/>
  <c r="AC89" i="7"/>
  <c r="AF69" i="7"/>
  <c r="AE69" i="7"/>
  <c r="AF159" i="7"/>
  <c r="AE159" i="7"/>
  <c r="AF237" i="7"/>
  <c r="AE237" i="7"/>
  <c r="AF44" i="7"/>
  <c r="AE44" i="7"/>
  <c r="AC80" i="7"/>
  <c r="AF142" i="7"/>
  <c r="AE142" i="7"/>
  <c r="AF97" i="7"/>
  <c r="AE97" i="7"/>
  <c r="AF183" i="7"/>
  <c r="AE183" i="7"/>
  <c r="AC184" i="7"/>
  <c r="AC29" i="7"/>
  <c r="AC150" i="7"/>
  <c r="AF19" i="7"/>
  <c r="AE19" i="7"/>
  <c r="AF189" i="7"/>
  <c r="AE189" i="7"/>
  <c r="AC215" i="7"/>
  <c r="AC197" i="7"/>
  <c r="AC114" i="7"/>
  <c r="AF105" i="7"/>
  <c r="AE105" i="7"/>
  <c r="AF122" i="7"/>
  <c r="AE122" i="7"/>
  <c r="AF206" i="7"/>
  <c r="AE206" i="7"/>
  <c r="AF166" i="7"/>
  <c r="AE166" i="7"/>
  <c r="AF37" i="7"/>
  <c r="AE37" i="7"/>
  <c r="AF218" i="7"/>
  <c r="AE218" i="7"/>
  <c r="AC158" i="7"/>
  <c r="AC246" i="7"/>
  <c r="AC45" i="7"/>
  <c r="AF229" i="7"/>
  <c r="AE229" i="7"/>
  <c r="AF208" i="7"/>
  <c r="AE208" i="7"/>
  <c r="AF113" i="7"/>
  <c r="AE113" i="7"/>
  <c r="AF152" i="7"/>
  <c r="AE152" i="7"/>
  <c r="AF192" i="7"/>
  <c r="AE192" i="7"/>
  <c r="AC87" i="7"/>
  <c r="AC125" i="7"/>
  <c r="AF200" i="7"/>
  <c r="AE200" i="7"/>
  <c r="AF85" i="7"/>
  <c r="AE85" i="7"/>
  <c r="AC120" i="7"/>
  <c r="AC20" i="7"/>
  <c r="AC173" i="7"/>
  <c r="AB173" i="7"/>
  <c r="AF224" i="7"/>
  <c r="AE224" i="7"/>
  <c r="AF214" i="7"/>
  <c r="AE214" i="7"/>
  <c r="AC171" i="7"/>
  <c r="AC245" i="7"/>
  <c r="AC111" i="7"/>
  <c r="AB111" i="7"/>
  <c r="AF239" i="7"/>
  <c r="AE239" i="7"/>
  <c r="AF106" i="7"/>
  <c r="AE106" i="7"/>
  <c r="AB106" i="7"/>
  <c r="AF78" i="7"/>
  <c r="AE78" i="7"/>
  <c r="AF29" i="7"/>
  <c r="AE29" i="7"/>
  <c r="AF53" i="7"/>
  <c r="AE53" i="7"/>
  <c r="AD19" i="7"/>
  <c r="AD26" i="7"/>
  <c r="AD28" i="7"/>
  <c r="AC30" i="7"/>
  <c r="AB30" i="7"/>
  <c r="AD32" i="7"/>
  <c r="AD50" i="7"/>
  <c r="AD62" i="7"/>
  <c r="AD91" i="7"/>
  <c r="AD99" i="7"/>
  <c r="AD119" i="7"/>
  <c r="AD133" i="7"/>
  <c r="AD163" i="7"/>
  <c r="AD169" i="7"/>
  <c r="AD178" i="7"/>
  <c r="AD182" i="7"/>
  <c r="AD183" i="7"/>
  <c r="AD189" i="7"/>
  <c r="AD202" i="7"/>
  <c r="AD204" i="7"/>
  <c r="AD210" i="7"/>
  <c r="AD213" i="7"/>
  <c r="AD219" i="7"/>
  <c r="AG292" i="1"/>
  <c r="AG195" i="7"/>
  <c r="AD256" i="7"/>
  <c r="AD248" i="7"/>
  <c r="AG275" i="1"/>
  <c r="AG178" i="7"/>
  <c r="AG274" i="1"/>
  <c r="AG177" i="7"/>
  <c r="AD244" i="7"/>
  <c r="AG273" i="1"/>
  <c r="AG176" i="7"/>
  <c r="AD240" i="7"/>
  <c r="AD237" i="7"/>
  <c r="AG269" i="1"/>
  <c r="AG172" i="7"/>
  <c r="AG268" i="1"/>
  <c r="AG171" i="7"/>
  <c r="AG267" i="1"/>
  <c r="AG170" i="7"/>
  <c r="AG266" i="1"/>
  <c r="AG169" i="7"/>
  <c r="AD227" i="7"/>
  <c r="AD225" i="7"/>
  <c r="AD222" i="7"/>
  <c r="AG261" i="1"/>
  <c r="AG164" i="7"/>
  <c r="AG260" i="1"/>
  <c r="AG163" i="7"/>
  <c r="AG251" i="1"/>
  <c r="AG154" i="7"/>
  <c r="AG243" i="1"/>
  <c r="AG146" i="7"/>
  <c r="AG242" i="1"/>
  <c r="AG145" i="7"/>
  <c r="AG240" i="1"/>
  <c r="AG143" i="7"/>
  <c r="AG239" i="1"/>
  <c r="AG142" i="7"/>
  <c r="AG237" i="1"/>
  <c r="AG140" i="7"/>
  <c r="AG235" i="1"/>
  <c r="AG138" i="7"/>
  <c r="AG230" i="1"/>
  <c r="AG133" i="7"/>
  <c r="AG228" i="1"/>
  <c r="AG131" i="7"/>
  <c r="AG227" i="1"/>
  <c r="AG130" i="7"/>
  <c r="AG225" i="1"/>
  <c r="AG128" i="7"/>
  <c r="AG217" i="1"/>
  <c r="AG120" i="7"/>
  <c r="AD144" i="7"/>
  <c r="AD140" i="7"/>
  <c r="AG211" i="1"/>
  <c r="AG114" i="7"/>
  <c r="AG203" i="1"/>
  <c r="AG106" i="7"/>
  <c r="AD127" i="7"/>
  <c r="AG200" i="1"/>
  <c r="AG103" i="7"/>
  <c r="AD122" i="7"/>
  <c r="AD121" i="7"/>
  <c r="AG198" i="1"/>
  <c r="AG101" i="7"/>
  <c r="AD117" i="7"/>
  <c r="AG196" i="1"/>
  <c r="AG99" i="7"/>
  <c r="AG193" i="1"/>
  <c r="AG96" i="7"/>
  <c r="AD103" i="7"/>
  <c r="AD98" i="7"/>
  <c r="AD97" i="7"/>
  <c r="AG187" i="1"/>
  <c r="AG90" i="7"/>
  <c r="AG186" i="1"/>
  <c r="AG89" i="7"/>
  <c r="AG185" i="1"/>
  <c r="AG88" i="7"/>
  <c r="AD92" i="7"/>
  <c r="AG178" i="1"/>
  <c r="AG81" i="7"/>
  <c r="AG176" i="1"/>
  <c r="AG79" i="7"/>
  <c r="AD78" i="7"/>
  <c r="AG172" i="1"/>
  <c r="AG75" i="7"/>
  <c r="AG167" i="1"/>
  <c r="AG70" i="7"/>
  <c r="AG157" i="1"/>
  <c r="AG60" i="7"/>
  <c r="AD235" i="7"/>
  <c r="AD230" i="7"/>
  <c r="AD220" i="7"/>
  <c r="AD208" i="7"/>
  <c r="AD160" i="7"/>
  <c r="AD158" i="7"/>
  <c r="AD153" i="7"/>
  <c r="AD141" i="7"/>
  <c r="AD136" i="7"/>
  <c r="AD135" i="7"/>
  <c r="AD125" i="7"/>
  <c r="AD86" i="7"/>
  <c r="AD83" i="7"/>
  <c r="AD67" i="7"/>
  <c r="AD60" i="7"/>
  <c r="AD59" i="7"/>
  <c r="AG144" i="1"/>
  <c r="AG47" i="7"/>
  <c r="AC26" i="7"/>
  <c r="AB26" i="7"/>
  <c r="AD23" i="7"/>
  <c r="W343" i="1"/>
  <c r="W295" i="1"/>
  <c r="W283" i="1"/>
  <c r="W271" i="1"/>
  <c r="W199" i="1"/>
  <c r="V133" i="8"/>
  <c r="V109" i="8"/>
  <c r="AG338" i="1"/>
  <c r="AG241" i="7"/>
  <c r="AG350" i="1"/>
  <c r="AG253" i="7"/>
  <c r="AG296" i="1"/>
  <c r="AG199" i="7"/>
  <c r="AG354" i="1"/>
  <c r="AG257" i="7"/>
  <c r="V487" i="8"/>
  <c r="AF66" i="7"/>
  <c r="AE66" i="7"/>
  <c r="AF158" i="7"/>
  <c r="AE158" i="7"/>
  <c r="AF245" i="7"/>
  <c r="AE245" i="7"/>
  <c r="AC131" i="7"/>
  <c r="AF120" i="7"/>
  <c r="AE120" i="7"/>
  <c r="AC130" i="7"/>
  <c r="AC59" i="7"/>
  <c r="AF47" i="7"/>
  <c r="AE47" i="7"/>
  <c r="AC74" i="7"/>
  <c r="AF83" i="7"/>
  <c r="AE83" i="7"/>
  <c r="AC115" i="7"/>
  <c r="AC99" i="7"/>
  <c r="AC19" i="7"/>
  <c r="BC49" i="8"/>
  <c r="BC97" i="8"/>
  <c r="BC145" i="8"/>
  <c r="BC193" i="8"/>
  <c r="BC241" i="8"/>
  <c r="V193" i="8"/>
  <c r="V181" i="8"/>
  <c r="V73" i="8"/>
  <c r="V415" i="8"/>
  <c r="V391" i="8"/>
  <c r="V331" i="8"/>
  <c r="V49" i="8"/>
  <c r="V475" i="8"/>
  <c r="V169" i="8"/>
  <c r="V205" i="8"/>
  <c r="BC61" i="8"/>
  <c r="BC109" i="8"/>
  <c r="BC157" i="8"/>
  <c r="BC205" i="8"/>
  <c r="BC253" i="8"/>
  <c r="V97" i="8"/>
  <c r="V451" i="8"/>
  <c r="V343" i="8"/>
  <c r="V253" i="8"/>
  <c r="N97" i="2"/>
  <c r="V37" i="8"/>
  <c r="V463" i="8"/>
  <c r="V403" i="8"/>
  <c r="V367" i="8"/>
  <c r="V307" i="8"/>
  <c r="W139" i="1"/>
  <c r="W175" i="1"/>
  <c r="W211" i="1"/>
  <c r="W235" i="1"/>
  <c r="W259" i="1"/>
  <c r="W307" i="1"/>
  <c r="BC85" i="8"/>
  <c r="BC181" i="8"/>
  <c r="V499" i="8"/>
  <c r="V241" i="8"/>
  <c r="V229" i="8"/>
  <c r="V295" i="8"/>
  <c r="V355" i="8"/>
  <c r="W222" i="7"/>
  <c r="BC73" i="8"/>
  <c r="BC169" i="8"/>
  <c r="V217" i="8"/>
  <c r="V427" i="8"/>
  <c r="V157" i="8"/>
  <c r="V511" i="8"/>
  <c r="V85" i="8"/>
  <c r="K97" i="2"/>
  <c r="W234" i="7"/>
  <c r="W163" i="1"/>
  <c r="AG294" i="1"/>
  <c r="AG197" i="7"/>
  <c r="AG293" i="1"/>
  <c r="AG196" i="7"/>
  <c r="AG286" i="1"/>
  <c r="AG189" i="7"/>
  <c r="AG285" i="1"/>
  <c r="AG188" i="7"/>
  <c r="AG279" i="1"/>
  <c r="AG182" i="7"/>
  <c r="AD254" i="7"/>
  <c r="AD252" i="7"/>
  <c r="AD251" i="7"/>
  <c r="AD250" i="7"/>
  <c r="AD243" i="7"/>
  <c r="AG272" i="1"/>
  <c r="AG175" i="7"/>
  <c r="AG265" i="1"/>
  <c r="AG168" i="7"/>
  <c r="AD223" i="7"/>
  <c r="AG262" i="1"/>
  <c r="AG165" i="7"/>
  <c r="AG253" i="1"/>
  <c r="AG156" i="7"/>
  <c r="AG252" i="1"/>
  <c r="AG155" i="7"/>
  <c r="AG236" i="1"/>
  <c r="AG139" i="7"/>
  <c r="AG234" i="1"/>
  <c r="AG137" i="7"/>
  <c r="AG233" i="1"/>
  <c r="AG136" i="7"/>
  <c r="AG232" i="1"/>
  <c r="AG135" i="7"/>
  <c r="AG231" i="1"/>
  <c r="AG134" i="7"/>
  <c r="AG229" i="1"/>
  <c r="AG132" i="7"/>
  <c r="AG226" i="1"/>
  <c r="AG129" i="7"/>
  <c r="AG220" i="1"/>
  <c r="AG123" i="7"/>
  <c r="AG219" i="1"/>
  <c r="AG122" i="7"/>
  <c r="AD148" i="7"/>
  <c r="AD146" i="7"/>
  <c r="AG215" i="1"/>
  <c r="AG118" i="7"/>
  <c r="AD137" i="7"/>
  <c r="AG206" i="1"/>
  <c r="AG109" i="7"/>
  <c r="AD126" i="7"/>
  <c r="AG195" i="1"/>
  <c r="AG98" i="7"/>
  <c r="AD110" i="7"/>
  <c r="AG192" i="1"/>
  <c r="AG95" i="7"/>
  <c r="AG189" i="1"/>
  <c r="AG92" i="7"/>
  <c r="AG184" i="1"/>
  <c r="AG87" i="7"/>
  <c r="AG183" i="1"/>
  <c r="AG86" i="7"/>
  <c r="AG180" i="1"/>
  <c r="AG83" i="7"/>
  <c r="AD81" i="7"/>
  <c r="AG175" i="1"/>
  <c r="AG78" i="7"/>
  <c r="AG174" i="1"/>
  <c r="AG77" i="7"/>
  <c r="AG168" i="1"/>
  <c r="AG71" i="7"/>
  <c r="AD74" i="7"/>
  <c r="AD73" i="7"/>
  <c r="AD246" i="7"/>
  <c r="AD215" i="7"/>
  <c r="AD197" i="7"/>
  <c r="AD192" i="7"/>
  <c r="AD190" i="7"/>
  <c r="AD172" i="7"/>
  <c r="AD170" i="7"/>
  <c r="AD162" i="7"/>
  <c r="AD155" i="7"/>
  <c r="AD152" i="7"/>
  <c r="AD95" i="7"/>
  <c r="AD88" i="7"/>
  <c r="AD85" i="7"/>
  <c r="AD44" i="7"/>
  <c r="AF43" i="7"/>
  <c r="AE43" i="7"/>
  <c r="AD37" i="7"/>
  <c r="AD36" i="7"/>
  <c r="AF32" i="7"/>
  <c r="AE32" i="7"/>
  <c r="AD24" i="7"/>
  <c r="W331" i="1"/>
  <c r="W319" i="1"/>
  <c r="W223" i="1"/>
  <c r="W187" i="1"/>
  <c r="W127" i="1"/>
  <c r="V145" i="8"/>
  <c r="AG302" i="1"/>
  <c r="AG205" i="7"/>
  <c r="AG346" i="1"/>
  <c r="AG249" i="7"/>
  <c r="AG295" i="1"/>
  <c r="AG198" i="7"/>
  <c r="AG300" i="1"/>
  <c r="AG203" i="7"/>
  <c r="H97" i="2"/>
  <c r="V319" i="8"/>
  <c r="BC121" i="8"/>
  <c r="AF102" i="7"/>
  <c r="AE102" i="7"/>
  <c r="AF182" i="7"/>
  <c r="AE182" i="7"/>
  <c r="AF167" i="7"/>
  <c r="AE167" i="7"/>
  <c r="AC254" i="7"/>
  <c r="AF248" i="7"/>
  <c r="AE248" i="7"/>
  <c r="AC238" i="7"/>
  <c r="AC78" i="7"/>
  <c r="AF54" i="7"/>
  <c r="AE54" i="7"/>
  <c r="AF241" i="7"/>
  <c r="AE241" i="7"/>
  <c r="AF238" i="7"/>
  <c r="AE238" i="7"/>
  <c r="AC25" i="7"/>
  <c r="AC92" i="7"/>
  <c r="AC37" i="7"/>
  <c r="H102" i="2"/>
  <c r="W3" i="4"/>
  <c r="S3" i="4"/>
  <c r="C27" i="2"/>
  <c r="C26" i="2"/>
  <c r="C28" i="2"/>
  <c r="E102" i="2"/>
  <c r="K100" i="2"/>
  <c r="K102" i="2"/>
  <c r="B33" i="4"/>
  <c r="Y116" i="7"/>
  <c r="Y41" i="7"/>
  <c r="Y90" i="7"/>
  <c r="Y214" i="7"/>
  <c r="Y52" i="7"/>
  <c r="Y87" i="7"/>
  <c r="Y158" i="7"/>
  <c r="Y189" i="7"/>
  <c r="Y183" i="7"/>
  <c r="Y203" i="7"/>
  <c r="Y228" i="7"/>
  <c r="Y19" i="7"/>
  <c r="Y66" i="7"/>
  <c r="Y44" i="7"/>
  <c r="Y153" i="7"/>
  <c r="Y22" i="7"/>
  <c r="Y148" i="7"/>
  <c r="Y114" i="7"/>
  <c r="Y75" i="7"/>
  <c r="Y103" i="7"/>
  <c r="Y168" i="7"/>
  <c r="Y213" i="7"/>
  <c r="C7" i="4"/>
  <c r="W103" i="7"/>
  <c r="W185" i="7"/>
  <c r="W144" i="7"/>
  <c r="W79" i="7"/>
  <c r="W158" i="7"/>
  <c r="W93" i="7"/>
  <c r="W76" i="7"/>
  <c r="W251" i="7"/>
  <c r="W238" i="7"/>
  <c r="W98" i="7"/>
  <c r="W72" i="7"/>
  <c r="W133" i="7"/>
  <c r="W52" i="7"/>
  <c r="W180" i="7"/>
  <c r="W69" i="7"/>
  <c r="W162" i="7"/>
  <c r="W126" i="7"/>
  <c r="W47" i="7"/>
  <c r="W218" i="7"/>
  <c r="W86" i="7"/>
  <c r="W65" i="7"/>
  <c r="W206" i="7"/>
  <c r="W104" i="7"/>
  <c r="W184" i="7"/>
  <c r="W25" i="7"/>
  <c r="W105" i="7"/>
  <c r="W125" i="7"/>
  <c r="W210" i="7"/>
  <c r="W75" i="7"/>
  <c r="W174" i="7"/>
  <c r="AH7" i="4"/>
  <c r="F270" i="8"/>
  <c r="W171" i="7"/>
  <c r="W143" i="7"/>
  <c r="W123" i="7"/>
  <c r="W102" i="7"/>
  <c r="W33" i="7"/>
  <c r="W221" i="7"/>
  <c r="W28" i="7"/>
  <c r="W92" i="7"/>
  <c r="W156" i="7"/>
  <c r="W220" i="7"/>
  <c r="W45" i="7"/>
  <c r="W109" i="7"/>
  <c r="W130" i="7"/>
  <c r="W215" i="7"/>
  <c r="W83" i="7"/>
  <c r="W179" i="7"/>
  <c r="W22" i="7"/>
  <c r="W182" i="7"/>
  <c r="W154" i="7"/>
  <c r="W134" i="7"/>
  <c r="W117" i="7"/>
  <c r="W32" i="7"/>
  <c r="W96" i="7"/>
  <c r="W160" i="7"/>
  <c r="W240" i="7"/>
  <c r="W113" i="7"/>
  <c r="W242" i="7"/>
  <c r="W227" i="7"/>
  <c r="W145" i="7"/>
  <c r="W62" i="7"/>
  <c r="W170" i="7"/>
  <c r="W55" i="7"/>
  <c r="W70" i="7"/>
  <c r="K29" i="1"/>
  <c r="Y51" i="7"/>
  <c r="Y117" i="7"/>
  <c r="Y181" i="7"/>
  <c r="Y245" i="7"/>
  <c r="Y72" i="7"/>
  <c r="Y204" i="7"/>
  <c r="Y124" i="7"/>
  <c r="Y211" i="7"/>
  <c r="Y78" i="7"/>
  <c r="Y180" i="7"/>
  <c r="Y37" i="7"/>
  <c r="Y155" i="7"/>
  <c r="Y240" i="7"/>
  <c r="Y130" i="7"/>
  <c r="Y231" i="7"/>
  <c r="Y141" i="7"/>
  <c r="N111" i="1"/>
  <c r="W84" i="7"/>
  <c r="W212" i="7"/>
  <c r="W101" i="7"/>
  <c r="W205" i="7"/>
  <c r="W169" i="7"/>
  <c r="W161" i="7"/>
  <c r="W111" i="7"/>
  <c r="W138" i="7"/>
  <c r="W114" i="7"/>
  <c r="W40" i="7"/>
  <c r="W120" i="7"/>
  <c r="W200" i="7"/>
  <c r="W57" i="7"/>
  <c r="W34" i="7"/>
  <c r="W146" i="7"/>
  <c r="W231" i="7"/>
  <c r="W107" i="7"/>
  <c r="W195" i="7"/>
  <c r="W46" i="7"/>
  <c r="W214" i="7"/>
  <c r="W186" i="7"/>
  <c r="W166" i="7"/>
  <c r="W149" i="7"/>
  <c r="W81" i="7"/>
  <c r="W59" i="7"/>
  <c r="W44" i="7"/>
  <c r="W108" i="7"/>
  <c r="W172" i="7"/>
  <c r="W236" i="7"/>
  <c r="W61" i="7"/>
  <c r="W42" i="7"/>
  <c r="W151" i="7"/>
  <c r="W237" i="7"/>
  <c r="W115" i="7"/>
  <c r="W201" i="7"/>
  <c r="W54" i="7"/>
  <c r="W225" i="7"/>
  <c r="W197" i="7"/>
  <c r="W177" i="7"/>
  <c r="W159" i="7"/>
  <c r="W48" i="7"/>
  <c r="W112" i="7"/>
  <c r="W176" i="7"/>
  <c r="W256" i="7"/>
  <c r="W82" i="7"/>
  <c r="W91" i="7"/>
  <c r="W30" i="7"/>
  <c r="W127" i="7"/>
  <c r="W235" i="7"/>
  <c r="W213" i="7"/>
  <c r="W250" i="7"/>
  <c r="Y67" i="7"/>
  <c r="Y133" i="7"/>
  <c r="Y197" i="7"/>
  <c r="Y23" i="7"/>
  <c r="Y89" i="7"/>
  <c r="Y25" i="7"/>
  <c r="Y147" i="7"/>
  <c r="Y232" i="7"/>
  <c r="Y111" i="7"/>
  <c r="Y202" i="7"/>
  <c r="Y70" i="7"/>
  <c r="Y176" i="7"/>
  <c r="Y24" i="7"/>
  <c r="Y151" i="7"/>
  <c r="Y26" i="7"/>
  <c r="W148" i="7"/>
  <c r="W119" i="7"/>
  <c r="W254" i="7"/>
  <c r="W198" i="7"/>
  <c r="W142" i="7"/>
  <c r="W168" i="7"/>
  <c r="W89" i="7"/>
  <c r="W189" i="7"/>
  <c r="W153" i="7"/>
  <c r="W129" i="7"/>
  <c r="W63" i="7"/>
  <c r="W208" i="7"/>
  <c r="W249" i="7"/>
  <c r="W140" i="7"/>
  <c r="W29" i="7"/>
  <c r="W106" i="7"/>
  <c r="W51" i="7"/>
  <c r="W243" i="7"/>
  <c r="W110" i="7"/>
  <c r="W39" i="7"/>
  <c r="W80" i="7"/>
  <c r="W224" i="7"/>
  <c r="W199" i="7"/>
  <c r="W165" i="7"/>
  <c r="W187" i="7"/>
  <c r="W150" i="7"/>
  <c r="Y100" i="7"/>
  <c r="Y229" i="7"/>
  <c r="Y122" i="7"/>
  <c r="Y190" i="7"/>
  <c r="Y159" i="7"/>
  <c r="Y134" i="7"/>
  <c r="Y98" i="7"/>
  <c r="Y108" i="7"/>
  <c r="Y31" i="7"/>
  <c r="Y236" i="7"/>
  <c r="Y222" i="7"/>
  <c r="Y191" i="7"/>
  <c r="Y144" i="7"/>
  <c r="Y38" i="7"/>
  <c r="Y104" i="7"/>
  <c r="Y169" i="7"/>
  <c r="Y233" i="7"/>
  <c r="Y60" i="7"/>
  <c r="Y126" i="7"/>
  <c r="Y99" i="7"/>
  <c r="Y195" i="7"/>
  <c r="Y53" i="7"/>
  <c r="Y164" i="7"/>
  <c r="Y250" i="7"/>
  <c r="Y139" i="7"/>
  <c r="Y224" i="7"/>
  <c r="Y106" i="7"/>
  <c r="Y210" i="7"/>
  <c r="Y92" i="7"/>
  <c r="Y221" i="7"/>
  <c r="Y65" i="7"/>
  <c r="Y200" i="7"/>
  <c r="Y170" i="7"/>
  <c r="Y166" i="7"/>
  <c r="Y96" i="7"/>
  <c r="Y118" i="7"/>
  <c r="Y154" i="7"/>
  <c r="Y49" i="7"/>
  <c r="Y142" i="7"/>
  <c r="Y194" i="7"/>
  <c r="Y163" i="7"/>
  <c r="Y162" i="7"/>
  <c r="Y241" i="7"/>
  <c r="Y206" i="7"/>
  <c r="Y150" i="7"/>
  <c r="Y188" i="7"/>
  <c r="Y193" i="7"/>
  <c r="Y227" i="7"/>
  <c r="Y146" i="7"/>
  <c r="Y50" i="7"/>
  <c r="Y115" i="7"/>
  <c r="Y76" i="7"/>
  <c r="W244" i="7"/>
  <c r="W247" i="7"/>
  <c r="W246" i="7"/>
  <c r="W181" i="7"/>
  <c r="W56" i="7"/>
  <c r="W232" i="7"/>
  <c r="W66" i="7"/>
  <c r="W253" i="7"/>
  <c r="W217" i="7"/>
  <c r="W257" i="7"/>
  <c r="W209" i="7"/>
  <c r="W50" i="7"/>
  <c r="W60" i="7"/>
  <c r="W188" i="7"/>
  <c r="W77" i="7"/>
  <c r="W173" i="7"/>
  <c r="W137" i="7"/>
  <c r="W87" i="7"/>
  <c r="W239" i="7"/>
  <c r="W202" i="7"/>
  <c r="W128" i="7"/>
  <c r="W49" i="7"/>
  <c r="W121" i="7"/>
  <c r="W95" i="7"/>
  <c r="W122" i="7"/>
  <c r="Y21" i="7"/>
  <c r="Y149" i="7"/>
  <c r="Y39" i="7"/>
  <c r="Y58" i="7"/>
  <c r="Y254" i="7"/>
  <c r="Y223" i="7"/>
  <c r="Y198" i="7"/>
  <c r="Y178" i="7"/>
  <c r="Y173" i="7"/>
  <c r="Y64" i="7"/>
  <c r="Y74" i="7"/>
  <c r="Y61" i="7"/>
  <c r="Y234" i="7"/>
  <c r="Y187" i="7"/>
  <c r="Y55" i="7"/>
  <c r="Y121" i="7"/>
  <c r="Y185" i="7"/>
  <c r="Y249" i="7"/>
  <c r="Y77" i="7"/>
  <c r="Y226" i="7"/>
  <c r="Y131" i="7"/>
  <c r="Y216" i="7"/>
  <c r="Y86" i="7"/>
  <c r="Y186" i="7"/>
  <c r="Y46" i="7"/>
  <c r="Y160" i="7"/>
  <c r="Y246" i="7"/>
  <c r="Y135" i="7"/>
  <c r="Y242" i="7"/>
  <c r="Y125" i="7"/>
  <c r="Y253" i="7"/>
  <c r="Y42" i="7"/>
  <c r="Y243" i="7"/>
  <c r="Y212" i="7"/>
  <c r="Y208" i="7"/>
  <c r="Y161" i="7"/>
  <c r="Y83" i="7"/>
  <c r="Y239" i="7"/>
  <c r="Y123" i="7"/>
  <c r="Y102" i="7"/>
  <c r="Y80" i="7"/>
  <c r="Y132" i="7"/>
  <c r="Y47" i="7"/>
  <c r="Y68" i="7"/>
  <c r="Y69" i="7"/>
  <c r="Y235" i="7"/>
  <c r="Y247" i="7"/>
  <c r="Y257" i="7"/>
  <c r="Y196" i="7"/>
  <c r="Y20" i="7"/>
  <c r="Y248" i="7"/>
  <c r="Y215" i="7"/>
  <c r="C109" i="1"/>
  <c r="I6" i="4"/>
  <c r="Z61" i="11"/>
  <c r="Z3" i="4"/>
  <c r="Z149" i="11"/>
  <c r="Z114" i="11"/>
  <c r="Z205" i="11"/>
  <c r="Z162" i="11"/>
  <c r="Z252" i="11"/>
  <c r="Z128" i="11"/>
  <c r="Z95" i="11"/>
  <c r="Z50" i="11"/>
  <c r="Z226" i="11"/>
  <c r="Z82" i="11"/>
  <c r="Z236" i="11"/>
  <c r="Z143" i="11"/>
  <c r="Z55" i="11"/>
  <c r="Z277" i="11"/>
  <c r="Z213" i="11"/>
  <c r="Z171" i="11"/>
  <c r="Z66" i="11"/>
  <c r="Z44" i="11"/>
  <c r="Z243" i="11"/>
  <c r="Z98" i="11"/>
  <c r="Z279" i="11"/>
  <c r="Z194" i="11"/>
  <c r="Z97" i="11"/>
  <c r="Z120" i="11"/>
  <c r="Z280" i="11"/>
  <c r="Z195" i="11"/>
  <c r="Z152" i="11"/>
  <c r="Z67" i="11"/>
  <c r="Z232" i="11"/>
  <c r="Z189" i="11"/>
  <c r="Z104" i="11"/>
  <c r="Z51" i="11"/>
  <c r="Z199" i="11"/>
  <c r="Z113" i="11"/>
  <c r="Z272" i="11"/>
  <c r="Z251" i="11"/>
  <c r="Z229" i="11"/>
  <c r="Z208" i="11"/>
  <c r="Z187" i="11"/>
  <c r="Z144" i="11"/>
  <c r="Z123" i="11"/>
  <c r="Z101" i="11"/>
  <c r="Z75" i="11"/>
  <c r="Z223" i="11"/>
  <c r="Z159" i="11"/>
  <c r="Z132" i="11"/>
  <c r="Z89" i="11"/>
  <c r="Z270" i="11"/>
  <c r="Z238" i="11"/>
  <c r="Z206" i="11"/>
  <c r="Z174" i="11"/>
  <c r="Z142" i="11"/>
  <c r="Z94" i="11"/>
  <c r="Z78" i="11"/>
  <c r="Z62" i="11"/>
  <c r="AS26" i="8"/>
  <c r="AK27" i="8"/>
  <c r="AQ26" i="8"/>
  <c r="AV26" i="8"/>
  <c r="AI26" i="8"/>
  <c r="AJ26" i="8"/>
  <c r="AO26" i="8"/>
  <c r="AN26" i="8"/>
  <c r="W6" i="1"/>
  <c r="Z87" i="11"/>
  <c r="Z147" i="11"/>
  <c r="Z241" i="11"/>
  <c r="Z71" i="11"/>
  <c r="Z165" i="11"/>
  <c r="Z180" i="11"/>
  <c r="Z111" i="11"/>
  <c r="Z222" i="11"/>
  <c r="N101" i="2"/>
  <c r="Z268" i="11"/>
  <c r="Z129" i="11"/>
  <c r="Z244" i="11"/>
  <c r="Z254" i="11"/>
  <c r="Z190" i="11"/>
  <c r="Z158" i="11"/>
  <c r="Z110" i="11"/>
  <c r="Z46" i="11"/>
  <c r="Z237" i="11"/>
  <c r="Z109" i="11"/>
  <c r="Z225" i="11"/>
  <c r="Z183" i="11"/>
  <c r="Z275" i="11"/>
  <c r="Z156" i="11"/>
  <c r="Z48" i="11"/>
  <c r="Z265" i="11"/>
  <c r="Z201" i="11"/>
  <c r="Z68" i="11"/>
  <c r="Z47" i="11"/>
  <c r="Z126" i="11"/>
  <c r="L283" i="11"/>
  <c r="J43" i="11"/>
  <c r="M43" i="11"/>
  <c r="I43" i="11"/>
  <c r="D43" i="11"/>
  <c r="G43" i="11"/>
  <c r="H43" i="11"/>
  <c r="K43" i="11"/>
  <c r="C43" i="11"/>
  <c r="B43" i="11"/>
  <c r="B63" i="2"/>
  <c r="K111" i="1"/>
  <c r="C367" i="1"/>
  <c r="K95" i="2"/>
  <c r="W41" i="7"/>
  <c r="W216" i="7"/>
  <c r="W152" i="7"/>
  <c r="W88" i="7"/>
  <c r="W24" i="7"/>
  <c r="W178" i="7"/>
  <c r="W223" i="7"/>
  <c r="W241" i="7"/>
  <c r="W31" i="7"/>
  <c r="W78" i="7"/>
  <c r="W118" i="7"/>
  <c r="W233" i="7"/>
  <c r="W147" i="7"/>
  <c r="W35" i="7"/>
  <c r="W183" i="7"/>
  <c r="W90" i="7"/>
  <c r="W85" i="7"/>
  <c r="W21" i="7"/>
  <c r="W196" i="7"/>
  <c r="W132" i="7"/>
  <c r="W68" i="7"/>
  <c r="W175" i="7"/>
  <c r="W203" i="7"/>
  <c r="W38" i="7"/>
  <c r="W190" i="7"/>
  <c r="W99" i="7"/>
  <c r="W226" i="7"/>
  <c r="W141" i="7"/>
  <c r="W26" i="7"/>
  <c r="W53" i="7"/>
  <c r="W228" i="7"/>
  <c r="W164" i="7"/>
  <c r="W100" i="7"/>
  <c r="K96" i="2"/>
  <c r="N96" i="2"/>
  <c r="E96" i="2"/>
  <c r="AG35" i="8"/>
  <c r="AG36" i="8"/>
  <c r="AG37" i="8"/>
  <c r="AG38" i="8"/>
  <c r="AG39" i="8"/>
  <c r="AG40" i="8"/>
  <c r="AG41" i="8"/>
  <c r="AG42" i="8"/>
  <c r="AG43" i="8"/>
  <c r="AG44" i="8"/>
  <c r="AG45" i="8"/>
  <c r="AG46" i="8"/>
  <c r="AG47" i="8"/>
  <c r="AG48" i="8"/>
  <c r="BF34" i="8"/>
  <c r="BF28" i="8"/>
  <c r="A46" i="11"/>
  <c r="A47" i="11"/>
  <c r="X45" i="11"/>
  <c r="BF32" i="8"/>
  <c r="BF26" i="8"/>
  <c r="O2" i="1"/>
  <c r="BF30" i="8"/>
  <c r="BE28" i="8"/>
  <c r="BE29" i="8"/>
  <c r="BF27" i="8"/>
  <c r="W43" i="11"/>
  <c r="W44" i="11"/>
  <c r="AL28" i="8"/>
  <c r="AF185" i="7"/>
  <c r="AE185" i="7"/>
  <c r="AB185" i="7"/>
  <c r="AD49" i="7"/>
  <c r="AD249" i="7"/>
  <c r="AB31" i="7"/>
  <c r="E95" i="2"/>
  <c r="N100" i="2"/>
  <c r="E100" i="2"/>
  <c r="L5" i="8"/>
  <c r="H95" i="2"/>
  <c r="AI2" i="4"/>
  <c r="AI6" i="4"/>
  <c r="AB93" i="7"/>
  <c r="H90" i="2"/>
  <c r="AB60" i="7"/>
  <c r="AB57" i="7"/>
  <c r="AB182" i="7"/>
  <c r="AB125" i="7"/>
  <c r="AB220" i="7"/>
  <c r="AB255" i="7"/>
  <c r="AB77" i="7"/>
  <c r="AB28" i="7"/>
  <c r="K111" i="2"/>
  <c r="AB54" i="7"/>
  <c r="AB142" i="7"/>
  <c r="E101" i="2"/>
  <c r="H100" i="2"/>
  <c r="F5" i="8"/>
  <c r="AB196" i="7"/>
  <c r="AB114" i="7"/>
  <c r="AB118" i="7"/>
  <c r="AB130" i="7"/>
  <c r="AB105" i="7"/>
  <c r="AB92" i="7"/>
  <c r="AB59" i="7"/>
  <c r="AB159" i="7"/>
  <c r="AB96" i="7"/>
  <c r="AB88" i="7"/>
  <c r="AI27" i="8"/>
  <c r="AB58" i="7"/>
  <c r="AB123" i="7"/>
  <c r="AS27" i="8"/>
  <c r="AI28" i="8"/>
  <c r="AB110" i="7"/>
  <c r="C43" i="2"/>
  <c r="C44" i="2"/>
  <c r="C45" i="2"/>
  <c r="AB63" i="7"/>
  <c r="AB155" i="7"/>
  <c r="H88" i="2"/>
  <c r="AB179" i="7"/>
  <c r="AB35" i="7"/>
  <c r="AB148" i="7"/>
  <c r="M356" i="1"/>
  <c r="AB238" i="7"/>
  <c r="AB224" i="7"/>
  <c r="AB251" i="7"/>
  <c r="AB74" i="7"/>
  <c r="AB152" i="7"/>
  <c r="AB45" i="7"/>
  <c r="AB37" i="7"/>
  <c r="AB51" i="7"/>
  <c r="AB69" i="7"/>
  <c r="AB135" i="7"/>
  <c r="AB169" i="7"/>
  <c r="AB138" i="7"/>
  <c r="AB181" i="7"/>
  <c r="AB103" i="7"/>
  <c r="AB250" i="7"/>
  <c r="AB195" i="7"/>
  <c r="AB189" i="7"/>
  <c r="AB75" i="7"/>
  <c r="AB52" i="7"/>
  <c r="AB171" i="7"/>
  <c r="AB20" i="7"/>
  <c r="AB202" i="7"/>
  <c r="AB187" i="7"/>
  <c r="AB176" i="7"/>
  <c r="AB244" i="7"/>
  <c r="AB228" i="7"/>
  <c r="AB67" i="7"/>
  <c r="AB34" i="7"/>
  <c r="AB145" i="7"/>
  <c r="AB147" i="7"/>
  <c r="AB56" i="7"/>
  <c r="AB144" i="7"/>
  <c r="AB102" i="7"/>
  <c r="AB192" i="7"/>
  <c r="AB229" i="7"/>
  <c r="AB154" i="7"/>
  <c r="AB81" i="7"/>
  <c r="AB180" i="7"/>
  <c r="AB79" i="7"/>
  <c r="AB178" i="7"/>
  <c r="AB201" i="7"/>
  <c r="AB84" i="7"/>
  <c r="AB137" i="7"/>
  <c r="AB117" i="7"/>
  <c r="AB246" i="7"/>
  <c r="AB107" i="7"/>
  <c r="AB40" i="7"/>
  <c r="AB24" i="7"/>
  <c r="AB133" i="7"/>
  <c r="AB248" i="7"/>
  <c r="AB205" i="7"/>
  <c r="AB174" i="7"/>
  <c r="AB256" i="7"/>
  <c r="AB136" i="7"/>
  <c r="AB112" i="7"/>
  <c r="AB241" i="7"/>
  <c r="AB36" i="7"/>
  <c r="AB55" i="7"/>
  <c r="AB76" i="7"/>
  <c r="AB80" i="7"/>
  <c r="AB70" i="7"/>
  <c r="AB239" i="7"/>
  <c r="AB165" i="7"/>
  <c r="AB236" i="7"/>
  <c r="AB49" i="7"/>
  <c r="AB212" i="7"/>
  <c r="AB199" i="7"/>
  <c r="AB104" i="7"/>
  <c r="AB197" i="7"/>
  <c r="AB32" i="7"/>
  <c r="AB184" i="7"/>
  <c r="AB43" i="7"/>
  <c r="AB82" i="7"/>
  <c r="AB116" i="7"/>
  <c r="AB124" i="7"/>
  <c r="AB108" i="7"/>
  <c r="AB42" i="7"/>
  <c r="AB157" i="7"/>
  <c r="AB146" i="7"/>
  <c r="AB149" i="7"/>
  <c r="AB141" i="7"/>
  <c r="AB191" i="7"/>
  <c r="AB98" i="7"/>
  <c r="AB231" i="7"/>
  <c r="AB71" i="7"/>
  <c r="AB29" i="7"/>
  <c r="AB218" i="7"/>
  <c r="AB232" i="7"/>
  <c r="AB122" i="7"/>
  <c r="AB143" i="7"/>
  <c r="AB38" i="7"/>
  <c r="AN27" i="8"/>
  <c r="AB25" i="7"/>
  <c r="AB78" i="7"/>
  <c r="AB167" i="7"/>
  <c r="AB99" i="7"/>
  <c r="AB47" i="7"/>
  <c r="AB131" i="7"/>
  <c r="AB113" i="7"/>
  <c r="AB19" i="7"/>
  <c r="AB183" i="7"/>
  <c r="AB119" i="7"/>
  <c r="AB73" i="7"/>
  <c r="AB127" i="7"/>
  <c r="AB62" i="7"/>
  <c r="AB109" i="7"/>
  <c r="AB203" i="7"/>
  <c r="AB90" i="7"/>
  <c r="AB188" i="7"/>
  <c r="AB211" i="7"/>
  <c r="AB66" i="7"/>
  <c r="AB134" i="7"/>
  <c r="AB68" i="7"/>
  <c r="AB215" i="7"/>
  <c r="AB227" i="7"/>
  <c r="AB91" i="7"/>
  <c r="AB61" i="7"/>
  <c r="AB252" i="7"/>
  <c r="AB190" i="7"/>
  <c r="AB194" i="7"/>
  <c r="AB41" i="7"/>
  <c r="AB27" i="7"/>
  <c r="AB87" i="7"/>
  <c r="AB217" i="7"/>
  <c r="AB257" i="7"/>
  <c r="AB235" i="7"/>
  <c r="AB85" i="7"/>
  <c r="AB156" i="7"/>
  <c r="AB237" i="7"/>
  <c r="AB219" i="7"/>
  <c r="AB166" i="7"/>
  <c r="AB23" i="7"/>
  <c r="AB100" i="7"/>
  <c r="AB39" i="7"/>
  <c r="AB86" i="7"/>
  <c r="AB209" i="7"/>
  <c r="AB225" i="7"/>
  <c r="AB253" i="7"/>
  <c r="AB226" i="7"/>
  <c r="AB216" i="7"/>
  <c r="AB94" i="7"/>
  <c r="AB221" i="7"/>
  <c r="AB210" i="7"/>
  <c r="AB254" i="7"/>
  <c r="AB223" i="7"/>
  <c r="AB170" i="7"/>
  <c r="AB115" i="7"/>
  <c r="AB245" i="7"/>
  <c r="AB208" i="7"/>
  <c r="AB158" i="7"/>
  <c r="AB33" i="7"/>
  <c r="AB230" i="7"/>
  <c r="AB175" i="7"/>
  <c r="AB97" i="7"/>
  <c r="AB50" i="7"/>
  <c r="AB200" i="7"/>
  <c r="AB48" i="7"/>
  <c r="AB132" i="7"/>
  <c r="AB53" i="7"/>
  <c r="AB164" i="7"/>
  <c r="AB177" i="7"/>
  <c r="AB198" i="7"/>
  <c r="AB153" i="7"/>
  <c r="AB222" i="7"/>
  <c r="AB95" i="7"/>
  <c r="AB206" i="7"/>
  <c r="AB22" i="7"/>
  <c r="AB233" i="7"/>
  <c r="AB139" i="7"/>
  <c r="AB204" i="7"/>
  <c r="AB163" i="7"/>
  <c r="AB161" i="7"/>
  <c r="AB247" i="7"/>
  <c r="AB214" i="7"/>
  <c r="AB83" i="7"/>
  <c r="AB213" i="7"/>
  <c r="AB89" i="7"/>
  <c r="AB249" i="7"/>
  <c r="AB128" i="7"/>
  <c r="AB150" i="7"/>
  <c r="AB120" i="7"/>
  <c r="AB44" i="7"/>
  <c r="AB101" i="7"/>
  <c r="AB186" i="7"/>
  <c r="AB242" i="7"/>
  <c r="D29" i="2"/>
  <c r="O92" i="2"/>
  <c r="O99" i="2"/>
  <c r="BF38" i="8"/>
  <c r="X4" i="4"/>
  <c r="X3" i="4"/>
  <c r="AO27" i="8"/>
  <c r="AM27" i="8"/>
  <c r="AJ27" i="8"/>
  <c r="AQ27" i="8"/>
  <c r="AV27" i="8"/>
  <c r="BF42" i="8"/>
  <c r="BF46" i="8"/>
  <c r="AS28" i="8"/>
  <c r="BF40" i="8"/>
  <c r="B60" i="2"/>
  <c r="B44" i="11"/>
  <c r="F44" i="11"/>
  <c r="K44" i="11"/>
  <c r="M44" i="11"/>
  <c r="H44" i="11"/>
  <c r="D44" i="11"/>
  <c r="C44" i="11"/>
  <c r="J44" i="11"/>
  <c r="E44" i="11"/>
  <c r="I44" i="11"/>
  <c r="G44" i="11"/>
  <c r="BF44" i="8"/>
  <c r="N90" i="2"/>
  <c r="BF36" i="8"/>
  <c r="A48" i="11"/>
  <c r="A49" i="11"/>
  <c r="X47" i="11"/>
  <c r="AG49" i="8"/>
  <c r="AG50" i="8"/>
  <c r="BF48" i="8"/>
  <c r="C14" i="7"/>
  <c r="C111" i="1"/>
  <c r="X44" i="11"/>
  <c r="W45" i="11"/>
  <c r="W46" i="11"/>
  <c r="BE30" i="8"/>
  <c r="BE31" i="8"/>
  <c r="BF29" i="8"/>
  <c r="K90" i="2"/>
  <c r="AK28" i="8"/>
  <c r="AQ28" i="8"/>
  <c r="AV28" i="8"/>
  <c r="AJ28" i="8"/>
  <c r="AL29" i="8"/>
  <c r="AN28" i="8"/>
  <c r="AM28" i="8"/>
  <c r="AO28" i="8"/>
  <c r="N111" i="2"/>
  <c r="D28" i="2"/>
  <c r="K88" i="2"/>
  <c r="H111" i="2"/>
  <c r="I92" i="2"/>
  <c r="N88" i="2"/>
  <c r="E88" i="2"/>
  <c r="F85" i="2"/>
  <c r="L92" i="2"/>
  <c r="F92" i="2"/>
  <c r="I85" i="2"/>
  <c r="O91" i="2"/>
  <c r="O90" i="2"/>
  <c r="AO29" i="8"/>
  <c r="AL30" i="8"/>
  <c r="AJ29" i="8"/>
  <c r="AM29" i="8"/>
  <c r="AI29" i="8"/>
  <c r="AN29" i="8"/>
  <c r="AK29" i="8"/>
  <c r="AQ29" i="8"/>
  <c r="AV29" i="8"/>
  <c r="AS29" i="8"/>
  <c r="C66" i="2"/>
  <c r="D45" i="11"/>
  <c r="C45" i="11"/>
  <c r="F45" i="11"/>
  <c r="E45" i="11"/>
  <c r="I45" i="11"/>
  <c r="J45" i="11"/>
  <c r="B45" i="11"/>
  <c r="M45" i="11"/>
  <c r="H45" i="11"/>
  <c r="K45" i="11"/>
  <c r="G45" i="11"/>
  <c r="AG51" i="8"/>
  <c r="AG52" i="8"/>
  <c r="BF50" i="8"/>
  <c r="A50" i="11"/>
  <c r="A51" i="11"/>
  <c r="X49" i="11"/>
  <c r="W47" i="11"/>
  <c r="W48" i="11"/>
  <c r="X46" i="11"/>
  <c r="BF31" i="8"/>
  <c r="BE32" i="8"/>
  <c r="BE33" i="8"/>
  <c r="L87" i="2"/>
  <c r="L93" i="2"/>
  <c r="F87" i="2"/>
  <c r="F93" i="2"/>
  <c r="I15" i="1"/>
  <c r="N42" i="1"/>
  <c r="F43" i="1"/>
  <c r="E42" i="1"/>
  <c r="I43" i="1"/>
  <c r="L43" i="1"/>
  <c r="K42" i="1"/>
  <c r="H42" i="1"/>
  <c r="O43" i="1"/>
  <c r="I99" i="2"/>
  <c r="I91" i="2"/>
  <c r="I90" i="2"/>
  <c r="F91" i="2"/>
  <c r="F99" i="2"/>
  <c r="L272" i="8"/>
  <c r="L99" i="2"/>
  <c r="L91" i="2"/>
  <c r="L90" i="2"/>
  <c r="F86" i="2"/>
  <c r="F102" i="2"/>
  <c r="L86" i="2"/>
  <c r="L102" i="2"/>
  <c r="I86" i="2"/>
  <c r="I102" i="2"/>
  <c r="O86" i="2"/>
  <c r="O102" i="2"/>
  <c r="N91" i="2"/>
  <c r="N92" i="2"/>
  <c r="N93" i="2"/>
  <c r="E99" i="2"/>
  <c r="D51" i="1"/>
  <c r="F15" i="8"/>
  <c r="L10" i="8"/>
  <c r="C67" i="1"/>
  <c r="K91" i="2"/>
  <c r="K92" i="2"/>
  <c r="K99" i="2"/>
  <c r="H91" i="2"/>
  <c r="H92" i="2"/>
  <c r="H93" i="2"/>
  <c r="AM30" i="8"/>
  <c r="AJ30" i="8"/>
  <c r="AL31" i="8"/>
  <c r="AK30" i="8"/>
  <c r="AQ30" i="8"/>
  <c r="AV30" i="8"/>
  <c r="AS30" i="8"/>
  <c r="AN30" i="8"/>
  <c r="AI30" i="8"/>
  <c r="AO30" i="8"/>
  <c r="C74" i="2"/>
  <c r="C76" i="2"/>
  <c r="C77" i="2"/>
  <c r="C75" i="2"/>
  <c r="C73" i="2"/>
  <c r="B46" i="11"/>
  <c r="I46" i="11"/>
  <c r="F46" i="11"/>
  <c r="E46" i="11"/>
  <c r="G46" i="11"/>
  <c r="D46" i="11"/>
  <c r="M46" i="11"/>
  <c r="J46" i="11"/>
  <c r="H46" i="11"/>
  <c r="K46" i="11"/>
  <c r="C46" i="11"/>
  <c r="O87" i="2"/>
  <c r="O93" i="2"/>
  <c r="I87" i="2"/>
  <c r="I93" i="2"/>
  <c r="A52" i="11"/>
  <c r="A53" i="11"/>
  <c r="X51" i="11"/>
  <c r="AG53" i="8"/>
  <c r="AG54" i="8"/>
  <c r="BF52" i="8"/>
  <c r="BE34" i="8"/>
  <c r="BE35" i="8"/>
  <c r="BF33" i="8"/>
  <c r="W49" i="11"/>
  <c r="W50" i="11"/>
  <c r="X48" i="11"/>
  <c r="H56" i="1"/>
  <c r="E94" i="2"/>
  <c r="N94" i="2"/>
  <c r="K94" i="2"/>
  <c r="K60" i="1"/>
  <c r="H94" i="2"/>
  <c r="H60" i="1"/>
  <c r="K56" i="1"/>
  <c r="K52" i="1"/>
  <c r="H52" i="1"/>
  <c r="E60" i="1"/>
  <c r="N56" i="1"/>
  <c r="H59" i="1"/>
  <c r="L7" i="8"/>
  <c r="L12" i="8"/>
  <c r="E110" i="2"/>
  <c r="E75" i="1"/>
  <c r="C75" i="1"/>
  <c r="N70" i="1"/>
  <c r="N54" i="1"/>
  <c r="N71" i="1"/>
  <c r="N50" i="1"/>
  <c r="N55" i="1"/>
  <c r="N53" i="1"/>
  <c r="N44" i="1"/>
  <c r="N69" i="1"/>
  <c r="N45" i="1"/>
  <c r="N61" i="1"/>
  <c r="N63" i="1"/>
  <c r="N49" i="1"/>
  <c r="N72" i="1"/>
  <c r="N65" i="1"/>
  <c r="N62" i="1"/>
  <c r="N67" i="1"/>
  <c r="N51" i="1"/>
  <c r="N59" i="1"/>
  <c r="E53" i="1"/>
  <c r="E50" i="1"/>
  <c r="E55" i="1"/>
  <c r="E61" i="1"/>
  <c r="E45" i="1"/>
  <c r="E54" i="1"/>
  <c r="E44" i="1"/>
  <c r="E65" i="1"/>
  <c r="E72" i="1"/>
  <c r="E71" i="1"/>
  <c r="E70" i="1"/>
  <c r="E69" i="1"/>
  <c r="E63" i="1"/>
  <c r="E62" i="1"/>
  <c r="E49" i="1"/>
  <c r="E51" i="1"/>
  <c r="E52" i="1"/>
  <c r="E67" i="1"/>
  <c r="E68" i="1"/>
  <c r="K68" i="1"/>
  <c r="K110" i="2"/>
  <c r="K75" i="1"/>
  <c r="H50" i="1"/>
  <c r="H55" i="1"/>
  <c r="H72" i="1"/>
  <c r="H69" i="1"/>
  <c r="H65" i="1"/>
  <c r="H44" i="1"/>
  <c r="H71" i="1"/>
  <c r="H53" i="1"/>
  <c r="H70" i="1"/>
  <c r="H45" i="1"/>
  <c r="H62" i="1"/>
  <c r="H49" i="1"/>
  <c r="H61" i="1"/>
  <c r="H54" i="1"/>
  <c r="H63" i="1"/>
  <c r="H46" i="1"/>
  <c r="H51" i="1"/>
  <c r="H67" i="1"/>
  <c r="F68" i="1"/>
  <c r="F64" i="1"/>
  <c r="F73" i="1"/>
  <c r="F52" i="1"/>
  <c r="F44" i="1"/>
  <c r="F49" i="1"/>
  <c r="F47" i="1"/>
  <c r="F63" i="1"/>
  <c r="F60" i="1"/>
  <c r="F51" i="1"/>
  <c r="F59" i="1"/>
  <c r="F67" i="1"/>
  <c r="I52" i="1"/>
  <c r="I59" i="1"/>
  <c r="I73" i="1"/>
  <c r="I60" i="1"/>
  <c r="I44" i="1"/>
  <c r="I49" i="1"/>
  <c r="I68" i="1"/>
  <c r="I63" i="1"/>
  <c r="I51" i="1"/>
  <c r="I47" i="1"/>
  <c r="I67" i="1"/>
  <c r="I64" i="1"/>
  <c r="N52" i="1"/>
  <c r="E93" i="2"/>
  <c r="E59" i="1"/>
  <c r="N46" i="1"/>
  <c r="N60" i="1"/>
  <c r="E46" i="1"/>
  <c r="O47" i="1"/>
  <c r="O51" i="1"/>
  <c r="O63" i="1"/>
  <c r="O44" i="1"/>
  <c r="O60" i="1"/>
  <c r="O52" i="1"/>
  <c r="O73" i="1"/>
  <c r="O49" i="1"/>
  <c r="O64" i="1"/>
  <c r="O59" i="1"/>
  <c r="O68" i="1"/>
  <c r="O67" i="1"/>
  <c r="L60" i="1"/>
  <c r="L52" i="1"/>
  <c r="L47" i="1"/>
  <c r="L68" i="1"/>
  <c r="L44" i="1"/>
  <c r="L63" i="1"/>
  <c r="L49" i="1"/>
  <c r="L59" i="1"/>
  <c r="L73" i="1"/>
  <c r="L67" i="1"/>
  <c r="L64" i="1"/>
  <c r="L51" i="1"/>
  <c r="K45" i="1"/>
  <c r="K63" i="1"/>
  <c r="K44" i="1"/>
  <c r="K71" i="1"/>
  <c r="K50" i="1"/>
  <c r="K69" i="1"/>
  <c r="K55" i="1"/>
  <c r="K65" i="1"/>
  <c r="K61" i="1"/>
  <c r="K53" i="1"/>
  <c r="K54" i="1"/>
  <c r="K72" i="1"/>
  <c r="K70" i="1"/>
  <c r="K62" i="1"/>
  <c r="K49" i="1"/>
  <c r="K46" i="1"/>
  <c r="K51" i="1"/>
  <c r="K67" i="1"/>
  <c r="F14" i="8"/>
  <c r="H99" i="2"/>
  <c r="N99" i="2"/>
  <c r="L275" i="8"/>
  <c r="L277" i="8"/>
  <c r="F90" i="2"/>
  <c r="K93" i="2"/>
  <c r="K59" i="1"/>
  <c r="AO31" i="8"/>
  <c r="AM31" i="8"/>
  <c r="AL32" i="8"/>
  <c r="AK31" i="8"/>
  <c r="AI31" i="8"/>
  <c r="AN31" i="8"/>
  <c r="AS31" i="8"/>
  <c r="AQ31" i="8"/>
  <c r="AV31" i="8"/>
  <c r="AJ31" i="8"/>
  <c r="B47" i="11"/>
  <c r="H47" i="11"/>
  <c r="K47" i="11"/>
  <c r="F47" i="11"/>
  <c r="J47" i="11"/>
  <c r="C47" i="11"/>
  <c r="E47" i="11"/>
  <c r="I47" i="11"/>
  <c r="D47" i="11"/>
  <c r="M47" i="11"/>
  <c r="G47" i="11"/>
  <c r="E56" i="1"/>
  <c r="X23" i="8"/>
  <c r="AG55" i="8"/>
  <c r="AG56" i="8"/>
  <c r="BF54" i="8"/>
  <c r="A54" i="11"/>
  <c r="A55" i="11"/>
  <c r="X53" i="11"/>
  <c r="W51" i="11"/>
  <c r="W52" i="11"/>
  <c r="X50" i="11"/>
  <c r="BF35" i="8"/>
  <c r="BE36" i="8"/>
  <c r="BE37" i="8"/>
  <c r="E64" i="1"/>
  <c r="K73" i="1"/>
  <c r="K64" i="1"/>
  <c r="N64" i="1"/>
  <c r="E73" i="1"/>
  <c r="H64" i="1"/>
  <c r="N68" i="1"/>
  <c r="N73" i="1"/>
  <c r="N110" i="2"/>
  <c r="N75" i="1"/>
  <c r="H68" i="1"/>
  <c r="H73" i="1"/>
  <c r="H110" i="2"/>
  <c r="H75" i="1"/>
  <c r="AN32" i="8"/>
  <c r="AL33" i="8"/>
  <c r="AK32" i="8"/>
  <c r="AQ32" i="8"/>
  <c r="AV32" i="8"/>
  <c r="AS32" i="8"/>
  <c r="AI32" i="8"/>
  <c r="AO32" i="8"/>
  <c r="AJ32" i="8"/>
  <c r="AM32" i="8"/>
  <c r="H48" i="11"/>
  <c r="D48" i="11"/>
  <c r="J48" i="11"/>
  <c r="C48" i="11"/>
  <c r="G48" i="11"/>
  <c r="I48" i="11"/>
  <c r="K48" i="11"/>
  <c r="M48" i="11"/>
  <c r="E48" i="11"/>
  <c r="F48" i="11"/>
  <c r="B48" i="11"/>
  <c r="A56" i="11"/>
  <c r="A57" i="11"/>
  <c r="X55" i="11"/>
  <c r="AG57" i="8"/>
  <c r="AG58" i="8"/>
  <c r="BF56" i="8"/>
  <c r="X52" i="11"/>
  <c r="W53" i="11"/>
  <c r="W54" i="11"/>
  <c r="BF37" i="8"/>
  <c r="BE38" i="8"/>
  <c r="BE39" i="8"/>
  <c r="K17" i="7"/>
  <c r="F18" i="7"/>
  <c r="AN33" i="8"/>
  <c r="AS33" i="8"/>
  <c r="AQ33" i="8"/>
  <c r="AV33" i="8"/>
  <c r="AJ33" i="8"/>
  <c r="AI33" i="8"/>
  <c r="AL34" i="8"/>
  <c r="AK33" i="8"/>
  <c r="AM33" i="8"/>
  <c r="AO33" i="8"/>
  <c r="D49" i="11"/>
  <c r="C49" i="11"/>
  <c r="J49" i="11"/>
  <c r="F49" i="11"/>
  <c r="B49" i="11"/>
  <c r="E49" i="11"/>
  <c r="I49" i="11"/>
  <c r="K49" i="11"/>
  <c r="M49" i="11"/>
  <c r="H49" i="11"/>
  <c r="G49" i="11"/>
  <c r="AG59" i="8"/>
  <c r="AG60" i="8"/>
  <c r="BF58" i="8"/>
  <c r="A58" i="11"/>
  <c r="A59" i="11"/>
  <c r="X57" i="11"/>
  <c r="BE40" i="8"/>
  <c r="BE41" i="8"/>
  <c r="BF39" i="8"/>
  <c r="W55" i="11"/>
  <c r="W56" i="11"/>
  <c r="X54" i="11"/>
  <c r="G18" i="7"/>
  <c r="C18" i="7"/>
  <c r="K18" i="7"/>
  <c r="D19" i="7"/>
  <c r="L282" i="8"/>
  <c r="E18" i="7"/>
  <c r="D18" i="7"/>
  <c r="I18" i="7"/>
  <c r="C115" i="1"/>
  <c r="H18" i="7"/>
  <c r="B18" i="7"/>
  <c r="B19" i="7"/>
  <c r="AM34" i="8"/>
  <c r="AQ34" i="8"/>
  <c r="AV34" i="8"/>
  <c r="AS34" i="8"/>
  <c r="AN34" i="8"/>
  <c r="AO34" i="8"/>
  <c r="AI34" i="8"/>
  <c r="AJ34" i="8"/>
  <c r="AK34" i="8"/>
  <c r="AL35" i="8"/>
  <c r="I50" i="11"/>
  <c r="E50" i="11"/>
  <c r="J50" i="11"/>
  <c r="D50" i="11"/>
  <c r="B50" i="11"/>
  <c r="F50" i="11"/>
  <c r="K50" i="11"/>
  <c r="C50" i="11"/>
  <c r="M50" i="11"/>
  <c r="G50" i="11"/>
  <c r="H50" i="11"/>
  <c r="A60" i="11"/>
  <c r="A61" i="11"/>
  <c r="X59" i="11"/>
  <c r="AG61" i="8"/>
  <c r="AG62" i="8"/>
  <c r="BF60" i="8"/>
  <c r="W57" i="11"/>
  <c r="W58" i="11"/>
  <c r="X56" i="11"/>
  <c r="BE42" i="8"/>
  <c r="BE43" i="8"/>
  <c r="BF41" i="8"/>
  <c r="K19" i="7"/>
  <c r="F20" i="7"/>
  <c r="J18" i="7"/>
  <c r="F19" i="7"/>
  <c r="I19" i="7"/>
  <c r="D283" i="8"/>
  <c r="G283" i="8"/>
  <c r="F283" i="8"/>
  <c r="H20" i="7"/>
  <c r="O282" i="8"/>
  <c r="C19" i="7"/>
  <c r="H19" i="7"/>
  <c r="E19" i="7"/>
  <c r="G19" i="7"/>
  <c r="J283" i="8"/>
  <c r="O283" i="8"/>
  <c r="C283" i="8"/>
  <c r="E283" i="8"/>
  <c r="L283" i="8"/>
  <c r="E284" i="8"/>
  <c r="L284" i="8"/>
  <c r="O24" i="8"/>
  <c r="C25" i="8"/>
  <c r="K20" i="7"/>
  <c r="H21" i="7"/>
  <c r="I20" i="7"/>
  <c r="D20" i="7"/>
  <c r="E20" i="7"/>
  <c r="AN35" i="8"/>
  <c r="AQ35" i="8"/>
  <c r="AV35" i="8"/>
  <c r="AI35" i="8"/>
  <c r="AS35" i="8"/>
  <c r="AK35" i="8"/>
  <c r="AJ35" i="8"/>
  <c r="AO35" i="8"/>
  <c r="AL36" i="8"/>
  <c r="AM35" i="8"/>
  <c r="C51" i="11"/>
  <c r="D51" i="11"/>
  <c r="G51" i="11"/>
  <c r="M51" i="11"/>
  <c r="J51" i="11"/>
  <c r="H51" i="11"/>
  <c r="K51" i="11"/>
  <c r="B51" i="11"/>
  <c r="F51" i="11"/>
  <c r="I51" i="11"/>
  <c r="E51" i="11"/>
  <c r="F21" i="7"/>
  <c r="AG63" i="8"/>
  <c r="AG64" i="8"/>
  <c r="BF62" i="8"/>
  <c r="A62" i="11"/>
  <c r="A63" i="11"/>
  <c r="X61" i="11"/>
  <c r="BE44" i="8"/>
  <c r="BE45" i="8"/>
  <c r="BF43" i="8"/>
  <c r="X58" i="11"/>
  <c r="W59" i="11"/>
  <c r="W60" i="11"/>
  <c r="C21" i="7"/>
  <c r="D21" i="7"/>
  <c r="C116" i="1"/>
  <c r="B21" i="7"/>
  <c r="G21" i="7"/>
  <c r="B20" i="7"/>
  <c r="C20" i="7"/>
  <c r="G20" i="7"/>
  <c r="J20" i="7"/>
  <c r="F285" i="8"/>
  <c r="E285" i="8"/>
  <c r="L285" i="8"/>
  <c r="G286" i="8"/>
  <c r="G285" i="8"/>
  <c r="I21" i="7"/>
  <c r="K21" i="7"/>
  <c r="B22" i="7"/>
  <c r="F284" i="8"/>
  <c r="G284" i="8"/>
  <c r="C284" i="8"/>
  <c r="D284" i="8"/>
  <c r="J284" i="8"/>
  <c r="O284" i="8"/>
  <c r="J19" i="7"/>
  <c r="J285" i="8"/>
  <c r="O285" i="8"/>
  <c r="C285" i="8"/>
  <c r="E21" i="7"/>
  <c r="D285" i="8"/>
  <c r="O25" i="8"/>
  <c r="AS36" i="8"/>
  <c r="AI36" i="8"/>
  <c r="AM36" i="8"/>
  <c r="AK36" i="8"/>
  <c r="AQ36" i="8"/>
  <c r="AV36" i="8"/>
  <c r="AJ36" i="8"/>
  <c r="AN36" i="8"/>
  <c r="AO36" i="8"/>
  <c r="C52" i="11"/>
  <c r="F52" i="11"/>
  <c r="B52" i="11"/>
  <c r="H52" i="11"/>
  <c r="M52" i="11"/>
  <c r="I52" i="11"/>
  <c r="D52" i="11"/>
  <c r="G52" i="11"/>
  <c r="E52" i="11"/>
  <c r="J52" i="11"/>
  <c r="K52" i="11"/>
  <c r="J286" i="8"/>
  <c r="O286" i="8"/>
  <c r="X264" i="8"/>
  <c r="A64" i="11"/>
  <c r="A65" i="11"/>
  <c r="X63" i="11"/>
  <c r="AG65" i="8"/>
  <c r="AG66" i="8"/>
  <c r="BF64" i="8"/>
  <c r="BF45" i="8"/>
  <c r="BE46" i="8"/>
  <c r="BE47" i="8"/>
  <c r="X60" i="11"/>
  <c r="W61" i="11"/>
  <c r="W62" i="11"/>
  <c r="F286" i="8"/>
  <c r="E286" i="8"/>
  <c r="L286" i="8"/>
  <c r="E287" i="8"/>
  <c r="L287" i="8"/>
  <c r="J21" i="7"/>
  <c r="F22" i="7"/>
  <c r="E22" i="7"/>
  <c r="G22" i="7"/>
  <c r="D22" i="7"/>
  <c r="H22" i="7"/>
  <c r="C22" i="7"/>
  <c r="I22" i="7"/>
  <c r="K22" i="7"/>
  <c r="B23" i="7"/>
  <c r="D286" i="8"/>
  <c r="C286" i="8"/>
  <c r="C26" i="8"/>
  <c r="AO37" i="8"/>
  <c r="AS37" i="8"/>
  <c r="AQ37" i="8"/>
  <c r="AV37" i="8"/>
  <c r="AI37" i="8"/>
  <c r="AJ37" i="8"/>
  <c r="AN37" i="8"/>
  <c r="AL37" i="8"/>
  <c r="AK37" i="8"/>
  <c r="AM37" i="8"/>
  <c r="E53" i="11"/>
  <c r="J53" i="11"/>
  <c r="C53" i="11"/>
  <c r="B53" i="11"/>
  <c r="D53" i="11"/>
  <c r="G53" i="11"/>
  <c r="K53" i="11"/>
  <c r="F53" i="11"/>
  <c r="I53" i="11"/>
  <c r="H53" i="11"/>
  <c r="M53" i="11"/>
  <c r="F287" i="8"/>
  <c r="A66" i="11"/>
  <c r="A67" i="11"/>
  <c r="X65" i="11"/>
  <c r="AG67" i="8"/>
  <c r="AG68" i="8"/>
  <c r="BF66" i="8"/>
  <c r="X62" i="11"/>
  <c r="W63" i="11"/>
  <c r="W64" i="11"/>
  <c r="BE48" i="8"/>
  <c r="BE49" i="8"/>
  <c r="BF47" i="8"/>
  <c r="H23" i="7"/>
  <c r="D287" i="8"/>
  <c r="C287" i="8"/>
  <c r="J22" i="7"/>
  <c r="C23" i="7"/>
  <c r="J287" i="8"/>
  <c r="O287" i="8"/>
  <c r="G287" i="8"/>
  <c r="D23" i="7"/>
  <c r="K23" i="7"/>
  <c r="E24" i="7"/>
  <c r="F23" i="7"/>
  <c r="I23" i="7"/>
  <c r="E23" i="7"/>
  <c r="G23" i="7"/>
  <c r="C27" i="8"/>
  <c r="O26" i="8"/>
  <c r="AL38" i="8"/>
  <c r="AI38" i="8"/>
  <c r="AS38" i="8"/>
  <c r="AM38" i="8"/>
  <c r="AJ38" i="8"/>
  <c r="AQ38" i="8"/>
  <c r="AV38" i="8"/>
  <c r="AK38" i="8"/>
  <c r="AN38" i="8"/>
  <c r="AO38" i="8"/>
  <c r="D54" i="11"/>
  <c r="B54" i="11"/>
  <c r="M54" i="11"/>
  <c r="G54" i="11"/>
  <c r="E54" i="11"/>
  <c r="H54" i="11"/>
  <c r="F54" i="11"/>
  <c r="J54" i="11"/>
  <c r="C54" i="11"/>
  <c r="I54" i="11"/>
  <c r="K54" i="11"/>
  <c r="E288" i="8"/>
  <c r="L288" i="8"/>
  <c r="G288" i="8"/>
  <c r="F288" i="8"/>
  <c r="J288" i="8"/>
  <c r="O288" i="8"/>
  <c r="C288" i="8"/>
  <c r="D288" i="8"/>
  <c r="A68" i="11"/>
  <c r="A69" i="11"/>
  <c r="X67" i="11"/>
  <c r="AG69" i="8"/>
  <c r="AG70" i="8"/>
  <c r="BF68" i="8"/>
  <c r="BE50" i="8"/>
  <c r="BE51" i="8"/>
  <c r="BF49" i="8"/>
  <c r="W65" i="11"/>
  <c r="W66" i="11"/>
  <c r="X64" i="11"/>
  <c r="F24" i="7"/>
  <c r="G24" i="7"/>
  <c r="I24" i="7"/>
  <c r="D24" i="7"/>
  <c r="H24" i="7"/>
  <c r="K24" i="7"/>
  <c r="I25" i="7"/>
  <c r="C24" i="7"/>
  <c r="B24" i="7"/>
  <c r="J23" i="7"/>
  <c r="O27" i="8"/>
  <c r="C28" i="8"/>
  <c r="AM39" i="8"/>
  <c r="AK39" i="8"/>
  <c r="AJ39" i="8"/>
  <c r="AI39" i="8"/>
  <c r="AN39" i="8"/>
  <c r="AL39" i="8"/>
  <c r="AO39" i="8"/>
  <c r="AS39" i="8"/>
  <c r="AQ39" i="8"/>
  <c r="AV39" i="8"/>
  <c r="D55" i="11"/>
  <c r="E55" i="11"/>
  <c r="I55" i="11"/>
  <c r="C55" i="11"/>
  <c r="M55" i="11"/>
  <c r="H55" i="11"/>
  <c r="K55" i="11"/>
  <c r="G55" i="11"/>
  <c r="F55" i="11"/>
  <c r="B55" i="11"/>
  <c r="J55" i="11"/>
  <c r="C25" i="7"/>
  <c r="K25" i="7"/>
  <c r="C289" i="8"/>
  <c r="G289" i="8"/>
  <c r="F289" i="8"/>
  <c r="J289" i="8"/>
  <c r="O289" i="8"/>
  <c r="D289" i="8"/>
  <c r="E289" i="8"/>
  <c r="L289" i="8"/>
  <c r="C117" i="1"/>
  <c r="A70" i="11"/>
  <c r="A71" i="11"/>
  <c r="X69" i="11"/>
  <c r="AG71" i="8"/>
  <c r="AG72" i="8"/>
  <c r="BF70" i="8"/>
  <c r="W67" i="11"/>
  <c r="W68" i="11"/>
  <c r="X66" i="11"/>
  <c r="BF51" i="8"/>
  <c r="BE52" i="8"/>
  <c r="BE53" i="8"/>
  <c r="D25" i="7"/>
  <c r="J24" i="7"/>
  <c r="F25" i="7"/>
  <c r="H25" i="7"/>
  <c r="B25" i="7"/>
  <c r="G25" i="7"/>
  <c r="J25" i="7"/>
  <c r="E25" i="7"/>
  <c r="O28" i="8"/>
  <c r="AI40" i="8"/>
  <c r="AK40" i="8"/>
  <c r="AO40" i="8"/>
  <c r="AQ40" i="8"/>
  <c r="AV40" i="8"/>
  <c r="AS40" i="8"/>
  <c r="AL40" i="8"/>
  <c r="AJ40" i="8"/>
  <c r="AM40" i="8"/>
  <c r="AN40" i="8"/>
  <c r="I56" i="11"/>
  <c r="H56" i="11"/>
  <c r="M56" i="11"/>
  <c r="D56" i="11"/>
  <c r="G56" i="11"/>
  <c r="J56" i="11"/>
  <c r="E56" i="11"/>
  <c r="K56" i="11"/>
  <c r="F56" i="11"/>
  <c r="C56" i="11"/>
  <c r="B56" i="11"/>
  <c r="J290" i="8"/>
  <c r="O290" i="8"/>
  <c r="D290" i="8"/>
  <c r="G290" i="8"/>
  <c r="C290" i="8"/>
  <c r="F290" i="8"/>
  <c r="E290" i="8"/>
  <c r="L290" i="8"/>
  <c r="Y354" i="1"/>
  <c r="H26" i="7"/>
  <c r="C26" i="7"/>
  <c r="E26" i="7"/>
  <c r="K26" i="7"/>
  <c r="B26" i="7"/>
  <c r="G26" i="7"/>
  <c r="D26" i="7"/>
  <c r="F26" i="7"/>
  <c r="I26" i="7"/>
  <c r="A72" i="11"/>
  <c r="A73" i="11"/>
  <c r="X71" i="11"/>
  <c r="AG73" i="8"/>
  <c r="AG74" i="8"/>
  <c r="BF72" i="8"/>
  <c r="BF53" i="8"/>
  <c r="BE54" i="8"/>
  <c r="BE55" i="8"/>
  <c r="X68" i="11"/>
  <c r="W69" i="11"/>
  <c r="W70" i="11"/>
  <c r="C29" i="8"/>
  <c r="J26" i="7"/>
  <c r="AK41" i="8"/>
  <c r="AQ41" i="8"/>
  <c r="AV41" i="8"/>
  <c r="AO41" i="8"/>
  <c r="AI41" i="8"/>
  <c r="AL41" i="8"/>
  <c r="AJ41" i="8"/>
  <c r="AN41" i="8"/>
  <c r="AM41" i="8"/>
  <c r="AS41" i="8"/>
  <c r="E57" i="11"/>
  <c r="G57" i="11"/>
  <c r="M57" i="11"/>
  <c r="F57" i="11"/>
  <c r="J57" i="11"/>
  <c r="I57" i="11"/>
  <c r="K57" i="11"/>
  <c r="H57" i="11"/>
  <c r="B57" i="11"/>
  <c r="C57" i="11"/>
  <c r="D57" i="11"/>
  <c r="F291" i="8"/>
  <c r="J291" i="8"/>
  <c r="O291" i="8"/>
  <c r="D291" i="8"/>
  <c r="G291" i="8"/>
  <c r="C291" i="8"/>
  <c r="E291" i="8"/>
  <c r="L291" i="8"/>
  <c r="H27" i="7"/>
  <c r="E27" i="7"/>
  <c r="F27" i="7"/>
  <c r="C27" i="7"/>
  <c r="G27" i="7"/>
  <c r="K27" i="7"/>
  <c r="D27" i="7"/>
  <c r="B27" i="7"/>
  <c r="I27" i="7"/>
  <c r="A74" i="11"/>
  <c r="A75" i="11"/>
  <c r="X73" i="11"/>
  <c r="AG75" i="8"/>
  <c r="AG76" i="8"/>
  <c r="BF74" i="8"/>
  <c r="BE56" i="8"/>
  <c r="BE57" i="8"/>
  <c r="BF55" i="8"/>
  <c r="W71" i="11"/>
  <c r="W72" i="11"/>
  <c r="X70" i="11"/>
  <c r="O29" i="8"/>
  <c r="C30" i="8"/>
  <c r="AM42" i="8"/>
  <c r="AQ42" i="8"/>
  <c r="AV42" i="8"/>
  <c r="AN42" i="8"/>
  <c r="AJ42" i="8"/>
  <c r="AO42" i="8"/>
  <c r="AL42" i="8"/>
  <c r="AK42" i="8"/>
  <c r="AS42" i="8"/>
  <c r="AI42" i="8"/>
  <c r="F58" i="11"/>
  <c r="G58" i="11"/>
  <c r="K58" i="11"/>
  <c r="B58" i="11"/>
  <c r="C58" i="11"/>
  <c r="D58" i="11"/>
  <c r="J58" i="11"/>
  <c r="I58" i="11"/>
  <c r="H58" i="11"/>
  <c r="E58" i="11"/>
  <c r="M58" i="11"/>
  <c r="F292" i="8"/>
  <c r="C292" i="8"/>
  <c r="G292" i="8"/>
  <c r="J292" i="8"/>
  <c r="O292" i="8"/>
  <c r="D292" i="8"/>
  <c r="E292" i="8"/>
  <c r="L292" i="8"/>
  <c r="J27" i="7"/>
  <c r="D28" i="7"/>
  <c r="K28" i="7"/>
  <c r="E28" i="7"/>
  <c r="C28" i="7"/>
  <c r="I28" i="7"/>
  <c r="F28" i="7"/>
  <c r="H28" i="7"/>
  <c r="G28" i="7"/>
  <c r="B28" i="7"/>
  <c r="A76" i="11"/>
  <c r="A77" i="11"/>
  <c r="X75" i="11"/>
  <c r="AG77" i="8"/>
  <c r="AG78" i="8"/>
  <c r="BF76" i="8"/>
  <c r="X72" i="11"/>
  <c r="W73" i="11"/>
  <c r="W74" i="11"/>
  <c r="BF57" i="8"/>
  <c r="BE58" i="8"/>
  <c r="BE59" i="8"/>
  <c r="C31" i="8"/>
  <c r="O30" i="8"/>
  <c r="AN43" i="8"/>
  <c r="AI43" i="8"/>
  <c r="AS43" i="8"/>
  <c r="AK43" i="8"/>
  <c r="AJ43" i="8"/>
  <c r="AL43" i="8"/>
  <c r="AM43" i="8"/>
  <c r="AQ43" i="8"/>
  <c r="AV43" i="8"/>
  <c r="AO43" i="8"/>
  <c r="J28" i="7"/>
  <c r="G59" i="11"/>
  <c r="C59" i="11"/>
  <c r="M59" i="11"/>
  <c r="I59" i="11"/>
  <c r="H59" i="11"/>
  <c r="D59" i="11"/>
  <c r="B59" i="11"/>
  <c r="F59" i="11"/>
  <c r="J59" i="11"/>
  <c r="E59" i="11"/>
  <c r="K59" i="11"/>
  <c r="D29" i="7"/>
  <c r="B29" i="7"/>
  <c r="K29" i="7"/>
  <c r="E29" i="7"/>
  <c r="H29" i="7"/>
  <c r="F29" i="7"/>
  <c r="I29" i="7"/>
  <c r="C29" i="7"/>
  <c r="G29" i="7"/>
  <c r="C293" i="8"/>
  <c r="G293" i="8"/>
  <c r="F293" i="8"/>
  <c r="D293" i="8"/>
  <c r="J293" i="8"/>
  <c r="O293" i="8"/>
  <c r="E293" i="8"/>
  <c r="L293" i="8"/>
  <c r="C118" i="1"/>
  <c r="A78" i="11"/>
  <c r="A79" i="11"/>
  <c r="X77" i="11"/>
  <c r="AG79" i="8"/>
  <c r="AG80" i="8"/>
  <c r="BF78" i="8"/>
  <c r="BE60" i="8"/>
  <c r="BE61" i="8"/>
  <c r="BF59" i="8"/>
  <c r="W75" i="11"/>
  <c r="W76" i="11"/>
  <c r="X74" i="11"/>
  <c r="C32" i="8"/>
  <c r="O31" i="8"/>
  <c r="AL44" i="8"/>
  <c r="AI44" i="8"/>
  <c r="AM44" i="8"/>
  <c r="AJ44" i="8"/>
  <c r="AK44" i="8"/>
  <c r="AO44" i="8"/>
  <c r="AS44" i="8"/>
  <c r="AQ44" i="8"/>
  <c r="AV44" i="8"/>
  <c r="AN44" i="8"/>
  <c r="I60" i="11"/>
  <c r="F60" i="11"/>
  <c r="J60" i="11"/>
  <c r="G60" i="11"/>
  <c r="M60" i="11"/>
  <c r="H60" i="11"/>
  <c r="B60" i="11"/>
  <c r="C60" i="11"/>
  <c r="D60" i="11"/>
  <c r="K60" i="11"/>
  <c r="E60" i="11"/>
  <c r="J29" i="7"/>
  <c r="B30" i="7"/>
  <c r="I30" i="7"/>
  <c r="C30" i="7"/>
  <c r="K30" i="7"/>
  <c r="H30" i="7"/>
  <c r="E30" i="7"/>
  <c r="D30" i="7"/>
  <c r="G30" i="7"/>
  <c r="F30" i="7"/>
  <c r="D294" i="8"/>
  <c r="C294" i="8"/>
  <c r="J294" i="8"/>
  <c r="O294" i="8"/>
  <c r="G294" i="8"/>
  <c r="F294" i="8"/>
  <c r="E294" i="8"/>
  <c r="L294" i="8"/>
  <c r="A80" i="11"/>
  <c r="A81" i="11"/>
  <c r="X79" i="11"/>
  <c r="AG81" i="8"/>
  <c r="AG82" i="8"/>
  <c r="BF80" i="8"/>
  <c r="BE62" i="8"/>
  <c r="BE63" i="8"/>
  <c r="BF61" i="8"/>
  <c r="X76" i="11"/>
  <c r="W77" i="11"/>
  <c r="W78" i="11"/>
  <c r="O32" i="8"/>
  <c r="C33" i="8"/>
  <c r="AN45" i="8"/>
  <c r="AQ45" i="8"/>
  <c r="AV45" i="8"/>
  <c r="AS45" i="8"/>
  <c r="AL45" i="8"/>
  <c r="AJ45" i="8"/>
  <c r="AO45" i="8"/>
  <c r="AI45" i="8"/>
  <c r="AM45" i="8"/>
  <c r="AK45" i="8"/>
  <c r="G61" i="11"/>
  <c r="B61" i="11"/>
  <c r="F61" i="11"/>
  <c r="M61" i="11"/>
  <c r="I61" i="11"/>
  <c r="J61" i="11"/>
  <c r="D61" i="11"/>
  <c r="H61" i="11"/>
  <c r="C61" i="11"/>
  <c r="E61" i="11"/>
  <c r="K61" i="11"/>
  <c r="G295" i="8"/>
  <c r="D295" i="8"/>
  <c r="F295" i="8"/>
  <c r="C295" i="8"/>
  <c r="J295" i="8"/>
  <c r="O295" i="8"/>
  <c r="E295" i="8"/>
  <c r="L295" i="8"/>
  <c r="J30" i="7"/>
  <c r="D31" i="7"/>
  <c r="K31" i="7"/>
  <c r="H31" i="7"/>
  <c r="E31" i="7"/>
  <c r="I31" i="7"/>
  <c r="F31" i="7"/>
  <c r="B31" i="7"/>
  <c r="G31" i="7"/>
  <c r="C31" i="7"/>
  <c r="A82" i="11"/>
  <c r="A83" i="11"/>
  <c r="X81" i="11"/>
  <c r="AG83" i="8"/>
  <c r="AG84" i="8"/>
  <c r="BF82" i="8"/>
  <c r="X78" i="11"/>
  <c r="W79" i="11"/>
  <c r="W80" i="11"/>
  <c r="BF63" i="8"/>
  <c r="BE64" i="8"/>
  <c r="BE65" i="8"/>
  <c r="O33" i="8"/>
  <c r="C34" i="8"/>
  <c r="O34" i="8"/>
  <c r="AQ46" i="8"/>
  <c r="AV46" i="8"/>
  <c r="AK46" i="8"/>
  <c r="AO46" i="8"/>
  <c r="AS46" i="8"/>
  <c r="AN46" i="8"/>
  <c r="AI46" i="8"/>
  <c r="AM46" i="8"/>
  <c r="AL46" i="8"/>
  <c r="AJ46" i="8"/>
  <c r="D62" i="11"/>
  <c r="C62" i="11"/>
  <c r="M62" i="11"/>
  <c r="E62" i="11"/>
  <c r="B62" i="11"/>
  <c r="J62" i="11"/>
  <c r="F62" i="11"/>
  <c r="I62" i="11"/>
  <c r="H62" i="11"/>
  <c r="G62" i="11"/>
  <c r="K62" i="11"/>
  <c r="G296" i="8"/>
  <c r="F296" i="8"/>
  <c r="C296" i="8"/>
  <c r="D296" i="8"/>
  <c r="J296" i="8"/>
  <c r="O296" i="8"/>
  <c r="E296" i="8"/>
  <c r="L296" i="8"/>
  <c r="J31" i="7"/>
  <c r="C32" i="7"/>
  <c r="B32" i="7"/>
  <c r="F32" i="7"/>
  <c r="D32" i="7"/>
  <c r="K32" i="7"/>
  <c r="H32" i="7"/>
  <c r="I32" i="7"/>
  <c r="G32" i="7"/>
  <c r="E32" i="7"/>
  <c r="C119" i="1"/>
  <c r="A84" i="11"/>
  <c r="A85" i="11"/>
  <c r="X83" i="11"/>
  <c r="AG85" i="8"/>
  <c r="AG86" i="8"/>
  <c r="BF84" i="8"/>
  <c r="BF65" i="8"/>
  <c r="BE66" i="8"/>
  <c r="BE67" i="8"/>
  <c r="X80" i="11"/>
  <c r="W81" i="11"/>
  <c r="W82" i="11"/>
  <c r="AI47" i="8"/>
  <c r="AO47" i="8"/>
  <c r="AJ47" i="8"/>
  <c r="AL47" i="8"/>
  <c r="AS47" i="8"/>
  <c r="AN47" i="8"/>
  <c r="AQ47" i="8"/>
  <c r="AV47" i="8"/>
  <c r="AK47" i="8"/>
  <c r="AM47" i="8"/>
  <c r="D63" i="11"/>
  <c r="G63" i="11"/>
  <c r="K63" i="11"/>
  <c r="E63" i="11"/>
  <c r="J63" i="11"/>
  <c r="H63" i="11"/>
  <c r="I63" i="11"/>
  <c r="B63" i="11"/>
  <c r="M63" i="11"/>
  <c r="C63" i="11"/>
  <c r="F63" i="11"/>
  <c r="C297" i="8"/>
  <c r="E297" i="8"/>
  <c r="L297" i="8"/>
  <c r="D297" i="8"/>
  <c r="F297" i="8"/>
  <c r="J297" i="8"/>
  <c r="O297" i="8"/>
  <c r="G297" i="8"/>
  <c r="B33" i="7"/>
  <c r="E33" i="7"/>
  <c r="I33" i="7"/>
  <c r="G33" i="7"/>
  <c r="C33" i="7"/>
  <c r="H33" i="7"/>
  <c r="K33" i="7"/>
  <c r="D33" i="7"/>
  <c r="F33" i="7"/>
  <c r="J32" i="7"/>
  <c r="A86" i="11"/>
  <c r="A87" i="11"/>
  <c r="X85" i="11"/>
  <c r="AG87" i="8"/>
  <c r="AG88" i="8"/>
  <c r="BF86" i="8"/>
  <c r="W83" i="11"/>
  <c r="W84" i="11"/>
  <c r="X82" i="11"/>
  <c r="BE68" i="8"/>
  <c r="BE69" i="8"/>
  <c r="BF67" i="8"/>
  <c r="C35" i="8"/>
  <c r="C36" i="8"/>
  <c r="O35" i="8"/>
  <c r="AN48" i="8"/>
  <c r="AL48" i="8"/>
  <c r="AM48" i="8"/>
  <c r="AO48" i="8"/>
  <c r="AK48" i="8"/>
  <c r="AS48" i="8"/>
  <c r="AJ48" i="8"/>
  <c r="AI48" i="8"/>
  <c r="AQ48" i="8"/>
  <c r="AV48" i="8"/>
  <c r="C64" i="11"/>
  <c r="G64" i="11"/>
  <c r="M64" i="11"/>
  <c r="F64" i="11"/>
  <c r="H64" i="11"/>
  <c r="E64" i="11"/>
  <c r="K64" i="11"/>
  <c r="I64" i="11"/>
  <c r="B64" i="11"/>
  <c r="J64" i="11"/>
  <c r="D64" i="11"/>
  <c r="J33" i="7"/>
  <c r="F298" i="8"/>
  <c r="J298" i="8"/>
  <c r="O298" i="8"/>
  <c r="G298" i="8"/>
  <c r="C298" i="8"/>
  <c r="D298" i="8"/>
  <c r="E298" i="8"/>
  <c r="L298" i="8"/>
  <c r="H34" i="7"/>
  <c r="F34" i="7"/>
  <c r="D34" i="7"/>
  <c r="K34" i="7"/>
  <c r="I34" i="7"/>
  <c r="G34" i="7"/>
  <c r="C34" i="7"/>
  <c r="B34" i="7"/>
  <c r="E34" i="7"/>
  <c r="A88" i="11"/>
  <c r="A89" i="11"/>
  <c r="X87" i="11"/>
  <c r="AG89" i="8"/>
  <c r="AG90" i="8"/>
  <c r="BF88" i="8"/>
  <c r="BE70" i="8"/>
  <c r="BE71" i="8"/>
  <c r="BF69" i="8"/>
  <c r="X84" i="11"/>
  <c r="W85" i="11"/>
  <c r="W86" i="11"/>
  <c r="O36" i="8"/>
  <c r="AN49" i="8"/>
  <c r="AM49" i="8"/>
  <c r="AS49" i="8"/>
  <c r="AQ49" i="8"/>
  <c r="AV49" i="8"/>
  <c r="AI49" i="8"/>
  <c r="AJ49" i="8"/>
  <c r="AK49" i="8"/>
  <c r="AO49" i="8"/>
  <c r="AL49" i="8"/>
  <c r="C65" i="11"/>
  <c r="D65" i="11"/>
  <c r="M65" i="11"/>
  <c r="F65" i="11"/>
  <c r="J65" i="11"/>
  <c r="H65" i="11"/>
  <c r="E65" i="11"/>
  <c r="B65" i="11"/>
  <c r="K65" i="11"/>
  <c r="G65" i="11"/>
  <c r="I65" i="11"/>
  <c r="E299" i="8"/>
  <c r="L299" i="8"/>
  <c r="D299" i="8"/>
  <c r="C299" i="8"/>
  <c r="J299" i="8"/>
  <c r="O299" i="8"/>
  <c r="G299" i="8"/>
  <c r="F299" i="8"/>
  <c r="C120" i="1"/>
  <c r="E35" i="7"/>
  <c r="F35" i="7"/>
  <c r="I35" i="7"/>
  <c r="G35" i="7"/>
  <c r="B35" i="7"/>
  <c r="D35" i="7"/>
  <c r="K35" i="7"/>
  <c r="H35" i="7"/>
  <c r="C35" i="7"/>
  <c r="J34" i="7"/>
  <c r="A90" i="11"/>
  <c r="A91" i="11"/>
  <c r="X89" i="11"/>
  <c r="AG91" i="8"/>
  <c r="AG92" i="8"/>
  <c r="BF90" i="8"/>
  <c r="X86" i="11"/>
  <c r="W87" i="11"/>
  <c r="W88" i="11"/>
  <c r="BE72" i="8"/>
  <c r="BE73" i="8"/>
  <c r="BF71" i="8"/>
  <c r="C37" i="8"/>
  <c r="AO50" i="8"/>
  <c r="AL50" i="8"/>
  <c r="AN50" i="8"/>
  <c r="AS50" i="8"/>
  <c r="AM50" i="8"/>
  <c r="AI50" i="8"/>
  <c r="AK50" i="8"/>
  <c r="AQ50" i="8"/>
  <c r="AV50" i="8"/>
  <c r="AJ50" i="8"/>
  <c r="D66" i="11"/>
  <c r="C66" i="11"/>
  <c r="M66" i="11"/>
  <c r="E66" i="11"/>
  <c r="G66" i="11"/>
  <c r="I66" i="11"/>
  <c r="K66" i="11"/>
  <c r="B66" i="11"/>
  <c r="F66" i="11"/>
  <c r="H66" i="11"/>
  <c r="J66" i="11"/>
  <c r="H36" i="7"/>
  <c r="B36" i="7"/>
  <c r="I36" i="7"/>
  <c r="E36" i="7"/>
  <c r="F36" i="7"/>
  <c r="D36" i="7"/>
  <c r="G36" i="7"/>
  <c r="C36" i="7"/>
  <c r="K36" i="7"/>
  <c r="E300" i="8"/>
  <c r="L300" i="8"/>
  <c r="J300" i="8"/>
  <c r="O300" i="8"/>
  <c r="D300" i="8"/>
  <c r="G300" i="8"/>
  <c r="F300" i="8"/>
  <c r="C300" i="8"/>
  <c r="J35" i="7"/>
  <c r="AG93" i="8"/>
  <c r="AG94" i="8"/>
  <c r="BF92" i="8"/>
  <c r="A92" i="11"/>
  <c r="A93" i="11"/>
  <c r="X91" i="11"/>
  <c r="BE74" i="8"/>
  <c r="BE75" i="8"/>
  <c r="BF73" i="8"/>
  <c r="X88" i="11"/>
  <c r="W89" i="11"/>
  <c r="W90" i="11"/>
  <c r="O37" i="8"/>
  <c r="AS51" i="8"/>
  <c r="AM51" i="8"/>
  <c r="AO51" i="8"/>
  <c r="AL51" i="8"/>
  <c r="AQ51" i="8"/>
  <c r="AV51" i="8"/>
  <c r="AI51" i="8"/>
  <c r="AN51" i="8"/>
  <c r="AK51" i="8"/>
  <c r="AJ51" i="8"/>
  <c r="B67" i="11"/>
  <c r="D67" i="11"/>
  <c r="M67" i="11"/>
  <c r="H67" i="11"/>
  <c r="E67" i="11"/>
  <c r="I67" i="11"/>
  <c r="J67" i="11"/>
  <c r="K67" i="11"/>
  <c r="G67" i="11"/>
  <c r="C67" i="11"/>
  <c r="F67" i="11"/>
  <c r="D301" i="8"/>
  <c r="J301" i="8"/>
  <c r="O301" i="8"/>
  <c r="C301" i="8"/>
  <c r="G301" i="8"/>
  <c r="E301" i="8"/>
  <c r="L301" i="8"/>
  <c r="F301" i="8"/>
  <c r="J36" i="7"/>
  <c r="C121" i="1"/>
  <c r="C37" i="7"/>
  <c r="E37" i="7"/>
  <c r="F37" i="7"/>
  <c r="I37" i="7"/>
  <c r="K37" i="7"/>
  <c r="B37" i="7"/>
  <c r="H37" i="7"/>
  <c r="D37" i="7"/>
  <c r="G37" i="7"/>
  <c r="A94" i="11"/>
  <c r="A95" i="11"/>
  <c r="X93" i="11"/>
  <c r="AG95" i="8"/>
  <c r="AG96" i="8"/>
  <c r="BF94" i="8"/>
  <c r="X90" i="11"/>
  <c r="W91" i="11"/>
  <c r="W92" i="11"/>
  <c r="BF75" i="8"/>
  <c r="BE76" i="8"/>
  <c r="BE77" i="8"/>
  <c r="C38" i="8"/>
  <c r="O38" i="8"/>
  <c r="AJ52" i="8"/>
  <c r="AO52" i="8"/>
  <c r="AI52" i="8"/>
  <c r="AN52" i="8"/>
  <c r="AQ52" i="8"/>
  <c r="AV52" i="8"/>
  <c r="AM52" i="8"/>
  <c r="AS52" i="8"/>
  <c r="AL52" i="8"/>
  <c r="AK52" i="8"/>
  <c r="G68" i="11"/>
  <c r="C68" i="11"/>
  <c r="M68" i="11"/>
  <c r="F68" i="11"/>
  <c r="B68" i="11"/>
  <c r="J68" i="11"/>
  <c r="H68" i="11"/>
  <c r="I68" i="11"/>
  <c r="E68" i="11"/>
  <c r="K68" i="11"/>
  <c r="D68" i="11"/>
  <c r="G302" i="8"/>
  <c r="F302" i="8"/>
  <c r="C302" i="8"/>
  <c r="J302" i="8"/>
  <c r="O302" i="8"/>
  <c r="D302" i="8"/>
  <c r="E302" i="8"/>
  <c r="L302" i="8"/>
  <c r="J37" i="7"/>
  <c r="B38" i="7"/>
  <c r="I38" i="7"/>
  <c r="H38" i="7"/>
  <c r="E38" i="7"/>
  <c r="G38" i="7"/>
  <c r="K38" i="7"/>
  <c r="D38" i="7"/>
  <c r="F38" i="7"/>
  <c r="C38" i="7"/>
  <c r="AG97" i="8"/>
  <c r="AG98" i="8"/>
  <c r="BF96" i="8"/>
  <c r="A96" i="11"/>
  <c r="A97" i="11"/>
  <c r="X95" i="11"/>
  <c r="BF77" i="8"/>
  <c r="BE78" i="8"/>
  <c r="BE79" i="8"/>
  <c r="X92" i="11"/>
  <c r="W93" i="11"/>
  <c r="W94" i="11"/>
  <c r="C39" i="8"/>
  <c r="O39" i="8"/>
  <c r="AM53" i="8"/>
  <c r="AQ53" i="8"/>
  <c r="AV53" i="8"/>
  <c r="AL53" i="8"/>
  <c r="AJ53" i="8"/>
  <c r="AN53" i="8"/>
  <c r="AK53" i="8"/>
  <c r="AI53" i="8"/>
  <c r="AS53" i="8"/>
  <c r="AO53" i="8"/>
  <c r="G69" i="11"/>
  <c r="H69" i="11"/>
  <c r="M69" i="11"/>
  <c r="J69" i="11"/>
  <c r="C69" i="11"/>
  <c r="K69" i="11"/>
  <c r="D69" i="11"/>
  <c r="E69" i="11"/>
  <c r="F69" i="11"/>
  <c r="I69" i="11"/>
  <c r="B69" i="11"/>
  <c r="D39" i="7"/>
  <c r="E39" i="7"/>
  <c r="H39" i="7"/>
  <c r="I39" i="7"/>
  <c r="F39" i="7"/>
  <c r="B39" i="7"/>
  <c r="K39" i="7"/>
  <c r="C39" i="7"/>
  <c r="G39" i="7"/>
  <c r="C122" i="1"/>
  <c r="G303" i="8"/>
  <c r="E303" i="8"/>
  <c r="L303" i="8"/>
  <c r="C303" i="8"/>
  <c r="F303" i="8"/>
  <c r="D303" i="8"/>
  <c r="J303" i="8"/>
  <c r="O303" i="8"/>
  <c r="J38" i="7"/>
  <c r="AG99" i="8"/>
  <c r="AG100" i="8"/>
  <c r="BF98" i="8"/>
  <c r="A98" i="11"/>
  <c r="A99" i="11"/>
  <c r="X97" i="11"/>
  <c r="BE80" i="8"/>
  <c r="BE81" i="8"/>
  <c r="BF79" i="8"/>
  <c r="X94" i="11"/>
  <c r="W95" i="11"/>
  <c r="W96" i="11"/>
  <c r="AM54" i="8"/>
  <c r="AL54" i="8"/>
  <c r="AQ54" i="8"/>
  <c r="AV54" i="8"/>
  <c r="AO54" i="8"/>
  <c r="AN54" i="8"/>
  <c r="AJ54" i="8"/>
  <c r="AI54" i="8"/>
  <c r="AK54" i="8"/>
  <c r="AS54" i="8"/>
  <c r="H70" i="11"/>
  <c r="E70" i="11"/>
  <c r="C70" i="11"/>
  <c r="M70" i="11"/>
  <c r="G70" i="11"/>
  <c r="F70" i="11"/>
  <c r="D70" i="11"/>
  <c r="J70" i="11"/>
  <c r="K70" i="11"/>
  <c r="I70" i="11"/>
  <c r="B70" i="11"/>
  <c r="C304" i="8"/>
  <c r="G304" i="8"/>
  <c r="F304" i="8"/>
  <c r="J304" i="8"/>
  <c r="O304" i="8"/>
  <c r="D304" i="8"/>
  <c r="E304" i="8"/>
  <c r="L304" i="8"/>
  <c r="E40" i="7"/>
  <c r="G40" i="7"/>
  <c r="I40" i="7"/>
  <c r="K40" i="7"/>
  <c r="C40" i="7"/>
  <c r="B40" i="7"/>
  <c r="D40" i="7"/>
  <c r="F40" i="7"/>
  <c r="H40" i="7"/>
  <c r="J39" i="7"/>
  <c r="AG101" i="8"/>
  <c r="AG102" i="8"/>
  <c r="BF100" i="8"/>
  <c r="A100" i="11"/>
  <c r="A101" i="11"/>
  <c r="X99" i="11"/>
  <c r="W97" i="11"/>
  <c r="W98" i="11"/>
  <c r="X96" i="11"/>
  <c r="BF81" i="8"/>
  <c r="BE82" i="8"/>
  <c r="BE83" i="8"/>
  <c r="C40" i="8"/>
  <c r="AO55" i="8"/>
  <c r="AK55" i="8"/>
  <c r="AL55" i="8"/>
  <c r="AS55" i="8"/>
  <c r="AN55" i="8"/>
  <c r="AQ55" i="8"/>
  <c r="AV55" i="8"/>
  <c r="AJ55" i="8"/>
  <c r="AM55" i="8"/>
  <c r="AI55" i="8"/>
  <c r="B71" i="11"/>
  <c r="H71" i="11"/>
  <c r="J71" i="11"/>
  <c r="K71" i="11"/>
  <c r="C71" i="11"/>
  <c r="G71" i="11"/>
  <c r="D71" i="11"/>
  <c r="M71" i="11"/>
  <c r="F71" i="11"/>
  <c r="I71" i="11"/>
  <c r="E71" i="11"/>
  <c r="C305" i="8"/>
  <c r="E305" i="8"/>
  <c r="L305" i="8"/>
  <c r="J305" i="8"/>
  <c r="O305" i="8"/>
  <c r="G305" i="8"/>
  <c r="F305" i="8"/>
  <c r="D305" i="8"/>
  <c r="D41" i="7"/>
  <c r="C41" i="7"/>
  <c r="H41" i="7"/>
  <c r="B41" i="7"/>
  <c r="G41" i="7"/>
  <c r="F41" i="7"/>
  <c r="E41" i="7"/>
  <c r="K41" i="7"/>
  <c r="I41" i="7"/>
  <c r="C123" i="1"/>
  <c r="J40" i="7"/>
  <c r="AG103" i="8"/>
  <c r="AG104" i="8"/>
  <c r="BF102" i="8"/>
  <c r="A102" i="11"/>
  <c r="A103" i="11"/>
  <c r="X101" i="11"/>
  <c r="BF83" i="8"/>
  <c r="BE84" i="8"/>
  <c r="BE85" i="8"/>
  <c r="X98" i="11"/>
  <c r="W99" i="11"/>
  <c r="W100" i="11"/>
  <c r="O40" i="8"/>
  <c r="AI56" i="8"/>
  <c r="AO56" i="8"/>
  <c r="AN56" i="8"/>
  <c r="AL56" i="8"/>
  <c r="AQ56" i="8"/>
  <c r="AV56" i="8"/>
  <c r="AK56" i="8"/>
  <c r="AM56" i="8"/>
  <c r="AS56" i="8"/>
  <c r="AJ56" i="8"/>
  <c r="J41" i="7"/>
  <c r="B72" i="11"/>
  <c r="M72" i="11"/>
  <c r="I72" i="11"/>
  <c r="H72" i="11"/>
  <c r="F72" i="11"/>
  <c r="J72" i="11"/>
  <c r="E72" i="11"/>
  <c r="C72" i="11"/>
  <c r="G72" i="11"/>
  <c r="K72" i="11"/>
  <c r="D72" i="11"/>
  <c r="D306" i="8"/>
  <c r="F306" i="8"/>
  <c r="G306" i="8"/>
  <c r="E306" i="8"/>
  <c r="L306" i="8"/>
  <c r="C306" i="8"/>
  <c r="J306" i="8"/>
  <c r="O306" i="8"/>
  <c r="C42" i="7"/>
  <c r="B42" i="7"/>
  <c r="G42" i="7"/>
  <c r="K42" i="7"/>
  <c r="H42" i="7"/>
  <c r="D42" i="7"/>
  <c r="F42" i="7"/>
  <c r="E42" i="7"/>
  <c r="I42" i="7"/>
  <c r="AG105" i="8"/>
  <c r="AG106" i="8"/>
  <c r="BF104" i="8"/>
  <c r="A104" i="11"/>
  <c r="A105" i="11"/>
  <c r="X103" i="11"/>
  <c r="BF85" i="8"/>
  <c r="BE86" i="8"/>
  <c r="BE87" i="8"/>
  <c r="W101" i="11"/>
  <c r="W102" i="11"/>
  <c r="X100" i="11"/>
  <c r="C41" i="8"/>
  <c r="J42" i="7"/>
  <c r="AN57" i="8"/>
  <c r="AI57" i="8"/>
  <c r="AS57" i="8"/>
  <c r="AJ57" i="8"/>
  <c r="AL57" i="8"/>
  <c r="AQ57" i="8"/>
  <c r="AV57" i="8"/>
  <c r="AM57" i="8"/>
  <c r="AO57" i="8"/>
  <c r="AK57" i="8"/>
  <c r="G73" i="11"/>
  <c r="C73" i="11"/>
  <c r="H73" i="11"/>
  <c r="F73" i="11"/>
  <c r="D73" i="11"/>
  <c r="K73" i="11"/>
  <c r="I73" i="11"/>
  <c r="M73" i="11"/>
  <c r="E73" i="11"/>
  <c r="J73" i="11"/>
  <c r="B73" i="11"/>
  <c r="F43" i="7"/>
  <c r="D43" i="7"/>
  <c r="E43" i="7"/>
  <c r="C43" i="7"/>
  <c r="G43" i="7"/>
  <c r="H43" i="7"/>
  <c r="B43" i="7"/>
  <c r="K43" i="7"/>
  <c r="I43" i="7"/>
  <c r="C124" i="1"/>
  <c r="D307" i="8"/>
  <c r="E307" i="8"/>
  <c r="L307" i="8"/>
  <c r="J307" i="8"/>
  <c r="O307" i="8"/>
  <c r="C307" i="8"/>
  <c r="F307" i="8"/>
  <c r="G307" i="8"/>
  <c r="AG107" i="8"/>
  <c r="AG108" i="8"/>
  <c r="BF106" i="8"/>
  <c r="A106" i="11"/>
  <c r="A107" i="11"/>
  <c r="X105" i="11"/>
  <c r="W103" i="11"/>
  <c r="W104" i="11"/>
  <c r="X102" i="11"/>
  <c r="BF87" i="8"/>
  <c r="BE88" i="8"/>
  <c r="BE89" i="8"/>
  <c r="O41" i="8"/>
  <c r="AI58" i="8"/>
  <c r="AJ58" i="8"/>
  <c r="AK58" i="8"/>
  <c r="AM58" i="8"/>
  <c r="AO58" i="8"/>
  <c r="AN58" i="8"/>
  <c r="AS58" i="8"/>
  <c r="AL58" i="8"/>
  <c r="AQ58" i="8"/>
  <c r="AV58" i="8"/>
  <c r="H74" i="11"/>
  <c r="M74" i="11"/>
  <c r="E74" i="11"/>
  <c r="B74" i="11"/>
  <c r="D74" i="11"/>
  <c r="I74" i="11"/>
  <c r="J74" i="11"/>
  <c r="F74" i="11"/>
  <c r="K74" i="11"/>
  <c r="G74" i="11"/>
  <c r="C74" i="11"/>
  <c r="G308" i="8"/>
  <c r="D308" i="8"/>
  <c r="C308" i="8"/>
  <c r="J308" i="8"/>
  <c r="O308" i="8"/>
  <c r="F308" i="8"/>
  <c r="E308" i="8"/>
  <c r="L308" i="8"/>
  <c r="E44" i="7"/>
  <c r="B44" i="7"/>
  <c r="H44" i="7"/>
  <c r="G44" i="7"/>
  <c r="F44" i="7"/>
  <c r="C44" i="7"/>
  <c r="K44" i="7"/>
  <c r="D44" i="7"/>
  <c r="I44" i="7"/>
  <c r="J43" i="7"/>
  <c r="A108" i="11"/>
  <c r="A109" i="11"/>
  <c r="X107" i="11"/>
  <c r="AG109" i="8"/>
  <c r="AG110" i="8"/>
  <c r="BF108" i="8"/>
  <c r="BE90" i="8"/>
  <c r="BE91" i="8"/>
  <c r="BF89" i="8"/>
  <c r="W105" i="11"/>
  <c r="W106" i="11"/>
  <c r="X104" i="11"/>
  <c r="C42" i="8"/>
  <c r="AM59" i="8"/>
  <c r="AS59" i="8"/>
  <c r="AN59" i="8"/>
  <c r="AQ59" i="8"/>
  <c r="AV59" i="8"/>
  <c r="AO59" i="8"/>
  <c r="AL59" i="8"/>
  <c r="AK59" i="8"/>
  <c r="AJ59" i="8"/>
  <c r="AI59" i="8"/>
  <c r="F75" i="11"/>
  <c r="G75" i="11"/>
  <c r="K75" i="11"/>
  <c r="D75" i="11"/>
  <c r="C75" i="11"/>
  <c r="J75" i="11"/>
  <c r="I75" i="11"/>
  <c r="B75" i="11"/>
  <c r="H75" i="11"/>
  <c r="M75" i="11"/>
  <c r="E75" i="11"/>
  <c r="G309" i="8"/>
  <c r="D309" i="8"/>
  <c r="E309" i="8"/>
  <c r="L309" i="8"/>
  <c r="J309" i="8"/>
  <c r="O309" i="8"/>
  <c r="C309" i="8"/>
  <c r="F309" i="8"/>
  <c r="C125" i="1"/>
  <c r="J44" i="7"/>
  <c r="D45" i="7"/>
  <c r="K45" i="7"/>
  <c r="I45" i="7"/>
  <c r="E45" i="7"/>
  <c r="H45" i="7"/>
  <c r="B45" i="7"/>
  <c r="G45" i="7"/>
  <c r="C45" i="7"/>
  <c r="F45" i="7"/>
  <c r="AG111" i="8"/>
  <c r="AG112" i="8"/>
  <c r="BF110" i="8"/>
  <c r="A110" i="11"/>
  <c r="A111" i="11"/>
  <c r="X109" i="11"/>
  <c r="W107" i="11"/>
  <c r="W108" i="11"/>
  <c r="X106" i="11"/>
  <c r="BE92" i="8"/>
  <c r="BE93" i="8"/>
  <c r="BF91" i="8"/>
  <c r="O42" i="8"/>
  <c r="AJ60" i="8"/>
  <c r="AM60" i="8"/>
  <c r="AK60" i="8"/>
  <c r="AS60" i="8"/>
  <c r="AN60" i="8"/>
  <c r="AQ60" i="8"/>
  <c r="AV60" i="8"/>
  <c r="AI60" i="8"/>
  <c r="AL60" i="8"/>
  <c r="AO60" i="8"/>
  <c r="J45" i="7"/>
  <c r="C76" i="11"/>
  <c r="H76" i="11"/>
  <c r="M76" i="11"/>
  <c r="I76" i="11"/>
  <c r="E76" i="11"/>
  <c r="K76" i="11"/>
  <c r="J76" i="11"/>
  <c r="D76" i="11"/>
  <c r="B76" i="11"/>
  <c r="F76" i="11"/>
  <c r="G76" i="11"/>
  <c r="G310" i="8"/>
  <c r="D310" i="8"/>
  <c r="F310" i="8"/>
  <c r="E310" i="8"/>
  <c r="L310" i="8"/>
  <c r="J310" i="8"/>
  <c r="O310" i="8"/>
  <c r="C310" i="8"/>
  <c r="E46" i="7"/>
  <c r="K46" i="7"/>
  <c r="H46" i="7"/>
  <c r="I46" i="7"/>
  <c r="B46" i="7"/>
  <c r="G46" i="7"/>
  <c r="D46" i="7"/>
  <c r="C46" i="7"/>
  <c r="F46" i="7"/>
  <c r="A112" i="11"/>
  <c r="A113" i="11"/>
  <c r="X111" i="11"/>
  <c r="AG113" i="8"/>
  <c r="AG114" i="8"/>
  <c r="BF112" i="8"/>
  <c r="X108" i="11"/>
  <c r="W109" i="11"/>
  <c r="W110" i="11"/>
  <c r="BE94" i="8"/>
  <c r="BE95" i="8"/>
  <c r="BF93" i="8"/>
  <c r="O43" i="8"/>
  <c r="C43" i="8"/>
  <c r="AI61" i="8"/>
  <c r="AL61" i="8"/>
  <c r="AM61" i="8"/>
  <c r="AK61" i="8"/>
  <c r="AN61" i="8"/>
  <c r="AS61" i="8"/>
  <c r="AO61" i="8"/>
  <c r="AJ61" i="8"/>
  <c r="AQ61" i="8"/>
  <c r="AV61" i="8"/>
  <c r="H77" i="11"/>
  <c r="B77" i="11"/>
  <c r="E77" i="11"/>
  <c r="J77" i="11"/>
  <c r="F77" i="11"/>
  <c r="M77" i="11"/>
  <c r="C77" i="11"/>
  <c r="G77" i="11"/>
  <c r="I77" i="11"/>
  <c r="D77" i="11"/>
  <c r="K77" i="11"/>
  <c r="G311" i="8"/>
  <c r="D311" i="8"/>
  <c r="J311" i="8"/>
  <c r="O311" i="8"/>
  <c r="F311" i="8"/>
  <c r="E311" i="8"/>
  <c r="L311" i="8"/>
  <c r="C311" i="8"/>
  <c r="J46" i="7"/>
  <c r="D47" i="7"/>
  <c r="K47" i="7"/>
  <c r="E47" i="7"/>
  <c r="H47" i="7"/>
  <c r="F47" i="7"/>
  <c r="C47" i="7"/>
  <c r="G47" i="7"/>
  <c r="B47" i="7"/>
  <c r="I47" i="7"/>
  <c r="C126" i="1"/>
  <c r="A114" i="11"/>
  <c r="A115" i="11"/>
  <c r="X113" i="11"/>
  <c r="AG115" i="8"/>
  <c r="AG116" i="8"/>
  <c r="BF114" i="8"/>
  <c r="BE96" i="8"/>
  <c r="BE97" i="8"/>
  <c r="BF95" i="8"/>
  <c r="X110" i="11"/>
  <c r="W111" i="11"/>
  <c r="W112" i="11"/>
  <c r="C44" i="8"/>
  <c r="AI62" i="8"/>
  <c r="AQ62" i="8"/>
  <c r="AV62" i="8"/>
  <c r="AM62" i="8"/>
  <c r="AL62" i="8"/>
  <c r="AJ62" i="8"/>
  <c r="AS62" i="8"/>
  <c r="AK62" i="8"/>
  <c r="AN62" i="8"/>
  <c r="AO62" i="8"/>
  <c r="C78" i="11"/>
  <c r="D78" i="11"/>
  <c r="H78" i="11"/>
  <c r="M78" i="11"/>
  <c r="B78" i="11"/>
  <c r="G78" i="11"/>
  <c r="I78" i="11"/>
  <c r="J78" i="11"/>
  <c r="E78" i="11"/>
  <c r="K78" i="11"/>
  <c r="F78" i="11"/>
  <c r="J47" i="7"/>
  <c r="H48" i="7"/>
  <c r="I48" i="7"/>
  <c r="G48" i="7"/>
  <c r="K48" i="7"/>
  <c r="B48" i="7"/>
  <c r="C48" i="7"/>
  <c r="D48" i="7"/>
  <c r="F48" i="7"/>
  <c r="E48" i="7"/>
  <c r="G312" i="8"/>
  <c r="F312" i="8"/>
  <c r="D312" i="8"/>
  <c r="E312" i="8"/>
  <c r="L312" i="8"/>
  <c r="C312" i="8"/>
  <c r="J312" i="8"/>
  <c r="O312" i="8"/>
  <c r="A116" i="11"/>
  <c r="A117" i="11"/>
  <c r="X115" i="11"/>
  <c r="AG117" i="8"/>
  <c r="AG118" i="8"/>
  <c r="BF116" i="8"/>
  <c r="W113" i="11"/>
  <c r="W114" i="11"/>
  <c r="X112" i="11"/>
  <c r="BF97" i="8"/>
  <c r="BE98" i="8"/>
  <c r="BE99" i="8"/>
  <c r="O44" i="8"/>
  <c r="AL63" i="8"/>
  <c r="AI63" i="8"/>
  <c r="AK63" i="8"/>
  <c r="AN63" i="8"/>
  <c r="AJ63" i="8"/>
  <c r="AM63" i="8"/>
  <c r="AO63" i="8"/>
  <c r="AS63" i="8"/>
  <c r="AQ63" i="8"/>
  <c r="AV63" i="8"/>
  <c r="D79" i="11"/>
  <c r="H79" i="11"/>
  <c r="J79" i="11"/>
  <c r="G79" i="11"/>
  <c r="I79" i="11"/>
  <c r="M79" i="11"/>
  <c r="F79" i="11"/>
  <c r="C79" i="11"/>
  <c r="K79" i="11"/>
  <c r="E79" i="11"/>
  <c r="B79" i="11"/>
  <c r="C313" i="8"/>
  <c r="J313" i="8"/>
  <c r="O313" i="8"/>
  <c r="D313" i="8"/>
  <c r="E313" i="8"/>
  <c r="L313" i="8"/>
  <c r="F313" i="8"/>
  <c r="G313" i="8"/>
  <c r="D49" i="7"/>
  <c r="C49" i="7"/>
  <c r="E49" i="7"/>
  <c r="H49" i="7"/>
  <c r="G49" i="7"/>
  <c r="F49" i="7"/>
  <c r="I49" i="7"/>
  <c r="K49" i="7"/>
  <c r="B49" i="7"/>
  <c r="C127" i="1"/>
  <c r="J48" i="7"/>
  <c r="A118" i="11"/>
  <c r="A119" i="11"/>
  <c r="X117" i="11"/>
  <c r="AG119" i="8"/>
  <c r="AG120" i="8"/>
  <c r="BF118" i="8"/>
  <c r="BE100" i="8"/>
  <c r="BE101" i="8"/>
  <c r="BF99" i="8"/>
  <c r="W115" i="11"/>
  <c r="W116" i="11"/>
  <c r="X114" i="11"/>
  <c r="C45" i="8"/>
  <c r="AK64" i="8"/>
  <c r="AO64" i="8"/>
  <c r="AL64" i="8"/>
  <c r="AI64" i="8"/>
  <c r="AJ64" i="8"/>
  <c r="AM64" i="8"/>
  <c r="AS64" i="8"/>
  <c r="AN64" i="8"/>
  <c r="AQ64" i="8"/>
  <c r="AV64" i="8"/>
  <c r="I80" i="11"/>
  <c r="F80" i="11"/>
  <c r="J80" i="11"/>
  <c r="H80" i="11"/>
  <c r="D80" i="11"/>
  <c r="M80" i="11"/>
  <c r="C80" i="11"/>
  <c r="K80" i="11"/>
  <c r="E80" i="11"/>
  <c r="B80" i="11"/>
  <c r="G80" i="11"/>
  <c r="J49" i="7"/>
  <c r="E314" i="8"/>
  <c r="L314" i="8"/>
  <c r="G314" i="8"/>
  <c r="J314" i="8"/>
  <c r="O314" i="8"/>
  <c r="F314" i="8"/>
  <c r="C314" i="8"/>
  <c r="D314" i="8"/>
  <c r="E50" i="7"/>
  <c r="H50" i="7"/>
  <c r="I50" i="7"/>
  <c r="G50" i="7"/>
  <c r="F50" i="7"/>
  <c r="C50" i="7"/>
  <c r="K50" i="7"/>
  <c r="D50" i="7"/>
  <c r="B50" i="7"/>
  <c r="AG121" i="8"/>
  <c r="AG122" i="8"/>
  <c r="BF120" i="8"/>
  <c r="A120" i="11"/>
  <c r="A121" i="11"/>
  <c r="X119" i="11"/>
  <c r="BE102" i="8"/>
  <c r="BE103" i="8"/>
  <c r="BF101" i="8"/>
  <c r="X116" i="11"/>
  <c r="W117" i="11"/>
  <c r="W118" i="11"/>
  <c r="O45" i="8"/>
  <c r="AS65" i="8"/>
  <c r="AN65" i="8"/>
  <c r="AL65" i="8"/>
  <c r="AK65" i="8"/>
  <c r="AM65" i="8"/>
  <c r="AQ65" i="8"/>
  <c r="AV65" i="8"/>
  <c r="AI65" i="8"/>
  <c r="AO65" i="8"/>
  <c r="AJ65" i="8"/>
  <c r="H81" i="11"/>
  <c r="I81" i="11"/>
  <c r="E81" i="11"/>
  <c r="F81" i="11"/>
  <c r="G81" i="11"/>
  <c r="M81" i="11"/>
  <c r="B81" i="11"/>
  <c r="J81" i="11"/>
  <c r="D81" i="11"/>
  <c r="C81" i="11"/>
  <c r="K81" i="11"/>
  <c r="F315" i="8"/>
  <c r="G315" i="8"/>
  <c r="E315" i="8"/>
  <c r="L315" i="8"/>
  <c r="C315" i="8"/>
  <c r="D315" i="8"/>
  <c r="J315" i="8"/>
  <c r="O315" i="8"/>
  <c r="C128" i="1"/>
  <c r="J50" i="7"/>
  <c r="B51" i="7"/>
  <c r="C51" i="7"/>
  <c r="G51" i="7"/>
  <c r="D51" i="7"/>
  <c r="H51" i="7"/>
  <c r="K51" i="7"/>
  <c r="E51" i="7"/>
  <c r="F51" i="7"/>
  <c r="I51" i="7"/>
  <c r="A122" i="11"/>
  <c r="A123" i="11"/>
  <c r="X121" i="11"/>
  <c r="AG123" i="8"/>
  <c r="AG124" i="8"/>
  <c r="BF122" i="8"/>
  <c r="W119" i="11"/>
  <c r="W120" i="11"/>
  <c r="X118" i="11"/>
  <c r="BE104" i="8"/>
  <c r="BE105" i="8"/>
  <c r="BF103" i="8"/>
  <c r="C46" i="8"/>
  <c r="AJ66" i="8"/>
  <c r="AO66" i="8"/>
  <c r="AL66" i="8"/>
  <c r="AM66" i="8"/>
  <c r="AQ66" i="8"/>
  <c r="AV66" i="8"/>
  <c r="AS66" i="8"/>
  <c r="AI66" i="8"/>
  <c r="AN66" i="8"/>
  <c r="AK66" i="8"/>
  <c r="J51" i="7"/>
  <c r="I82" i="11"/>
  <c r="G82" i="11"/>
  <c r="B82" i="11"/>
  <c r="J82" i="11"/>
  <c r="E82" i="11"/>
  <c r="M82" i="11"/>
  <c r="C82" i="11"/>
  <c r="H82" i="11"/>
  <c r="K82" i="11"/>
  <c r="D82" i="11"/>
  <c r="F82" i="11"/>
  <c r="E316" i="8"/>
  <c r="L316" i="8"/>
  <c r="J316" i="8"/>
  <c r="O316" i="8"/>
  <c r="F316" i="8"/>
  <c r="D316" i="8"/>
  <c r="C316" i="8"/>
  <c r="G316" i="8"/>
  <c r="H52" i="7"/>
  <c r="I52" i="7"/>
  <c r="G52" i="7"/>
  <c r="B52" i="7"/>
  <c r="C52" i="7"/>
  <c r="F52" i="7"/>
  <c r="D52" i="7"/>
  <c r="E52" i="7"/>
  <c r="K52" i="7"/>
  <c r="A124" i="11"/>
  <c r="A125" i="11"/>
  <c r="X123" i="11"/>
  <c r="AG125" i="8"/>
  <c r="AG126" i="8"/>
  <c r="BF124" i="8"/>
  <c r="BF105" i="8"/>
  <c r="BE106" i="8"/>
  <c r="BE107" i="8"/>
  <c r="W121" i="11"/>
  <c r="W122" i="11"/>
  <c r="X120" i="11"/>
  <c r="C47" i="8"/>
  <c r="O47" i="8"/>
  <c r="O46" i="8"/>
  <c r="AM67" i="8"/>
  <c r="AN67" i="8"/>
  <c r="AO67" i="8"/>
  <c r="AQ67" i="8"/>
  <c r="AV67" i="8"/>
  <c r="AS67" i="8"/>
  <c r="AL67" i="8"/>
  <c r="AI67" i="8"/>
  <c r="AK67" i="8"/>
  <c r="AJ67" i="8"/>
  <c r="I83" i="11"/>
  <c r="J83" i="11"/>
  <c r="C83" i="11"/>
  <c r="E83" i="11"/>
  <c r="M83" i="11"/>
  <c r="D83" i="11"/>
  <c r="H83" i="11"/>
  <c r="F83" i="11"/>
  <c r="B83" i="11"/>
  <c r="G83" i="11"/>
  <c r="K83" i="11"/>
  <c r="J52" i="7"/>
  <c r="D317" i="8"/>
  <c r="F317" i="8"/>
  <c r="J317" i="8"/>
  <c r="O317" i="8"/>
  <c r="G317" i="8"/>
  <c r="C317" i="8"/>
  <c r="E317" i="8"/>
  <c r="L317" i="8"/>
  <c r="C53" i="7"/>
  <c r="F53" i="7"/>
  <c r="D53" i="7"/>
  <c r="K53" i="7"/>
  <c r="B53" i="7"/>
  <c r="I53" i="7"/>
  <c r="E53" i="7"/>
  <c r="G53" i="7"/>
  <c r="H53" i="7"/>
  <c r="C129" i="1"/>
  <c r="A126" i="11"/>
  <c r="A127" i="11"/>
  <c r="X125" i="11"/>
  <c r="AG127" i="8"/>
  <c r="AG128" i="8"/>
  <c r="BF126" i="8"/>
  <c r="BF107" i="8"/>
  <c r="BE108" i="8"/>
  <c r="BE109" i="8"/>
  <c r="X122" i="11"/>
  <c r="W123" i="11"/>
  <c r="W124" i="11"/>
  <c r="C48" i="8"/>
  <c r="AJ68" i="8"/>
  <c r="AQ68" i="8"/>
  <c r="AV68" i="8"/>
  <c r="AS68" i="8"/>
  <c r="AM68" i="8"/>
  <c r="AL68" i="8"/>
  <c r="AN68" i="8"/>
  <c r="AI68" i="8"/>
  <c r="AO68" i="8"/>
  <c r="AK68" i="8"/>
  <c r="F84" i="11"/>
  <c r="J84" i="11"/>
  <c r="D84" i="11"/>
  <c r="H84" i="11"/>
  <c r="M84" i="11"/>
  <c r="B84" i="11"/>
  <c r="G84" i="11"/>
  <c r="E84" i="11"/>
  <c r="C84" i="11"/>
  <c r="K84" i="11"/>
  <c r="I84" i="11"/>
  <c r="G318" i="8"/>
  <c r="F318" i="8"/>
  <c r="C318" i="8"/>
  <c r="E318" i="8"/>
  <c r="L318" i="8"/>
  <c r="J318" i="8"/>
  <c r="O318" i="8"/>
  <c r="D318" i="8"/>
  <c r="J53" i="7"/>
  <c r="E54" i="7"/>
  <c r="B54" i="7"/>
  <c r="G54" i="7"/>
  <c r="I54" i="7"/>
  <c r="D54" i="7"/>
  <c r="F54" i="7"/>
  <c r="C54" i="7"/>
  <c r="H54" i="7"/>
  <c r="K54" i="7"/>
  <c r="AG129" i="8"/>
  <c r="AG130" i="8"/>
  <c r="BF128" i="8"/>
  <c r="A128" i="11"/>
  <c r="A129" i="11"/>
  <c r="X127" i="11"/>
  <c r="X124" i="11"/>
  <c r="W125" i="11"/>
  <c r="W126" i="11"/>
  <c r="BF109" i="8"/>
  <c r="BE110" i="8"/>
  <c r="BE111" i="8"/>
  <c r="C49" i="8"/>
  <c r="O49" i="8"/>
  <c r="O48" i="8"/>
  <c r="AL69" i="8"/>
  <c r="AJ69" i="8"/>
  <c r="AN69" i="8"/>
  <c r="AI69" i="8"/>
  <c r="AO69" i="8"/>
  <c r="AS69" i="8"/>
  <c r="AQ69" i="8"/>
  <c r="AV69" i="8"/>
  <c r="AK69" i="8"/>
  <c r="AM69" i="8"/>
  <c r="H85" i="11"/>
  <c r="I85" i="11"/>
  <c r="M85" i="11"/>
  <c r="G85" i="11"/>
  <c r="K85" i="11"/>
  <c r="D85" i="11"/>
  <c r="B85" i="11"/>
  <c r="F85" i="11"/>
  <c r="C85" i="11"/>
  <c r="E85" i="11"/>
  <c r="J85" i="11"/>
  <c r="C130" i="1"/>
  <c r="H55" i="7"/>
  <c r="B55" i="7"/>
  <c r="D55" i="7"/>
  <c r="G55" i="7"/>
  <c r="F55" i="7"/>
  <c r="E55" i="7"/>
  <c r="I55" i="7"/>
  <c r="K55" i="7"/>
  <c r="C55" i="7"/>
  <c r="C319" i="8"/>
  <c r="J319" i="8"/>
  <c r="O319" i="8"/>
  <c r="D319" i="8"/>
  <c r="G319" i="8"/>
  <c r="E319" i="8"/>
  <c r="L319" i="8"/>
  <c r="F319" i="8"/>
  <c r="J54" i="7"/>
  <c r="A130" i="11"/>
  <c r="A131" i="11"/>
  <c r="X129" i="11"/>
  <c r="AG131" i="8"/>
  <c r="AG132" i="8"/>
  <c r="BF130" i="8"/>
  <c r="BE112" i="8"/>
  <c r="BE113" i="8"/>
  <c r="BF111" i="8"/>
  <c r="W127" i="11"/>
  <c r="W128" i="11"/>
  <c r="X126" i="11"/>
  <c r="C50" i="8"/>
  <c r="O50" i="8"/>
  <c r="AK70" i="8"/>
  <c r="AJ70" i="8"/>
  <c r="AM70" i="8"/>
  <c r="AO70" i="8"/>
  <c r="AL70" i="8"/>
  <c r="AS70" i="8"/>
  <c r="AI70" i="8"/>
  <c r="AN70" i="8"/>
  <c r="AQ70" i="8"/>
  <c r="AV70" i="8"/>
  <c r="D86" i="11"/>
  <c r="H86" i="11"/>
  <c r="B86" i="11"/>
  <c r="C86" i="11"/>
  <c r="M86" i="11"/>
  <c r="E86" i="11"/>
  <c r="I86" i="11"/>
  <c r="K86" i="11"/>
  <c r="F86" i="11"/>
  <c r="J86" i="11"/>
  <c r="G86" i="11"/>
  <c r="E320" i="8"/>
  <c r="L320" i="8"/>
  <c r="G320" i="8"/>
  <c r="C320" i="8"/>
  <c r="J320" i="8"/>
  <c r="O320" i="8"/>
  <c r="D320" i="8"/>
  <c r="F320" i="8"/>
  <c r="D56" i="7"/>
  <c r="B56" i="7"/>
  <c r="F56" i="7"/>
  <c r="E56" i="7"/>
  <c r="K56" i="7"/>
  <c r="H56" i="7"/>
  <c r="I56" i="7"/>
  <c r="G56" i="7"/>
  <c r="C56" i="7"/>
  <c r="J55" i="7"/>
  <c r="A132" i="11"/>
  <c r="A133" i="11"/>
  <c r="X131" i="11"/>
  <c r="AG133" i="8"/>
  <c r="AG134" i="8"/>
  <c r="BF132" i="8"/>
  <c r="W129" i="11"/>
  <c r="W130" i="11"/>
  <c r="X128" i="11"/>
  <c r="BF113" i="8"/>
  <c r="BE114" i="8"/>
  <c r="BE115" i="8"/>
  <c r="C51" i="8"/>
  <c r="J56" i="7"/>
  <c r="AJ71" i="8"/>
  <c r="AM71" i="8"/>
  <c r="AK71" i="8"/>
  <c r="AQ71" i="8"/>
  <c r="AV71" i="8"/>
  <c r="AI71" i="8"/>
  <c r="AL71" i="8"/>
  <c r="AO71" i="8"/>
  <c r="AN71" i="8"/>
  <c r="AS71" i="8"/>
  <c r="I87" i="11"/>
  <c r="E87" i="11"/>
  <c r="M87" i="11"/>
  <c r="H87" i="11"/>
  <c r="F87" i="11"/>
  <c r="C87" i="11"/>
  <c r="D87" i="11"/>
  <c r="G87" i="11"/>
  <c r="K87" i="11"/>
  <c r="J87" i="11"/>
  <c r="B87" i="11"/>
  <c r="C321" i="8"/>
  <c r="D321" i="8"/>
  <c r="E321" i="8"/>
  <c r="L321" i="8"/>
  <c r="G321" i="8"/>
  <c r="F321" i="8"/>
  <c r="J321" i="8"/>
  <c r="O321" i="8"/>
  <c r="C57" i="7"/>
  <c r="F57" i="7"/>
  <c r="D57" i="7"/>
  <c r="G57" i="7"/>
  <c r="K57" i="7"/>
  <c r="H57" i="7"/>
  <c r="B57" i="7"/>
  <c r="E57" i="7"/>
  <c r="I57" i="7"/>
  <c r="C131" i="1"/>
  <c r="A134" i="11"/>
  <c r="A135" i="11"/>
  <c r="X133" i="11"/>
  <c r="AG135" i="8"/>
  <c r="AG136" i="8"/>
  <c r="BF134" i="8"/>
  <c r="BE116" i="8"/>
  <c r="BE117" i="8"/>
  <c r="BF115" i="8"/>
  <c r="W131" i="11"/>
  <c r="W132" i="11"/>
  <c r="X130" i="11"/>
  <c r="O51" i="8"/>
  <c r="AM72" i="8"/>
  <c r="AS72" i="8"/>
  <c r="AQ72" i="8"/>
  <c r="AV72" i="8"/>
  <c r="AO72" i="8"/>
  <c r="AJ72" i="8"/>
  <c r="AN72" i="8"/>
  <c r="AI72" i="8"/>
  <c r="AK72" i="8"/>
  <c r="AL72" i="8"/>
  <c r="I88" i="11"/>
  <c r="G88" i="11"/>
  <c r="C88" i="11"/>
  <c r="B88" i="11"/>
  <c r="E88" i="11"/>
  <c r="K88" i="11"/>
  <c r="H88" i="11"/>
  <c r="J88" i="11"/>
  <c r="D88" i="11"/>
  <c r="F88" i="11"/>
  <c r="M88" i="11"/>
  <c r="D58" i="7"/>
  <c r="G58" i="7"/>
  <c r="F58" i="7"/>
  <c r="E58" i="7"/>
  <c r="K58" i="7"/>
  <c r="I58" i="7"/>
  <c r="C58" i="7"/>
  <c r="H58" i="7"/>
  <c r="B58" i="7"/>
  <c r="J57" i="7"/>
  <c r="E322" i="8"/>
  <c r="L322" i="8"/>
  <c r="J322" i="8"/>
  <c r="O322" i="8"/>
  <c r="F322" i="8"/>
  <c r="G322" i="8"/>
  <c r="C322" i="8"/>
  <c r="D322" i="8"/>
  <c r="A136" i="11"/>
  <c r="A137" i="11"/>
  <c r="X135" i="11"/>
  <c r="AG137" i="8"/>
  <c r="AG138" i="8"/>
  <c r="BF136" i="8"/>
  <c r="BF117" i="8"/>
  <c r="BE118" i="8"/>
  <c r="BE119" i="8"/>
  <c r="W133" i="11"/>
  <c r="W134" i="11"/>
  <c r="X132" i="11"/>
  <c r="O52" i="8"/>
  <c r="C52" i="8"/>
  <c r="AK73" i="8"/>
  <c r="AQ73" i="8"/>
  <c r="AV73" i="8"/>
  <c r="AN73" i="8"/>
  <c r="AS73" i="8"/>
  <c r="AI73" i="8"/>
  <c r="AM73" i="8"/>
  <c r="AJ73" i="8"/>
  <c r="AO73" i="8"/>
  <c r="AL73" i="8"/>
  <c r="G89" i="11"/>
  <c r="M89" i="11"/>
  <c r="B89" i="11"/>
  <c r="J89" i="11"/>
  <c r="K89" i="11"/>
  <c r="E89" i="11"/>
  <c r="C89" i="11"/>
  <c r="D89" i="11"/>
  <c r="H89" i="11"/>
  <c r="I89" i="11"/>
  <c r="F89" i="11"/>
  <c r="D59" i="7"/>
  <c r="B59" i="7"/>
  <c r="G59" i="7"/>
  <c r="E59" i="7"/>
  <c r="C59" i="7"/>
  <c r="F59" i="7"/>
  <c r="H59" i="7"/>
  <c r="I59" i="7"/>
  <c r="K59" i="7"/>
  <c r="J58" i="7"/>
  <c r="E323" i="8"/>
  <c r="L323" i="8"/>
  <c r="C323" i="8"/>
  <c r="G323" i="8"/>
  <c r="D323" i="8"/>
  <c r="F323" i="8"/>
  <c r="J323" i="8"/>
  <c r="O323" i="8"/>
  <c r="C132" i="1"/>
  <c r="AG139" i="8"/>
  <c r="AG140" i="8"/>
  <c r="BF138" i="8"/>
  <c r="A138" i="11"/>
  <c r="A139" i="11"/>
  <c r="X137" i="11"/>
  <c r="W135" i="11"/>
  <c r="W136" i="11"/>
  <c r="X134" i="11"/>
  <c r="BE120" i="8"/>
  <c r="BE121" i="8"/>
  <c r="BF119" i="8"/>
  <c r="C53" i="8"/>
  <c r="AJ74" i="8"/>
  <c r="AN74" i="8"/>
  <c r="AM74" i="8"/>
  <c r="AK74" i="8"/>
  <c r="AL74" i="8"/>
  <c r="AI74" i="8"/>
  <c r="AQ74" i="8"/>
  <c r="AV74" i="8"/>
  <c r="AS74" i="8"/>
  <c r="AO74" i="8"/>
  <c r="E90" i="11"/>
  <c r="G90" i="11"/>
  <c r="F90" i="11"/>
  <c r="C90" i="11"/>
  <c r="K90" i="11"/>
  <c r="H90" i="11"/>
  <c r="M90" i="11"/>
  <c r="I90" i="11"/>
  <c r="B90" i="11"/>
  <c r="D90" i="11"/>
  <c r="J90" i="11"/>
  <c r="B60" i="7"/>
  <c r="D60" i="7"/>
  <c r="C60" i="7"/>
  <c r="G60" i="7"/>
  <c r="F60" i="7"/>
  <c r="E60" i="7"/>
  <c r="I60" i="7"/>
  <c r="K60" i="7"/>
  <c r="H60" i="7"/>
  <c r="E324" i="8"/>
  <c r="L324" i="8"/>
  <c r="J324" i="8"/>
  <c r="O324" i="8"/>
  <c r="C324" i="8"/>
  <c r="F324" i="8"/>
  <c r="D324" i="8"/>
  <c r="G324" i="8"/>
  <c r="J59" i="7"/>
  <c r="A140" i="11"/>
  <c r="A141" i="11"/>
  <c r="X139" i="11"/>
  <c r="AG141" i="8"/>
  <c r="AG142" i="8"/>
  <c r="BF140" i="8"/>
  <c r="BF121" i="8"/>
  <c r="BE122" i="8"/>
  <c r="BE123" i="8"/>
  <c r="X136" i="11"/>
  <c r="W137" i="11"/>
  <c r="W138" i="11"/>
  <c r="C54" i="8"/>
  <c r="O53" i="8"/>
  <c r="AK75" i="8"/>
  <c r="AL75" i="8"/>
  <c r="AN75" i="8"/>
  <c r="AS75" i="8"/>
  <c r="AJ75" i="8"/>
  <c r="AI75" i="8"/>
  <c r="AM75" i="8"/>
  <c r="AQ75" i="8"/>
  <c r="AV75" i="8"/>
  <c r="AO75" i="8"/>
  <c r="D91" i="11"/>
  <c r="I91" i="11"/>
  <c r="K91" i="11"/>
  <c r="G91" i="11"/>
  <c r="B91" i="11"/>
  <c r="J91" i="11"/>
  <c r="H91" i="11"/>
  <c r="C91" i="11"/>
  <c r="E91" i="11"/>
  <c r="M91" i="11"/>
  <c r="F91" i="11"/>
  <c r="O54" i="8"/>
  <c r="E325" i="8"/>
  <c r="L325" i="8"/>
  <c r="J325" i="8"/>
  <c r="O325" i="8"/>
  <c r="F325" i="8"/>
  <c r="G325" i="8"/>
  <c r="D325" i="8"/>
  <c r="C325" i="8"/>
  <c r="J60" i="7"/>
  <c r="C133" i="1"/>
  <c r="H61" i="7"/>
  <c r="I61" i="7"/>
  <c r="B61" i="7"/>
  <c r="C61" i="7"/>
  <c r="G61" i="7"/>
  <c r="E61" i="7"/>
  <c r="F61" i="7"/>
  <c r="D61" i="7"/>
  <c r="K61" i="7"/>
  <c r="AG143" i="8"/>
  <c r="AG144" i="8"/>
  <c r="BF142" i="8"/>
  <c r="A142" i="11"/>
  <c r="A143" i="11"/>
  <c r="X141" i="11"/>
  <c r="X138" i="11"/>
  <c r="W139" i="11"/>
  <c r="W140" i="11"/>
  <c r="BE124" i="8"/>
  <c r="BE125" i="8"/>
  <c r="BF123" i="8"/>
  <c r="AN76" i="8"/>
  <c r="AI76" i="8"/>
  <c r="AS76" i="8"/>
  <c r="AL76" i="8"/>
  <c r="AM76" i="8"/>
  <c r="AJ76" i="8"/>
  <c r="AO76" i="8"/>
  <c r="AQ76" i="8"/>
  <c r="AV76" i="8"/>
  <c r="AK76" i="8"/>
  <c r="B92" i="11"/>
  <c r="H92" i="11"/>
  <c r="J92" i="11"/>
  <c r="I92" i="11"/>
  <c r="G92" i="11"/>
  <c r="E92" i="11"/>
  <c r="M92" i="11"/>
  <c r="F92" i="11"/>
  <c r="K92" i="11"/>
  <c r="C92" i="11"/>
  <c r="D92" i="11"/>
  <c r="E326" i="8"/>
  <c r="L326" i="8"/>
  <c r="J326" i="8"/>
  <c r="O326" i="8"/>
  <c r="D326" i="8"/>
  <c r="G326" i="8"/>
  <c r="F326" i="8"/>
  <c r="C326" i="8"/>
  <c r="J61" i="7"/>
  <c r="C55" i="8"/>
  <c r="H62" i="7"/>
  <c r="I62" i="7"/>
  <c r="F62" i="7"/>
  <c r="B62" i="7"/>
  <c r="C62" i="7"/>
  <c r="G62" i="7"/>
  <c r="K62" i="7"/>
  <c r="E62" i="7"/>
  <c r="D62" i="7"/>
  <c r="A144" i="11"/>
  <c r="A145" i="11"/>
  <c r="X143" i="11"/>
  <c r="AG145" i="8"/>
  <c r="AG146" i="8"/>
  <c r="BF144" i="8"/>
  <c r="X140" i="11"/>
  <c r="W141" i="11"/>
  <c r="W142" i="11"/>
  <c r="BF125" i="8"/>
  <c r="BE126" i="8"/>
  <c r="BE127" i="8"/>
  <c r="AM77" i="8"/>
  <c r="AK77" i="8"/>
  <c r="AO77" i="8"/>
  <c r="AL77" i="8"/>
  <c r="AN77" i="8"/>
  <c r="AJ77" i="8"/>
  <c r="AI77" i="8"/>
  <c r="AS77" i="8"/>
  <c r="AQ77" i="8"/>
  <c r="AV77" i="8"/>
  <c r="J62" i="7"/>
  <c r="D93" i="11"/>
  <c r="B93" i="11"/>
  <c r="M93" i="11"/>
  <c r="I93" i="11"/>
  <c r="G93" i="11"/>
  <c r="H93" i="11"/>
  <c r="K93" i="11"/>
  <c r="E93" i="11"/>
  <c r="J93" i="11"/>
  <c r="C93" i="11"/>
  <c r="F93" i="11"/>
  <c r="F327" i="8"/>
  <c r="E327" i="8"/>
  <c r="L327" i="8"/>
  <c r="C327" i="8"/>
  <c r="J327" i="8"/>
  <c r="O327" i="8"/>
  <c r="D327" i="8"/>
  <c r="G327" i="8"/>
  <c r="O55" i="8"/>
  <c r="D63" i="7"/>
  <c r="K63" i="7"/>
  <c r="E63" i="7"/>
  <c r="C63" i="7"/>
  <c r="I63" i="7"/>
  <c r="H63" i="7"/>
  <c r="G63" i="7"/>
  <c r="B63" i="7"/>
  <c r="F63" i="7"/>
  <c r="C134" i="1"/>
  <c r="A146" i="11"/>
  <c r="A147" i="11"/>
  <c r="X145" i="11"/>
  <c r="AG147" i="8"/>
  <c r="AG148" i="8"/>
  <c r="BF146" i="8"/>
  <c r="BE128" i="8"/>
  <c r="BE129" i="8"/>
  <c r="BF127" i="8"/>
  <c r="X142" i="11"/>
  <c r="W143" i="11"/>
  <c r="W144" i="11"/>
  <c r="AO78" i="8"/>
  <c r="AK78" i="8"/>
  <c r="AJ78" i="8"/>
  <c r="AN78" i="8"/>
  <c r="AL78" i="8"/>
  <c r="AM78" i="8"/>
  <c r="AQ78" i="8"/>
  <c r="AV78" i="8"/>
  <c r="AI78" i="8"/>
  <c r="AS78" i="8"/>
  <c r="J63" i="7"/>
  <c r="I94" i="11"/>
  <c r="E94" i="11"/>
  <c r="G94" i="11"/>
  <c r="F94" i="11"/>
  <c r="C94" i="11"/>
  <c r="K94" i="11"/>
  <c r="B94" i="11"/>
  <c r="M94" i="11"/>
  <c r="H94" i="11"/>
  <c r="J94" i="11"/>
  <c r="D94" i="11"/>
  <c r="D64" i="7"/>
  <c r="C64" i="7"/>
  <c r="K64" i="7"/>
  <c r="E64" i="7"/>
  <c r="H64" i="7"/>
  <c r="G64" i="7"/>
  <c r="F64" i="7"/>
  <c r="I64" i="7"/>
  <c r="B64" i="7"/>
  <c r="J328" i="8"/>
  <c r="O328" i="8"/>
  <c r="D328" i="8"/>
  <c r="F328" i="8"/>
  <c r="E328" i="8"/>
  <c r="L328" i="8"/>
  <c r="G328" i="8"/>
  <c r="C328" i="8"/>
  <c r="C56" i="8"/>
  <c r="AG149" i="8"/>
  <c r="AG150" i="8"/>
  <c r="BF148" i="8"/>
  <c r="A148" i="11"/>
  <c r="A149" i="11"/>
  <c r="X147" i="11"/>
  <c r="W145" i="11"/>
  <c r="W146" i="11"/>
  <c r="X144" i="11"/>
  <c r="BF129" i="8"/>
  <c r="BE130" i="8"/>
  <c r="BE131" i="8"/>
  <c r="O56" i="8"/>
  <c r="AQ79" i="8"/>
  <c r="AV79" i="8"/>
  <c r="AI79" i="8"/>
  <c r="AM79" i="8"/>
  <c r="AK79" i="8"/>
  <c r="AO79" i="8"/>
  <c r="AS79" i="8"/>
  <c r="AJ79" i="8"/>
  <c r="AL79" i="8"/>
  <c r="AN79" i="8"/>
  <c r="J64" i="7"/>
  <c r="G95" i="11"/>
  <c r="E95" i="11"/>
  <c r="K95" i="11"/>
  <c r="C95" i="11"/>
  <c r="F95" i="11"/>
  <c r="J95" i="11"/>
  <c r="H95" i="11"/>
  <c r="D95" i="11"/>
  <c r="M95" i="11"/>
  <c r="I95" i="11"/>
  <c r="B95" i="11"/>
  <c r="E329" i="8"/>
  <c r="L329" i="8"/>
  <c r="G329" i="8"/>
  <c r="J329" i="8"/>
  <c r="O329" i="8"/>
  <c r="C329" i="8"/>
  <c r="F329" i="8"/>
  <c r="D329" i="8"/>
  <c r="C135" i="1"/>
  <c r="D65" i="7"/>
  <c r="C65" i="7"/>
  <c r="K65" i="7"/>
  <c r="E65" i="7"/>
  <c r="H65" i="7"/>
  <c r="G65" i="7"/>
  <c r="F65" i="7"/>
  <c r="B65" i="7"/>
  <c r="I65" i="7"/>
  <c r="A150" i="11"/>
  <c r="A151" i="11"/>
  <c r="X149" i="11"/>
  <c r="AG151" i="8"/>
  <c r="AG152" i="8"/>
  <c r="BF150" i="8"/>
  <c r="BE132" i="8"/>
  <c r="BE133" i="8"/>
  <c r="BF131" i="8"/>
  <c r="X146" i="11"/>
  <c r="W147" i="11"/>
  <c r="W148" i="11"/>
  <c r="AK80" i="8"/>
  <c r="AI80" i="8"/>
  <c r="AN80" i="8"/>
  <c r="AS80" i="8"/>
  <c r="AQ80" i="8"/>
  <c r="AV80" i="8"/>
  <c r="AJ80" i="8"/>
  <c r="AL80" i="8"/>
  <c r="AO80" i="8"/>
  <c r="AM80" i="8"/>
  <c r="E96" i="11"/>
  <c r="H96" i="11"/>
  <c r="K96" i="11"/>
  <c r="F96" i="11"/>
  <c r="B96" i="11"/>
  <c r="J96" i="11"/>
  <c r="C96" i="11"/>
  <c r="D96" i="11"/>
  <c r="I96" i="11"/>
  <c r="M96" i="11"/>
  <c r="G96" i="11"/>
  <c r="C57" i="8"/>
  <c r="J330" i="8"/>
  <c r="O330" i="8"/>
  <c r="D330" i="8"/>
  <c r="G330" i="8"/>
  <c r="F330" i="8"/>
  <c r="C330" i="8"/>
  <c r="E330" i="8"/>
  <c r="L330" i="8"/>
  <c r="I66" i="7"/>
  <c r="K66" i="7"/>
  <c r="H66" i="7"/>
  <c r="B66" i="7"/>
  <c r="E66" i="7"/>
  <c r="F66" i="7"/>
  <c r="C66" i="7"/>
  <c r="D66" i="7"/>
  <c r="G66" i="7"/>
  <c r="J65" i="7"/>
  <c r="AG153" i="8"/>
  <c r="AG154" i="8"/>
  <c r="BF152" i="8"/>
  <c r="A152" i="11"/>
  <c r="A153" i="11"/>
  <c r="X151" i="11"/>
  <c r="BF133" i="8"/>
  <c r="BE134" i="8"/>
  <c r="BE135" i="8"/>
  <c r="X148" i="11"/>
  <c r="W149" i="11"/>
  <c r="W150" i="11"/>
  <c r="O57" i="8"/>
  <c r="J66" i="7"/>
  <c r="AM81" i="8"/>
  <c r="AQ81" i="8"/>
  <c r="AV81" i="8"/>
  <c r="AO81" i="8"/>
  <c r="AK81" i="8"/>
  <c r="AJ81" i="8"/>
  <c r="AS81" i="8"/>
  <c r="AL81" i="8"/>
  <c r="AI81" i="8"/>
  <c r="AN81" i="8"/>
  <c r="D97" i="11"/>
  <c r="G97" i="11"/>
  <c r="I97" i="11"/>
  <c r="B97" i="11"/>
  <c r="M97" i="11"/>
  <c r="E97" i="11"/>
  <c r="H97" i="11"/>
  <c r="J97" i="11"/>
  <c r="C97" i="11"/>
  <c r="K97" i="11"/>
  <c r="F97" i="11"/>
  <c r="F331" i="8"/>
  <c r="G331" i="8"/>
  <c r="E331" i="8"/>
  <c r="L331" i="8"/>
  <c r="D331" i="8"/>
  <c r="J331" i="8"/>
  <c r="O331" i="8"/>
  <c r="C331" i="8"/>
  <c r="C136" i="1"/>
  <c r="B67" i="7"/>
  <c r="F67" i="7"/>
  <c r="D67" i="7"/>
  <c r="K67" i="7"/>
  <c r="C67" i="7"/>
  <c r="E67" i="7"/>
  <c r="H67" i="7"/>
  <c r="G67" i="7"/>
  <c r="I67" i="7"/>
  <c r="C58" i="8"/>
  <c r="A154" i="11"/>
  <c r="A155" i="11"/>
  <c r="X153" i="11"/>
  <c r="AG155" i="8"/>
  <c r="AG156" i="8"/>
  <c r="BF154" i="8"/>
  <c r="W151" i="11"/>
  <c r="W152" i="11"/>
  <c r="X150" i="11"/>
  <c r="BE136" i="8"/>
  <c r="BE137" i="8"/>
  <c r="BF135" i="8"/>
  <c r="AK82" i="8"/>
  <c r="AI82" i="8"/>
  <c r="AQ82" i="8"/>
  <c r="AV82" i="8"/>
  <c r="AS82" i="8"/>
  <c r="AL82" i="8"/>
  <c r="AN82" i="8"/>
  <c r="AO82" i="8"/>
  <c r="AM82" i="8"/>
  <c r="AJ82" i="8"/>
  <c r="G98" i="11"/>
  <c r="C98" i="11"/>
  <c r="H98" i="11"/>
  <c r="E98" i="11"/>
  <c r="K98" i="11"/>
  <c r="D98" i="11"/>
  <c r="J98" i="11"/>
  <c r="F98" i="11"/>
  <c r="B98" i="11"/>
  <c r="M98" i="11"/>
  <c r="I98" i="11"/>
  <c r="O58" i="8"/>
  <c r="E332" i="8"/>
  <c r="L332" i="8"/>
  <c r="C332" i="8"/>
  <c r="J332" i="8"/>
  <c r="O332" i="8"/>
  <c r="D332" i="8"/>
  <c r="F332" i="8"/>
  <c r="G332" i="8"/>
  <c r="J67" i="7"/>
  <c r="H68" i="7"/>
  <c r="C68" i="7"/>
  <c r="D68" i="7"/>
  <c r="B68" i="7"/>
  <c r="G68" i="7"/>
  <c r="K68" i="7"/>
  <c r="E68" i="7"/>
  <c r="F68" i="7"/>
  <c r="I68" i="7"/>
  <c r="AG157" i="8"/>
  <c r="AG158" i="8"/>
  <c r="BF156" i="8"/>
  <c r="A156" i="11"/>
  <c r="A157" i="11"/>
  <c r="X155" i="11"/>
  <c r="BE138" i="8"/>
  <c r="BE139" i="8"/>
  <c r="BF137" i="8"/>
  <c r="W153" i="11"/>
  <c r="W154" i="11"/>
  <c r="X152" i="11"/>
  <c r="AL83" i="8"/>
  <c r="AJ83" i="8"/>
  <c r="AK83" i="8"/>
  <c r="AQ83" i="8"/>
  <c r="AV83" i="8"/>
  <c r="AM83" i="8"/>
  <c r="AO83" i="8"/>
  <c r="AI83" i="8"/>
  <c r="AS83" i="8"/>
  <c r="AN83" i="8"/>
  <c r="J99" i="11"/>
  <c r="E99" i="11"/>
  <c r="K99" i="11"/>
  <c r="C99" i="11"/>
  <c r="H99" i="11"/>
  <c r="M99" i="11"/>
  <c r="B99" i="11"/>
  <c r="D99" i="11"/>
  <c r="I99" i="11"/>
  <c r="G99" i="11"/>
  <c r="F99" i="11"/>
  <c r="C59" i="8"/>
  <c r="H69" i="7"/>
  <c r="B69" i="7"/>
  <c r="I69" i="7"/>
  <c r="C69" i="7"/>
  <c r="G69" i="7"/>
  <c r="D69" i="7"/>
  <c r="E69" i="7"/>
  <c r="K69" i="7"/>
  <c r="F69" i="7"/>
  <c r="C137" i="1"/>
  <c r="F333" i="8"/>
  <c r="C333" i="8"/>
  <c r="J333" i="8"/>
  <c r="O333" i="8"/>
  <c r="E333" i="8"/>
  <c r="L333" i="8"/>
  <c r="G333" i="8"/>
  <c r="D333" i="8"/>
  <c r="J68" i="7"/>
  <c r="A158" i="11"/>
  <c r="A159" i="11"/>
  <c r="X157" i="11"/>
  <c r="AG159" i="8"/>
  <c r="AG160" i="8"/>
  <c r="BF158" i="8"/>
  <c r="X154" i="11"/>
  <c r="W155" i="11"/>
  <c r="W156" i="11"/>
  <c r="BF139" i="8"/>
  <c r="BE140" i="8"/>
  <c r="BE141" i="8"/>
  <c r="O59" i="8"/>
  <c r="AO84" i="8"/>
  <c r="AM84" i="8"/>
  <c r="AQ84" i="8"/>
  <c r="AV84" i="8"/>
  <c r="AK84" i="8"/>
  <c r="AJ84" i="8"/>
  <c r="AS84" i="8"/>
  <c r="AI84" i="8"/>
  <c r="AN84" i="8"/>
  <c r="AL84" i="8"/>
  <c r="J69" i="7"/>
  <c r="I100" i="11"/>
  <c r="E100" i="11"/>
  <c r="J100" i="11"/>
  <c r="G100" i="11"/>
  <c r="F100" i="11"/>
  <c r="K100" i="11"/>
  <c r="C100" i="11"/>
  <c r="M100" i="11"/>
  <c r="H100" i="11"/>
  <c r="B100" i="11"/>
  <c r="D100" i="11"/>
  <c r="E334" i="8"/>
  <c r="L334" i="8"/>
  <c r="F334" i="8"/>
  <c r="D334" i="8"/>
  <c r="J334" i="8"/>
  <c r="O334" i="8"/>
  <c r="C334" i="8"/>
  <c r="G334" i="8"/>
  <c r="C60" i="8"/>
  <c r="H70" i="7"/>
  <c r="B70" i="7"/>
  <c r="G70" i="7"/>
  <c r="F70" i="7"/>
  <c r="D70" i="7"/>
  <c r="C70" i="7"/>
  <c r="K70" i="7"/>
  <c r="E70" i="7"/>
  <c r="I70" i="7"/>
  <c r="AG161" i="8"/>
  <c r="AG162" i="8"/>
  <c r="BF160" i="8"/>
  <c r="A160" i="11"/>
  <c r="A161" i="11"/>
  <c r="X159" i="11"/>
  <c r="X156" i="11"/>
  <c r="W157" i="11"/>
  <c r="W158" i="11"/>
  <c r="BF141" i="8"/>
  <c r="BE142" i="8"/>
  <c r="BE143" i="8"/>
  <c r="O60" i="8"/>
  <c r="AJ85" i="8"/>
  <c r="AI85" i="8"/>
  <c r="AO85" i="8"/>
  <c r="AL85" i="8"/>
  <c r="AS85" i="8"/>
  <c r="AQ85" i="8"/>
  <c r="AV85" i="8"/>
  <c r="AM85" i="8"/>
  <c r="AK85" i="8"/>
  <c r="AN85" i="8"/>
  <c r="I101" i="11"/>
  <c r="F101" i="11"/>
  <c r="M101" i="11"/>
  <c r="H101" i="11"/>
  <c r="G101" i="11"/>
  <c r="B101" i="11"/>
  <c r="K101" i="11"/>
  <c r="C101" i="11"/>
  <c r="D101" i="11"/>
  <c r="J101" i="11"/>
  <c r="E101" i="11"/>
  <c r="C138" i="1"/>
  <c r="D335" i="8"/>
  <c r="J335" i="8"/>
  <c r="O335" i="8"/>
  <c r="F335" i="8"/>
  <c r="C335" i="8"/>
  <c r="E335" i="8"/>
  <c r="L335" i="8"/>
  <c r="G335" i="8"/>
  <c r="D71" i="7"/>
  <c r="E71" i="7"/>
  <c r="F71" i="7"/>
  <c r="H71" i="7"/>
  <c r="C71" i="7"/>
  <c r="I71" i="7"/>
  <c r="K71" i="7"/>
  <c r="B71" i="7"/>
  <c r="G71" i="7"/>
  <c r="J70" i="7"/>
  <c r="A162" i="11"/>
  <c r="A163" i="11"/>
  <c r="X161" i="11"/>
  <c r="AG163" i="8"/>
  <c r="AG164" i="8"/>
  <c r="BF162" i="8"/>
  <c r="BE144" i="8"/>
  <c r="BE145" i="8"/>
  <c r="BF143" i="8"/>
  <c r="W159" i="11"/>
  <c r="W160" i="11"/>
  <c r="X158" i="11"/>
  <c r="C61" i="8"/>
  <c r="AL86" i="8"/>
  <c r="AN86" i="8"/>
  <c r="AJ86" i="8"/>
  <c r="AQ86" i="8"/>
  <c r="AV86" i="8"/>
  <c r="AS86" i="8"/>
  <c r="AO86" i="8"/>
  <c r="AI86" i="8"/>
  <c r="AK86" i="8"/>
  <c r="AM86" i="8"/>
  <c r="B102" i="11"/>
  <c r="F102" i="11"/>
  <c r="H102" i="11"/>
  <c r="G102" i="11"/>
  <c r="J102" i="11"/>
  <c r="C102" i="11"/>
  <c r="I102" i="11"/>
  <c r="M102" i="11"/>
  <c r="D102" i="11"/>
  <c r="K102" i="11"/>
  <c r="E102" i="11"/>
  <c r="O61" i="8"/>
  <c r="G336" i="8"/>
  <c r="F336" i="8"/>
  <c r="J336" i="8"/>
  <c r="O336" i="8"/>
  <c r="E336" i="8"/>
  <c r="L336" i="8"/>
  <c r="D336" i="8"/>
  <c r="C336" i="8"/>
  <c r="C139" i="1"/>
  <c r="J71" i="7"/>
  <c r="E72" i="7"/>
  <c r="H72" i="7"/>
  <c r="G72" i="7"/>
  <c r="F72" i="7"/>
  <c r="D72" i="7"/>
  <c r="I72" i="7"/>
  <c r="C72" i="7"/>
  <c r="B72" i="7"/>
  <c r="K72" i="7"/>
  <c r="AG165" i="8"/>
  <c r="AG166" i="8"/>
  <c r="BF164" i="8"/>
  <c r="A164" i="11"/>
  <c r="A165" i="11"/>
  <c r="X163" i="11"/>
  <c r="X160" i="11"/>
  <c r="W161" i="11"/>
  <c r="W162" i="11"/>
  <c r="BF145" i="8"/>
  <c r="BE146" i="8"/>
  <c r="BE147" i="8"/>
  <c r="AM87" i="8"/>
  <c r="AN87" i="8"/>
  <c r="AQ87" i="8"/>
  <c r="AV87" i="8"/>
  <c r="AO87" i="8"/>
  <c r="AJ87" i="8"/>
  <c r="AL87" i="8"/>
  <c r="AS87" i="8"/>
  <c r="AI87" i="8"/>
  <c r="AK87" i="8"/>
  <c r="H103" i="11"/>
  <c r="E103" i="11"/>
  <c r="B103" i="11"/>
  <c r="K103" i="11"/>
  <c r="F103" i="11"/>
  <c r="M103" i="11"/>
  <c r="C103" i="11"/>
  <c r="D103" i="11"/>
  <c r="I103" i="11"/>
  <c r="G103" i="11"/>
  <c r="J103" i="11"/>
  <c r="B73" i="7"/>
  <c r="C73" i="7"/>
  <c r="D73" i="7"/>
  <c r="H73" i="7"/>
  <c r="G73" i="7"/>
  <c r="I73" i="7"/>
  <c r="F73" i="7"/>
  <c r="K73" i="7"/>
  <c r="E73" i="7"/>
  <c r="J72" i="7"/>
  <c r="F337" i="8"/>
  <c r="E337" i="8"/>
  <c r="L337" i="8"/>
  <c r="G337" i="8"/>
  <c r="J337" i="8"/>
  <c r="O337" i="8"/>
  <c r="C337" i="8"/>
  <c r="D337" i="8"/>
  <c r="C62" i="8"/>
  <c r="A166" i="11"/>
  <c r="A167" i="11"/>
  <c r="X165" i="11"/>
  <c r="AG167" i="8"/>
  <c r="AG168" i="8"/>
  <c r="BF166" i="8"/>
  <c r="BE148" i="8"/>
  <c r="BE149" i="8"/>
  <c r="BF147" i="8"/>
  <c r="W163" i="11"/>
  <c r="W164" i="11"/>
  <c r="X162" i="11"/>
  <c r="J73" i="7"/>
  <c r="AO88" i="8"/>
  <c r="AJ88" i="8"/>
  <c r="AK88" i="8"/>
  <c r="AQ88" i="8"/>
  <c r="AV88" i="8"/>
  <c r="AS88" i="8"/>
  <c r="AN88" i="8"/>
  <c r="AI88" i="8"/>
  <c r="AL88" i="8"/>
  <c r="AM88" i="8"/>
  <c r="B104" i="11"/>
  <c r="E104" i="11"/>
  <c r="J104" i="11"/>
  <c r="C104" i="11"/>
  <c r="F104" i="11"/>
  <c r="K104" i="11"/>
  <c r="I104" i="11"/>
  <c r="D104" i="11"/>
  <c r="H104" i="11"/>
  <c r="M104" i="11"/>
  <c r="G104" i="11"/>
  <c r="C63" i="8"/>
  <c r="E338" i="8"/>
  <c r="L338" i="8"/>
  <c r="D338" i="8"/>
  <c r="J338" i="8"/>
  <c r="O338" i="8"/>
  <c r="G338" i="8"/>
  <c r="C338" i="8"/>
  <c r="F338" i="8"/>
  <c r="C140" i="1"/>
  <c r="O62" i="8"/>
  <c r="B74" i="7"/>
  <c r="I74" i="7"/>
  <c r="H74" i="7"/>
  <c r="G74" i="7"/>
  <c r="K74" i="7"/>
  <c r="D74" i="7"/>
  <c r="F74" i="7"/>
  <c r="E74" i="7"/>
  <c r="C74" i="7"/>
  <c r="AG169" i="8"/>
  <c r="AG170" i="8"/>
  <c r="BF168" i="8"/>
  <c r="A168" i="11"/>
  <c r="A169" i="11"/>
  <c r="X167" i="11"/>
  <c r="BF149" i="8"/>
  <c r="BE150" i="8"/>
  <c r="BE151" i="8"/>
  <c r="W165" i="11"/>
  <c r="W166" i="11"/>
  <c r="X164" i="11"/>
  <c r="AS89" i="8"/>
  <c r="AM89" i="8"/>
  <c r="AN89" i="8"/>
  <c r="AJ89" i="8"/>
  <c r="AQ89" i="8"/>
  <c r="AV89" i="8"/>
  <c r="AL89" i="8"/>
  <c r="AK89" i="8"/>
  <c r="AI89" i="8"/>
  <c r="AO89" i="8"/>
  <c r="J74" i="7"/>
  <c r="G105" i="11"/>
  <c r="I105" i="11"/>
  <c r="F105" i="11"/>
  <c r="M105" i="11"/>
  <c r="D105" i="11"/>
  <c r="H105" i="11"/>
  <c r="E105" i="11"/>
  <c r="J105" i="11"/>
  <c r="B105" i="11"/>
  <c r="K105" i="11"/>
  <c r="C105" i="11"/>
  <c r="O63" i="8"/>
  <c r="C339" i="8"/>
  <c r="D339" i="8"/>
  <c r="F339" i="8"/>
  <c r="E339" i="8"/>
  <c r="L339" i="8"/>
  <c r="G339" i="8"/>
  <c r="J339" i="8"/>
  <c r="O339" i="8"/>
  <c r="D75" i="7"/>
  <c r="B75" i="7"/>
  <c r="H75" i="7"/>
  <c r="K75" i="7"/>
  <c r="E75" i="7"/>
  <c r="C75" i="7"/>
  <c r="G75" i="7"/>
  <c r="I75" i="7"/>
  <c r="F75" i="7"/>
  <c r="A170" i="11"/>
  <c r="A171" i="11"/>
  <c r="X169" i="11"/>
  <c r="AG171" i="8"/>
  <c r="AG172" i="8"/>
  <c r="BF170" i="8"/>
  <c r="BF151" i="8"/>
  <c r="BE152" i="8"/>
  <c r="BE153" i="8"/>
  <c r="W167" i="11"/>
  <c r="W168" i="11"/>
  <c r="X166" i="11"/>
  <c r="AJ90" i="8"/>
  <c r="AO90" i="8"/>
  <c r="AK90" i="8"/>
  <c r="AS90" i="8"/>
  <c r="AQ90" i="8"/>
  <c r="AV90" i="8"/>
  <c r="AI90" i="8"/>
  <c r="AM90" i="8"/>
  <c r="AL90" i="8"/>
  <c r="AN90" i="8"/>
  <c r="H106" i="11"/>
  <c r="B106" i="11"/>
  <c r="D106" i="11"/>
  <c r="M106" i="11"/>
  <c r="J106" i="11"/>
  <c r="I106" i="11"/>
  <c r="F106" i="11"/>
  <c r="K106" i="11"/>
  <c r="C106" i="11"/>
  <c r="E106" i="11"/>
  <c r="G106" i="11"/>
  <c r="I76" i="7"/>
  <c r="G76" i="7"/>
  <c r="B76" i="7"/>
  <c r="F76" i="7"/>
  <c r="E76" i="7"/>
  <c r="C76" i="7"/>
  <c r="H76" i="7"/>
  <c r="D76" i="7"/>
  <c r="K76" i="7"/>
  <c r="J340" i="8"/>
  <c r="O340" i="8"/>
  <c r="G340" i="8"/>
  <c r="D340" i="8"/>
  <c r="C340" i="8"/>
  <c r="F340" i="8"/>
  <c r="E340" i="8"/>
  <c r="L340" i="8"/>
  <c r="C64" i="8"/>
  <c r="O64" i="8"/>
  <c r="J75" i="7"/>
  <c r="C141" i="1"/>
  <c r="A172" i="11"/>
  <c r="A173" i="11"/>
  <c r="X171" i="11"/>
  <c r="AG173" i="8"/>
  <c r="AG174" i="8"/>
  <c r="BF172" i="8"/>
  <c r="BF153" i="8"/>
  <c r="BE154" i="8"/>
  <c r="BE155" i="8"/>
  <c r="W169" i="11"/>
  <c r="W170" i="11"/>
  <c r="X168" i="11"/>
  <c r="C65" i="8"/>
  <c r="AI91" i="8"/>
  <c r="AS91" i="8"/>
  <c r="AK91" i="8"/>
  <c r="AM91" i="8"/>
  <c r="AO91" i="8"/>
  <c r="AL91" i="8"/>
  <c r="AN91" i="8"/>
  <c r="AJ91" i="8"/>
  <c r="AQ91" i="8"/>
  <c r="AV91" i="8"/>
  <c r="G107" i="11"/>
  <c r="B107" i="11"/>
  <c r="I107" i="11"/>
  <c r="M107" i="11"/>
  <c r="D107" i="11"/>
  <c r="C107" i="11"/>
  <c r="K107" i="11"/>
  <c r="H107" i="11"/>
  <c r="J107" i="11"/>
  <c r="E107" i="11"/>
  <c r="F107" i="11"/>
  <c r="J76" i="7"/>
  <c r="F341" i="8"/>
  <c r="J341" i="8"/>
  <c r="O341" i="8"/>
  <c r="G341" i="8"/>
  <c r="E341" i="8"/>
  <c r="L341" i="8"/>
  <c r="C341" i="8"/>
  <c r="D341" i="8"/>
  <c r="I77" i="7"/>
  <c r="F77" i="7"/>
  <c r="C77" i="7"/>
  <c r="H77" i="7"/>
  <c r="K77" i="7"/>
  <c r="E77" i="7"/>
  <c r="B77" i="7"/>
  <c r="D77" i="7"/>
  <c r="G77" i="7"/>
  <c r="AG175" i="8"/>
  <c r="AG176" i="8"/>
  <c r="BF174" i="8"/>
  <c r="A174" i="11"/>
  <c r="A175" i="11"/>
  <c r="X173" i="11"/>
  <c r="X170" i="11"/>
  <c r="W171" i="11"/>
  <c r="W172" i="11"/>
  <c r="BE156" i="8"/>
  <c r="BE157" i="8"/>
  <c r="BF155" i="8"/>
  <c r="AJ92" i="8"/>
  <c r="AO92" i="8"/>
  <c r="AS92" i="8"/>
  <c r="AK92" i="8"/>
  <c r="AQ92" i="8"/>
  <c r="AV92" i="8"/>
  <c r="AN92" i="8"/>
  <c r="AI92" i="8"/>
  <c r="AL92" i="8"/>
  <c r="AM92" i="8"/>
  <c r="F108" i="11"/>
  <c r="J108" i="11"/>
  <c r="D108" i="11"/>
  <c r="M108" i="11"/>
  <c r="B108" i="11"/>
  <c r="K108" i="11"/>
  <c r="G108" i="11"/>
  <c r="C108" i="11"/>
  <c r="H108" i="11"/>
  <c r="E108" i="11"/>
  <c r="I108" i="11"/>
  <c r="F342" i="8"/>
  <c r="J342" i="8"/>
  <c r="O342" i="8"/>
  <c r="G342" i="8"/>
  <c r="E342" i="8"/>
  <c r="L342" i="8"/>
  <c r="D342" i="8"/>
  <c r="C342" i="8"/>
  <c r="J77" i="7"/>
  <c r="I78" i="7"/>
  <c r="K78" i="7"/>
  <c r="C78" i="7"/>
  <c r="H78" i="7"/>
  <c r="G78" i="7"/>
  <c r="D78" i="7"/>
  <c r="F78" i="7"/>
  <c r="E78" i="7"/>
  <c r="B78" i="7"/>
  <c r="C142" i="1"/>
  <c r="O65" i="8"/>
  <c r="AG177" i="8"/>
  <c r="AG178" i="8"/>
  <c r="BF176" i="8"/>
  <c r="A176" i="11"/>
  <c r="A177" i="11"/>
  <c r="X175" i="11"/>
  <c r="W173" i="11"/>
  <c r="W174" i="11"/>
  <c r="X172" i="11"/>
  <c r="BE158" i="8"/>
  <c r="BE159" i="8"/>
  <c r="BF157" i="8"/>
  <c r="C66" i="8"/>
  <c r="J78" i="7"/>
  <c r="AJ93" i="8"/>
  <c r="AL93" i="8"/>
  <c r="AK93" i="8"/>
  <c r="AS93" i="8"/>
  <c r="AO93" i="8"/>
  <c r="AN93" i="8"/>
  <c r="AM93" i="8"/>
  <c r="AI93" i="8"/>
  <c r="AQ93" i="8"/>
  <c r="AV93" i="8"/>
  <c r="D109" i="11"/>
  <c r="M109" i="11"/>
  <c r="H109" i="11"/>
  <c r="F109" i="11"/>
  <c r="K109" i="11"/>
  <c r="J109" i="11"/>
  <c r="E109" i="11"/>
  <c r="I109" i="11"/>
  <c r="B109" i="11"/>
  <c r="C109" i="11"/>
  <c r="G109" i="11"/>
  <c r="O66" i="8"/>
  <c r="E79" i="7"/>
  <c r="I79" i="7"/>
  <c r="G79" i="7"/>
  <c r="B79" i="7"/>
  <c r="F79" i="7"/>
  <c r="H79" i="7"/>
  <c r="K79" i="7"/>
  <c r="D79" i="7"/>
  <c r="C79" i="7"/>
  <c r="F343" i="8"/>
  <c r="J343" i="8"/>
  <c r="O343" i="8"/>
  <c r="G343" i="8"/>
  <c r="E343" i="8"/>
  <c r="L343" i="8"/>
  <c r="C343" i="8"/>
  <c r="D343" i="8"/>
  <c r="A178" i="11"/>
  <c r="A179" i="11"/>
  <c r="X177" i="11"/>
  <c r="AG179" i="8"/>
  <c r="AG180" i="8"/>
  <c r="BF178" i="8"/>
  <c r="X174" i="11"/>
  <c r="W175" i="11"/>
  <c r="W176" i="11"/>
  <c r="BF159" i="8"/>
  <c r="BE160" i="8"/>
  <c r="BE161" i="8"/>
  <c r="J79" i="7"/>
  <c r="AM94" i="8"/>
  <c r="AK94" i="8"/>
  <c r="AQ94" i="8"/>
  <c r="AV94" i="8"/>
  <c r="AL94" i="8"/>
  <c r="AJ94" i="8"/>
  <c r="AO94" i="8"/>
  <c r="AS94" i="8"/>
  <c r="AI94" i="8"/>
  <c r="AN94" i="8"/>
  <c r="E110" i="11"/>
  <c r="J110" i="11"/>
  <c r="F110" i="11"/>
  <c r="K110" i="11"/>
  <c r="B110" i="11"/>
  <c r="G110" i="11"/>
  <c r="C110" i="11"/>
  <c r="D110" i="11"/>
  <c r="H110" i="11"/>
  <c r="M110" i="11"/>
  <c r="I110" i="11"/>
  <c r="E344" i="8"/>
  <c r="L344" i="8"/>
  <c r="J344" i="8"/>
  <c r="O344" i="8"/>
  <c r="C344" i="8"/>
  <c r="G344" i="8"/>
  <c r="D344" i="8"/>
  <c r="F344" i="8"/>
  <c r="C143" i="1"/>
  <c r="I80" i="7"/>
  <c r="G80" i="7"/>
  <c r="B80" i="7"/>
  <c r="F80" i="7"/>
  <c r="D80" i="7"/>
  <c r="E80" i="7"/>
  <c r="C80" i="7"/>
  <c r="K80" i="7"/>
  <c r="H80" i="7"/>
  <c r="C67" i="8"/>
  <c r="A180" i="11"/>
  <c r="A181" i="11"/>
  <c r="X179" i="11"/>
  <c r="AG181" i="8"/>
  <c r="AG182" i="8"/>
  <c r="BF180" i="8"/>
  <c r="BF161" i="8"/>
  <c r="BE162" i="8"/>
  <c r="BE163" i="8"/>
  <c r="W177" i="11"/>
  <c r="W178" i="11"/>
  <c r="X176" i="11"/>
  <c r="O67" i="8"/>
  <c r="AM95" i="8"/>
  <c r="AK95" i="8"/>
  <c r="AO95" i="8"/>
  <c r="AL95" i="8"/>
  <c r="AQ95" i="8"/>
  <c r="AV95" i="8"/>
  <c r="AN95" i="8"/>
  <c r="AI95" i="8"/>
  <c r="AJ95" i="8"/>
  <c r="AS95" i="8"/>
  <c r="G111" i="11"/>
  <c r="C111" i="11"/>
  <c r="M111" i="11"/>
  <c r="J111" i="11"/>
  <c r="E111" i="11"/>
  <c r="I111" i="11"/>
  <c r="B111" i="11"/>
  <c r="D111" i="11"/>
  <c r="K111" i="11"/>
  <c r="F111" i="11"/>
  <c r="H111" i="11"/>
  <c r="J80" i="7"/>
  <c r="D345" i="8"/>
  <c r="F345" i="8"/>
  <c r="C345" i="8"/>
  <c r="J345" i="8"/>
  <c r="O345" i="8"/>
  <c r="E345" i="8"/>
  <c r="L345" i="8"/>
  <c r="G345" i="8"/>
  <c r="D81" i="7"/>
  <c r="C81" i="7"/>
  <c r="E81" i="7"/>
  <c r="G81" i="7"/>
  <c r="K81" i="7"/>
  <c r="B81" i="7"/>
  <c r="F81" i="7"/>
  <c r="I81" i="7"/>
  <c r="H81" i="7"/>
  <c r="AG183" i="8"/>
  <c r="AG184" i="8"/>
  <c r="BF182" i="8"/>
  <c r="A182" i="11"/>
  <c r="A183" i="11"/>
  <c r="X181" i="11"/>
  <c r="W179" i="11"/>
  <c r="W180" i="11"/>
  <c r="X178" i="11"/>
  <c r="BE164" i="8"/>
  <c r="BE165" i="8"/>
  <c r="BF163" i="8"/>
  <c r="O68" i="8"/>
  <c r="C68" i="8"/>
  <c r="AO96" i="8"/>
  <c r="AK96" i="8"/>
  <c r="AQ96" i="8"/>
  <c r="AV96" i="8"/>
  <c r="AI96" i="8"/>
  <c r="AJ96" i="8"/>
  <c r="AS96" i="8"/>
  <c r="AM96" i="8"/>
  <c r="AL96" i="8"/>
  <c r="AN96" i="8"/>
  <c r="C112" i="11"/>
  <c r="E112" i="11"/>
  <c r="I112" i="11"/>
  <c r="H112" i="11"/>
  <c r="J112" i="11"/>
  <c r="B112" i="11"/>
  <c r="K112" i="11"/>
  <c r="G112" i="11"/>
  <c r="M112" i="11"/>
  <c r="F112" i="11"/>
  <c r="D112" i="11"/>
  <c r="G346" i="8"/>
  <c r="D346" i="8"/>
  <c r="J346" i="8"/>
  <c r="O346" i="8"/>
  <c r="F346" i="8"/>
  <c r="C346" i="8"/>
  <c r="E346" i="8"/>
  <c r="L346" i="8"/>
  <c r="J81" i="7"/>
  <c r="C144" i="1"/>
  <c r="H82" i="7"/>
  <c r="B82" i="7"/>
  <c r="F82" i="7"/>
  <c r="I82" i="7"/>
  <c r="K82" i="7"/>
  <c r="D82" i="7"/>
  <c r="C82" i="7"/>
  <c r="E82" i="7"/>
  <c r="G82" i="7"/>
  <c r="A184" i="11"/>
  <c r="A185" i="11"/>
  <c r="X183" i="11"/>
  <c r="AG185" i="8"/>
  <c r="AG186" i="8"/>
  <c r="BF184" i="8"/>
  <c r="BF165" i="8"/>
  <c r="BE166" i="8"/>
  <c r="BE167" i="8"/>
  <c r="W181" i="11"/>
  <c r="W182" i="11"/>
  <c r="X180" i="11"/>
  <c r="AJ97" i="8"/>
  <c r="AL97" i="8"/>
  <c r="AO97" i="8"/>
  <c r="AQ97" i="8"/>
  <c r="AV97" i="8"/>
  <c r="AS97" i="8"/>
  <c r="AN97" i="8"/>
  <c r="AI97" i="8"/>
  <c r="AM97" i="8"/>
  <c r="AK97" i="8"/>
  <c r="H113" i="11"/>
  <c r="B113" i="11"/>
  <c r="E113" i="11"/>
  <c r="K113" i="11"/>
  <c r="I113" i="11"/>
  <c r="M113" i="11"/>
  <c r="D113" i="11"/>
  <c r="J113" i="11"/>
  <c r="C113" i="11"/>
  <c r="F113" i="11"/>
  <c r="G113" i="11"/>
  <c r="G347" i="8"/>
  <c r="C347" i="8"/>
  <c r="D347" i="8"/>
  <c r="J347" i="8"/>
  <c r="O347" i="8"/>
  <c r="F347" i="8"/>
  <c r="E347" i="8"/>
  <c r="L347" i="8"/>
  <c r="J82" i="7"/>
  <c r="E83" i="7"/>
  <c r="I83" i="7"/>
  <c r="K83" i="7"/>
  <c r="B83" i="7"/>
  <c r="H83" i="7"/>
  <c r="F83" i="7"/>
  <c r="D83" i="7"/>
  <c r="C83" i="7"/>
  <c r="G83" i="7"/>
  <c r="C69" i="8"/>
  <c r="AG187" i="8"/>
  <c r="AG188" i="8"/>
  <c r="BF186" i="8"/>
  <c r="A186" i="11"/>
  <c r="A187" i="11"/>
  <c r="X185" i="11"/>
  <c r="BF167" i="8"/>
  <c r="BE168" i="8"/>
  <c r="BE169" i="8"/>
  <c r="W183" i="11"/>
  <c r="W184" i="11"/>
  <c r="X182" i="11"/>
  <c r="AM98" i="8"/>
  <c r="AS98" i="8"/>
  <c r="AL98" i="8"/>
  <c r="AK98" i="8"/>
  <c r="AQ98" i="8"/>
  <c r="AV98" i="8"/>
  <c r="AO98" i="8"/>
  <c r="AI98" i="8"/>
  <c r="AJ98" i="8"/>
  <c r="AN98" i="8"/>
  <c r="G114" i="11"/>
  <c r="J114" i="11"/>
  <c r="K114" i="11"/>
  <c r="E114" i="11"/>
  <c r="D114" i="11"/>
  <c r="C114" i="11"/>
  <c r="I114" i="11"/>
  <c r="B114" i="11"/>
  <c r="F114" i="11"/>
  <c r="M114" i="11"/>
  <c r="H114" i="11"/>
  <c r="D348" i="8"/>
  <c r="G348" i="8"/>
  <c r="F348" i="8"/>
  <c r="C348" i="8"/>
  <c r="J348" i="8"/>
  <c r="O348" i="8"/>
  <c r="E348" i="8"/>
  <c r="L348" i="8"/>
  <c r="O69" i="8"/>
  <c r="C145" i="1"/>
  <c r="J83" i="7"/>
  <c r="H84" i="7"/>
  <c r="D84" i="7"/>
  <c r="C84" i="7"/>
  <c r="E84" i="7"/>
  <c r="F84" i="7"/>
  <c r="I84" i="7"/>
  <c r="K84" i="7"/>
  <c r="B84" i="7"/>
  <c r="G84" i="7"/>
  <c r="A188" i="11"/>
  <c r="A189" i="11"/>
  <c r="X187" i="11"/>
  <c r="BF188" i="8"/>
  <c r="AG189" i="8"/>
  <c r="AG190" i="8"/>
  <c r="BF169" i="8"/>
  <c r="BE170" i="8"/>
  <c r="BE171" i="8"/>
  <c r="W185" i="11"/>
  <c r="W186" i="11"/>
  <c r="X184" i="11"/>
  <c r="AI99" i="8"/>
  <c r="AK99" i="8"/>
  <c r="AS99" i="8"/>
  <c r="AL99" i="8"/>
  <c r="AJ99" i="8"/>
  <c r="AN99" i="8"/>
  <c r="AM99" i="8"/>
  <c r="AO99" i="8"/>
  <c r="AQ99" i="8"/>
  <c r="AV99" i="8"/>
  <c r="I115" i="11"/>
  <c r="M115" i="11"/>
  <c r="D115" i="11"/>
  <c r="C115" i="11"/>
  <c r="E115" i="11"/>
  <c r="J115" i="11"/>
  <c r="K115" i="11"/>
  <c r="B115" i="11"/>
  <c r="F115" i="11"/>
  <c r="H115" i="11"/>
  <c r="G115" i="11"/>
  <c r="G349" i="8"/>
  <c r="D349" i="8"/>
  <c r="C349" i="8"/>
  <c r="F349" i="8"/>
  <c r="E349" i="8"/>
  <c r="L349" i="8"/>
  <c r="J349" i="8"/>
  <c r="O349" i="8"/>
  <c r="J84" i="7"/>
  <c r="I85" i="7"/>
  <c r="K85" i="7"/>
  <c r="D85" i="7"/>
  <c r="E85" i="7"/>
  <c r="G85" i="7"/>
  <c r="B85" i="7"/>
  <c r="F85" i="7"/>
  <c r="H85" i="7"/>
  <c r="C85" i="7"/>
  <c r="C70" i="8"/>
  <c r="AG191" i="8"/>
  <c r="AG192" i="8"/>
  <c r="BF190" i="8"/>
  <c r="A190" i="11"/>
  <c r="A191" i="11"/>
  <c r="X189" i="11"/>
  <c r="X186" i="11"/>
  <c r="W187" i="11"/>
  <c r="W188" i="11"/>
  <c r="BE172" i="8"/>
  <c r="BE173" i="8"/>
  <c r="BF171" i="8"/>
  <c r="O70" i="8"/>
  <c r="J85" i="7"/>
  <c r="AJ100" i="8"/>
  <c r="AI100" i="8"/>
  <c r="AL100" i="8"/>
  <c r="AM100" i="8"/>
  <c r="AK100" i="8"/>
  <c r="AO100" i="8"/>
  <c r="AN100" i="8"/>
  <c r="AS100" i="8"/>
  <c r="AQ100" i="8"/>
  <c r="AV100" i="8"/>
  <c r="H116" i="11"/>
  <c r="E116" i="11"/>
  <c r="B116" i="11"/>
  <c r="C116" i="11"/>
  <c r="J116" i="11"/>
  <c r="I116" i="11"/>
  <c r="D116" i="11"/>
  <c r="M116" i="11"/>
  <c r="G116" i="11"/>
  <c r="F116" i="11"/>
  <c r="K116" i="11"/>
  <c r="E350" i="8"/>
  <c r="L350" i="8"/>
  <c r="J350" i="8"/>
  <c r="O350" i="8"/>
  <c r="C350" i="8"/>
  <c r="G350" i="8"/>
  <c r="D350" i="8"/>
  <c r="F350" i="8"/>
  <c r="B86" i="7"/>
  <c r="C86" i="7"/>
  <c r="F86" i="7"/>
  <c r="H86" i="7"/>
  <c r="D86" i="7"/>
  <c r="I86" i="7"/>
  <c r="E86" i="7"/>
  <c r="G86" i="7"/>
  <c r="K86" i="7"/>
  <c r="C146" i="1"/>
  <c r="AG193" i="8"/>
  <c r="AG194" i="8"/>
  <c r="BF192" i="8"/>
  <c r="A192" i="11"/>
  <c r="A193" i="11"/>
  <c r="X191" i="11"/>
  <c r="X188" i="11"/>
  <c r="W189" i="11"/>
  <c r="W190" i="11"/>
  <c r="BF173" i="8"/>
  <c r="BE174" i="8"/>
  <c r="BE175" i="8"/>
  <c r="J86" i="7"/>
  <c r="AN101" i="8"/>
  <c r="AJ101" i="8"/>
  <c r="AS101" i="8"/>
  <c r="AK101" i="8"/>
  <c r="AI101" i="8"/>
  <c r="AL101" i="8"/>
  <c r="AO101" i="8"/>
  <c r="AM101" i="8"/>
  <c r="AQ101" i="8"/>
  <c r="AV101" i="8"/>
  <c r="G117" i="11"/>
  <c r="B117" i="11"/>
  <c r="K117" i="11"/>
  <c r="F117" i="11"/>
  <c r="C117" i="11"/>
  <c r="H117" i="11"/>
  <c r="D117" i="11"/>
  <c r="M117" i="11"/>
  <c r="I117" i="11"/>
  <c r="E117" i="11"/>
  <c r="J117" i="11"/>
  <c r="C71" i="8"/>
  <c r="D87" i="7"/>
  <c r="K87" i="7"/>
  <c r="H87" i="7"/>
  <c r="E87" i="7"/>
  <c r="I87" i="7"/>
  <c r="G87" i="7"/>
  <c r="B87" i="7"/>
  <c r="F87" i="7"/>
  <c r="C87" i="7"/>
  <c r="F351" i="8"/>
  <c r="J351" i="8"/>
  <c r="O351" i="8"/>
  <c r="E351" i="8"/>
  <c r="L351" i="8"/>
  <c r="C351" i="8"/>
  <c r="G351" i="8"/>
  <c r="D351" i="8"/>
  <c r="A194" i="11"/>
  <c r="A195" i="11"/>
  <c r="X193" i="11"/>
  <c r="AG195" i="8"/>
  <c r="AG196" i="8"/>
  <c r="BF194" i="8"/>
  <c r="X190" i="11"/>
  <c r="W191" i="11"/>
  <c r="W192" i="11"/>
  <c r="BE176" i="8"/>
  <c r="BE177" i="8"/>
  <c r="BF175" i="8"/>
  <c r="O71" i="8"/>
  <c r="AS102" i="8"/>
  <c r="AM102" i="8"/>
  <c r="AO102" i="8"/>
  <c r="AK102" i="8"/>
  <c r="AI102" i="8"/>
  <c r="AJ102" i="8"/>
  <c r="AN102" i="8"/>
  <c r="AQ102" i="8"/>
  <c r="AV102" i="8"/>
  <c r="AL102" i="8"/>
  <c r="D118" i="11"/>
  <c r="C118" i="11"/>
  <c r="E118" i="11"/>
  <c r="I118" i="11"/>
  <c r="B118" i="11"/>
  <c r="K118" i="11"/>
  <c r="M118" i="11"/>
  <c r="F118" i="11"/>
  <c r="J118" i="11"/>
  <c r="H118" i="11"/>
  <c r="G118" i="11"/>
  <c r="F352" i="8"/>
  <c r="J352" i="8"/>
  <c r="O352" i="8"/>
  <c r="E352" i="8"/>
  <c r="L352" i="8"/>
  <c r="G352" i="8"/>
  <c r="C352" i="8"/>
  <c r="D352" i="8"/>
  <c r="C72" i="8"/>
  <c r="C147" i="1"/>
  <c r="J87" i="7"/>
  <c r="E88" i="7"/>
  <c r="F88" i="7"/>
  <c r="G88" i="7"/>
  <c r="B88" i="7"/>
  <c r="K88" i="7"/>
  <c r="D88" i="7"/>
  <c r="I88" i="7"/>
  <c r="C88" i="7"/>
  <c r="H88" i="7"/>
  <c r="BF196" i="8"/>
  <c r="AG197" i="8"/>
  <c r="AG198" i="8"/>
  <c r="A196" i="11"/>
  <c r="A197" i="11"/>
  <c r="X195" i="11"/>
  <c r="BF177" i="8"/>
  <c r="BE178" i="8"/>
  <c r="BE179" i="8"/>
  <c r="W193" i="11"/>
  <c r="W194" i="11"/>
  <c r="X192" i="11"/>
  <c r="O72" i="8"/>
  <c r="AS103" i="8"/>
  <c r="AL103" i="8"/>
  <c r="AJ103" i="8"/>
  <c r="AK103" i="8"/>
  <c r="AI103" i="8"/>
  <c r="AQ103" i="8"/>
  <c r="AV103" i="8"/>
  <c r="AO103" i="8"/>
  <c r="AM103" i="8"/>
  <c r="AN103" i="8"/>
  <c r="D119" i="11"/>
  <c r="M119" i="11"/>
  <c r="J119" i="11"/>
  <c r="B119" i="11"/>
  <c r="I119" i="11"/>
  <c r="E119" i="11"/>
  <c r="C119" i="11"/>
  <c r="H119" i="11"/>
  <c r="G119" i="11"/>
  <c r="F119" i="11"/>
  <c r="K119" i="11"/>
  <c r="J88" i="7"/>
  <c r="F353" i="8"/>
  <c r="E353" i="8"/>
  <c r="J353" i="8"/>
  <c r="O353" i="8"/>
  <c r="C353" i="8"/>
  <c r="G353" i="8"/>
  <c r="L353" i="8"/>
  <c r="D353" i="8"/>
  <c r="E89" i="7"/>
  <c r="H89" i="7"/>
  <c r="K89" i="7"/>
  <c r="G89" i="7"/>
  <c r="C89" i="7"/>
  <c r="F89" i="7"/>
  <c r="D89" i="7"/>
  <c r="B89" i="7"/>
  <c r="I89" i="7"/>
  <c r="AG199" i="8"/>
  <c r="AG200" i="8"/>
  <c r="BF198" i="8"/>
  <c r="A198" i="11"/>
  <c r="A199" i="11"/>
  <c r="X197" i="11"/>
  <c r="W195" i="11"/>
  <c r="W196" i="11"/>
  <c r="X194" i="11"/>
  <c r="BE180" i="8"/>
  <c r="BE181" i="8"/>
  <c r="BF179" i="8"/>
  <c r="AI104" i="8"/>
  <c r="AK104" i="8"/>
  <c r="AQ104" i="8"/>
  <c r="AV104" i="8"/>
  <c r="AM104" i="8"/>
  <c r="AS104" i="8"/>
  <c r="AL104" i="8"/>
  <c r="AN104" i="8"/>
  <c r="AJ104" i="8"/>
  <c r="AO104" i="8"/>
  <c r="D120" i="11"/>
  <c r="G120" i="11"/>
  <c r="M120" i="11"/>
  <c r="J120" i="11"/>
  <c r="C120" i="11"/>
  <c r="E120" i="11"/>
  <c r="H120" i="11"/>
  <c r="I120" i="11"/>
  <c r="K120" i="11"/>
  <c r="B120" i="11"/>
  <c r="F120" i="11"/>
  <c r="C73" i="8"/>
  <c r="C90" i="7"/>
  <c r="I90" i="7"/>
  <c r="K90" i="7"/>
  <c r="B90" i="7"/>
  <c r="D90" i="7"/>
  <c r="G90" i="7"/>
  <c r="H90" i="7"/>
  <c r="E90" i="7"/>
  <c r="F90" i="7"/>
  <c r="F354" i="8"/>
  <c r="G354" i="8"/>
  <c r="E354" i="8"/>
  <c r="L354" i="8"/>
  <c r="J354" i="8"/>
  <c r="O354" i="8"/>
  <c r="C354" i="8"/>
  <c r="D354" i="8"/>
  <c r="C148" i="1"/>
  <c r="J89" i="7"/>
  <c r="AG201" i="8"/>
  <c r="AG202" i="8"/>
  <c r="BF200" i="8"/>
  <c r="A200" i="11"/>
  <c r="A201" i="11"/>
  <c r="X199" i="11"/>
  <c r="BF181" i="8"/>
  <c r="BE182" i="8"/>
  <c r="BE183" i="8"/>
  <c r="W197" i="11"/>
  <c r="W198" i="11"/>
  <c r="X196" i="11"/>
  <c r="AO105" i="8"/>
  <c r="AI105" i="8"/>
  <c r="AQ105" i="8"/>
  <c r="AV105" i="8"/>
  <c r="AJ105" i="8"/>
  <c r="AK105" i="8"/>
  <c r="AS105" i="8"/>
  <c r="AM105" i="8"/>
  <c r="AL105" i="8"/>
  <c r="AN105" i="8"/>
  <c r="G121" i="11"/>
  <c r="J121" i="11"/>
  <c r="C121" i="11"/>
  <c r="H121" i="11"/>
  <c r="F121" i="11"/>
  <c r="K121" i="11"/>
  <c r="B121" i="11"/>
  <c r="D121" i="11"/>
  <c r="I121" i="11"/>
  <c r="E121" i="11"/>
  <c r="M121" i="11"/>
  <c r="E355" i="8"/>
  <c r="L355" i="8"/>
  <c r="J355" i="8"/>
  <c r="O355" i="8"/>
  <c r="F355" i="8"/>
  <c r="G355" i="8"/>
  <c r="D355" i="8"/>
  <c r="C355" i="8"/>
  <c r="O73" i="8"/>
  <c r="C91" i="7"/>
  <c r="B91" i="7"/>
  <c r="F91" i="7"/>
  <c r="H91" i="7"/>
  <c r="G91" i="7"/>
  <c r="D91" i="7"/>
  <c r="K91" i="7"/>
  <c r="I91" i="7"/>
  <c r="E91" i="7"/>
  <c r="J90" i="7"/>
  <c r="A202" i="11"/>
  <c r="A203" i="11"/>
  <c r="X201" i="11"/>
  <c r="AG203" i="8"/>
  <c r="AG204" i="8"/>
  <c r="BF202" i="8"/>
  <c r="BF183" i="8"/>
  <c r="BE184" i="8"/>
  <c r="BE185" i="8"/>
  <c r="X198" i="11"/>
  <c r="W199" i="11"/>
  <c r="W200" i="11"/>
  <c r="J91" i="7"/>
  <c r="AM106" i="8"/>
  <c r="AJ106" i="8"/>
  <c r="AI106" i="8"/>
  <c r="AS106" i="8"/>
  <c r="AQ106" i="8"/>
  <c r="AV106" i="8"/>
  <c r="AN106" i="8"/>
  <c r="AL106" i="8"/>
  <c r="AK106" i="8"/>
  <c r="AO106" i="8"/>
  <c r="D122" i="11"/>
  <c r="I122" i="11"/>
  <c r="K122" i="11"/>
  <c r="H122" i="11"/>
  <c r="M122" i="11"/>
  <c r="F122" i="11"/>
  <c r="E122" i="11"/>
  <c r="J122" i="11"/>
  <c r="B122" i="11"/>
  <c r="C122" i="11"/>
  <c r="G122" i="11"/>
  <c r="F356" i="8"/>
  <c r="E356" i="8"/>
  <c r="L356" i="8"/>
  <c r="J356" i="8"/>
  <c r="O356" i="8"/>
  <c r="G356" i="8"/>
  <c r="D356" i="8"/>
  <c r="C356" i="8"/>
  <c r="I92" i="7"/>
  <c r="G92" i="7"/>
  <c r="B92" i="7"/>
  <c r="F92" i="7"/>
  <c r="K92" i="7"/>
  <c r="E92" i="7"/>
  <c r="C92" i="7"/>
  <c r="D92" i="7"/>
  <c r="H92" i="7"/>
  <c r="C74" i="8"/>
  <c r="C149" i="1"/>
  <c r="AG205" i="8"/>
  <c r="AG206" i="8"/>
  <c r="BF204" i="8"/>
  <c r="A204" i="11"/>
  <c r="A205" i="11"/>
  <c r="X203" i="11"/>
  <c r="BE186" i="8"/>
  <c r="BE187" i="8"/>
  <c r="BF185" i="8"/>
  <c r="W201" i="11"/>
  <c r="W202" i="11"/>
  <c r="X200" i="11"/>
  <c r="O74" i="8"/>
  <c r="AN107" i="8"/>
  <c r="AM107" i="8"/>
  <c r="AK107" i="8"/>
  <c r="AI107" i="8"/>
  <c r="AJ107" i="8"/>
  <c r="AQ107" i="8"/>
  <c r="AV107" i="8"/>
  <c r="AL107" i="8"/>
  <c r="AS107" i="8"/>
  <c r="AO107" i="8"/>
  <c r="D123" i="11"/>
  <c r="C123" i="11"/>
  <c r="J123" i="11"/>
  <c r="G123" i="11"/>
  <c r="I123" i="11"/>
  <c r="K123" i="11"/>
  <c r="E123" i="11"/>
  <c r="B123" i="11"/>
  <c r="M123" i="11"/>
  <c r="F123" i="11"/>
  <c r="H123" i="11"/>
  <c r="E357" i="8"/>
  <c r="L357" i="8"/>
  <c r="J357" i="8"/>
  <c r="O357" i="8"/>
  <c r="G357" i="8"/>
  <c r="F357" i="8"/>
  <c r="C357" i="8"/>
  <c r="D357" i="8"/>
  <c r="C93" i="7"/>
  <c r="K93" i="7"/>
  <c r="B93" i="7"/>
  <c r="F93" i="7"/>
  <c r="H93" i="7"/>
  <c r="G93" i="7"/>
  <c r="D93" i="7"/>
  <c r="E93" i="7"/>
  <c r="I93" i="7"/>
  <c r="J92" i="7"/>
  <c r="A206" i="11"/>
  <c r="A207" i="11"/>
  <c r="X205" i="11"/>
  <c r="AG207" i="8"/>
  <c r="AG208" i="8"/>
  <c r="BF206" i="8"/>
  <c r="X202" i="11"/>
  <c r="W203" i="11"/>
  <c r="W204" i="11"/>
  <c r="BE188" i="8"/>
  <c r="BE189" i="8"/>
  <c r="BF187" i="8"/>
  <c r="J93" i="7"/>
  <c r="AI108" i="8"/>
  <c r="AS108" i="8"/>
  <c r="AQ108" i="8"/>
  <c r="AV108" i="8"/>
  <c r="AM108" i="8"/>
  <c r="AN108" i="8"/>
  <c r="AL108" i="8"/>
  <c r="AO108" i="8"/>
  <c r="AK108" i="8"/>
  <c r="AJ108" i="8"/>
  <c r="B124" i="11"/>
  <c r="E124" i="11"/>
  <c r="M124" i="11"/>
  <c r="D124" i="11"/>
  <c r="G124" i="11"/>
  <c r="J124" i="11"/>
  <c r="I124" i="11"/>
  <c r="H124" i="11"/>
  <c r="K124" i="11"/>
  <c r="F124" i="11"/>
  <c r="C124" i="11"/>
  <c r="C150" i="1"/>
  <c r="I94" i="7"/>
  <c r="K94" i="7"/>
  <c r="C94" i="7"/>
  <c r="G94" i="7"/>
  <c r="D94" i="7"/>
  <c r="B94" i="7"/>
  <c r="H94" i="7"/>
  <c r="F94" i="7"/>
  <c r="E94" i="7"/>
  <c r="D358" i="8"/>
  <c r="F358" i="8"/>
  <c r="J358" i="8"/>
  <c r="O358" i="8"/>
  <c r="G358" i="8"/>
  <c r="E358" i="8"/>
  <c r="L358" i="8"/>
  <c r="C358" i="8"/>
  <c r="C75" i="8"/>
  <c r="AG209" i="8"/>
  <c r="AG210" i="8"/>
  <c r="BF208" i="8"/>
  <c r="X207" i="11"/>
  <c r="A208" i="11"/>
  <c r="A209" i="11"/>
  <c r="W205" i="11"/>
  <c r="W206" i="11"/>
  <c r="X204" i="11"/>
  <c r="BF189" i="8"/>
  <c r="BE190" i="8"/>
  <c r="BE191" i="8"/>
  <c r="AN109" i="8"/>
  <c r="AM109" i="8"/>
  <c r="AI109" i="8"/>
  <c r="AJ109" i="8"/>
  <c r="AO109" i="8"/>
  <c r="AS109" i="8"/>
  <c r="AQ109" i="8"/>
  <c r="AV109" i="8"/>
  <c r="AK109" i="8"/>
  <c r="AL109" i="8"/>
  <c r="J94" i="7"/>
  <c r="I125" i="11"/>
  <c r="G125" i="11"/>
  <c r="K125" i="11"/>
  <c r="D125" i="11"/>
  <c r="J125" i="11"/>
  <c r="E125" i="11"/>
  <c r="B125" i="11"/>
  <c r="F125" i="11"/>
  <c r="C125" i="11"/>
  <c r="M125" i="11"/>
  <c r="H125" i="11"/>
  <c r="O75" i="8"/>
  <c r="G359" i="8"/>
  <c r="F359" i="8"/>
  <c r="C359" i="8"/>
  <c r="E359" i="8"/>
  <c r="L359" i="8"/>
  <c r="J359" i="8"/>
  <c r="O359" i="8"/>
  <c r="D359" i="8"/>
  <c r="B95" i="7"/>
  <c r="G95" i="7"/>
  <c r="H95" i="7"/>
  <c r="E95" i="7"/>
  <c r="F95" i="7"/>
  <c r="I95" i="7"/>
  <c r="K95" i="7"/>
  <c r="C95" i="7"/>
  <c r="D95" i="7"/>
  <c r="X209" i="11"/>
  <c r="A210" i="11"/>
  <c r="A211" i="11"/>
  <c r="AG211" i="8"/>
  <c r="AG212" i="8"/>
  <c r="BF210" i="8"/>
  <c r="X206" i="11"/>
  <c r="W207" i="11"/>
  <c r="W208" i="11"/>
  <c r="BF191" i="8"/>
  <c r="BE192" i="8"/>
  <c r="BE193" i="8"/>
  <c r="AL110" i="8"/>
  <c r="AN110" i="8"/>
  <c r="AK110" i="8"/>
  <c r="AS110" i="8"/>
  <c r="AQ110" i="8"/>
  <c r="AV110" i="8"/>
  <c r="AJ110" i="8"/>
  <c r="AO110" i="8"/>
  <c r="AI110" i="8"/>
  <c r="AM110" i="8"/>
  <c r="D126" i="11"/>
  <c r="G126" i="11"/>
  <c r="C126" i="11"/>
  <c r="K126" i="11"/>
  <c r="E126" i="11"/>
  <c r="B126" i="11"/>
  <c r="M126" i="11"/>
  <c r="I126" i="11"/>
  <c r="J126" i="11"/>
  <c r="F126" i="11"/>
  <c r="H126" i="11"/>
  <c r="F360" i="8"/>
  <c r="J360" i="8"/>
  <c r="O360" i="8"/>
  <c r="E360" i="8"/>
  <c r="L360" i="8"/>
  <c r="D360" i="8"/>
  <c r="G360" i="8"/>
  <c r="C360" i="8"/>
  <c r="E96" i="7"/>
  <c r="I96" i="7"/>
  <c r="C96" i="7"/>
  <c r="H96" i="7"/>
  <c r="G96" i="7"/>
  <c r="F96" i="7"/>
  <c r="D96" i="7"/>
  <c r="K96" i="7"/>
  <c r="B96" i="7"/>
  <c r="C151" i="1"/>
  <c r="C76" i="8"/>
  <c r="J95" i="7"/>
  <c r="AG213" i="8"/>
  <c r="AG214" i="8"/>
  <c r="BF212" i="8"/>
  <c r="A212" i="11"/>
  <c r="A213" i="11"/>
  <c r="X211" i="11"/>
  <c r="BE194" i="8"/>
  <c r="BE195" i="8"/>
  <c r="BF193" i="8"/>
  <c r="X208" i="11"/>
  <c r="W209" i="11"/>
  <c r="W210" i="11"/>
  <c r="O76" i="8"/>
  <c r="AJ111" i="8"/>
  <c r="AL111" i="8"/>
  <c r="AI111" i="8"/>
  <c r="AM111" i="8"/>
  <c r="AS111" i="8"/>
  <c r="AQ111" i="8"/>
  <c r="AV111" i="8"/>
  <c r="AK111" i="8"/>
  <c r="AN111" i="8"/>
  <c r="AO111" i="8"/>
  <c r="J96" i="7"/>
  <c r="H127" i="11"/>
  <c r="F127" i="11"/>
  <c r="B127" i="11"/>
  <c r="M127" i="11"/>
  <c r="G127" i="11"/>
  <c r="K127" i="11"/>
  <c r="I127" i="11"/>
  <c r="E127" i="11"/>
  <c r="J127" i="11"/>
  <c r="C127" i="11"/>
  <c r="D127" i="11"/>
  <c r="I97" i="7"/>
  <c r="G97" i="7"/>
  <c r="K97" i="7"/>
  <c r="B97" i="7"/>
  <c r="E97" i="7"/>
  <c r="D97" i="7"/>
  <c r="H97" i="7"/>
  <c r="C97" i="7"/>
  <c r="F97" i="7"/>
  <c r="E361" i="8"/>
  <c r="L361" i="8"/>
  <c r="J361" i="8"/>
  <c r="O361" i="8"/>
  <c r="F361" i="8"/>
  <c r="D361" i="8"/>
  <c r="G361" i="8"/>
  <c r="C361" i="8"/>
  <c r="A214" i="11"/>
  <c r="A215" i="11"/>
  <c r="X213" i="11"/>
  <c r="AG215" i="8"/>
  <c r="AG216" i="8"/>
  <c r="BF214" i="8"/>
  <c r="W211" i="11"/>
  <c r="W212" i="11"/>
  <c r="X210" i="11"/>
  <c r="BF195" i="8"/>
  <c r="BE196" i="8"/>
  <c r="BE197" i="8"/>
  <c r="AM112" i="8"/>
  <c r="AQ112" i="8"/>
  <c r="AV112" i="8"/>
  <c r="AO112" i="8"/>
  <c r="AI112" i="8"/>
  <c r="AJ112" i="8"/>
  <c r="AK112" i="8"/>
  <c r="AN112" i="8"/>
  <c r="AL112" i="8"/>
  <c r="AS112" i="8"/>
  <c r="J97" i="7"/>
  <c r="D128" i="11"/>
  <c r="H128" i="11"/>
  <c r="M128" i="11"/>
  <c r="B128" i="11"/>
  <c r="G128" i="11"/>
  <c r="F128" i="11"/>
  <c r="K128" i="11"/>
  <c r="E128" i="11"/>
  <c r="I128" i="11"/>
  <c r="J128" i="11"/>
  <c r="C128" i="11"/>
  <c r="C77" i="8"/>
  <c r="D362" i="8"/>
  <c r="F362" i="8"/>
  <c r="E362" i="8"/>
  <c r="J362" i="8"/>
  <c r="O362" i="8"/>
  <c r="C362" i="8"/>
  <c r="G362" i="8"/>
  <c r="L362" i="8"/>
  <c r="C152" i="1"/>
  <c r="D98" i="7"/>
  <c r="C98" i="7"/>
  <c r="K98" i="7"/>
  <c r="E98" i="7"/>
  <c r="H98" i="7"/>
  <c r="G98" i="7"/>
  <c r="F98" i="7"/>
  <c r="I98" i="7"/>
  <c r="B98" i="7"/>
  <c r="AG217" i="8"/>
  <c r="AG218" i="8"/>
  <c r="BF216" i="8"/>
  <c r="A216" i="11"/>
  <c r="A217" i="11"/>
  <c r="X215" i="11"/>
  <c r="BF197" i="8"/>
  <c r="BE198" i="8"/>
  <c r="BE199" i="8"/>
  <c r="X212" i="11"/>
  <c r="W213" i="11"/>
  <c r="W214" i="11"/>
  <c r="AM113" i="8"/>
  <c r="AJ113" i="8"/>
  <c r="AL113" i="8"/>
  <c r="AQ113" i="8"/>
  <c r="AV113" i="8"/>
  <c r="AS113" i="8"/>
  <c r="AI113" i="8"/>
  <c r="AK113" i="8"/>
  <c r="AN113" i="8"/>
  <c r="AO113" i="8"/>
  <c r="G129" i="11"/>
  <c r="K129" i="11"/>
  <c r="B129" i="11"/>
  <c r="E129" i="11"/>
  <c r="J129" i="11"/>
  <c r="F129" i="11"/>
  <c r="M129" i="11"/>
  <c r="I129" i="11"/>
  <c r="C129" i="11"/>
  <c r="H129" i="11"/>
  <c r="D129" i="11"/>
  <c r="C78" i="8"/>
  <c r="D99" i="7"/>
  <c r="H99" i="7"/>
  <c r="K99" i="7"/>
  <c r="E99" i="7"/>
  <c r="B99" i="7"/>
  <c r="I99" i="7"/>
  <c r="C99" i="7"/>
  <c r="G99" i="7"/>
  <c r="F99" i="7"/>
  <c r="O77" i="8"/>
  <c r="G363" i="8"/>
  <c r="E363" i="8"/>
  <c r="L363" i="8"/>
  <c r="C363" i="8"/>
  <c r="J363" i="8"/>
  <c r="O363" i="8"/>
  <c r="F363" i="8"/>
  <c r="D363" i="8"/>
  <c r="J98" i="7"/>
  <c r="A218" i="11"/>
  <c r="A219" i="11"/>
  <c r="X217" i="11"/>
  <c r="AG219" i="8"/>
  <c r="AG220" i="8"/>
  <c r="BF218" i="8"/>
  <c r="BF199" i="8"/>
  <c r="BE200" i="8"/>
  <c r="BE201" i="8"/>
  <c r="X214" i="11"/>
  <c r="W215" i="11"/>
  <c r="W216" i="11"/>
  <c r="J99" i="7"/>
  <c r="AN114" i="8"/>
  <c r="AK114" i="8"/>
  <c r="AJ114" i="8"/>
  <c r="AO114" i="8"/>
  <c r="AM114" i="8"/>
  <c r="AS114" i="8"/>
  <c r="AQ114" i="8"/>
  <c r="AV114" i="8"/>
  <c r="AL114" i="8"/>
  <c r="AI114" i="8"/>
  <c r="C130" i="11"/>
  <c r="M130" i="11"/>
  <c r="D130" i="11"/>
  <c r="B130" i="11"/>
  <c r="E130" i="11"/>
  <c r="H130" i="11"/>
  <c r="I130" i="11"/>
  <c r="G130" i="11"/>
  <c r="F130" i="11"/>
  <c r="K130" i="11"/>
  <c r="J130" i="11"/>
  <c r="D364" i="8"/>
  <c r="J364" i="8"/>
  <c r="O364" i="8"/>
  <c r="F364" i="8"/>
  <c r="G364" i="8"/>
  <c r="E364" i="8"/>
  <c r="L364" i="8"/>
  <c r="C364" i="8"/>
  <c r="C79" i="8"/>
  <c r="C153" i="1"/>
  <c r="H100" i="7"/>
  <c r="F100" i="7"/>
  <c r="D100" i="7"/>
  <c r="K100" i="7"/>
  <c r="I100" i="7"/>
  <c r="C100" i="7"/>
  <c r="G100" i="7"/>
  <c r="E100" i="7"/>
  <c r="B100" i="7"/>
  <c r="O78" i="8"/>
  <c r="AG221" i="8"/>
  <c r="AG222" i="8"/>
  <c r="BF220" i="8"/>
  <c r="A220" i="11"/>
  <c r="A221" i="11"/>
  <c r="X219" i="11"/>
  <c r="W217" i="11"/>
  <c r="W218" i="11"/>
  <c r="X216" i="11"/>
  <c r="BF201" i="8"/>
  <c r="BE202" i="8"/>
  <c r="BE203" i="8"/>
  <c r="O79" i="8"/>
  <c r="AK115" i="8"/>
  <c r="AL115" i="8"/>
  <c r="AN115" i="8"/>
  <c r="AQ115" i="8"/>
  <c r="AV115" i="8"/>
  <c r="AJ115" i="8"/>
  <c r="AS115" i="8"/>
  <c r="AM115" i="8"/>
  <c r="AI115" i="8"/>
  <c r="AO115" i="8"/>
  <c r="J100" i="7"/>
  <c r="D131" i="11"/>
  <c r="I131" i="11"/>
  <c r="C131" i="11"/>
  <c r="F131" i="11"/>
  <c r="H131" i="11"/>
  <c r="K131" i="11"/>
  <c r="E131" i="11"/>
  <c r="B131" i="11"/>
  <c r="J131" i="11"/>
  <c r="G131" i="11"/>
  <c r="M131" i="11"/>
  <c r="C80" i="8"/>
  <c r="G365" i="8"/>
  <c r="F365" i="8"/>
  <c r="E365" i="8"/>
  <c r="L365" i="8"/>
  <c r="J365" i="8"/>
  <c r="O365" i="8"/>
  <c r="C365" i="8"/>
  <c r="D365" i="8"/>
  <c r="E101" i="7"/>
  <c r="H101" i="7"/>
  <c r="B101" i="7"/>
  <c r="G101" i="7"/>
  <c r="I101" i="7"/>
  <c r="K101" i="7"/>
  <c r="F101" i="7"/>
  <c r="C101" i="7"/>
  <c r="D101" i="7"/>
  <c r="A222" i="11"/>
  <c r="A223" i="11"/>
  <c r="X221" i="11"/>
  <c r="AG223" i="8"/>
  <c r="AG224" i="8"/>
  <c r="BF222" i="8"/>
  <c r="BF203" i="8"/>
  <c r="BE204" i="8"/>
  <c r="BE205" i="8"/>
  <c r="W219" i="11"/>
  <c r="W220" i="11"/>
  <c r="X218" i="11"/>
  <c r="O80" i="8"/>
  <c r="AJ116" i="8"/>
  <c r="AK116" i="8"/>
  <c r="AQ116" i="8"/>
  <c r="AV116" i="8"/>
  <c r="AO116" i="8"/>
  <c r="AM116" i="8"/>
  <c r="AI116" i="8"/>
  <c r="AN116" i="8"/>
  <c r="AS116" i="8"/>
  <c r="AL116" i="8"/>
  <c r="D132" i="11"/>
  <c r="I132" i="11"/>
  <c r="K132" i="11"/>
  <c r="F132" i="11"/>
  <c r="H132" i="11"/>
  <c r="E132" i="11"/>
  <c r="J132" i="11"/>
  <c r="C132" i="11"/>
  <c r="M132" i="11"/>
  <c r="G132" i="11"/>
  <c r="B132" i="11"/>
  <c r="D102" i="7"/>
  <c r="C102" i="7"/>
  <c r="G102" i="7"/>
  <c r="E102" i="7"/>
  <c r="F102" i="7"/>
  <c r="B102" i="7"/>
  <c r="I102" i="7"/>
  <c r="H102" i="7"/>
  <c r="K102" i="7"/>
  <c r="D366" i="8"/>
  <c r="F366" i="8"/>
  <c r="G366" i="8"/>
  <c r="E366" i="8"/>
  <c r="L366" i="8"/>
  <c r="J366" i="8"/>
  <c r="O366" i="8"/>
  <c r="C366" i="8"/>
  <c r="J101" i="7"/>
  <c r="C154" i="1"/>
  <c r="AG225" i="8"/>
  <c r="AG226" i="8"/>
  <c r="BF224" i="8"/>
  <c r="A224" i="11"/>
  <c r="A225" i="11"/>
  <c r="X223" i="11"/>
  <c r="BF205" i="8"/>
  <c r="BE206" i="8"/>
  <c r="BE207" i="8"/>
  <c r="W221" i="11"/>
  <c r="W222" i="11"/>
  <c r="X220" i="11"/>
  <c r="AS117" i="8"/>
  <c r="AQ117" i="8"/>
  <c r="AV117" i="8"/>
  <c r="AM117" i="8"/>
  <c r="AN117" i="8"/>
  <c r="AK117" i="8"/>
  <c r="AI117" i="8"/>
  <c r="AO117" i="8"/>
  <c r="AL117" i="8"/>
  <c r="AJ117" i="8"/>
  <c r="B133" i="11"/>
  <c r="E133" i="11"/>
  <c r="J133" i="11"/>
  <c r="I133" i="11"/>
  <c r="C133" i="11"/>
  <c r="H133" i="11"/>
  <c r="D133" i="11"/>
  <c r="K133" i="11"/>
  <c r="G133" i="11"/>
  <c r="F133" i="11"/>
  <c r="M133" i="11"/>
  <c r="G367" i="8"/>
  <c r="C367" i="8"/>
  <c r="J367" i="8"/>
  <c r="O367" i="8"/>
  <c r="D367" i="8"/>
  <c r="F367" i="8"/>
  <c r="E367" i="8"/>
  <c r="L367" i="8"/>
  <c r="J102" i="7"/>
  <c r="C81" i="8"/>
  <c r="E103" i="7"/>
  <c r="H103" i="7"/>
  <c r="B103" i="7"/>
  <c r="G103" i="7"/>
  <c r="C103" i="7"/>
  <c r="I103" i="7"/>
  <c r="D103" i="7"/>
  <c r="F103" i="7"/>
  <c r="K103" i="7"/>
  <c r="AG227" i="8"/>
  <c r="AG228" i="8"/>
  <c r="BF226" i="8"/>
  <c r="A226" i="11"/>
  <c r="A227" i="11"/>
  <c r="X225" i="11"/>
  <c r="BF207" i="8"/>
  <c r="BE208" i="8"/>
  <c r="BE209" i="8"/>
  <c r="W223" i="11"/>
  <c r="W224" i="11"/>
  <c r="X222" i="11"/>
  <c r="O81" i="8"/>
  <c r="AO118" i="8"/>
  <c r="AS118" i="8"/>
  <c r="AM118" i="8"/>
  <c r="AL118" i="8"/>
  <c r="AQ118" i="8"/>
  <c r="AV118" i="8"/>
  <c r="AK118" i="8"/>
  <c r="AI118" i="8"/>
  <c r="AN118" i="8"/>
  <c r="AJ118" i="8"/>
  <c r="H134" i="11"/>
  <c r="E134" i="11"/>
  <c r="M134" i="11"/>
  <c r="F134" i="11"/>
  <c r="I134" i="11"/>
  <c r="D134" i="11"/>
  <c r="B134" i="11"/>
  <c r="K134" i="11"/>
  <c r="G134" i="11"/>
  <c r="J134" i="11"/>
  <c r="C134" i="11"/>
  <c r="G368" i="8"/>
  <c r="F368" i="8"/>
  <c r="E368" i="8"/>
  <c r="L368" i="8"/>
  <c r="J368" i="8"/>
  <c r="O368" i="8"/>
  <c r="C368" i="8"/>
  <c r="D368" i="8"/>
  <c r="C82" i="8"/>
  <c r="G104" i="7"/>
  <c r="B104" i="7"/>
  <c r="F104" i="7"/>
  <c r="I104" i="7"/>
  <c r="H104" i="7"/>
  <c r="E104" i="7"/>
  <c r="K104" i="7"/>
  <c r="D104" i="7"/>
  <c r="C104" i="7"/>
  <c r="J103" i="7"/>
  <c r="C155" i="1"/>
  <c r="A228" i="11"/>
  <c r="A229" i="11"/>
  <c r="X227" i="11"/>
  <c r="AG229" i="8"/>
  <c r="AG230" i="8"/>
  <c r="BF228" i="8"/>
  <c r="X224" i="11"/>
  <c r="W225" i="11"/>
  <c r="W226" i="11"/>
  <c r="BE210" i="8"/>
  <c r="BE211" i="8"/>
  <c r="BF209" i="8"/>
  <c r="AQ119" i="8"/>
  <c r="AV119" i="8"/>
  <c r="AL119" i="8"/>
  <c r="AI119" i="8"/>
  <c r="AM119" i="8"/>
  <c r="AK119" i="8"/>
  <c r="AJ119" i="8"/>
  <c r="AO119" i="8"/>
  <c r="AS119" i="8"/>
  <c r="AN119" i="8"/>
  <c r="G135" i="11"/>
  <c r="D135" i="11"/>
  <c r="K135" i="11"/>
  <c r="H135" i="11"/>
  <c r="I135" i="11"/>
  <c r="J135" i="11"/>
  <c r="C135" i="11"/>
  <c r="M135" i="11"/>
  <c r="B135" i="11"/>
  <c r="F135" i="11"/>
  <c r="E135" i="11"/>
  <c r="O82" i="8"/>
  <c r="D369" i="8"/>
  <c r="F369" i="8"/>
  <c r="J369" i="8"/>
  <c r="O369" i="8"/>
  <c r="G369" i="8"/>
  <c r="C369" i="8"/>
  <c r="E369" i="8"/>
  <c r="L369" i="8"/>
  <c r="D105" i="7"/>
  <c r="H105" i="7"/>
  <c r="E105" i="7"/>
  <c r="G105" i="7"/>
  <c r="B105" i="7"/>
  <c r="K105" i="7"/>
  <c r="C105" i="7"/>
  <c r="I105" i="7"/>
  <c r="F105" i="7"/>
  <c r="J104" i="7"/>
  <c r="BF230" i="8"/>
  <c r="AG231" i="8"/>
  <c r="AG232" i="8"/>
  <c r="A230" i="11"/>
  <c r="A231" i="11"/>
  <c r="X229" i="11"/>
  <c r="BE212" i="8"/>
  <c r="BE213" i="8"/>
  <c r="BF211" i="8"/>
  <c r="W227" i="11"/>
  <c r="W228" i="11"/>
  <c r="X226" i="11"/>
  <c r="AI120" i="8"/>
  <c r="AM120" i="8"/>
  <c r="AN120" i="8"/>
  <c r="AL120" i="8"/>
  <c r="AJ120" i="8"/>
  <c r="AK120" i="8"/>
  <c r="AS120" i="8"/>
  <c r="AQ120" i="8"/>
  <c r="AV120" i="8"/>
  <c r="AO120" i="8"/>
  <c r="D136" i="11"/>
  <c r="J136" i="11"/>
  <c r="G136" i="11"/>
  <c r="H136" i="11"/>
  <c r="I136" i="11"/>
  <c r="B136" i="11"/>
  <c r="K136" i="11"/>
  <c r="F136" i="11"/>
  <c r="C136" i="11"/>
  <c r="M136" i="11"/>
  <c r="E136" i="11"/>
  <c r="J105" i="7"/>
  <c r="C156" i="1"/>
  <c r="G370" i="8"/>
  <c r="F370" i="8"/>
  <c r="C370" i="8"/>
  <c r="J370" i="8"/>
  <c r="O370" i="8"/>
  <c r="E370" i="8"/>
  <c r="L370" i="8"/>
  <c r="D370" i="8"/>
  <c r="C83" i="8"/>
  <c r="C106" i="7"/>
  <c r="F106" i="7"/>
  <c r="I106" i="7"/>
  <c r="D106" i="7"/>
  <c r="K106" i="7"/>
  <c r="B106" i="7"/>
  <c r="G106" i="7"/>
  <c r="E106" i="7"/>
  <c r="H106" i="7"/>
  <c r="AG233" i="8"/>
  <c r="AG234" i="8"/>
  <c r="BF232" i="8"/>
  <c r="A232" i="11"/>
  <c r="A233" i="11"/>
  <c r="X231" i="11"/>
  <c r="X228" i="11"/>
  <c r="W229" i="11"/>
  <c r="W230" i="11"/>
  <c r="BF213" i="8"/>
  <c r="BE214" i="8"/>
  <c r="BE215" i="8"/>
  <c r="O83" i="8"/>
  <c r="AK121" i="8"/>
  <c r="AS121" i="8"/>
  <c r="AM121" i="8"/>
  <c r="AN121" i="8"/>
  <c r="AO121" i="8"/>
  <c r="AI121" i="8"/>
  <c r="AJ121" i="8"/>
  <c r="AL121" i="8"/>
  <c r="AQ121" i="8"/>
  <c r="AV121" i="8"/>
  <c r="I137" i="11"/>
  <c r="C137" i="11"/>
  <c r="F137" i="11"/>
  <c r="M137" i="11"/>
  <c r="H137" i="11"/>
  <c r="D137" i="11"/>
  <c r="B137" i="11"/>
  <c r="K137" i="11"/>
  <c r="E137" i="11"/>
  <c r="G137" i="11"/>
  <c r="J137" i="11"/>
  <c r="J106" i="7"/>
  <c r="C84" i="8"/>
  <c r="F371" i="8"/>
  <c r="J371" i="8"/>
  <c r="O371" i="8"/>
  <c r="E371" i="8"/>
  <c r="L371" i="8"/>
  <c r="D371" i="8"/>
  <c r="C371" i="8"/>
  <c r="G371" i="8"/>
  <c r="C107" i="7"/>
  <c r="I107" i="7"/>
  <c r="D107" i="7"/>
  <c r="G107" i="7"/>
  <c r="K107" i="7"/>
  <c r="E107" i="7"/>
  <c r="H107" i="7"/>
  <c r="B107" i="7"/>
  <c r="F107" i="7"/>
  <c r="A234" i="11"/>
  <c r="A235" i="11"/>
  <c r="X233" i="11"/>
  <c r="BF234" i="8"/>
  <c r="AG235" i="8"/>
  <c r="AG236" i="8"/>
  <c r="BF215" i="8"/>
  <c r="BE216" i="8"/>
  <c r="BE217" i="8"/>
  <c r="X230" i="11"/>
  <c r="W231" i="11"/>
  <c r="W232" i="11"/>
  <c r="O84" i="8"/>
  <c r="AM122" i="8"/>
  <c r="AJ122" i="8"/>
  <c r="AL122" i="8"/>
  <c r="AS122" i="8"/>
  <c r="AK122" i="8"/>
  <c r="AO122" i="8"/>
  <c r="AN122" i="8"/>
  <c r="AQ122" i="8"/>
  <c r="AV122" i="8"/>
  <c r="AI122" i="8"/>
  <c r="C138" i="11"/>
  <c r="I138" i="11"/>
  <c r="G138" i="11"/>
  <c r="E138" i="11"/>
  <c r="H138" i="11"/>
  <c r="D138" i="11"/>
  <c r="K138" i="11"/>
  <c r="J138" i="11"/>
  <c r="B138" i="11"/>
  <c r="M138" i="11"/>
  <c r="F138" i="11"/>
  <c r="C85" i="8"/>
  <c r="H108" i="7"/>
  <c r="I108" i="7"/>
  <c r="K108" i="7"/>
  <c r="B108" i="7"/>
  <c r="C108" i="7"/>
  <c r="G108" i="7"/>
  <c r="D108" i="7"/>
  <c r="E108" i="7"/>
  <c r="F108" i="7"/>
  <c r="E372" i="8"/>
  <c r="L372" i="8"/>
  <c r="C372" i="8"/>
  <c r="D372" i="8"/>
  <c r="F372" i="8"/>
  <c r="J372" i="8"/>
  <c r="O372" i="8"/>
  <c r="G372" i="8"/>
  <c r="C157" i="1"/>
  <c r="J107" i="7"/>
  <c r="AG237" i="8"/>
  <c r="AG238" i="8"/>
  <c r="BF236" i="8"/>
  <c r="A236" i="11"/>
  <c r="A237" i="11"/>
  <c r="X235" i="11"/>
  <c r="BE218" i="8"/>
  <c r="BE219" i="8"/>
  <c r="BF217" i="8"/>
  <c r="X232" i="11"/>
  <c r="W233" i="11"/>
  <c r="W234" i="11"/>
  <c r="J108" i="7"/>
  <c r="AK123" i="8"/>
  <c r="AM123" i="8"/>
  <c r="AN123" i="8"/>
  <c r="AS123" i="8"/>
  <c r="AJ123" i="8"/>
  <c r="AI123" i="8"/>
  <c r="AQ123" i="8"/>
  <c r="AV123" i="8"/>
  <c r="AO123" i="8"/>
  <c r="AL123" i="8"/>
  <c r="H139" i="11"/>
  <c r="G139" i="11"/>
  <c r="K139" i="11"/>
  <c r="I139" i="11"/>
  <c r="E139" i="11"/>
  <c r="B139" i="11"/>
  <c r="M139" i="11"/>
  <c r="J139" i="11"/>
  <c r="C139" i="11"/>
  <c r="D139" i="11"/>
  <c r="F139" i="11"/>
  <c r="O85" i="8"/>
  <c r="D373" i="8"/>
  <c r="J373" i="8"/>
  <c r="O373" i="8"/>
  <c r="F373" i="8"/>
  <c r="C373" i="8"/>
  <c r="E373" i="8"/>
  <c r="L373" i="8"/>
  <c r="G373" i="8"/>
  <c r="E109" i="7"/>
  <c r="K109" i="7"/>
  <c r="C109" i="7"/>
  <c r="I109" i="7"/>
  <c r="G109" i="7"/>
  <c r="F109" i="7"/>
  <c r="B109" i="7"/>
  <c r="D109" i="7"/>
  <c r="H109" i="7"/>
  <c r="A238" i="11"/>
  <c r="A239" i="11"/>
  <c r="X237" i="11"/>
  <c r="BF238" i="8"/>
  <c r="AG239" i="8"/>
  <c r="AG240" i="8"/>
  <c r="X234" i="11"/>
  <c r="W235" i="11"/>
  <c r="W236" i="11"/>
  <c r="BE220" i="8"/>
  <c r="BE221" i="8"/>
  <c r="BF219" i="8"/>
  <c r="AJ124" i="8"/>
  <c r="AK124" i="8"/>
  <c r="AM124" i="8"/>
  <c r="AQ124" i="8"/>
  <c r="AV124" i="8"/>
  <c r="AL124" i="8"/>
  <c r="AN124" i="8"/>
  <c r="AI124" i="8"/>
  <c r="AS124" i="8"/>
  <c r="AO124" i="8"/>
  <c r="H140" i="11"/>
  <c r="E140" i="11"/>
  <c r="I140" i="11"/>
  <c r="J140" i="11"/>
  <c r="M140" i="11"/>
  <c r="C140" i="11"/>
  <c r="F140" i="11"/>
  <c r="G140" i="11"/>
  <c r="K140" i="11"/>
  <c r="B140" i="11"/>
  <c r="D140" i="11"/>
  <c r="C86" i="8"/>
  <c r="G374" i="8"/>
  <c r="E374" i="8"/>
  <c r="L374" i="8"/>
  <c r="C374" i="8"/>
  <c r="J374" i="8"/>
  <c r="O374" i="8"/>
  <c r="D374" i="8"/>
  <c r="F374" i="8"/>
  <c r="C158" i="1"/>
  <c r="J109" i="7"/>
  <c r="C110" i="7"/>
  <c r="F110" i="7"/>
  <c r="D110" i="7"/>
  <c r="B110" i="7"/>
  <c r="K110" i="7"/>
  <c r="H110" i="7"/>
  <c r="G110" i="7"/>
  <c r="E110" i="7"/>
  <c r="I110" i="7"/>
  <c r="AG241" i="8"/>
  <c r="AG242" i="8"/>
  <c r="BF240" i="8"/>
  <c r="A240" i="11"/>
  <c r="A241" i="11"/>
  <c r="X239" i="11"/>
  <c r="BF221" i="8"/>
  <c r="BE222" i="8"/>
  <c r="BE223" i="8"/>
  <c r="X236" i="11"/>
  <c r="W237" i="11"/>
  <c r="W238" i="11"/>
  <c r="J110" i="7"/>
  <c r="AJ125" i="8"/>
  <c r="AO125" i="8"/>
  <c r="AN125" i="8"/>
  <c r="AL125" i="8"/>
  <c r="AQ125" i="8"/>
  <c r="AV125" i="8"/>
  <c r="AS125" i="8"/>
  <c r="AI125" i="8"/>
  <c r="AK125" i="8"/>
  <c r="AM125" i="8"/>
  <c r="C141" i="11"/>
  <c r="F141" i="11"/>
  <c r="H141" i="11"/>
  <c r="M141" i="11"/>
  <c r="E141" i="11"/>
  <c r="K141" i="11"/>
  <c r="I141" i="11"/>
  <c r="J141" i="11"/>
  <c r="G141" i="11"/>
  <c r="D141" i="11"/>
  <c r="B141" i="11"/>
  <c r="D375" i="8"/>
  <c r="J375" i="8"/>
  <c r="O375" i="8"/>
  <c r="F375" i="8"/>
  <c r="C375" i="8"/>
  <c r="G375" i="8"/>
  <c r="E375" i="8"/>
  <c r="L375" i="8"/>
  <c r="O86" i="8"/>
  <c r="D111" i="7"/>
  <c r="B111" i="7"/>
  <c r="E111" i="7"/>
  <c r="C111" i="7"/>
  <c r="I111" i="7"/>
  <c r="G111" i="7"/>
  <c r="H111" i="7"/>
  <c r="F111" i="7"/>
  <c r="K111" i="7"/>
  <c r="A242" i="11"/>
  <c r="A243" i="11"/>
  <c r="X241" i="11"/>
  <c r="AG243" i="8"/>
  <c r="AG244" i="8"/>
  <c r="BF242" i="8"/>
  <c r="W239" i="11"/>
  <c r="W240" i="11"/>
  <c r="X238" i="11"/>
  <c r="BF223" i="8"/>
  <c r="BE224" i="8"/>
  <c r="BE225" i="8"/>
  <c r="AJ126" i="8"/>
  <c r="AQ126" i="8"/>
  <c r="AV126" i="8"/>
  <c r="AI126" i="8"/>
  <c r="AL126" i="8"/>
  <c r="AK126" i="8"/>
  <c r="AS126" i="8"/>
  <c r="AN126" i="8"/>
  <c r="AO126" i="8"/>
  <c r="AM126" i="8"/>
  <c r="D142" i="11"/>
  <c r="G142" i="11"/>
  <c r="I142" i="11"/>
  <c r="H142" i="11"/>
  <c r="M142" i="11"/>
  <c r="F142" i="11"/>
  <c r="J142" i="11"/>
  <c r="E142" i="11"/>
  <c r="B142" i="11"/>
  <c r="K142" i="11"/>
  <c r="C142" i="11"/>
  <c r="B112" i="7"/>
  <c r="G112" i="7"/>
  <c r="C112" i="7"/>
  <c r="F112" i="7"/>
  <c r="D112" i="7"/>
  <c r="I112" i="7"/>
  <c r="E112" i="7"/>
  <c r="K112" i="7"/>
  <c r="H112" i="7"/>
  <c r="G376" i="8"/>
  <c r="E376" i="8"/>
  <c r="L376" i="8"/>
  <c r="F376" i="8"/>
  <c r="D376" i="8"/>
  <c r="C376" i="8"/>
  <c r="J376" i="8"/>
  <c r="O376" i="8"/>
  <c r="C87" i="8"/>
  <c r="C159" i="1"/>
  <c r="J111" i="7"/>
  <c r="AG245" i="8"/>
  <c r="AG246" i="8"/>
  <c r="BF244" i="8"/>
  <c r="X243" i="11"/>
  <c r="A244" i="11"/>
  <c r="A245" i="11"/>
  <c r="BE226" i="8"/>
  <c r="BE227" i="8"/>
  <c r="BF225" i="8"/>
  <c r="X240" i="11"/>
  <c r="W241" i="11"/>
  <c r="W242" i="11"/>
  <c r="AL127" i="8"/>
  <c r="AI127" i="8"/>
  <c r="AK127" i="8"/>
  <c r="AS127" i="8"/>
  <c r="AN127" i="8"/>
  <c r="AQ127" i="8"/>
  <c r="AV127" i="8"/>
  <c r="AJ127" i="8"/>
  <c r="AM127" i="8"/>
  <c r="AO127" i="8"/>
  <c r="H143" i="11"/>
  <c r="K143" i="11"/>
  <c r="C143" i="11"/>
  <c r="J143" i="11"/>
  <c r="G143" i="11"/>
  <c r="I143" i="11"/>
  <c r="D143" i="11"/>
  <c r="E143" i="11"/>
  <c r="F143" i="11"/>
  <c r="B143" i="11"/>
  <c r="M143" i="11"/>
  <c r="O87" i="8"/>
  <c r="I113" i="7"/>
  <c r="C113" i="7"/>
  <c r="B113" i="7"/>
  <c r="G113" i="7"/>
  <c r="K113" i="7"/>
  <c r="H113" i="7"/>
  <c r="D113" i="7"/>
  <c r="E113" i="7"/>
  <c r="F113" i="7"/>
  <c r="J112" i="7"/>
  <c r="F377" i="8"/>
  <c r="C377" i="8"/>
  <c r="E377" i="8"/>
  <c r="L377" i="8"/>
  <c r="G377" i="8"/>
  <c r="D377" i="8"/>
  <c r="J377" i="8"/>
  <c r="O377" i="8"/>
  <c r="A246" i="11"/>
  <c r="A247" i="11"/>
  <c r="X245" i="11"/>
  <c r="AG247" i="8"/>
  <c r="AG248" i="8"/>
  <c r="BF246" i="8"/>
  <c r="W243" i="11"/>
  <c r="W244" i="11"/>
  <c r="X242" i="11"/>
  <c r="BF227" i="8"/>
  <c r="BE228" i="8"/>
  <c r="BE229" i="8"/>
  <c r="AK128" i="8"/>
  <c r="AO128" i="8"/>
  <c r="AS128" i="8"/>
  <c r="AL128" i="8"/>
  <c r="AJ128" i="8"/>
  <c r="AI128" i="8"/>
  <c r="AQ128" i="8"/>
  <c r="AV128" i="8"/>
  <c r="AN128" i="8"/>
  <c r="AM128" i="8"/>
  <c r="H144" i="11"/>
  <c r="E144" i="11"/>
  <c r="J144" i="11"/>
  <c r="G144" i="11"/>
  <c r="M144" i="11"/>
  <c r="D144" i="11"/>
  <c r="C144" i="11"/>
  <c r="F144" i="11"/>
  <c r="I144" i="11"/>
  <c r="K144" i="11"/>
  <c r="B144" i="11"/>
  <c r="J113" i="7"/>
  <c r="E378" i="8"/>
  <c r="L378" i="8"/>
  <c r="F378" i="8"/>
  <c r="J378" i="8"/>
  <c r="O378" i="8"/>
  <c r="D378" i="8"/>
  <c r="G378" i="8"/>
  <c r="C378" i="8"/>
  <c r="C88" i="8"/>
  <c r="C160" i="1"/>
  <c r="F114" i="7"/>
  <c r="H114" i="7"/>
  <c r="D114" i="7"/>
  <c r="K114" i="7"/>
  <c r="I114" i="7"/>
  <c r="B114" i="7"/>
  <c r="G114" i="7"/>
  <c r="E114" i="7"/>
  <c r="C114" i="7"/>
  <c r="AG249" i="8"/>
  <c r="AG250" i="8"/>
  <c r="BF248" i="8"/>
  <c r="X247" i="11"/>
  <c r="A248" i="11"/>
  <c r="A249" i="11"/>
  <c r="BF229" i="8"/>
  <c r="BE230" i="8"/>
  <c r="BE231" i="8"/>
  <c r="X244" i="11"/>
  <c r="W245" i="11"/>
  <c r="W246" i="11"/>
  <c r="AJ129" i="8"/>
  <c r="AN129" i="8"/>
  <c r="AK129" i="8"/>
  <c r="AS129" i="8"/>
  <c r="AI129" i="8"/>
  <c r="AO129" i="8"/>
  <c r="AQ129" i="8"/>
  <c r="AV129" i="8"/>
  <c r="AL129" i="8"/>
  <c r="AM129" i="8"/>
  <c r="J145" i="11"/>
  <c r="H145" i="11"/>
  <c r="E145" i="11"/>
  <c r="M145" i="11"/>
  <c r="D145" i="11"/>
  <c r="G145" i="11"/>
  <c r="F145" i="11"/>
  <c r="K145" i="11"/>
  <c r="B145" i="11"/>
  <c r="I145" i="11"/>
  <c r="C145" i="11"/>
  <c r="O88" i="8"/>
  <c r="J114" i="7"/>
  <c r="D379" i="8"/>
  <c r="C379" i="8"/>
  <c r="F379" i="8"/>
  <c r="J379" i="8"/>
  <c r="O379" i="8"/>
  <c r="G379" i="8"/>
  <c r="E379" i="8"/>
  <c r="L379" i="8"/>
  <c r="D115" i="7"/>
  <c r="K115" i="7"/>
  <c r="I115" i="7"/>
  <c r="C115" i="7"/>
  <c r="E115" i="7"/>
  <c r="F115" i="7"/>
  <c r="B115" i="7"/>
  <c r="H115" i="7"/>
  <c r="G115" i="7"/>
  <c r="A250" i="11"/>
  <c r="A251" i="11"/>
  <c r="X249" i="11"/>
  <c r="AG251" i="8"/>
  <c r="AG252" i="8"/>
  <c r="BF250" i="8"/>
  <c r="BE232" i="8"/>
  <c r="BE233" i="8"/>
  <c r="BF231" i="8"/>
  <c r="W247" i="11"/>
  <c r="W248" i="11"/>
  <c r="X246" i="11"/>
  <c r="AK130" i="8"/>
  <c r="AL130" i="8"/>
  <c r="AO130" i="8"/>
  <c r="AQ130" i="8"/>
  <c r="AV130" i="8"/>
  <c r="AS130" i="8"/>
  <c r="AJ130" i="8"/>
  <c r="AN130" i="8"/>
  <c r="AI130" i="8"/>
  <c r="AM130" i="8"/>
  <c r="G146" i="11"/>
  <c r="D146" i="11"/>
  <c r="C146" i="11"/>
  <c r="I146" i="11"/>
  <c r="K146" i="11"/>
  <c r="F146" i="11"/>
  <c r="E146" i="11"/>
  <c r="B146" i="11"/>
  <c r="M146" i="11"/>
  <c r="H146" i="11"/>
  <c r="J146" i="11"/>
  <c r="D116" i="7"/>
  <c r="F116" i="7"/>
  <c r="E116" i="7"/>
  <c r="K116" i="7"/>
  <c r="H116" i="7"/>
  <c r="B116" i="7"/>
  <c r="I116" i="7"/>
  <c r="C116" i="7"/>
  <c r="G116" i="7"/>
  <c r="C161" i="1"/>
  <c r="G380" i="8"/>
  <c r="C380" i="8"/>
  <c r="D380" i="8"/>
  <c r="E380" i="8"/>
  <c r="L380" i="8"/>
  <c r="F380" i="8"/>
  <c r="J380" i="8"/>
  <c r="O380" i="8"/>
  <c r="C89" i="8"/>
  <c r="J115" i="7"/>
  <c r="X251" i="11"/>
  <c r="A252" i="11"/>
  <c r="A253" i="11"/>
  <c r="AG253" i="8"/>
  <c r="AG254" i="8"/>
  <c r="BF252" i="8"/>
  <c r="W249" i="11"/>
  <c r="W250" i="11"/>
  <c r="X248" i="11"/>
  <c r="BF233" i="8"/>
  <c r="BE234" i="8"/>
  <c r="BE235" i="8"/>
  <c r="AK131" i="8"/>
  <c r="AM131" i="8"/>
  <c r="AN131" i="8"/>
  <c r="AI131" i="8"/>
  <c r="AQ131" i="8"/>
  <c r="AV131" i="8"/>
  <c r="AL131" i="8"/>
  <c r="AJ131" i="8"/>
  <c r="AO131" i="8"/>
  <c r="AS131" i="8"/>
  <c r="E147" i="11"/>
  <c r="C147" i="11"/>
  <c r="F147" i="11"/>
  <c r="G147" i="11"/>
  <c r="J147" i="11"/>
  <c r="I147" i="11"/>
  <c r="M147" i="11"/>
  <c r="D147" i="11"/>
  <c r="H147" i="11"/>
  <c r="K147" i="11"/>
  <c r="B147" i="11"/>
  <c r="C90" i="8"/>
  <c r="O89" i="8"/>
  <c r="E117" i="7"/>
  <c r="H117" i="7"/>
  <c r="G117" i="7"/>
  <c r="C117" i="7"/>
  <c r="F117" i="7"/>
  <c r="D117" i="7"/>
  <c r="K117" i="7"/>
  <c r="B117" i="7"/>
  <c r="I117" i="7"/>
  <c r="F381" i="8"/>
  <c r="C381" i="8"/>
  <c r="J381" i="8"/>
  <c r="O381" i="8"/>
  <c r="E381" i="8"/>
  <c r="L381" i="8"/>
  <c r="G381" i="8"/>
  <c r="D381" i="8"/>
  <c r="J116" i="7"/>
  <c r="AG255" i="8"/>
  <c r="AG256" i="8"/>
  <c r="BF254" i="8"/>
  <c r="A254" i="11"/>
  <c r="A255" i="11"/>
  <c r="X253" i="11"/>
  <c r="BF235" i="8"/>
  <c r="BE236" i="8"/>
  <c r="BE237" i="8"/>
  <c r="X250" i="11"/>
  <c r="W251" i="11"/>
  <c r="W252" i="11"/>
  <c r="AM132" i="8"/>
  <c r="AO132" i="8"/>
  <c r="AL132" i="8"/>
  <c r="AQ132" i="8"/>
  <c r="AV132" i="8"/>
  <c r="AK132" i="8"/>
  <c r="AN132" i="8"/>
  <c r="AJ132" i="8"/>
  <c r="AI132" i="8"/>
  <c r="AS132" i="8"/>
  <c r="H148" i="11"/>
  <c r="E148" i="11"/>
  <c r="K148" i="11"/>
  <c r="G148" i="11"/>
  <c r="J148" i="11"/>
  <c r="B148" i="11"/>
  <c r="D148" i="11"/>
  <c r="C148" i="11"/>
  <c r="I148" i="11"/>
  <c r="F148" i="11"/>
  <c r="M148" i="11"/>
  <c r="J117" i="7"/>
  <c r="E382" i="8"/>
  <c r="L382" i="8"/>
  <c r="F382" i="8"/>
  <c r="G382" i="8"/>
  <c r="C382" i="8"/>
  <c r="J382" i="8"/>
  <c r="O382" i="8"/>
  <c r="D382" i="8"/>
  <c r="C91" i="8"/>
  <c r="O90" i="8"/>
  <c r="D118" i="7"/>
  <c r="C118" i="7"/>
  <c r="K118" i="7"/>
  <c r="E118" i="7"/>
  <c r="B118" i="7"/>
  <c r="H118" i="7"/>
  <c r="G118" i="7"/>
  <c r="I118" i="7"/>
  <c r="F118" i="7"/>
  <c r="C162" i="1"/>
  <c r="A256" i="11"/>
  <c r="A257" i="11"/>
  <c r="X255" i="11"/>
  <c r="AG257" i="8"/>
  <c r="AG258" i="8"/>
  <c r="BF256" i="8"/>
  <c r="BF237" i="8"/>
  <c r="BE238" i="8"/>
  <c r="BE239" i="8"/>
  <c r="W253" i="11"/>
  <c r="W254" i="11"/>
  <c r="X252" i="11"/>
  <c r="AO133" i="8"/>
  <c r="AL133" i="8"/>
  <c r="AI133" i="8"/>
  <c r="AN133" i="8"/>
  <c r="AS133" i="8"/>
  <c r="AK133" i="8"/>
  <c r="AJ133" i="8"/>
  <c r="AQ133" i="8"/>
  <c r="AV133" i="8"/>
  <c r="AM133" i="8"/>
  <c r="F149" i="11"/>
  <c r="I149" i="11"/>
  <c r="K149" i="11"/>
  <c r="D149" i="11"/>
  <c r="C149" i="11"/>
  <c r="M149" i="11"/>
  <c r="E149" i="11"/>
  <c r="J149" i="11"/>
  <c r="G149" i="11"/>
  <c r="B149" i="11"/>
  <c r="H149" i="11"/>
  <c r="C92" i="8"/>
  <c r="O91" i="8"/>
  <c r="J118" i="7"/>
  <c r="E119" i="7"/>
  <c r="H119" i="7"/>
  <c r="I119" i="7"/>
  <c r="G119" i="7"/>
  <c r="C119" i="7"/>
  <c r="K119" i="7"/>
  <c r="B119" i="7"/>
  <c r="F119" i="7"/>
  <c r="D119" i="7"/>
  <c r="F383" i="8"/>
  <c r="C383" i="8"/>
  <c r="G383" i="8"/>
  <c r="D383" i="8"/>
  <c r="E383" i="8"/>
  <c r="L383" i="8"/>
  <c r="J383" i="8"/>
  <c r="O383" i="8"/>
  <c r="AG259" i="8"/>
  <c r="AG260" i="8"/>
  <c r="BF258" i="8"/>
  <c r="A258" i="11"/>
  <c r="A259" i="11"/>
  <c r="X257" i="11"/>
  <c r="W255" i="11"/>
  <c r="W256" i="11"/>
  <c r="X254" i="11"/>
  <c r="BE240" i="8"/>
  <c r="BE241" i="8"/>
  <c r="BF239" i="8"/>
  <c r="AN134" i="8"/>
  <c r="AS134" i="8"/>
  <c r="AM134" i="8"/>
  <c r="AO134" i="8"/>
  <c r="AJ134" i="8"/>
  <c r="AQ134" i="8"/>
  <c r="AV134" i="8"/>
  <c r="AI134" i="8"/>
  <c r="AK134" i="8"/>
  <c r="AL134" i="8"/>
  <c r="C150" i="11"/>
  <c r="G150" i="11"/>
  <c r="K150" i="11"/>
  <c r="D150" i="11"/>
  <c r="B150" i="11"/>
  <c r="I150" i="11"/>
  <c r="M150" i="11"/>
  <c r="E150" i="11"/>
  <c r="J150" i="11"/>
  <c r="H150" i="11"/>
  <c r="F150" i="11"/>
  <c r="C384" i="8"/>
  <c r="D384" i="8"/>
  <c r="J384" i="8"/>
  <c r="O384" i="8"/>
  <c r="G384" i="8"/>
  <c r="F384" i="8"/>
  <c r="E384" i="8"/>
  <c r="L384" i="8"/>
  <c r="O92" i="8"/>
  <c r="H120" i="7"/>
  <c r="F120" i="7"/>
  <c r="D120" i="7"/>
  <c r="C120" i="7"/>
  <c r="K120" i="7"/>
  <c r="E120" i="7"/>
  <c r="B120" i="7"/>
  <c r="I120" i="7"/>
  <c r="G120" i="7"/>
  <c r="C163" i="1"/>
  <c r="J119" i="7"/>
  <c r="X259" i="11"/>
  <c r="A260" i="11"/>
  <c r="A261" i="11"/>
  <c r="AG261" i="8"/>
  <c r="AG262" i="8"/>
  <c r="BF260" i="8"/>
  <c r="BF241" i="8"/>
  <c r="BE242" i="8"/>
  <c r="BE243" i="8"/>
  <c r="W257" i="11"/>
  <c r="W258" i="11"/>
  <c r="X256" i="11"/>
  <c r="J120" i="7"/>
  <c r="AK135" i="8"/>
  <c r="AL135" i="8"/>
  <c r="AQ135" i="8"/>
  <c r="AV135" i="8"/>
  <c r="AM135" i="8"/>
  <c r="AO135" i="8"/>
  <c r="AN135" i="8"/>
  <c r="AJ135" i="8"/>
  <c r="AI135" i="8"/>
  <c r="AS135" i="8"/>
  <c r="D151" i="11"/>
  <c r="C151" i="11"/>
  <c r="M151" i="11"/>
  <c r="G151" i="11"/>
  <c r="E151" i="11"/>
  <c r="H151" i="11"/>
  <c r="K151" i="11"/>
  <c r="B151" i="11"/>
  <c r="J151" i="11"/>
  <c r="F151" i="11"/>
  <c r="I151" i="11"/>
  <c r="C93" i="8"/>
  <c r="D121" i="7"/>
  <c r="H121" i="7"/>
  <c r="K121" i="7"/>
  <c r="E121" i="7"/>
  <c r="B121" i="7"/>
  <c r="G121" i="7"/>
  <c r="F121" i="7"/>
  <c r="I121" i="7"/>
  <c r="C121" i="7"/>
  <c r="D385" i="8"/>
  <c r="J385" i="8"/>
  <c r="O385" i="8"/>
  <c r="G385" i="8"/>
  <c r="C385" i="8"/>
  <c r="F385" i="8"/>
  <c r="E385" i="8"/>
  <c r="L385" i="8"/>
  <c r="AG263" i="8"/>
  <c r="AG264" i="8"/>
  <c r="BF264" i="8"/>
  <c r="BF262" i="8"/>
  <c r="A262" i="11"/>
  <c r="A263" i="11"/>
  <c r="X261" i="11"/>
  <c r="BE244" i="8"/>
  <c r="BE245" i="8"/>
  <c r="BF243" i="8"/>
  <c r="W259" i="11"/>
  <c r="W260" i="11"/>
  <c r="X258" i="11"/>
  <c r="O93" i="8"/>
  <c r="AK136" i="8"/>
  <c r="AI136" i="8"/>
  <c r="AN136" i="8"/>
  <c r="AJ136" i="8"/>
  <c r="AO136" i="8"/>
  <c r="AL136" i="8"/>
  <c r="AQ136" i="8"/>
  <c r="AV136" i="8"/>
  <c r="AM136" i="8"/>
  <c r="AS136" i="8"/>
  <c r="I152" i="11"/>
  <c r="B152" i="11"/>
  <c r="J152" i="11"/>
  <c r="F152" i="11"/>
  <c r="D152" i="11"/>
  <c r="H152" i="11"/>
  <c r="M152" i="11"/>
  <c r="C152" i="11"/>
  <c r="K152" i="11"/>
  <c r="G152" i="11"/>
  <c r="E152" i="11"/>
  <c r="G386" i="8"/>
  <c r="E386" i="8"/>
  <c r="L386" i="8"/>
  <c r="J386" i="8"/>
  <c r="O386" i="8"/>
  <c r="D386" i="8"/>
  <c r="C386" i="8"/>
  <c r="F386" i="8"/>
  <c r="I122" i="7"/>
  <c r="G122" i="7"/>
  <c r="B122" i="7"/>
  <c r="F122" i="7"/>
  <c r="H122" i="7"/>
  <c r="K122" i="7"/>
  <c r="E122" i="7"/>
  <c r="C122" i="7"/>
  <c r="D122" i="7"/>
  <c r="C164" i="1"/>
  <c r="J121" i="7"/>
  <c r="A264" i="11"/>
  <c r="A265" i="11"/>
  <c r="X263" i="11"/>
  <c r="BF245" i="8"/>
  <c r="BE246" i="8"/>
  <c r="BE247" i="8"/>
  <c r="X260" i="11"/>
  <c r="W261" i="11"/>
  <c r="W262" i="11"/>
  <c r="AO137" i="8"/>
  <c r="AM137" i="8"/>
  <c r="AN137" i="8"/>
  <c r="AI137" i="8"/>
  <c r="AS137" i="8"/>
  <c r="AL137" i="8"/>
  <c r="AK137" i="8"/>
  <c r="AJ137" i="8"/>
  <c r="AQ137" i="8"/>
  <c r="AV137" i="8"/>
  <c r="C153" i="11"/>
  <c r="G153" i="11"/>
  <c r="E153" i="11"/>
  <c r="D153" i="11"/>
  <c r="K153" i="11"/>
  <c r="B153" i="11"/>
  <c r="I153" i="11"/>
  <c r="J153" i="11"/>
  <c r="F153" i="11"/>
  <c r="H153" i="11"/>
  <c r="M153" i="11"/>
  <c r="C94" i="8"/>
  <c r="D387" i="8"/>
  <c r="G387" i="8"/>
  <c r="E387" i="8"/>
  <c r="L387" i="8"/>
  <c r="J387" i="8"/>
  <c r="O387" i="8"/>
  <c r="C387" i="8"/>
  <c r="F387" i="8"/>
  <c r="E123" i="7"/>
  <c r="B123" i="7"/>
  <c r="H123" i="7"/>
  <c r="G123" i="7"/>
  <c r="I123" i="7"/>
  <c r="F123" i="7"/>
  <c r="C123" i="7"/>
  <c r="D123" i="7"/>
  <c r="K123" i="7"/>
  <c r="J122" i="7"/>
  <c r="A266" i="11"/>
  <c r="A267" i="11"/>
  <c r="X265" i="11"/>
  <c r="W263" i="11"/>
  <c r="W264" i="11"/>
  <c r="X262" i="11"/>
  <c r="BE248" i="8"/>
  <c r="BE249" i="8"/>
  <c r="BF247" i="8"/>
  <c r="AI138" i="8"/>
  <c r="AM138" i="8"/>
  <c r="AQ138" i="8"/>
  <c r="AV138" i="8"/>
  <c r="AO138" i="8"/>
  <c r="AN138" i="8"/>
  <c r="AL138" i="8"/>
  <c r="AJ138" i="8"/>
  <c r="AS138" i="8"/>
  <c r="AK138" i="8"/>
  <c r="G154" i="11"/>
  <c r="E154" i="11"/>
  <c r="J154" i="11"/>
  <c r="M154" i="11"/>
  <c r="F154" i="11"/>
  <c r="H154" i="11"/>
  <c r="C154" i="11"/>
  <c r="D154" i="11"/>
  <c r="I154" i="11"/>
  <c r="K154" i="11"/>
  <c r="B154" i="11"/>
  <c r="O94" i="8"/>
  <c r="G388" i="8"/>
  <c r="J388" i="8"/>
  <c r="O388" i="8"/>
  <c r="D388" i="8"/>
  <c r="F388" i="8"/>
  <c r="C388" i="8"/>
  <c r="E388" i="8"/>
  <c r="L388" i="8"/>
  <c r="E124" i="7"/>
  <c r="C124" i="7"/>
  <c r="G124" i="7"/>
  <c r="B124" i="7"/>
  <c r="I124" i="7"/>
  <c r="F124" i="7"/>
  <c r="H124" i="7"/>
  <c r="D124" i="7"/>
  <c r="K124" i="7"/>
  <c r="J123" i="7"/>
  <c r="C165" i="1"/>
  <c r="X267" i="11"/>
  <c r="A268" i="11"/>
  <c r="A269" i="11"/>
  <c r="BF249" i="8"/>
  <c r="BE250" i="8"/>
  <c r="BE251" i="8"/>
  <c r="W265" i="11"/>
  <c r="W266" i="11"/>
  <c r="X264" i="11"/>
  <c r="AO139" i="8"/>
  <c r="AN139" i="8"/>
  <c r="AS139" i="8"/>
  <c r="AQ139" i="8"/>
  <c r="AV139" i="8"/>
  <c r="AI139" i="8"/>
  <c r="AM139" i="8"/>
  <c r="AJ139" i="8"/>
  <c r="AK139" i="8"/>
  <c r="AL139" i="8"/>
  <c r="I155" i="11"/>
  <c r="E155" i="11"/>
  <c r="M155" i="11"/>
  <c r="H155" i="11"/>
  <c r="G155" i="11"/>
  <c r="C155" i="11"/>
  <c r="K155" i="11"/>
  <c r="B155" i="11"/>
  <c r="J155" i="11"/>
  <c r="D155" i="11"/>
  <c r="F155" i="11"/>
  <c r="G389" i="8"/>
  <c r="E389" i="8"/>
  <c r="L389" i="8"/>
  <c r="D389" i="8"/>
  <c r="J389" i="8"/>
  <c r="O389" i="8"/>
  <c r="F389" i="8"/>
  <c r="C389" i="8"/>
  <c r="J124" i="7"/>
  <c r="C125" i="7"/>
  <c r="H125" i="7"/>
  <c r="K125" i="7"/>
  <c r="D125" i="7"/>
  <c r="B125" i="7"/>
  <c r="G125" i="7"/>
  <c r="F125" i="7"/>
  <c r="E125" i="7"/>
  <c r="I125" i="7"/>
  <c r="C95" i="8"/>
  <c r="A270" i="11"/>
  <c r="A271" i="11"/>
  <c r="X269" i="11"/>
  <c r="BE252" i="8"/>
  <c r="BE253" i="8"/>
  <c r="BF251" i="8"/>
  <c r="W267" i="11"/>
  <c r="W268" i="11"/>
  <c r="X266" i="11"/>
  <c r="O95" i="8"/>
  <c r="AL140" i="8"/>
  <c r="AN140" i="8"/>
  <c r="AS140" i="8"/>
  <c r="AQ140" i="8"/>
  <c r="AV140" i="8"/>
  <c r="AK140" i="8"/>
  <c r="AI140" i="8"/>
  <c r="AO140" i="8"/>
  <c r="AM140" i="8"/>
  <c r="AJ140" i="8"/>
  <c r="G156" i="11"/>
  <c r="E156" i="11"/>
  <c r="I156" i="11"/>
  <c r="D156" i="11"/>
  <c r="K156" i="11"/>
  <c r="F156" i="11"/>
  <c r="M156" i="11"/>
  <c r="B156" i="11"/>
  <c r="J156" i="11"/>
  <c r="C156" i="11"/>
  <c r="H156" i="11"/>
  <c r="J125" i="7"/>
  <c r="C96" i="8"/>
  <c r="D390" i="8"/>
  <c r="C390" i="8"/>
  <c r="E390" i="8"/>
  <c r="L390" i="8"/>
  <c r="J390" i="8"/>
  <c r="O390" i="8"/>
  <c r="F390" i="8"/>
  <c r="G390" i="8"/>
  <c r="D126" i="7"/>
  <c r="B126" i="7"/>
  <c r="K126" i="7"/>
  <c r="E126" i="7"/>
  <c r="H126" i="7"/>
  <c r="C126" i="7"/>
  <c r="G126" i="7"/>
  <c r="I126" i="7"/>
  <c r="F126" i="7"/>
  <c r="C166" i="1"/>
  <c r="A272" i="11"/>
  <c r="A273" i="11"/>
  <c r="X271" i="11"/>
  <c r="W269" i="11"/>
  <c r="W270" i="11"/>
  <c r="X268" i="11"/>
  <c r="BE254" i="8"/>
  <c r="BE255" i="8"/>
  <c r="BF253" i="8"/>
  <c r="AJ141" i="8"/>
  <c r="AN141" i="8"/>
  <c r="AL141" i="8"/>
  <c r="AI141" i="8"/>
  <c r="AS141" i="8"/>
  <c r="AO141" i="8"/>
  <c r="AQ141" i="8"/>
  <c r="AV141" i="8"/>
  <c r="AK141" i="8"/>
  <c r="AM141" i="8"/>
  <c r="E157" i="11"/>
  <c r="C157" i="11"/>
  <c r="K157" i="11"/>
  <c r="H157" i="11"/>
  <c r="J157" i="11"/>
  <c r="D157" i="11"/>
  <c r="G157" i="11"/>
  <c r="M157" i="11"/>
  <c r="B157" i="11"/>
  <c r="I157" i="11"/>
  <c r="F157" i="11"/>
  <c r="O96" i="8"/>
  <c r="G391" i="8"/>
  <c r="C391" i="8"/>
  <c r="E391" i="8"/>
  <c r="L391" i="8"/>
  <c r="F391" i="8"/>
  <c r="J391" i="8"/>
  <c r="O391" i="8"/>
  <c r="D391" i="8"/>
  <c r="J126" i="7"/>
  <c r="H127" i="7"/>
  <c r="I127" i="7"/>
  <c r="B127" i="7"/>
  <c r="C127" i="7"/>
  <c r="G127" i="7"/>
  <c r="K127" i="7"/>
  <c r="E127" i="7"/>
  <c r="D127" i="7"/>
  <c r="F127" i="7"/>
  <c r="A274" i="11"/>
  <c r="A275" i="11"/>
  <c r="X273" i="11"/>
  <c r="BE256" i="8"/>
  <c r="BE257" i="8"/>
  <c r="BF255" i="8"/>
  <c r="W271" i="11"/>
  <c r="W272" i="11"/>
  <c r="X270" i="11"/>
  <c r="AN142" i="8"/>
  <c r="AI142" i="8"/>
  <c r="AJ142" i="8"/>
  <c r="AL142" i="8"/>
  <c r="AO142" i="8"/>
  <c r="AM142" i="8"/>
  <c r="AK142" i="8"/>
  <c r="AS142" i="8"/>
  <c r="AQ142" i="8"/>
  <c r="AV142" i="8"/>
  <c r="H158" i="11"/>
  <c r="I158" i="11"/>
  <c r="D158" i="11"/>
  <c r="M158" i="11"/>
  <c r="F158" i="11"/>
  <c r="J158" i="11"/>
  <c r="C158" i="11"/>
  <c r="G158" i="11"/>
  <c r="B158" i="11"/>
  <c r="K158" i="11"/>
  <c r="E158" i="11"/>
  <c r="C392" i="8"/>
  <c r="J392" i="8"/>
  <c r="O392" i="8"/>
  <c r="G392" i="8"/>
  <c r="D392" i="8"/>
  <c r="F392" i="8"/>
  <c r="E392" i="8"/>
  <c r="L392" i="8"/>
  <c r="H128" i="7"/>
  <c r="B128" i="7"/>
  <c r="I128" i="7"/>
  <c r="G128" i="7"/>
  <c r="F128" i="7"/>
  <c r="C128" i="7"/>
  <c r="K128" i="7"/>
  <c r="D128" i="7"/>
  <c r="E128" i="7"/>
  <c r="C167" i="1"/>
  <c r="C97" i="8"/>
  <c r="J127" i="7"/>
  <c r="A276" i="11"/>
  <c r="A277" i="11"/>
  <c r="X275" i="11"/>
  <c r="BF257" i="8"/>
  <c r="BE258" i="8"/>
  <c r="BE259" i="8"/>
  <c r="W273" i="11"/>
  <c r="W274" i="11"/>
  <c r="X272" i="11"/>
  <c r="AS143" i="8"/>
  <c r="AK143" i="8"/>
  <c r="AL143" i="8"/>
  <c r="AN143" i="8"/>
  <c r="AJ143" i="8"/>
  <c r="AI143" i="8"/>
  <c r="AO143" i="8"/>
  <c r="AM143" i="8"/>
  <c r="AQ143" i="8"/>
  <c r="AV143" i="8"/>
  <c r="I159" i="11"/>
  <c r="G159" i="11"/>
  <c r="B159" i="11"/>
  <c r="D159" i="11"/>
  <c r="K159" i="11"/>
  <c r="H159" i="11"/>
  <c r="J159" i="11"/>
  <c r="E159" i="11"/>
  <c r="M159" i="11"/>
  <c r="C159" i="11"/>
  <c r="F159" i="11"/>
  <c r="O97" i="8"/>
  <c r="C393" i="8"/>
  <c r="J393" i="8"/>
  <c r="O393" i="8"/>
  <c r="E393" i="8"/>
  <c r="L393" i="8"/>
  <c r="G393" i="8"/>
  <c r="D393" i="8"/>
  <c r="F393" i="8"/>
  <c r="J128" i="7"/>
  <c r="D129" i="7"/>
  <c r="C129" i="7"/>
  <c r="F129" i="7"/>
  <c r="E129" i="7"/>
  <c r="G129" i="7"/>
  <c r="K129" i="7"/>
  <c r="H129" i="7"/>
  <c r="B129" i="7"/>
  <c r="I129" i="7"/>
  <c r="A278" i="11"/>
  <c r="A279" i="11"/>
  <c r="X277" i="11"/>
  <c r="BE260" i="8"/>
  <c r="BE261" i="8"/>
  <c r="BF259" i="8"/>
  <c r="W275" i="11"/>
  <c r="W276" i="11"/>
  <c r="X274" i="11"/>
  <c r="AQ144" i="8"/>
  <c r="AV144" i="8"/>
  <c r="AN144" i="8"/>
  <c r="AI144" i="8"/>
  <c r="AJ144" i="8"/>
  <c r="AO144" i="8"/>
  <c r="AS144" i="8"/>
  <c r="AK144" i="8"/>
  <c r="AL144" i="8"/>
  <c r="AM144" i="8"/>
  <c r="I160" i="11"/>
  <c r="E160" i="11"/>
  <c r="G160" i="11"/>
  <c r="K160" i="11"/>
  <c r="B160" i="11"/>
  <c r="F160" i="11"/>
  <c r="J160" i="11"/>
  <c r="D160" i="11"/>
  <c r="H160" i="11"/>
  <c r="M160" i="11"/>
  <c r="C160" i="11"/>
  <c r="D394" i="8"/>
  <c r="G394" i="8"/>
  <c r="C394" i="8"/>
  <c r="J394" i="8"/>
  <c r="O394" i="8"/>
  <c r="F394" i="8"/>
  <c r="E394" i="8"/>
  <c r="L394" i="8"/>
  <c r="B130" i="7"/>
  <c r="F130" i="7"/>
  <c r="D130" i="7"/>
  <c r="K130" i="7"/>
  <c r="C130" i="7"/>
  <c r="I130" i="7"/>
  <c r="E130" i="7"/>
  <c r="G130" i="7"/>
  <c r="H130" i="7"/>
  <c r="C168" i="1"/>
  <c r="J129" i="7"/>
  <c r="C98" i="8"/>
  <c r="A280" i="11"/>
  <c r="A281" i="11"/>
  <c r="X281" i="11"/>
  <c r="X279" i="11"/>
  <c r="BF261" i="8"/>
  <c r="BE262" i="8"/>
  <c r="BE263" i="8"/>
  <c r="W277" i="11"/>
  <c r="W278" i="11"/>
  <c r="X276" i="11"/>
  <c r="AN145" i="8"/>
  <c r="AL145" i="8"/>
  <c r="AS145" i="8"/>
  <c r="AM145" i="8"/>
  <c r="AK145" i="8"/>
  <c r="AJ145" i="8"/>
  <c r="AQ145" i="8"/>
  <c r="AV145" i="8"/>
  <c r="AI145" i="8"/>
  <c r="AO145" i="8"/>
  <c r="D161" i="11"/>
  <c r="E161" i="11"/>
  <c r="K161" i="11"/>
  <c r="I161" i="11"/>
  <c r="J161" i="11"/>
  <c r="C161" i="11"/>
  <c r="H161" i="11"/>
  <c r="G161" i="11"/>
  <c r="M161" i="11"/>
  <c r="F161" i="11"/>
  <c r="B161" i="11"/>
  <c r="O98" i="8"/>
  <c r="G395" i="8"/>
  <c r="J395" i="8"/>
  <c r="O395" i="8"/>
  <c r="D395" i="8"/>
  <c r="C395" i="8"/>
  <c r="F395" i="8"/>
  <c r="E395" i="8"/>
  <c r="L395" i="8"/>
  <c r="E131" i="7"/>
  <c r="B131" i="7"/>
  <c r="H131" i="7"/>
  <c r="G131" i="7"/>
  <c r="I131" i="7"/>
  <c r="F131" i="7"/>
  <c r="D131" i="7"/>
  <c r="K131" i="7"/>
  <c r="C131" i="7"/>
  <c r="J130" i="7"/>
  <c r="W279" i="11"/>
  <c r="W280" i="11"/>
  <c r="X278" i="11"/>
  <c r="BE264" i="8"/>
  <c r="BF263" i="8"/>
  <c r="AM146" i="8"/>
  <c r="AO146" i="8"/>
  <c r="AJ146" i="8"/>
  <c r="AL146" i="8"/>
  <c r="AQ146" i="8"/>
  <c r="AV146" i="8"/>
  <c r="AK146" i="8"/>
  <c r="AS146" i="8"/>
  <c r="AI146" i="8"/>
  <c r="AN146" i="8"/>
  <c r="J131" i="7"/>
  <c r="I162" i="11"/>
  <c r="D162" i="11"/>
  <c r="J162" i="11"/>
  <c r="G162" i="11"/>
  <c r="C162" i="11"/>
  <c r="H162" i="11"/>
  <c r="E162" i="11"/>
  <c r="B162" i="11"/>
  <c r="K162" i="11"/>
  <c r="M162" i="11"/>
  <c r="F162" i="11"/>
  <c r="F396" i="8"/>
  <c r="E396" i="8"/>
  <c r="L396" i="8"/>
  <c r="J396" i="8"/>
  <c r="O396" i="8"/>
  <c r="C396" i="8"/>
  <c r="G396" i="8"/>
  <c r="D396" i="8"/>
  <c r="I132" i="7"/>
  <c r="K132" i="7"/>
  <c r="B132" i="7"/>
  <c r="H132" i="7"/>
  <c r="G132" i="7"/>
  <c r="F132" i="7"/>
  <c r="C132" i="7"/>
  <c r="D132" i="7"/>
  <c r="E132" i="7"/>
  <c r="C169" i="1"/>
  <c r="C99" i="8"/>
  <c r="W281" i="11"/>
  <c r="X280" i="11"/>
  <c r="O99" i="8"/>
  <c r="J132" i="7"/>
  <c r="AM147" i="8"/>
  <c r="AN147" i="8"/>
  <c r="AK147" i="8"/>
  <c r="AO147" i="8"/>
  <c r="AJ147" i="8"/>
  <c r="AS147" i="8"/>
  <c r="AL147" i="8"/>
  <c r="AI147" i="8"/>
  <c r="AQ147" i="8"/>
  <c r="AV147" i="8"/>
  <c r="C163" i="11"/>
  <c r="M163" i="11"/>
  <c r="G163" i="11"/>
  <c r="J163" i="11"/>
  <c r="B163" i="11"/>
  <c r="K163" i="11"/>
  <c r="I163" i="11"/>
  <c r="E163" i="11"/>
  <c r="H163" i="11"/>
  <c r="D163" i="11"/>
  <c r="F163" i="11"/>
  <c r="C170" i="1"/>
  <c r="C100" i="8"/>
  <c r="G397" i="8"/>
  <c r="J397" i="8"/>
  <c r="O397" i="8"/>
  <c r="D397" i="8"/>
  <c r="C397" i="8"/>
  <c r="F397" i="8"/>
  <c r="E397" i="8"/>
  <c r="L397" i="8"/>
  <c r="F133" i="7"/>
  <c r="I133" i="7"/>
  <c r="D133" i="7"/>
  <c r="K133" i="7"/>
  <c r="B133" i="7"/>
  <c r="G133" i="7"/>
  <c r="C133" i="7"/>
  <c r="H133" i="7"/>
  <c r="E133" i="7"/>
  <c r="AM148" i="8"/>
  <c r="AJ148" i="8"/>
  <c r="AN148" i="8"/>
  <c r="AL148" i="8"/>
  <c r="AI148" i="8"/>
  <c r="AK148" i="8"/>
  <c r="AS148" i="8"/>
  <c r="AQ148" i="8"/>
  <c r="AV148" i="8"/>
  <c r="AO148" i="8"/>
  <c r="C164" i="11"/>
  <c r="B164" i="11"/>
  <c r="K164" i="11"/>
  <c r="G164" i="11"/>
  <c r="I164" i="11"/>
  <c r="F164" i="11"/>
  <c r="E164" i="11"/>
  <c r="H164" i="11"/>
  <c r="D164" i="11"/>
  <c r="J164" i="11"/>
  <c r="M164" i="11"/>
  <c r="O100" i="8"/>
  <c r="F398" i="8"/>
  <c r="E398" i="8"/>
  <c r="L398" i="8"/>
  <c r="C398" i="8"/>
  <c r="G398" i="8"/>
  <c r="D398" i="8"/>
  <c r="J398" i="8"/>
  <c r="O398" i="8"/>
  <c r="C134" i="7"/>
  <c r="G134" i="7"/>
  <c r="D134" i="7"/>
  <c r="H134" i="7"/>
  <c r="F134" i="7"/>
  <c r="K134" i="7"/>
  <c r="E134" i="7"/>
  <c r="I134" i="7"/>
  <c r="B134" i="7"/>
  <c r="J133" i="7"/>
  <c r="AJ149" i="8"/>
  <c r="AQ149" i="8"/>
  <c r="AV149" i="8"/>
  <c r="AO149" i="8"/>
  <c r="AL149" i="8"/>
  <c r="AK149" i="8"/>
  <c r="AN149" i="8"/>
  <c r="AM149" i="8"/>
  <c r="AI149" i="8"/>
  <c r="AS149" i="8"/>
  <c r="D165" i="11"/>
  <c r="G165" i="11"/>
  <c r="F165" i="11"/>
  <c r="J165" i="11"/>
  <c r="B165" i="11"/>
  <c r="K165" i="11"/>
  <c r="H165" i="11"/>
  <c r="M165" i="11"/>
  <c r="C165" i="11"/>
  <c r="E165" i="11"/>
  <c r="I165" i="11"/>
  <c r="E399" i="8"/>
  <c r="L399" i="8"/>
  <c r="J399" i="8"/>
  <c r="O399" i="8"/>
  <c r="G399" i="8"/>
  <c r="F399" i="8"/>
  <c r="C399" i="8"/>
  <c r="D399" i="8"/>
  <c r="C171" i="1"/>
  <c r="E135" i="7"/>
  <c r="I135" i="7"/>
  <c r="C135" i="7"/>
  <c r="F135" i="7"/>
  <c r="G135" i="7"/>
  <c r="H135" i="7"/>
  <c r="D135" i="7"/>
  <c r="K135" i="7"/>
  <c r="B135" i="7"/>
  <c r="J134" i="7"/>
  <c r="C101" i="8"/>
  <c r="O101" i="8"/>
  <c r="AJ150" i="8"/>
  <c r="AS150" i="8"/>
  <c r="AM150" i="8"/>
  <c r="AK150" i="8"/>
  <c r="AQ150" i="8"/>
  <c r="AV150" i="8"/>
  <c r="AN150" i="8"/>
  <c r="AO150" i="8"/>
  <c r="AI150" i="8"/>
  <c r="AL150" i="8"/>
  <c r="H166" i="11"/>
  <c r="F166" i="11"/>
  <c r="C166" i="11"/>
  <c r="B166" i="11"/>
  <c r="E166" i="11"/>
  <c r="G166" i="11"/>
  <c r="I166" i="11"/>
  <c r="J166" i="11"/>
  <c r="M166" i="11"/>
  <c r="D166" i="11"/>
  <c r="K166" i="11"/>
  <c r="C102" i="8"/>
  <c r="J135" i="7"/>
  <c r="I136" i="7"/>
  <c r="G136" i="7"/>
  <c r="F136" i="7"/>
  <c r="H136" i="7"/>
  <c r="B136" i="7"/>
  <c r="K136" i="7"/>
  <c r="D136" i="7"/>
  <c r="E136" i="7"/>
  <c r="C136" i="7"/>
  <c r="D400" i="8"/>
  <c r="F400" i="8"/>
  <c r="G400" i="8"/>
  <c r="C400" i="8"/>
  <c r="E400" i="8"/>
  <c r="L400" i="8"/>
  <c r="J400" i="8"/>
  <c r="O400" i="8"/>
  <c r="J136" i="7"/>
  <c r="AN151" i="8"/>
  <c r="AJ151" i="8"/>
  <c r="AK151" i="8"/>
  <c r="AO151" i="8"/>
  <c r="AI151" i="8"/>
  <c r="AQ151" i="8"/>
  <c r="AV151" i="8"/>
  <c r="AM151" i="8"/>
  <c r="AL151" i="8"/>
  <c r="AS151" i="8"/>
  <c r="H167" i="11"/>
  <c r="F167" i="11"/>
  <c r="G167" i="11"/>
  <c r="C167" i="11"/>
  <c r="K167" i="11"/>
  <c r="I167" i="11"/>
  <c r="B167" i="11"/>
  <c r="J167" i="11"/>
  <c r="M167" i="11"/>
  <c r="D167" i="11"/>
  <c r="E167" i="11"/>
  <c r="G401" i="8"/>
  <c r="E401" i="8"/>
  <c r="L401" i="8"/>
  <c r="C401" i="8"/>
  <c r="J401" i="8"/>
  <c r="O401" i="8"/>
  <c r="D401" i="8"/>
  <c r="F401" i="8"/>
  <c r="O102" i="8"/>
  <c r="C172" i="1"/>
  <c r="H137" i="7"/>
  <c r="K137" i="7"/>
  <c r="D137" i="7"/>
  <c r="F137" i="7"/>
  <c r="B137" i="7"/>
  <c r="E137" i="7"/>
  <c r="I137" i="7"/>
  <c r="C137" i="7"/>
  <c r="G137" i="7"/>
  <c r="AN152" i="8"/>
  <c r="AO152" i="8"/>
  <c r="AQ152" i="8"/>
  <c r="AV152" i="8"/>
  <c r="AK152" i="8"/>
  <c r="AS152" i="8"/>
  <c r="AJ152" i="8"/>
  <c r="AM152" i="8"/>
  <c r="AL152" i="8"/>
  <c r="AI152" i="8"/>
  <c r="F168" i="11"/>
  <c r="J168" i="11"/>
  <c r="H168" i="11"/>
  <c r="C168" i="11"/>
  <c r="G168" i="11"/>
  <c r="B168" i="11"/>
  <c r="I168" i="11"/>
  <c r="K168" i="11"/>
  <c r="E168" i="11"/>
  <c r="M168" i="11"/>
  <c r="D168" i="11"/>
  <c r="I138" i="7"/>
  <c r="F138" i="7"/>
  <c r="B138" i="7"/>
  <c r="C138" i="7"/>
  <c r="K138" i="7"/>
  <c r="D138" i="7"/>
  <c r="H138" i="7"/>
  <c r="E138" i="7"/>
  <c r="G138" i="7"/>
  <c r="C402" i="8"/>
  <c r="J402" i="8"/>
  <c r="O402" i="8"/>
  <c r="D402" i="8"/>
  <c r="G402" i="8"/>
  <c r="F402" i="8"/>
  <c r="E402" i="8"/>
  <c r="L402" i="8"/>
  <c r="J137" i="7"/>
  <c r="C103" i="8"/>
  <c r="O103" i="8"/>
  <c r="J138" i="7"/>
  <c r="AQ153" i="8"/>
  <c r="AV153" i="8"/>
  <c r="AI153" i="8"/>
  <c r="AK153" i="8"/>
  <c r="AL153" i="8"/>
  <c r="AM153" i="8"/>
  <c r="AJ153" i="8"/>
  <c r="AS153" i="8"/>
  <c r="AN153" i="8"/>
  <c r="AO153" i="8"/>
  <c r="B169" i="11"/>
  <c r="F169" i="11"/>
  <c r="G169" i="11"/>
  <c r="M169" i="11"/>
  <c r="D169" i="11"/>
  <c r="J169" i="11"/>
  <c r="K169" i="11"/>
  <c r="H169" i="11"/>
  <c r="I169" i="11"/>
  <c r="E169" i="11"/>
  <c r="C169" i="11"/>
  <c r="F403" i="8"/>
  <c r="J403" i="8"/>
  <c r="O403" i="8"/>
  <c r="E403" i="8"/>
  <c r="L403" i="8"/>
  <c r="G403" i="8"/>
  <c r="D403" i="8"/>
  <c r="C403" i="8"/>
  <c r="B139" i="7"/>
  <c r="I139" i="7"/>
  <c r="F139" i="7"/>
  <c r="H139" i="7"/>
  <c r="C139" i="7"/>
  <c r="K139" i="7"/>
  <c r="D139" i="7"/>
  <c r="G139" i="7"/>
  <c r="E139" i="7"/>
  <c r="C173" i="1"/>
  <c r="AL154" i="8"/>
  <c r="AJ154" i="8"/>
  <c r="AN154" i="8"/>
  <c r="AM154" i="8"/>
  <c r="AO154" i="8"/>
  <c r="AI154" i="8"/>
  <c r="AQ154" i="8"/>
  <c r="AV154" i="8"/>
  <c r="AS154" i="8"/>
  <c r="AK154" i="8"/>
  <c r="J139" i="7"/>
  <c r="H170" i="11"/>
  <c r="K170" i="11"/>
  <c r="E170" i="11"/>
  <c r="C170" i="11"/>
  <c r="D170" i="11"/>
  <c r="G170" i="11"/>
  <c r="M170" i="11"/>
  <c r="J170" i="11"/>
  <c r="B170" i="11"/>
  <c r="F170" i="11"/>
  <c r="I170" i="11"/>
  <c r="D404" i="8"/>
  <c r="J404" i="8"/>
  <c r="O404" i="8"/>
  <c r="F404" i="8"/>
  <c r="E404" i="8"/>
  <c r="L404" i="8"/>
  <c r="C404" i="8"/>
  <c r="G404" i="8"/>
  <c r="C104" i="8"/>
  <c r="B140" i="7"/>
  <c r="G140" i="7"/>
  <c r="C140" i="7"/>
  <c r="F140" i="7"/>
  <c r="E140" i="7"/>
  <c r="D140" i="7"/>
  <c r="K140" i="7"/>
  <c r="I140" i="7"/>
  <c r="H140" i="7"/>
  <c r="AO155" i="8"/>
  <c r="AI155" i="8"/>
  <c r="AN155" i="8"/>
  <c r="AJ155" i="8"/>
  <c r="AL155" i="8"/>
  <c r="AS155" i="8"/>
  <c r="AK155" i="8"/>
  <c r="AM155" i="8"/>
  <c r="AQ155" i="8"/>
  <c r="AV155" i="8"/>
  <c r="J140" i="7"/>
  <c r="D171" i="11"/>
  <c r="H171" i="11"/>
  <c r="C171" i="11"/>
  <c r="B171" i="11"/>
  <c r="K171" i="11"/>
  <c r="G171" i="11"/>
  <c r="I171" i="11"/>
  <c r="J171" i="11"/>
  <c r="M171" i="11"/>
  <c r="F171" i="11"/>
  <c r="E171" i="11"/>
  <c r="O104" i="8"/>
  <c r="C174" i="1"/>
  <c r="F405" i="8"/>
  <c r="C405" i="8"/>
  <c r="J405" i="8"/>
  <c r="O405" i="8"/>
  <c r="D405" i="8"/>
  <c r="G405" i="8"/>
  <c r="E405" i="8"/>
  <c r="L405" i="8"/>
  <c r="D141" i="7"/>
  <c r="K141" i="7"/>
  <c r="H141" i="7"/>
  <c r="E141" i="7"/>
  <c r="G141" i="7"/>
  <c r="I141" i="7"/>
  <c r="C141" i="7"/>
  <c r="F141" i="7"/>
  <c r="B141" i="7"/>
  <c r="AS156" i="8"/>
  <c r="AQ156" i="8"/>
  <c r="AV156" i="8"/>
  <c r="AJ156" i="8"/>
  <c r="AK156" i="8"/>
  <c r="AL156" i="8"/>
  <c r="AI156" i="8"/>
  <c r="AN156" i="8"/>
  <c r="AO156" i="8"/>
  <c r="AM156" i="8"/>
  <c r="E172" i="11"/>
  <c r="B172" i="11"/>
  <c r="J172" i="11"/>
  <c r="G172" i="11"/>
  <c r="M172" i="11"/>
  <c r="I172" i="11"/>
  <c r="F172" i="11"/>
  <c r="C172" i="11"/>
  <c r="K172" i="11"/>
  <c r="D172" i="11"/>
  <c r="H172" i="11"/>
  <c r="F406" i="8"/>
  <c r="E406" i="8"/>
  <c r="G406" i="8"/>
  <c r="J406" i="8"/>
  <c r="O406" i="8"/>
  <c r="D406" i="8"/>
  <c r="L406" i="8"/>
  <c r="C406" i="8"/>
  <c r="D142" i="7"/>
  <c r="B142" i="7"/>
  <c r="H142" i="7"/>
  <c r="E142" i="7"/>
  <c r="G142" i="7"/>
  <c r="I142" i="7"/>
  <c r="F142" i="7"/>
  <c r="C142" i="7"/>
  <c r="K142" i="7"/>
  <c r="J141" i="7"/>
  <c r="C105" i="8"/>
  <c r="AM157" i="8"/>
  <c r="AK157" i="8"/>
  <c r="AI157" i="8"/>
  <c r="AQ157" i="8"/>
  <c r="AV157" i="8"/>
  <c r="AS157" i="8"/>
  <c r="AO157" i="8"/>
  <c r="AN157" i="8"/>
  <c r="AL157" i="8"/>
  <c r="AJ157" i="8"/>
  <c r="G173" i="11"/>
  <c r="F173" i="11"/>
  <c r="E173" i="11"/>
  <c r="M173" i="11"/>
  <c r="D173" i="11"/>
  <c r="H173" i="11"/>
  <c r="B173" i="11"/>
  <c r="J173" i="11"/>
  <c r="I173" i="11"/>
  <c r="K173" i="11"/>
  <c r="C173" i="11"/>
  <c r="O105" i="8"/>
  <c r="E143" i="7"/>
  <c r="C143" i="7"/>
  <c r="G143" i="7"/>
  <c r="I143" i="7"/>
  <c r="F143" i="7"/>
  <c r="B143" i="7"/>
  <c r="D143" i="7"/>
  <c r="H143" i="7"/>
  <c r="K143" i="7"/>
  <c r="J142" i="7"/>
  <c r="G407" i="8"/>
  <c r="D407" i="8"/>
  <c r="F407" i="8"/>
  <c r="C407" i="8"/>
  <c r="J407" i="8"/>
  <c r="O407" i="8"/>
  <c r="E407" i="8"/>
  <c r="L407" i="8"/>
  <c r="C175" i="1"/>
  <c r="AM158" i="8"/>
  <c r="AO158" i="8"/>
  <c r="AN158" i="8"/>
  <c r="AQ158" i="8"/>
  <c r="AV158" i="8"/>
  <c r="AS158" i="8"/>
  <c r="AJ158" i="8"/>
  <c r="AK158" i="8"/>
  <c r="AI158" i="8"/>
  <c r="AL158" i="8"/>
  <c r="F174" i="11"/>
  <c r="I174" i="11"/>
  <c r="J174" i="11"/>
  <c r="D174" i="11"/>
  <c r="C174" i="11"/>
  <c r="H174" i="11"/>
  <c r="M174" i="11"/>
  <c r="B174" i="11"/>
  <c r="E174" i="11"/>
  <c r="K174" i="11"/>
  <c r="G174" i="11"/>
  <c r="G408" i="8"/>
  <c r="D408" i="8"/>
  <c r="F408" i="8"/>
  <c r="E408" i="8"/>
  <c r="L408" i="8"/>
  <c r="J408" i="8"/>
  <c r="O408" i="8"/>
  <c r="C408" i="8"/>
  <c r="E144" i="7"/>
  <c r="B144" i="7"/>
  <c r="G144" i="7"/>
  <c r="I144" i="7"/>
  <c r="F144" i="7"/>
  <c r="H144" i="7"/>
  <c r="D144" i="7"/>
  <c r="C144" i="7"/>
  <c r="K144" i="7"/>
  <c r="J143" i="7"/>
  <c r="C106" i="8"/>
  <c r="C107" i="8"/>
  <c r="O106" i="8"/>
  <c r="AJ159" i="8"/>
  <c r="AK159" i="8"/>
  <c r="AO159" i="8"/>
  <c r="AL159" i="8"/>
  <c r="AQ159" i="8"/>
  <c r="AV159" i="8"/>
  <c r="AI159" i="8"/>
  <c r="AN159" i="8"/>
  <c r="AS159" i="8"/>
  <c r="AM159" i="8"/>
  <c r="I175" i="11"/>
  <c r="E175" i="11"/>
  <c r="M175" i="11"/>
  <c r="C175" i="11"/>
  <c r="B175" i="11"/>
  <c r="K175" i="11"/>
  <c r="H175" i="11"/>
  <c r="D175" i="11"/>
  <c r="F175" i="11"/>
  <c r="J175" i="11"/>
  <c r="G175" i="11"/>
  <c r="C409" i="8"/>
  <c r="G409" i="8"/>
  <c r="D409" i="8"/>
  <c r="J409" i="8"/>
  <c r="O409" i="8"/>
  <c r="F409" i="8"/>
  <c r="E409" i="8"/>
  <c r="L409" i="8"/>
  <c r="B145" i="7"/>
  <c r="H145" i="7"/>
  <c r="D145" i="7"/>
  <c r="C145" i="7"/>
  <c r="G145" i="7"/>
  <c r="F145" i="7"/>
  <c r="K145" i="7"/>
  <c r="E145" i="7"/>
  <c r="I145" i="7"/>
  <c r="C176" i="1"/>
  <c r="J144" i="7"/>
  <c r="AL160" i="8"/>
  <c r="AM160" i="8"/>
  <c r="AJ160" i="8"/>
  <c r="AK160" i="8"/>
  <c r="AO160" i="8"/>
  <c r="AI160" i="8"/>
  <c r="AN160" i="8"/>
  <c r="AS160" i="8"/>
  <c r="AQ160" i="8"/>
  <c r="AV160" i="8"/>
  <c r="F176" i="11"/>
  <c r="I176" i="11"/>
  <c r="J176" i="11"/>
  <c r="E176" i="11"/>
  <c r="M176" i="11"/>
  <c r="D176" i="11"/>
  <c r="H176" i="11"/>
  <c r="C176" i="11"/>
  <c r="K176" i="11"/>
  <c r="G176" i="11"/>
  <c r="B176" i="11"/>
  <c r="O107" i="8"/>
  <c r="C410" i="8"/>
  <c r="F410" i="8"/>
  <c r="G410" i="8"/>
  <c r="E410" i="8"/>
  <c r="L410" i="8"/>
  <c r="J410" i="8"/>
  <c r="O410" i="8"/>
  <c r="D410" i="8"/>
  <c r="I146" i="7"/>
  <c r="C146" i="7"/>
  <c r="B146" i="7"/>
  <c r="G146" i="7"/>
  <c r="D146" i="7"/>
  <c r="F146" i="7"/>
  <c r="K146" i="7"/>
  <c r="E146" i="7"/>
  <c r="H146" i="7"/>
  <c r="J145" i="7"/>
  <c r="AM161" i="8"/>
  <c r="AQ161" i="8"/>
  <c r="AV161" i="8"/>
  <c r="AI161" i="8"/>
  <c r="AK161" i="8"/>
  <c r="AL161" i="8"/>
  <c r="AJ161" i="8"/>
  <c r="AN161" i="8"/>
  <c r="AO161" i="8"/>
  <c r="AS161" i="8"/>
  <c r="J146" i="7"/>
  <c r="D177" i="11"/>
  <c r="H177" i="11"/>
  <c r="F177" i="11"/>
  <c r="J177" i="11"/>
  <c r="G177" i="11"/>
  <c r="M177" i="11"/>
  <c r="I177" i="11"/>
  <c r="E177" i="11"/>
  <c r="C177" i="11"/>
  <c r="K177" i="11"/>
  <c r="B177" i="11"/>
  <c r="D411" i="8"/>
  <c r="J411" i="8"/>
  <c r="O411" i="8"/>
  <c r="C411" i="8"/>
  <c r="F411" i="8"/>
  <c r="G411" i="8"/>
  <c r="E411" i="8"/>
  <c r="L411" i="8"/>
  <c r="C108" i="8"/>
  <c r="B147" i="7"/>
  <c r="C147" i="7"/>
  <c r="G147" i="7"/>
  <c r="F147" i="7"/>
  <c r="D147" i="7"/>
  <c r="K147" i="7"/>
  <c r="E147" i="7"/>
  <c r="H147" i="7"/>
  <c r="I147" i="7"/>
  <c r="C177" i="1"/>
  <c r="J147" i="7"/>
  <c r="AJ162" i="8"/>
  <c r="AN162" i="8"/>
  <c r="AQ162" i="8"/>
  <c r="AV162" i="8"/>
  <c r="AS162" i="8"/>
  <c r="AM162" i="8"/>
  <c r="AL162" i="8"/>
  <c r="AI162" i="8"/>
  <c r="AK162" i="8"/>
  <c r="AO162" i="8"/>
  <c r="G178" i="11"/>
  <c r="B178" i="11"/>
  <c r="K178" i="11"/>
  <c r="I178" i="11"/>
  <c r="H178" i="11"/>
  <c r="J178" i="11"/>
  <c r="C178" i="11"/>
  <c r="E178" i="11"/>
  <c r="D178" i="11"/>
  <c r="M178" i="11"/>
  <c r="F178" i="11"/>
  <c r="O108" i="8"/>
  <c r="G412" i="8"/>
  <c r="E412" i="8"/>
  <c r="L412" i="8"/>
  <c r="J412" i="8"/>
  <c r="O412" i="8"/>
  <c r="D412" i="8"/>
  <c r="F412" i="8"/>
  <c r="C412" i="8"/>
  <c r="H148" i="7"/>
  <c r="G148" i="7"/>
  <c r="D148" i="7"/>
  <c r="F148" i="7"/>
  <c r="E148" i="7"/>
  <c r="B148" i="7"/>
  <c r="K148" i="7"/>
  <c r="I148" i="7"/>
  <c r="C148" i="7"/>
  <c r="AQ163" i="8"/>
  <c r="AV163" i="8"/>
  <c r="AS163" i="8"/>
  <c r="AL163" i="8"/>
  <c r="AK163" i="8"/>
  <c r="AN163" i="8"/>
  <c r="AO163" i="8"/>
  <c r="AJ163" i="8"/>
  <c r="AI163" i="8"/>
  <c r="AM163" i="8"/>
  <c r="I179" i="11"/>
  <c r="J179" i="11"/>
  <c r="B179" i="11"/>
  <c r="H179" i="11"/>
  <c r="C179" i="11"/>
  <c r="D179" i="11"/>
  <c r="F179" i="11"/>
  <c r="E179" i="11"/>
  <c r="M179" i="11"/>
  <c r="K179" i="11"/>
  <c r="G179" i="11"/>
  <c r="E413" i="8"/>
  <c r="L413" i="8"/>
  <c r="D413" i="8"/>
  <c r="F413" i="8"/>
  <c r="G413" i="8"/>
  <c r="J413" i="8"/>
  <c r="O413" i="8"/>
  <c r="C413" i="8"/>
  <c r="C178" i="1"/>
  <c r="D149" i="7"/>
  <c r="F149" i="7"/>
  <c r="H149" i="7"/>
  <c r="E149" i="7"/>
  <c r="K149" i="7"/>
  <c r="I149" i="7"/>
  <c r="C149" i="7"/>
  <c r="G149" i="7"/>
  <c r="B149" i="7"/>
  <c r="C109" i="8"/>
  <c r="J148" i="7"/>
  <c r="O109" i="8"/>
  <c r="AL164" i="8"/>
  <c r="AO164" i="8"/>
  <c r="AS164" i="8"/>
  <c r="AK164" i="8"/>
  <c r="AQ164" i="8"/>
  <c r="AV164" i="8"/>
  <c r="AM164" i="8"/>
  <c r="AJ164" i="8"/>
  <c r="AN164" i="8"/>
  <c r="AI164" i="8"/>
  <c r="J149" i="7"/>
  <c r="C180" i="11"/>
  <c r="F180" i="11"/>
  <c r="I180" i="11"/>
  <c r="J180" i="11"/>
  <c r="E180" i="11"/>
  <c r="D180" i="11"/>
  <c r="B180" i="11"/>
  <c r="H180" i="11"/>
  <c r="K180" i="11"/>
  <c r="G180" i="11"/>
  <c r="M180" i="11"/>
  <c r="C110" i="8"/>
  <c r="H150" i="7"/>
  <c r="B150" i="7"/>
  <c r="G150" i="7"/>
  <c r="D150" i="7"/>
  <c r="C150" i="7"/>
  <c r="F150" i="7"/>
  <c r="E150" i="7"/>
  <c r="K150" i="7"/>
  <c r="I150" i="7"/>
  <c r="C414" i="8"/>
  <c r="D414" i="8"/>
  <c r="F414" i="8"/>
  <c r="J414" i="8"/>
  <c r="O414" i="8"/>
  <c r="G414" i="8"/>
  <c r="E414" i="8"/>
  <c r="L414" i="8"/>
  <c r="AO165" i="8"/>
  <c r="AS165" i="8"/>
  <c r="AI165" i="8"/>
  <c r="AM165" i="8"/>
  <c r="AK165" i="8"/>
  <c r="AQ165" i="8"/>
  <c r="AV165" i="8"/>
  <c r="AJ165" i="8"/>
  <c r="AN165" i="8"/>
  <c r="AL165" i="8"/>
  <c r="E181" i="11"/>
  <c r="H181" i="11"/>
  <c r="C181" i="11"/>
  <c r="B181" i="11"/>
  <c r="K181" i="11"/>
  <c r="G181" i="11"/>
  <c r="J181" i="11"/>
  <c r="D181" i="11"/>
  <c r="M181" i="11"/>
  <c r="F181" i="11"/>
  <c r="I181" i="11"/>
  <c r="F415" i="8"/>
  <c r="C415" i="8"/>
  <c r="G415" i="8"/>
  <c r="E415" i="8"/>
  <c r="L415" i="8"/>
  <c r="J415" i="8"/>
  <c r="O415" i="8"/>
  <c r="D415" i="8"/>
  <c r="O110" i="8"/>
  <c r="J150" i="7"/>
  <c r="C179" i="1"/>
  <c r="D151" i="7"/>
  <c r="K151" i="7"/>
  <c r="E151" i="7"/>
  <c r="B151" i="7"/>
  <c r="I151" i="7"/>
  <c r="C151" i="7"/>
  <c r="H151" i="7"/>
  <c r="G151" i="7"/>
  <c r="F151" i="7"/>
  <c r="AI166" i="8"/>
  <c r="AO166" i="8"/>
  <c r="AK166" i="8"/>
  <c r="AJ166" i="8"/>
  <c r="AQ166" i="8"/>
  <c r="AV166" i="8"/>
  <c r="AM166" i="8"/>
  <c r="AN166" i="8"/>
  <c r="AS166" i="8"/>
  <c r="AL166" i="8"/>
  <c r="F182" i="11"/>
  <c r="H182" i="11"/>
  <c r="K182" i="11"/>
  <c r="C182" i="11"/>
  <c r="I182" i="11"/>
  <c r="J182" i="11"/>
  <c r="E182" i="11"/>
  <c r="D182" i="11"/>
  <c r="M182" i="11"/>
  <c r="B182" i="11"/>
  <c r="G182" i="11"/>
  <c r="B152" i="7"/>
  <c r="F152" i="7"/>
  <c r="D152" i="7"/>
  <c r="K152" i="7"/>
  <c r="I152" i="7"/>
  <c r="E152" i="7"/>
  <c r="C152" i="7"/>
  <c r="G152" i="7"/>
  <c r="H152" i="7"/>
  <c r="C111" i="8"/>
  <c r="D416" i="8"/>
  <c r="F416" i="8"/>
  <c r="C416" i="8"/>
  <c r="E416" i="8"/>
  <c r="L416" i="8"/>
  <c r="G416" i="8"/>
  <c r="J416" i="8"/>
  <c r="O416" i="8"/>
  <c r="J151" i="7"/>
  <c r="AN167" i="8"/>
  <c r="AI167" i="8"/>
  <c r="AL167" i="8"/>
  <c r="AJ167" i="8"/>
  <c r="AQ167" i="8"/>
  <c r="AV167" i="8"/>
  <c r="AO167" i="8"/>
  <c r="AS167" i="8"/>
  <c r="AM167" i="8"/>
  <c r="AK167" i="8"/>
  <c r="E183" i="11"/>
  <c r="J183" i="11"/>
  <c r="K183" i="11"/>
  <c r="D183" i="11"/>
  <c r="C183" i="11"/>
  <c r="G183" i="11"/>
  <c r="I183" i="11"/>
  <c r="M183" i="11"/>
  <c r="H183" i="11"/>
  <c r="F183" i="11"/>
  <c r="B183" i="11"/>
  <c r="G417" i="8"/>
  <c r="D417" i="8"/>
  <c r="F417" i="8"/>
  <c r="J417" i="8"/>
  <c r="O417" i="8"/>
  <c r="E417" i="8"/>
  <c r="L417" i="8"/>
  <c r="C417" i="8"/>
  <c r="O111" i="8"/>
  <c r="J152" i="7"/>
  <c r="E153" i="7"/>
  <c r="B153" i="7"/>
  <c r="H153" i="7"/>
  <c r="G153" i="7"/>
  <c r="I153" i="7"/>
  <c r="C153" i="7"/>
  <c r="D153" i="7"/>
  <c r="F153" i="7"/>
  <c r="K153" i="7"/>
  <c r="C180" i="1"/>
  <c r="AO168" i="8"/>
  <c r="AQ168" i="8"/>
  <c r="AV168" i="8"/>
  <c r="AN168" i="8"/>
  <c r="AL168" i="8"/>
  <c r="AJ168" i="8"/>
  <c r="AI168" i="8"/>
  <c r="AK168" i="8"/>
  <c r="AM168" i="8"/>
  <c r="AS168" i="8"/>
  <c r="G184" i="11"/>
  <c r="F184" i="11"/>
  <c r="J184" i="11"/>
  <c r="E184" i="11"/>
  <c r="M184" i="11"/>
  <c r="D184" i="11"/>
  <c r="B184" i="11"/>
  <c r="H184" i="11"/>
  <c r="I184" i="11"/>
  <c r="K184" i="11"/>
  <c r="C184" i="11"/>
  <c r="C418" i="8"/>
  <c r="G418" i="8"/>
  <c r="D418" i="8"/>
  <c r="J418" i="8"/>
  <c r="O418" i="8"/>
  <c r="F418" i="8"/>
  <c r="E418" i="8"/>
  <c r="L418" i="8"/>
  <c r="C112" i="8"/>
  <c r="J153" i="7"/>
  <c r="B154" i="7"/>
  <c r="I154" i="7"/>
  <c r="C154" i="7"/>
  <c r="F154" i="7"/>
  <c r="D154" i="7"/>
  <c r="K154" i="7"/>
  <c r="G154" i="7"/>
  <c r="E154" i="7"/>
  <c r="H154" i="7"/>
  <c r="AI169" i="8"/>
  <c r="AJ169" i="8"/>
  <c r="AL169" i="8"/>
  <c r="AM169" i="8"/>
  <c r="AK169" i="8"/>
  <c r="AO169" i="8"/>
  <c r="AQ169" i="8"/>
  <c r="AV169" i="8"/>
  <c r="AN169" i="8"/>
  <c r="AS169" i="8"/>
  <c r="G185" i="11"/>
  <c r="H185" i="11"/>
  <c r="E185" i="11"/>
  <c r="J185" i="11"/>
  <c r="C185" i="11"/>
  <c r="M185" i="11"/>
  <c r="I185" i="11"/>
  <c r="B185" i="11"/>
  <c r="K185" i="11"/>
  <c r="F185" i="11"/>
  <c r="D185" i="11"/>
  <c r="J154" i="7"/>
  <c r="O112" i="8"/>
  <c r="D419" i="8"/>
  <c r="G419" i="8"/>
  <c r="F419" i="8"/>
  <c r="J419" i="8"/>
  <c r="O419" i="8"/>
  <c r="E419" i="8"/>
  <c r="L419" i="8"/>
  <c r="C419" i="8"/>
  <c r="C181" i="1"/>
  <c r="E155" i="7"/>
  <c r="F155" i="7"/>
  <c r="I155" i="7"/>
  <c r="K155" i="7"/>
  <c r="D155" i="7"/>
  <c r="B155" i="7"/>
  <c r="H155" i="7"/>
  <c r="C155" i="7"/>
  <c r="G155" i="7"/>
  <c r="AN170" i="8"/>
  <c r="AK170" i="8"/>
  <c r="AL170" i="8"/>
  <c r="AS170" i="8"/>
  <c r="AQ170" i="8"/>
  <c r="AV170" i="8"/>
  <c r="AO170" i="8"/>
  <c r="AM170" i="8"/>
  <c r="AI170" i="8"/>
  <c r="AJ170" i="8"/>
  <c r="H186" i="11"/>
  <c r="E186" i="11"/>
  <c r="J186" i="11"/>
  <c r="D186" i="11"/>
  <c r="C186" i="11"/>
  <c r="K186" i="11"/>
  <c r="G186" i="11"/>
  <c r="B186" i="11"/>
  <c r="I186" i="11"/>
  <c r="M186" i="11"/>
  <c r="F186" i="11"/>
  <c r="J420" i="8"/>
  <c r="O420" i="8"/>
  <c r="G420" i="8"/>
  <c r="D420" i="8"/>
  <c r="E420" i="8"/>
  <c r="L420" i="8"/>
  <c r="F420" i="8"/>
  <c r="C420" i="8"/>
  <c r="H156" i="7"/>
  <c r="I156" i="7"/>
  <c r="F156" i="7"/>
  <c r="C156" i="7"/>
  <c r="B156" i="7"/>
  <c r="K156" i="7"/>
  <c r="E156" i="7"/>
  <c r="G156" i="7"/>
  <c r="D156" i="7"/>
  <c r="O113" i="8"/>
  <c r="C113" i="8"/>
  <c r="J155" i="7"/>
  <c r="AJ171" i="8"/>
  <c r="AQ171" i="8"/>
  <c r="AV171" i="8"/>
  <c r="AL171" i="8"/>
  <c r="AK171" i="8"/>
  <c r="AM171" i="8"/>
  <c r="AO171" i="8"/>
  <c r="AS171" i="8"/>
  <c r="AN171" i="8"/>
  <c r="AI171" i="8"/>
  <c r="B187" i="11"/>
  <c r="J187" i="11"/>
  <c r="G187" i="11"/>
  <c r="K187" i="11"/>
  <c r="M187" i="11"/>
  <c r="I187" i="11"/>
  <c r="F187" i="11"/>
  <c r="D187" i="11"/>
  <c r="E187" i="11"/>
  <c r="H187" i="11"/>
  <c r="C187" i="11"/>
  <c r="C114" i="8"/>
  <c r="F421" i="8"/>
  <c r="G421" i="8"/>
  <c r="E421" i="8"/>
  <c r="L421" i="8"/>
  <c r="J421" i="8"/>
  <c r="O421" i="8"/>
  <c r="D421" i="8"/>
  <c r="C421" i="8"/>
  <c r="E157" i="7"/>
  <c r="B157" i="7"/>
  <c r="H157" i="7"/>
  <c r="G157" i="7"/>
  <c r="I157" i="7"/>
  <c r="C157" i="7"/>
  <c r="D157" i="7"/>
  <c r="F157" i="7"/>
  <c r="K157" i="7"/>
  <c r="J156" i="7"/>
  <c r="C182" i="1"/>
  <c r="AI172" i="8"/>
  <c r="AJ172" i="8"/>
  <c r="AS172" i="8"/>
  <c r="AO172" i="8"/>
  <c r="AN172" i="8"/>
  <c r="AQ172" i="8"/>
  <c r="AV172" i="8"/>
  <c r="AL172" i="8"/>
  <c r="AM172" i="8"/>
  <c r="AK172" i="8"/>
  <c r="J157" i="7"/>
  <c r="C188" i="11"/>
  <c r="F188" i="11"/>
  <c r="M188" i="11"/>
  <c r="I188" i="11"/>
  <c r="J188" i="11"/>
  <c r="H188" i="11"/>
  <c r="E188" i="11"/>
  <c r="G188" i="11"/>
  <c r="D188" i="11"/>
  <c r="K188" i="11"/>
  <c r="B188" i="11"/>
  <c r="F422" i="8"/>
  <c r="C422" i="8"/>
  <c r="E422" i="8"/>
  <c r="L422" i="8"/>
  <c r="J422" i="8"/>
  <c r="O422" i="8"/>
  <c r="D422" i="8"/>
  <c r="G422" i="8"/>
  <c r="O114" i="8"/>
  <c r="D158" i="7"/>
  <c r="K158" i="7"/>
  <c r="E158" i="7"/>
  <c r="C158" i="7"/>
  <c r="I158" i="7"/>
  <c r="B158" i="7"/>
  <c r="H158" i="7"/>
  <c r="G158" i="7"/>
  <c r="F158" i="7"/>
  <c r="AL173" i="8"/>
  <c r="AQ173" i="8"/>
  <c r="AV173" i="8"/>
  <c r="AJ173" i="8"/>
  <c r="AO173" i="8"/>
  <c r="AM173" i="8"/>
  <c r="AK173" i="8"/>
  <c r="AN173" i="8"/>
  <c r="AS173" i="8"/>
  <c r="AI173" i="8"/>
  <c r="G189" i="11"/>
  <c r="F189" i="11"/>
  <c r="I189" i="11"/>
  <c r="D189" i="11"/>
  <c r="J189" i="11"/>
  <c r="C189" i="11"/>
  <c r="M189" i="11"/>
  <c r="H189" i="11"/>
  <c r="K189" i="11"/>
  <c r="E189" i="11"/>
  <c r="B189" i="11"/>
  <c r="J158" i="7"/>
  <c r="C183" i="1"/>
  <c r="D423" i="8"/>
  <c r="F423" i="8"/>
  <c r="J423" i="8"/>
  <c r="O423" i="8"/>
  <c r="C423" i="8"/>
  <c r="G423" i="8"/>
  <c r="E423" i="8"/>
  <c r="L423" i="8"/>
  <c r="C115" i="8"/>
  <c r="D159" i="7"/>
  <c r="C159" i="7"/>
  <c r="E159" i="7"/>
  <c r="G159" i="7"/>
  <c r="I159" i="7"/>
  <c r="K159" i="7"/>
  <c r="H159" i="7"/>
  <c r="B159" i="7"/>
  <c r="F159" i="7"/>
  <c r="O115" i="8"/>
  <c r="AJ174" i="8"/>
  <c r="AS174" i="8"/>
  <c r="AQ174" i="8"/>
  <c r="AV174" i="8"/>
  <c r="AM174" i="8"/>
  <c r="AI174" i="8"/>
  <c r="AO174" i="8"/>
  <c r="AL174" i="8"/>
  <c r="AK174" i="8"/>
  <c r="AN174" i="8"/>
  <c r="I190" i="11"/>
  <c r="H190" i="11"/>
  <c r="E190" i="11"/>
  <c r="K190" i="11"/>
  <c r="F190" i="11"/>
  <c r="J190" i="11"/>
  <c r="B190" i="11"/>
  <c r="C190" i="11"/>
  <c r="D190" i="11"/>
  <c r="M190" i="11"/>
  <c r="G190" i="11"/>
  <c r="J159" i="7"/>
  <c r="C116" i="8"/>
  <c r="G424" i="8"/>
  <c r="D424" i="8"/>
  <c r="F424" i="8"/>
  <c r="J424" i="8"/>
  <c r="O424" i="8"/>
  <c r="C424" i="8"/>
  <c r="E424" i="8"/>
  <c r="L424" i="8"/>
  <c r="E160" i="7"/>
  <c r="B160" i="7"/>
  <c r="I160" i="7"/>
  <c r="G160" i="7"/>
  <c r="C160" i="7"/>
  <c r="F160" i="7"/>
  <c r="H160" i="7"/>
  <c r="D160" i="7"/>
  <c r="K160" i="7"/>
  <c r="O116" i="8"/>
  <c r="AM175" i="8"/>
  <c r="AI175" i="8"/>
  <c r="AN175" i="8"/>
  <c r="AO175" i="8"/>
  <c r="AQ175" i="8"/>
  <c r="AV175" i="8"/>
  <c r="AL175" i="8"/>
  <c r="AS175" i="8"/>
  <c r="AK175" i="8"/>
  <c r="AJ175" i="8"/>
  <c r="D191" i="11"/>
  <c r="G191" i="11"/>
  <c r="M191" i="11"/>
  <c r="H191" i="11"/>
  <c r="B191" i="11"/>
  <c r="E191" i="11"/>
  <c r="C191" i="11"/>
  <c r="J191" i="11"/>
  <c r="I191" i="11"/>
  <c r="K191" i="11"/>
  <c r="F191" i="11"/>
  <c r="C117" i="8"/>
  <c r="C161" i="7"/>
  <c r="D161" i="7"/>
  <c r="F161" i="7"/>
  <c r="B161" i="7"/>
  <c r="H161" i="7"/>
  <c r="E161" i="7"/>
  <c r="K161" i="7"/>
  <c r="I161" i="7"/>
  <c r="G161" i="7"/>
  <c r="J160" i="7"/>
  <c r="C184" i="1"/>
  <c r="G425" i="8"/>
  <c r="D425" i="8"/>
  <c r="J425" i="8"/>
  <c r="O425" i="8"/>
  <c r="F425" i="8"/>
  <c r="C425" i="8"/>
  <c r="E425" i="8"/>
  <c r="L425" i="8"/>
  <c r="O117" i="8"/>
  <c r="AQ176" i="8"/>
  <c r="AV176" i="8"/>
  <c r="AM176" i="8"/>
  <c r="AK176" i="8"/>
  <c r="AI176" i="8"/>
  <c r="AN176" i="8"/>
  <c r="AO176" i="8"/>
  <c r="AS176" i="8"/>
  <c r="AL176" i="8"/>
  <c r="AJ176" i="8"/>
  <c r="J161" i="7"/>
  <c r="E192" i="11"/>
  <c r="J192" i="11"/>
  <c r="F192" i="11"/>
  <c r="C192" i="11"/>
  <c r="M192" i="11"/>
  <c r="K192" i="11"/>
  <c r="I192" i="11"/>
  <c r="H192" i="11"/>
  <c r="D192" i="11"/>
  <c r="G192" i="11"/>
  <c r="B192" i="11"/>
  <c r="G426" i="8"/>
  <c r="E426" i="8"/>
  <c r="L426" i="8"/>
  <c r="C426" i="8"/>
  <c r="D426" i="8"/>
  <c r="F426" i="8"/>
  <c r="J426" i="8"/>
  <c r="O426" i="8"/>
  <c r="D162" i="7"/>
  <c r="F162" i="7"/>
  <c r="E162" i="7"/>
  <c r="K162" i="7"/>
  <c r="B162" i="7"/>
  <c r="H162" i="7"/>
  <c r="I162" i="7"/>
  <c r="G162" i="7"/>
  <c r="C162" i="7"/>
  <c r="AN177" i="8"/>
  <c r="AM177" i="8"/>
  <c r="AQ177" i="8"/>
  <c r="AV177" i="8"/>
  <c r="AK177" i="8"/>
  <c r="AI177" i="8"/>
  <c r="AL177" i="8"/>
  <c r="AO177" i="8"/>
  <c r="AJ177" i="8"/>
  <c r="AS177" i="8"/>
  <c r="D193" i="11"/>
  <c r="J193" i="11"/>
  <c r="B193" i="11"/>
  <c r="C193" i="11"/>
  <c r="M193" i="11"/>
  <c r="G193" i="11"/>
  <c r="F193" i="11"/>
  <c r="H193" i="11"/>
  <c r="K193" i="11"/>
  <c r="I193" i="11"/>
  <c r="E193" i="11"/>
  <c r="D163" i="7"/>
  <c r="B163" i="7"/>
  <c r="G163" i="7"/>
  <c r="E163" i="7"/>
  <c r="F163" i="7"/>
  <c r="I163" i="7"/>
  <c r="K163" i="7"/>
  <c r="C163" i="7"/>
  <c r="H163" i="7"/>
  <c r="D427" i="8"/>
  <c r="J427" i="8"/>
  <c r="O427" i="8"/>
  <c r="F427" i="8"/>
  <c r="C427" i="8"/>
  <c r="E427" i="8"/>
  <c r="L427" i="8"/>
  <c r="G427" i="8"/>
  <c r="C185" i="1"/>
  <c r="C118" i="8"/>
  <c r="J162" i="7"/>
  <c r="O118" i="8"/>
  <c r="AO178" i="8"/>
  <c r="AJ178" i="8"/>
  <c r="AK178" i="8"/>
  <c r="AI178" i="8"/>
  <c r="AL178" i="8"/>
  <c r="AQ178" i="8"/>
  <c r="AV178" i="8"/>
  <c r="AS178" i="8"/>
  <c r="AM178" i="8"/>
  <c r="AN178" i="8"/>
  <c r="J163" i="7"/>
  <c r="G194" i="11"/>
  <c r="D194" i="11"/>
  <c r="B194" i="11"/>
  <c r="C194" i="11"/>
  <c r="H194" i="11"/>
  <c r="F194" i="11"/>
  <c r="K194" i="11"/>
  <c r="E194" i="11"/>
  <c r="I194" i="11"/>
  <c r="M194" i="11"/>
  <c r="J194" i="11"/>
  <c r="G428" i="8"/>
  <c r="F428" i="8"/>
  <c r="J428" i="8"/>
  <c r="O428" i="8"/>
  <c r="E428" i="8"/>
  <c r="L428" i="8"/>
  <c r="C428" i="8"/>
  <c r="D428" i="8"/>
  <c r="D164" i="7"/>
  <c r="F164" i="7"/>
  <c r="E164" i="7"/>
  <c r="K164" i="7"/>
  <c r="I164" i="7"/>
  <c r="H164" i="7"/>
  <c r="G164" i="7"/>
  <c r="B164" i="7"/>
  <c r="C164" i="7"/>
  <c r="AN179" i="8"/>
  <c r="AO179" i="8"/>
  <c r="AQ179" i="8"/>
  <c r="AV179" i="8"/>
  <c r="AL179" i="8"/>
  <c r="AJ179" i="8"/>
  <c r="AI179" i="8"/>
  <c r="AS179" i="8"/>
  <c r="AM179" i="8"/>
  <c r="AK179" i="8"/>
  <c r="J195" i="11"/>
  <c r="C195" i="11"/>
  <c r="F195" i="11"/>
  <c r="D195" i="11"/>
  <c r="I195" i="11"/>
  <c r="K195" i="11"/>
  <c r="E195" i="11"/>
  <c r="G195" i="11"/>
  <c r="H195" i="11"/>
  <c r="M195" i="11"/>
  <c r="B195" i="11"/>
  <c r="C119" i="8"/>
  <c r="E429" i="8"/>
  <c r="L429" i="8"/>
  <c r="D429" i="8"/>
  <c r="G429" i="8"/>
  <c r="F429" i="8"/>
  <c r="J429" i="8"/>
  <c r="O429" i="8"/>
  <c r="C429" i="8"/>
  <c r="D165" i="7"/>
  <c r="K165" i="7"/>
  <c r="H165" i="7"/>
  <c r="E165" i="7"/>
  <c r="B165" i="7"/>
  <c r="G165" i="7"/>
  <c r="I165" i="7"/>
  <c r="F165" i="7"/>
  <c r="C165" i="7"/>
  <c r="C186" i="1"/>
  <c r="J164" i="7"/>
  <c r="AS180" i="8"/>
  <c r="AQ180" i="8"/>
  <c r="AV180" i="8"/>
  <c r="AJ180" i="8"/>
  <c r="AI180" i="8"/>
  <c r="AM180" i="8"/>
  <c r="AK180" i="8"/>
  <c r="AL180" i="8"/>
  <c r="AO180" i="8"/>
  <c r="AN180" i="8"/>
  <c r="C196" i="11"/>
  <c r="E196" i="11"/>
  <c r="B196" i="11"/>
  <c r="F196" i="11"/>
  <c r="G196" i="11"/>
  <c r="H196" i="11"/>
  <c r="D196" i="11"/>
  <c r="K196" i="11"/>
  <c r="J196" i="11"/>
  <c r="M196" i="11"/>
  <c r="I196" i="11"/>
  <c r="O119" i="8"/>
  <c r="J165" i="7"/>
  <c r="H166" i="7"/>
  <c r="E166" i="7"/>
  <c r="G166" i="7"/>
  <c r="C166" i="7"/>
  <c r="I166" i="7"/>
  <c r="F166" i="7"/>
  <c r="D166" i="7"/>
  <c r="K166" i="7"/>
  <c r="B166" i="7"/>
  <c r="D430" i="8"/>
  <c r="F430" i="8"/>
  <c r="J430" i="8"/>
  <c r="O430" i="8"/>
  <c r="C430" i="8"/>
  <c r="G430" i="8"/>
  <c r="E430" i="8"/>
  <c r="L430" i="8"/>
  <c r="AN181" i="8"/>
  <c r="AI181" i="8"/>
  <c r="AQ181" i="8"/>
  <c r="AV181" i="8"/>
  <c r="AJ181" i="8"/>
  <c r="AO181" i="8"/>
  <c r="AM181" i="8"/>
  <c r="AK181" i="8"/>
  <c r="AL181" i="8"/>
  <c r="AS181" i="8"/>
  <c r="H197" i="11"/>
  <c r="J197" i="11"/>
  <c r="M197" i="11"/>
  <c r="I197" i="11"/>
  <c r="C197" i="11"/>
  <c r="E197" i="11"/>
  <c r="G197" i="11"/>
  <c r="B197" i="11"/>
  <c r="K197" i="11"/>
  <c r="F197" i="11"/>
  <c r="D197" i="11"/>
  <c r="H167" i="7"/>
  <c r="I167" i="7"/>
  <c r="C167" i="7"/>
  <c r="B167" i="7"/>
  <c r="F167" i="7"/>
  <c r="D167" i="7"/>
  <c r="K167" i="7"/>
  <c r="E167" i="7"/>
  <c r="G167" i="7"/>
  <c r="J166" i="7"/>
  <c r="C187" i="1"/>
  <c r="G431" i="8"/>
  <c r="D431" i="8"/>
  <c r="F431" i="8"/>
  <c r="C431" i="8"/>
  <c r="J431" i="8"/>
  <c r="O431" i="8"/>
  <c r="E431" i="8"/>
  <c r="L431" i="8"/>
  <c r="C120" i="8"/>
  <c r="AO182" i="8"/>
  <c r="AS182" i="8"/>
  <c r="AM182" i="8"/>
  <c r="AK182" i="8"/>
  <c r="AL182" i="8"/>
  <c r="AI182" i="8"/>
  <c r="AJ182" i="8"/>
  <c r="AN182" i="8"/>
  <c r="AQ182" i="8"/>
  <c r="AV182" i="8"/>
  <c r="I198" i="11"/>
  <c r="E198" i="11"/>
  <c r="F198" i="11"/>
  <c r="J198" i="11"/>
  <c r="M198" i="11"/>
  <c r="G198" i="11"/>
  <c r="B198" i="11"/>
  <c r="H198" i="11"/>
  <c r="C198" i="11"/>
  <c r="K198" i="11"/>
  <c r="D198" i="11"/>
  <c r="C121" i="8"/>
  <c r="G432" i="8"/>
  <c r="C432" i="8"/>
  <c r="D432" i="8"/>
  <c r="J432" i="8"/>
  <c r="O432" i="8"/>
  <c r="F432" i="8"/>
  <c r="E432" i="8"/>
  <c r="L432" i="8"/>
  <c r="O120" i="8"/>
  <c r="G168" i="7"/>
  <c r="B168" i="7"/>
  <c r="H168" i="7"/>
  <c r="F168" i="7"/>
  <c r="I168" i="7"/>
  <c r="E168" i="7"/>
  <c r="K168" i="7"/>
  <c r="C168" i="7"/>
  <c r="D168" i="7"/>
  <c r="J167" i="7"/>
  <c r="AN183" i="8"/>
  <c r="AI183" i="8"/>
  <c r="AM183" i="8"/>
  <c r="AL183" i="8"/>
  <c r="AQ183" i="8"/>
  <c r="AV183" i="8"/>
  <c r="AK183" i="8"/>
  <c r="AS183" i="8"/>
  <c r="AO183" i="8"/>
  <c r="AJ183" i="8"/>
  <c r="D199" i="11"/>
  <c r="C199" i="11"/>
  <c r="B199" i="11"/>
  <c r="K199" i="11"/>
  <c r="H199" i="11"/>
  <c r="F199" i="11"/>
  <c r="J199" i="11"/>
  <c r="M199" i="11"/>
  <c r="E199" i="11"/>
  <c r="I199" i="11"/>
  <c r="G199" i="11"/>
  <c r="O121" i="8"/>
  <c r="D169" i="7"/>
  <c r="B169" i="7"/>
  <c r="E169" i="7"/>
  <c r="F169" i="7"/>
  <c r="H169" i="7"/>
  <c r="K169" i="7"/>
  <c r="C169" i="7"/>
  <c r="G169" i="7"/>
  <c r="I169" i="7"/>
  <c r="C188" i="1"/>
  <c r="J168" i="7"/>
  <c r="D433" i="8"/>
  <c r="G433" i="8"/>
  <c r="F433" i="8"/>
  <c r="J433" i="8"/>
  <c r="O433" i="8"/>
  <c r="C433" i="8"/>
  <c r="E433" i="8"/>
  <c r="L433" i="8"/>
  <c r="AK184" i="8"/>
  <c r="AJ184" i="8"/>
  <c r="AN184" i="8"/>
  <c r="AM184" i="8"/>
  <c r="AI184" i="8"/>
  <c r="AQ184" i="8"/>
  <c r="AV184" i="8"/>
  <c r="AL184" i="8"/>
  <c r="AO184" i="8"/>
  <c r="AS184" i="8"/>
  <c r="C200" i="11"/>
  <c r="H200" i="11"/>
  <c r="I200" i="11"/>
  <c r="B200" i="11"/>
  <c r="E200" i="11"/>
  <c r="K200" i="11"/>
  <c r="D200" i="11"/>
  <c r="J200" i="11"/>
  <c r="M200" i="11"/>
  <c r="F200" i="11"/>
  <c r="G200" i="11"/>
  <c r="G434" i="8"/>
  <c r="D434" i="8"/>
  <c r="F434" i="8"/>
  <c r="J434" i="8"/>
  <c r="O434" i="8"/>
  <c r="C434" i="8"/>
  <c r="E434" i="8"/>
  <c r="L434" i="8"/>
  <c r="G170" i="7"/>
  <c r="B170" i="7"/>
  <c r="H170" i="7"/>
  <c r="F170" i="7"/>
  <c r="I170" i="7"/>
  <c r="K170" i="7"/>
  <c r="D170" i="7"/>
  <c r="C170" i="7"/>
  <c r="E170" i="7"/>
  <c r="J169" i="7"/>
  <c r="C122" i="8"/>
  <c r="AN185" i="8"/>
  <c r="AS185" i="8"/>
  <c r="AQ185" i="8"/>
  <c r="AV185" i="8"/>
  <c r="AO185" i="8"/>
  <c r="AJ185" i="8"/>
  <c r="AL185" i="8"/>
  <c r="AK185" i="8"/>
  <c r="AI185" i="8"/>
  <c r="AM185" i="8"/>
  <c r="F201" i="11"/>
  <c r="G201" i="11"/>
  <c r="H201" i="11"/>
  <c r="C201" i="11"/>
  <c r="B201" i="11"/>
  <c r="M201" i="11"/>
  <c r="D201" i="11"/>
  <c r="I201" i="11"/>
  <c r="E201" i="11"/>
  <c r="K201" i="11"/>
  <c r="J201" i="11"/>
  <c r="O122" i="8"/>
  <c r="J170" i="7"/>
  <c r="D171" i="7"/>
  <c r="K171" i="7"/>
  <c r="E171" i="7"/>
  <c r="C171" i="7"/>
  <c r="B171" i="7"/>
  <c r="G171" i="7"/>
  <c r="H171" i="7"/>
  <c r="I171" i="7"/>
  <c r="F171" i="7"/>
  <c r="G435" i="8"/>
  <c r="F435" i="8"/>
  <c r="J435" i="8"/>
  <c r="O435" i="8"/>
  <c r="C435" i="8"/>
  <c r="E435" i="8"/>
  <c r="L435" i="8"/>
  <c r="D435" i="8"/>
  <c r="C189" i="1"/>
  <c r="AI186" i="8"/>
  <c r="AO186" i="8"/>
  <c r="AM186" i="8"/>
  <c r="AK186" i="8"/>
  <c r="AS186" i="8"/>
  <c r="AQ186" i="8"/>
  <c r="AV186" i="8"/>
  <c r="AL186" i="8"/>
  <c r="AJ186" i="8"/>
  <c r="AN186" i="8"/>
  <c r="D202" i="11"/>
  <c r="C202" i="11"/>
  <c r="E202" i="11"/>
  <c r="M202" i="11"/>
  <c r="I202" i="11"/>
  <c r="B202" i="11"/>
  <c r="H202" i="11"/>
  <c r="F202" i="11"/>
  <c r="K202" i="11"/>
  <c r="G202" i="11"/>
  <c r="J202" i="11"/>
  <c r="G436" i="8"/>
  <c r="D436" i="8"/>
  <c r="F436" i="8"/>
  <c r="E436" i="8"/>
  <c r="L436" i="8"/>
  <c r="C436" i="8"/>
  <c r="J436" i="8"/>
  <c r="O436" i="8"/>
  <c r="C123" i="8"/>
  <c r="J171" i="7"/>
  <c r="D172" i="7"/>
  <c r="H172" i="7"/>
  <c r="E172" i="7"/>
  <c r="F172" i="7"/>
  <c r="I172" i="7"/>
  <c r="G172" i="7"/>
  <c r="B172" i="7"/>
  <c r="K172" i="7"/>
  <c r="C172" i="7"/>
  <c r="J172" i="7"/>
  <c r="AM187" i="8"/>
  <c r="AJ187" i="8"/>
  <c r="AS187" i="8"/>
  <c r="AI187" i="8"/>
  <c r="AN187" i="8"/>
  <c r="AK187" i="8"/>
  <c r="AQ187" i="8"/>
  <c r="AV187" i="8"/>
  <c r="AL187" i="8"/>
  <c r="AO187" i="8"/>
  <c r="B203" i="11"/>
  <c r="G203" i="11"/>
  <c r="I203" i="11"/>
  <c r="E203" i="11"/>
  <c r="C203" i="11"/>
  <c r="H203" i="11"/>
  <c r="M203" i="11"/>
  <c r="J203" i="11"/>
  <c r="K203" i="11"/>
  <c r="F203" i="11"/>
  <c r="D203" i="11"/>
  <c r="C124" i="8"/>
  <c r="D173" i="7"/>
  <c r="B173" i="7"/>
  <c r="G173" i="7"/>
  <c r="E173" i="7"/>
  <c r="F173" i="7"/>
  <c r="H173" i="7"/>
  <c r="C173" i="7"/>
  <c r="I173" i="7"/>
  <c r="K173" i="7"/>
  <c r="O123" i="8"/>
  <c r="C190" i="1"/>
  <c r="D437" i="8"/>
  <c r="F437" i="8"/>
  <c r="J437" i="8"/>
  <c r="O437" i="8"/>
  <c r="G437" i="8"/>
  <c r="E437" i="8"/>
  <c r="L437" i="8"/>
  <c r="C437" i="8"/>
  <c r="AI188" i="8"/>
  <c r="AK188" i="8"/>
  <c r="AJ188" i="8"/>
  <c r="AO188" i="8"/>
  <c r="AS188" i="8"/>
  <c r="AQ188" i="8"/>
  <c r="AV188" i="8"/>
  <c r="AM188" i="8"/>
  <c r="AN188" i="8"/>
  <c r="AL188" i="8"/>
  <c r="E204" i="11"/>
  <c r="I204" i="11"/>
  <c r="G204" i="11"/>
  <c r="C204" i="11"/>
  <c r="M204" i="11"/>
  <c r="J204" i="11"/>
  <c r="F204" i="11"/>
  <c r="H204" i="11"/>
  <c r="B204" i="11"/>
  <c r="D204" i="11"/>
  <c r="K204" i="11"/>
  <c r="J173" i="7"/>
  <c r="O124" i="8"/>
  <c r="G438" i="8"/>
  <c r="C438" i="8"/>
  <c r="J438" i="8"/>
  <c r="O438" i="8"/>
  <c r="D438" i="8"/>
  <c r="F438" i="8"/>
  <c r="E438" i="8"/>
  <c r="L438" i="8"/>
  <c r="D174" i="7"/>
  <c r="G174" i="7"/>
  <c r="E174" i="7"/>
  <c r="F174" i="7"/>
  <c r="H174" i="7"/>
  <c r="K174" i="7"/>
  <c r="C174" i="7"/>
  <c r="I174" i="7"/>
  <c r="B174" i="7"/>
  <c r="AN189" i="8"/>
  <c r="AM189" i="8"/>
  <c r="AI189" i="8"/>
  <c r="AL189" i="8"/>
  <c r="AJ189" i="8"/>
  <c r="AK189" i="8"/>
  <c r="AQ189" i="8"/>
  <c r="AV189" i="8"/>
  <c r="AS189" i="8"/>
  <c r="AO189" i="8"/>
  <c r="B205" i="11"/>
  <c r="E205" i="11"/>
  <c r="H205" i="11"/>
  <c r="C205" i="11"/>
  <c r="M205" i="11"/>
  <c r="I205" i="11"/>
  <c r="G205" i="11"/>
  <c r="F205" i="11"/>
  <c r="J205" i="11"/>
  <c r="D205" i="11"/>
  <c r="K205" i="11"/>
  <c r="J439" i="8"/>
  <c r="O439" i="8"/>
  <c r="G439" i="8"/>
  <c r="E439" i="8"/>
  <c r="L439" i="8"/>
  <c r="D439" i="8"/>
  <c r="F439" i="8"/>
  <c r="C439" i="8"/>
  <c r="C191" i="1"/>
  <c r="H175" i="7"/>
  <c r="I175" i="7"/>
  <c r="B175" i="7"/>
  <c r="C175" i="7"/>
  <c r="F175" i="7"/>
  <c r="D175" i="7"/>
  <c r="K175" i="7"/>
  <c r="E175" i="7"/>
  <c r="G175" i="7"/>
  <c r="J174" i="7"/>
  <c r="C125" i="8"/>
  <c r="AS190" i="8"/>
  <c r="AQ190" i="8"/>
  <c r="AV190" i="8"/>
  <c r="AI190" i="8"/>
  <c r="AM190" i="8"/>
  <c r="AK190" i="8"/>
  <c r="AO190" i="8"/>
  <c r="AJ190" i="8"/>
  <c r="AL190" i="8"/>
  <c r="AN190" i="8"/>
  <c r="H206" i="11"/>
  <c r="B206" i="11"/>
  <c r="M206" i="11"/>
  <c r="E206" i="11"/>
  <c r="J206" i="11"/>
  <c r="I206" i="11"/>
  <c r="C206" i="11"/>
  <c r="G206" i="11"/>
  <c r="K206" i="11"/>
  <c r="F206" i="11"/>
  <c r="D206" i="11"/>
  <c r="O125" i="8"/>
  <c r="F440" i="8"/>
  <c r="C440" i="8"/>
  <c r="E440" i="8"/>
  <c r="L440" i="8"/>
  <c r="J440" i="8"/>
  <c r="O440" i="8"/>
  <c r="D440" i="8"/>
  <c r="G440" i="8"/>
  <c r="J175" i="7"/>
  <c r="E176" i="7"/>
  <c r="G176" i="7"/>
  <c r="I176" i="7"/>
  <c r="F176" i="7"/>
  <c r="H176" i="7"/>
  <c r="D176" i="7"/>
  <c r="C176" i="7"/>
  <c r="K176" i="7"/>
  <c r="B176" i="7"/>
  <c r="AO191" i="8"/>
  <c r="AJ191" i="8"/>
  <c r="AN191" i="8"/>
  <c r="AI191" i="8"/>
  <c r="AS191" i="8"/>
  <c r="AM191" i="8"/>
  <c r="AK191" i="8"/>
  <c r="AQ191" i="8"/>
  <c r="AV191" i="8"/>
  <c r="AL191" i="8"/>
  <c r="J207" i="11"/>
  <c r="B207" i="11"/>
  <c r="I207" i="11"/>
  <c r="F207" i="11"/>
  <c r="G207" i="11"/>
  <c r="E207" i="11"/>
  <c r="K207" i="11"/>
  <c r="H207" i="11"/>
  <c r="C207" i="11"/>
  <c r="M207" i="11"/>
  <c r="D207" i="11"/>
  <c r="D441" i="8"/>
  <c r="F441" i="8"/>
  <c r="E441" i="8"/>
  <c r="L441" i="8"/>
  <c r="C441" i="8"/>
  <c r="J441" i="8"/>
  <c r="O441" i="8"/>
  <c r="G441" i="8"/>
  <c r="I177" i="7"/>
  <c r="G177" i="7"/>
  <c r="B177" i="7"/>
  <c r="D177" i="7"/>
  <c r="K177" i="7"/>
  <c r="E177" i="7"/>
  <c r="F177" i="7"/>
  <c r="C177" i="7"/>
  <c r="H177" i="7"/>
  <c r="C126" i="8"/>
  <c r="J176" i="7"/>
  <c r="C192" i="1"/>
  <c r="O126" i="8"/>
  <c r="AL192" i="8"/>
  <c r="AM192" i="8"/>
  <c r="AK192" i="8"/>
  <c r="AS192" i="8"/>
  <c r="AQ192" i="8"/>
  <c r="AV192" i="8"/>
  <c r="AI192" i="8"/>
  <c r="AJ192" i="8"/>
  <c r="AO192" i="8"/>
  <c r="AN192" i="8"/>
  <c r="H208" i="11"/>
  <c r="E208" i="11"/>
  <c r="I208" i="11"/>
  <c r="D208" i="11"/>
  <c r="G208" i="11"/>
  <c r="F208" i="11"/>
  <c r="M208" i="11"/>
  <c r="C208" i="11"/>
  <c r="B208" i="11"/>
  <c r="K208" i="11"/>
  <c r="J208" i="11"/>
  <c r="G442" i="8"/>
  <c r="J442" i="8"/>
  <c r="O442" i="8"/>
  <c r="D442" i="8"/>
  <c r="C442" i="8"/>
  <c r="F442" i="8"/>
  <c r="E442" i="8"/>
  <c r="L442" i="8"/>
  <c r="H178" i="7"/>
  <c r="D178" i="7"/>
  <c r="K178" i="7"/>
  <c r="I178" i="7"/>
  <c r="E178" i="7"/>
  <c r="C178" i="7"/>
  <c r="G178" i="7"/>
  <c r="F178" i="7"/>
  <c r="B178" i="7"/>
  <c r="J177" i="7"/>
  <c r="AI193" i="8"/>
  <c r="AQ193" i="8"/>
  <c r="AV193" i="8"/>
  <c r="AM193" i="8"/>
  <c r="AK193" i="8"/>
  <c r="AS193" i="8"/>
  <c r="AN193" i="8"/>
  <c r="AO193" i="8"/>
  <c r="AL193" i="8"/>
  <c r="AJ193" i="8"/>
  <c r="J178" i="7"/>
  <c r="B209" i="11"/>
  <c r="D209" i="11"/>
  <c r="M209" i="11"/>
  <c r="I209" i="11"/>
  <c r="F209" i="11"/>
  <c r="H209" i="11"/>
  <c r="E209" i="11"/>
  <c r="J209" i="11"/>
  <c r="K209" i="11"/>
  <c r="C209" i="11"/>
  <c r="G209" i="11"/>
  <c r="C127" i="8"/>
  <c r="C193" i="1"/>
  <c r="F179" i="7"/>
  <c r="B179" i="7"/>
  <c r="C179" i="7"/>
  <c r="D179" i="7"/>
  <c r="K179" i="7"/>
  <c r="I179" i="7"/>
  <c r="G179" i="7"/>
  <c r="H179" i="7"/>
  <c r="E179" i="7"/>
  <c r="E443" i="8"/>
  <c r="L443" i="8"/>
  <c r="G443" i="8"/>
  <c r="J443" i="8"/>
  <c r="O443" i="8"/>
  <c r="C443" i="8"/>
  <c r="D443" i="8"/>
  <c r="F443" i="8"/>
  <c r="J179" i="7"/>
  <c r="AJ194" i="8"/>
  <c r="AQ194" i="8"/>
  <c r="AV194" i="8"/>
  <c r="AI194" i="8"/>
  <c r="AN194" i="8"/>
  <c r="AM194" i="8"/>
  <c r="AS194" i="8"/>
  <c r="AL194" i="8"/>
  <c r="AK194" i="8"/>
  <c r="AO194" i="8"/>
  <c r="B210" i="11"/>
  <c r="D210" i="11"/>
  <c r="C210" i="11"/>
  <c r="J210" i="11"/>
  <c r="E210" i="11"/>
  <c r="H210" i="11"/>
  <c r="M210" i="11"/>
  <c r="G210" i="11"/>
  <c r="K210" i="11"/>
  <c r="I210" i="11"/>
  <c r="F210" i="11"/>
  <c r="O127" i="8"/>
  <c r="D444" i="8"/>
  <c r="E444" i="8"/>
  <c r="L444" i="8"/>
  <c r="J444" i="8"/>
  <c r="O444" i="8"/>
  <c r="C444" i="8"/>
  <c r="G444" i="8"/>
  <c r="F444" i="8"/>
  <c r="G180" i="7"/>
  <c r="F180" i="7"/>
  <c r="C180" i="7"/>
  <c r="I180" i="7"/>
  <c r="D180" i="7"/>
  <c r="E180" i="7"/>
  <c r="H180" i="7"/>
  <c r="K180" i="7"/>
  <c r="B180" i="7"/>
  <c r="AO195" i="8"/>
  <c r="AQ195" i="8"/>
  <c r="AV195" i="8"/>
  <c r="AN195" i="8"/>
  <c r="AJ195" i="8"/>
  <c r="AM195" i="8"/>
  <c r="AL195" i="8"/>
  <c r="AI195" i="8"/>
  <c r="AS195" i="8"/>
  <c r="AK195" i="8"/>
  <c r="J180" i="7"/>
  <c r="I211" i="11"/>
  <c r="H211" i="11"/>
  <c r="J211" i="11"/>
  <c r="K211" i="11"/>
  <c r="F211" i="11"/>
  <c r="B211" i="11"/>
  <c r="M211" i="11"/>
  <c r="D211" i="11"/>
  <c r="E211" i="11"/>
  <c r="G211" i="11"/>
  <c r="C211" i="11"/>
  <c r="E445" i="8"/>
  <c r="L445" i="8"/>
  <c r="C445" i="8"/>
  <c r="J445" i="8"/>
  <c r="O445" i="8"/>
  <c r="D445" i="8"/>
  <c r="G445" i="8"/>
  <c r="F445" i="8"/>
  <c r="C194" i="1"/>
  <c r="C128" i="8"/>
  <c r="H181" i="7"/>
  <c r="C181" i="7"/>
  <c r="D181" i="7"/>
  <c r="B181" i="7"/>
  <c r="G181" i="7"/>
  <c r="I181" i="7"/>
  <c r="E181" i="7"/>
  <c r="F181" i="7"/>
  <c r="K181" i="7"/>
  <c r="AL196" i="8"/>
  <c r="AS196" i="8"/>
  <c r="AK196" i="8"/>
  <c r="AN196" i="8"/>
  <c r="AO196" i="8"/>
  <c r="AQ196" i="8"/>
  <c r="AV196" i="8"/>
  <c r="AI196" i="8"/>
  <c r="AJ196" i="8"/>
  <c r="AM196" i="8"/>
  <c r="H212" i="11"/>
  <c r="E212" i="11"/>
  <c r="J212" i="11"/>
  <c r="F212" i="11"/>
  <c r="B212" i="11"/>
  <c r="D212" i="11"/>
  <c r="K212" i="11"/>
  <c r="I212" i="11"/>
  <c r="C212" i="11"/>
  <c r="M212" i="11"/>
  <c r="G212" i="11"/>
  <c r="J181" i="7"/>
  <c r="C129" i="8"/>
  <c r="D182" i="7"/>
  <c r="F182" i="7"/>
  <c r="E182" i="7"/>
  <c r="K182" i="7"/>
  <c r="C182" i="7"/>
  <c r="B182" i="7"/>
  <c r="G182" i="7"/>
  <c r="I182" i="7"/>
  <c r="H182" i="7"/>
  <c r="O128" i="8"/>
  <c r="F446" i="8"/>
  <c r="J446" i="8"/>
  <c r="O446" i="8"/>
  <c r="C446" i="8"/>
  <c r="E446" i="8"/>
  <c r="L446" i="8"/>
  <c r="G446" i="8"/>
  <c r="D446" i="8"/>
  <c r="AM197" i="8"/>
  <c r="AO197" i="8"/>
  <c r="AI197" i="8"/>
  <c r="AJ197" i="8"/>
  <c r="AL197" i="8"/>
  <c r="AS197" i="8"/>
  <c r="AK197" i="8"/>
  <c r="AQ197" i="8"/>
  <c r="AV197" i="8"/>
  <c r="AN197" i="8"/>
  <c r="F213" i="11"/>
  <c r="B213" i="11"/>
  <c r="C213" i="11"/>
  <c r="D213" i="11"/>
  <c r="J213" i="11"/>
  <c r="I213" i="11"/>
  <c r="K213" i="11"/>
  <c r="E213" i="11"/>
  <c r="G213" i="11"/>
  <c r="H213" i="11"/>
  <c r="M213" i="11"/>
  <c r="O129" i="8"/>
  <c r="C195" i="1"/>
  <c r="D447" i="8"/>
  <c r="C447" i="8"/>
  <c r="F447" i="8"/>
  <c r="J447" i="8"/>
  <c r="O447" i="8"/>
  <c r="G447" i="8"/>
  <c r="E447" i="8"/>
  <c r="L447" i="8"/>
  <c r="D183" i="7"/>
  <c r="E183" i="7"/>
  <c r="B183" i="7"/>
  <c r="I183" i="7"/>
  <c r="F183" i="7"/>
  <c r="G183" i="7"/>
  <c r="H183" i="7"/>
  <c r="C183" i="7"/>
  <c r="K183" i="7"/>
  <c r="J182" i="7"/>
  <c r="AL198" i="8"/>
  <c r="AI198" i="8"/>
  <c r="AN198" i="8"/>
  <c r="AS198" i="8"/>
  <c r="AQ198" i="8"/>
  <c r="AV198" i="8"/>
  <c r="AJ198" i="8"/>
  <c r="AO198" i="8"/>
  <c r="AK198" i="8"/>
  <c r="AM198" i="8"/>
  <c r="E214" i="11"/>
  <c r="G214" i="11"/>
  <c r="M214" i="11"/>
  <c r="F214" i="11"/>
  <c r="H214" i="11"/>
  <c r="K214" i="11"/>
  <c r="B214" i="11"/>
  <c r="J214" i="11"/>
  <c r="I214" i="11"/>
  <c r="C214" i="11"/>
  <c r="D214" i="11"/>
  <c r="J183" i="7"/>
  <c r="G448" i="8"/>
  <c r="F448" i="8"/>
  <c r="J448" i="8"/>
  <c r="O448" i="8"/>
  <c r="D448" i="8"/>
  <c r="E448" i="8"/>
  <c r="L448" i="8"/>
  <c r="C448" i="8"/>
  <c r="H184" i="7"/>
  <c r="I184" i="7"/>
  <c r="K184" i="7"/>
  <c r="C184" i="7"/>
  <c r="B184" i="7"/>
  <c r="G184" i="7"/>
  <c r="E184" i="7"/>
  <c r="D184" i="7"/>
  <c r="F184" i="7"/>
  <c r="C130" i="8"/>
  <c r="AQ199" i="8"/>
  <c r="AV199" i="8"/>
  <c r="AI199" i="8"/>
  <c r="AK199" i="8"/>
  <c r="AL199" i="8"/>
  <c r="AM199" i="8"/>
  <c r="AO199" i="8"/>
  <c r="AS199" i="8"/>
  <c r="AJ199" i="8"/>
  <c r="AN199" i="8"/>
  <c r="G215" i="11"/>
  <c r="E215" i="11"/>
  <c r="J215" i="11"/>
  <c r="C215" i="11"/>
  <c r="H215" i="11"/>
  <c r="F215" i="11"/>
  <c r="M215" i="11"/>
  <c r="B215" i="11"/>
  <c r="D215" i="11"/>
  <c r="I215" i="11"/>
  <c r="K215" i="11"/>
  <c r="G449" i="8"/>
  <c r="D449" i="8"/>
  <c r="E449" i="8"/>
  <c r="L449" i="8"/>
  <c r="C449" i="8"/>
  <c r="J449" i="8"/>
  <c r="O449" i="8"/>
  <c r="F449" i="8"/>
  <c r="C131" i="8"/>
  <c r="J184" i="7"/>
  <c r="C196" i="1"/>
  <c r="O130" i="8"/>
  <c r="E185" i="7"/>
  <c r="B185" i="7"/>
  <c r="I185" i="7"/>
  <c r="G185" i="7"/>
  <c r="C185" i="7"/>
  <c r="D185" i="7"/>
  <c r="K185" i="7"/>
  <c r="H185" i="7"/>
  <c r="F185" i="7"/>
  <c r="O131" i="8"/>
  <c r="AK200" i="8"/>
  <c r="AL200" i="8"/>
  <c r="AQ200" i="8"/>
  <c r="AV200" i="8"/>
  <c r="AJ200" i="8"/>
  <c r="AI200" i="8"/>
  <c r="AO200" i="8"/>
  <c r="AS200" i="8"/>
  <c r="AN200" i="8"/>
  <c r="AM200" i="8"/>
  <c r="D216" i="11"/>
  <c r="G216" i="11"/>
  <c r="M216" i="11"/>
  <c r="F216" i="11"/>
  <c r="B216" i="11"/>
  <c r="C216" i="11"/>
  <c r="K216" i="11"/>
  <c r="E216" i="11"/>
  <c r="I216" i="11"/>
  <c r="J216" i="11"/>
  <c r="H216" i="11"/>
  <c r="D450" i="8"/>
  <c r="C450" i="8"/>
  <c r="J450" i="8"/>
  <c r="O450" i="8"/>
  <c r="G450" i="8"/>
  <c r="F450" i="8"/>
  <c r="E450" i="8"/>
  <c r="L450" i="8"/>
  <c r="C186" i="7"/>
  <c r="D186" i="7"/>
  <c r="G186" i="7"/>
  <c r="F186" i="7"/>
  <c r="I186" i="7"/>
  <c r="B186" i="7"/>
  <c r="K186" i="7"/>
  <c r="H186" i="7"/>
  <c r="E186" i="7"/>
  <c r="J185" i="7"/>
  <c r="C132" i="8"/>
  <c r="AL201" i="8"/>
  <c r="AJ201" i="8"/>
  <c r="AM201" i="8"/>
  <c r="AS201" i="8"/>
  <c r="AI201" i="8"/>
  <c r="AN201" i="8"/>
  <c r="AK201" i="8"/>
  <c r="AO201" i="8"/>
  <c r="AQ201" i="8"/>
  <c r="AV201" i="8"/>
  <c r="H217" i="11"/>
  <c r="G217" i="11"/>
  <c r="J217" i="11"/>
  <c r="D217" i="11"/>
  <c r="I217" i="11"/>
  <c r="B217" i="11"/>
  <c r="K217" i="11"/>
  <c r="C217" i="11"/>
  <c r="E217" i="11"/>
  <c r="F217" i="11"/>
  <c r="M217" i="11"/>
  <c r="D451" i="8"/>
  <c r="F451" i="8"/>
  <c r="G451" i="8"/>
  <c r="J451" i="8"/>
  <c r="O451" i="8"/>
  <c r="C451" i="8"/>
  <c r="E451" i="8"/>
  <c r="L451" i="8"/>
  <c r="C197" i="1"/>
  <c r="I187" i="7"/>
  <c r="F187" i="7"/>
  <c r="C187" i="7"/>
  <c r="K187" i="7"/>
  <c r="H187" i="7"/>
  <c r="G187" i="7"/>
  <c r="E187" i="7"/>
  <c r="B187" i="7"/>
  <c r="D187" i="7"/>
  <c r="J186" i="7"/>
  <c r="O132" i="8"/>
  <c r="J187" i="7"/>
  <c r="AL202" i="8"/>
  <c r="AQ202" i="8"/>
  <c r="AV202" i="8"/>
  <c r="AM202" i="8"/>
  <c r="AO202" i="8"/>
  <c r="AI202" i="8"/>
  <c r="AJ202" i="8"/>
  <c r="AK202" i="8"/>
  <c r="AS202" i="8"/>
  <c r="AN202" i="8"/>
  <c r="I218" i="11"/>
  <c r="B218" i="11"/>
  <c r="H218" i="11"/>
  <c r="E218" i="11"/>
  <c r="K218" i="11"/>
  <c r="F218" i="11"/>
  <c r="C218" i="11"/>
  <c r="D218" i="11"/>
  <c r="J218" i="11"/>
  <c r="G218" i="11"/>
  <c r="M218" i="11"/>
  <c r="G452" i="8"/>
  <c r="C452" i="8"/>
  <c r="D452" i="8"/>
  <c r="J452" i="8"/>
  <c r="O452" i="8"/>
  <c r="E452" i="8"/>
  <c r="L452" i="8"/>
  <c r="F452" i="8"/>
  <c r="B188" i="7"/>
  <c r="K188" i="7"/>
  <c r="D188" i="7"/>
  <c r="H188" i="7"/>
  <c r="G188" i="7"/>
  <c r="F188" i="7"/>
  <c r="E188" i="7"/>
  <c r="I188" i="7"/>
  <c r="C188" i="7"/>
  <c r="C133" i="8"/>
  <c r="J188" i="7"/>
  <c r="AL203" i="8"/>
  <c r="AI203" i="8"/>
  <c r="AM203" i="8"/>
  <c r="AN203" i="8"/>
  <c r="AS203" i="8"/>
  <c r="AO203" i="8"/>
  <c r="AJ203" i="8"/>
  <c r="AK203" i="8"/>
  <c r="AQ203" i="8"/>
  <c r="AV203" i="8"/>
  <c r="H219" i="11"/>
  <c r="G219" i="11"/>
  <c r="F219" i="11"/>
  <c r="J219" i="11"/>
  <c r="D219" i="11"/>
  <c r="B219" i="11"/>
  <c r="C219" i="11"/>
  <c r="E219" i="11"/>
  <c r="M219" i="11"/>
  <c r="I219" i="11"/>
  <c r="K219" i="11"/>
  <c r="D453" i="8"/>
  <c r="G453" i="8"/>
  <c r="F453" i="8"/>
  <c r="C453" i="8"/>
  <c r="J453" i="8"/>
  <c r="O453" i="8"/>
  <c r="E453" i="8"/>
  <c r="L453" i="8"/>
  <c r="O133" i="8"/>
  <c r="B189" i="7"/>
  <c r="K189" i="7"/>
  <c r="D189" i="7"/>
  <c r="C189" i="7"/>
  <c r="H189" i="7"/>
  <c r="E189" i="7"/>
  <c r="I189" i="7"/>
  <c r="F189" i="7"/>
  <c r="G189" i="7"/>
  <c r="C198" i="1"/>
  <c r="AM204" i="8"/>
  <c r="AJ204" i="8"/>
  <c r="AQ204" i="8"/>
  <c r="AV204" i="8"/>
  <c r="AN204" i="8"/>
  <c r="AK204" i="8"/>
  <c r="AO204" i="8"/>
  <c r="AI204" i="8"/>
  <c r="AS204" i="8"/>
  <c r="AL204" i="8"/>
  <c r="F220" i="11"/>
  <c r="J220" i="11"/>
  <c r="K220" i="11"/>
  <c r="H220" i="11"/>
  <c r="D220" i="11"/>
  <c r="M220" i="11"/>
  <c r="I220" i="11"/>
  <c r="C220" i="11"/>
  <c r="G220" i="11"/>
  <c r="B220" i="11"/>
  <c r="E220" i="11"/>
  <c r="G454" i="8"/>
  <c r="D454" i="8"/>
  <c r="J454" i="8"/>
  <c r="O454" i="8"/>
  <c r="C454" i="8"/>
  <c r="E454" i="8"/>
  <c r="L454" i="8"/>
  <c r="F454" i="8"/>
  <c r="J189" i="7"/>
  <c r="C134" i="8"/>
  <c r="H190" i="7"/>
  <c r="E190" i="7"/>
  <c r="K190" i="7"/>
  <c r="C190" i="7"/>
  <c r="I190" i="7"/>
  <c r="D190" i="7"/>
  <c r="B190" i="7"/>
  <c r="G190" i="7"/>
  <c r="F190" i="7"/>
  <c r="AO205" i="8"/>
  <c r="AN205" i="8"/>
  <c r="AS205" i="8"/>
  <c r="AQ205" i="8"/>
  <c r="AV205" i="8"/>
  <c r="AI205" i="8"/>
  <c r="AJ205" i="8"/>
  <c r="AK205" i="8"/>
  <c r="AL205" i="8"/>
  <c r="AM205" i="8"/>
  <c r="B221" i="11"/>
  <c r="E221" i="11"/>
  <c r="M221" i="11"/>
  <c r="I221" i="11"/>
  <c r="G221" i="11"/>
  <c r="F221" i="11"/>
  <c r="K221" i="11"/>
  <c r="C221" i="11"/>
  <c r="H221" i="11"/>
  <c r="D221" i="11"/>
  <c r="J221" i="11"/>
  <c r="J190" i="7"/>
  <c r="O134" i="8"/>
  <c r="F455" i="8"/>
  <c r="C455" i="8"/>
  <c r="G455" i="8"/>
  <c r="E455" i="8"/>
  <c r="L455" i="8"/>
  <c r="J455" i="8"/>
  <c r="O455" i="8"/>
  <c r="D455" i="8"/>
  <c r="H191" i="7"/>
  <c r="F191" i="7"/>
  <c r="I191" i="7"/>
  <c r="D191" i="7"/>
  <c r="K191" i="7"/>
  <c r="E191" i="7"/>
  <c r="B191" i="7"/>
  <c r="C191" i="7"/>
  <c r="G191" i="7"/>
  <c r="C199" i="1"/>
  <c r="AM206" i="8"/>
  <c r="AJ206" i="8"/>
  <c r="AN206" i="8"/>
  <c r="AQ206" i="8"/>
  <c r="AV206" i="8"/>
  <c r="AI206" i="8"/>
  <c r="AK206" i="8"/>
  <c r="AS206" i="8"/>
  <c r="AL206" i="8"/>
  <c r="AO206" i="8"/>
  <c r="I222" i="11"/>
  <c r="E222" i="11"/>
  <c r="D222" i="11"/>
  <c r="J222" i="11"/>
  <c r="K222" i="11"/>
  <c r="F222" i="11"/>
  <c r="H222" i="11"/>
  <c r="G222" i="11"/>
  <c r="C222" i="11"/>
  <c r="M222" i="11"/>
  <c r="B222" i="11"/>
  <c r="F456" i="8"/>
  <c r="C456" i="8"/>
  <c r="E456" i="8"/>
  <c r="G456" i="8"/>
  <c r="D456" i="8"/>
  <c r="J456" i="8"/>
  <c r="O456" i="8"/>
  <c r="L456" i="8"/>
  <c r="J191" i="7"/>
  <c r="B192" i="7"/>
  <c r="I192" i="7"/>
  <c r="K192" i="7"/>
  <c r="C192" i="7"/>
  <c r="H192" i="7"/>
  <c r="E192" i="7"/>
  <c r="F192" i="7"/>
  <c r="D192" i="7"/>
  <c r="G192" i="7"/>
  <c r="C135" i="8"/>
  <c r="AM207" i="8"/>
  <c r="AS207" i="8"/>
  <c r="AJ207" i="8"/>
  <c r="AO207" i="8"/>
  <c r="AQ207" i="8"/>
  <c r="AV207" i="8"/>
  <c r="AI207" i="8"/>
  <c r="AL207" i="8"/>
  <c r="AN207" i="8"/>
  <c r="AK207" i="8"/>
  <c r="J192" i="7"/>
  <c r="F223" i="11"/>
  <c r="J223" i="11"/>
  <c r="G223" i="11"/>
  <c r="B223" i="11"/>
  <c r="M223" i="11"/>
  <c r="H223" i="11"/>
  <c r="D223" i="11"/>
  <c r="E223" i="11"/>
  <c r="I223" i="11"/>
  <c r="K223" i="11"/>
  <c r="C223" i="11"/>
  <c r="O135" i="8"/>
  <c r="C200" i="1"/>
  <c r="C193" i="7"/>
  <c r="B193" i="7"/>
  <c r="G193" i="7"/>
  <c r="H193" i="7"/>
  <c r="D193" i="7"/>
  <c r="I193" i="7"/>
  <c r="K193" i="7"/>
  <c r="F193" i="7"/>
  <c r="E193" i="7"/>
  <c r="D457" i="8"/>
  <c r="C457" i="8"/>
  <c r="J457" i="8"/>
  <c r="O457" i="8"/>
  <c r="E457" i="8"/>
  <c r="L457" i="8"/>
  <c r="G457" i="8"/>
  <c r="F457" i="8"/>
  <c r="AI208" i="8"/>
  <c r="AO208" i="8"/>
  <c r="AN208" i="8"/>
  <c r="AL208" i="8"/>
  <c r="AK208" i="8"/>
  <c r="AS208" i="8"/>
  <c r="AJ208" i="8"/>
  <c r="AQ208" i="8"/>
  <c r="AV208" i="8"/>
  <c r="AM208" i="8"/>
  <c r="B224" i="11"/>
  <c r="C224" i="11"/>
  <c r="H224" i="11"/>
  <c r="K224" i="11"/>
  <c r="E224" i="11"/>
  <c r="D224" i="11"/>
  <c r="F224" i="11"/>
  <c r="G224" i="11"/>
  <c r="J224" i="11"/>
  <c r="I224" i="11"/>
  <c r="M224" i="11"/>
  <c r="J193" i="7"/>
  <c r="C458" i="8"/>
  <c r="G458" i="8"/>
  <c r="D458" i="8"/>
  <c r="E458" i="8"/>
  <c r="L458" i="8"/>
  <c r="J458" i="8"/>
  <c r="O458" i="8"/>
  <c r="F458" i="8"/>
  <c r="H194" i="7"/>
  <c r="B194" i="7"/>
  <c r="I194" i="7"/>
  <c r="C194" i="7"/>
  <c r="G194" i="7"/>
  <c r="E194" i="7"/>
  <c r="D194" i="7"/>
  <c r="F194" i="7"/>
  <c r="K194" i="7"/>
  <c r="C136" i="8"/>
  <c r="AJ209" i="8"/>
  <c r="AQ209" i="8"/>
  <c r="AV209" i="8"/>
  <c r="AO209" i="8"/>
  <c r="AM209" i="8"/>
  <c r="AL209" i="8"/>
  <c r="AN209" i="8"/>
  <c r="AK209" i="8"/>
  <c r="AI209" i="8"/>
  <c r="AS209" i="8"/>
  <c r="G225" i="11"/>
  <c r="E225" i="11"/>
  <c r="D225" i="11"/>
  <c r="J225" i="11"/>
  <c r="K225" i="11"/>
  <c r="F225" i="11"/>
  <c r="I225" i="11"/>
  <c r="H225" i="11"/>
  <c r="B225" i="11"/>
  <c r="M225" i="11"/>
  <c r="C225" i="11"/>
  <c r="O136" i="8"/>
  <c r="J194" i="7"/>
  <c r="C201" i="1"/>
  <c r="D459" i="8"/>
  <c r="C459" i="8"/>
  <c r="F459" i="8"/>
  <c r="G459" i="8"/>
  <c r="E459" i="8"/>
  <c r="L459" i="8"/>
  <c r="J459" i="8"/>
  <c r="O459" i="8"/>
  <c r="D195" i="7"/>
  <c r="K195" i="7"/>
  <c r="E195" i="7"/>
  <c r="C195" i="7"/>
  <c r="H195" i="7"/>
  <c r="I195" i="7"/>
  <c r="F195" i="7"/>
  <c r="B195" i="7"/>
  <c r="G195" i="7"/>
  <c r="AS210" i="8"/>
  <c r="AN210" i="8"/>
  <c r="AL210" i="8"/>
  <c r="AI210" i="8"/>
  <c r="AJ210" i="8"/>
  <c r="AK210" i="8"/>
  <c r="AO210" i="8"/>
  <c r="AM210" i="8"/>
  <c r="AQ210" i="8"/>
  <c r="AV210" i="8"/>
  <c r="E226" i="11"/>
  <c r="C226" i="11"/>
  <c r="I226" i="11"/>
  <c r="K226" i="11"/>
  <c r="D226" i="11"/>
  <c r="G226" i="11"/>
  <c r="F226" i="11"/>
  <c r="J226" i="11"/>
  <c r="H226" i="11"/>
  <c r="M226" i="11"/>
  <c r="B226" i="11"/>
  <c r="G460" i="8"/>
  <c r="C460" i="8"/>
  <c r="J460" i="8"/>
  <c r="O460" i="8"/>
  <c r="D460" i="8"/>
  <c r="E460" i="8"/>
  <c r="L460" i="8"/>
  <c r="F460" i="8"/>
  <c r="D196" i="7"/>
  <c r="K196" i="7"/>
  <c r="E196" i="7"/>
  <c r="B196" i="7"/>
  <c r="H196" i="7"/>
  <c r="I196" i="7"/>
  <c r="G196" i="7"/>
  <c r="F196" i="7"/>
  <c r="C196" i="7"/>
  <c r="C137" i="8"/>
  <c r="J195" i="7"/>
  <c r="AM211" i="8"/>
  <c r="AJ211" i="8"/>
  <c r="AL211" i="8"/>
  <c r="AK211" i="8"/>
  <c r="AS211" i="8"/>
  <c r="AI211" i="8"/>
  <c r="AN211" i="8"/>
  <c r="AQ211" i="8"/>
  <c r="AV211" i="8"/>
  <c r="AO211" i="8"/>
  <c r="G227" i="11"/>
  <c r="F227" i="11"/>
  <c r="M227" i="11"/>
  <c r="I227" i="11"/>
  <c r="D227" i="11"/>
  <c r="B227" i="11"/>
  <c r="E227" i="11"/>
  <c r="J227" i="11"/>
  <c r="H227" i="11"/>
  <c r="K227" i="11"/>
  <c r="C227" i="11"/>
  <c r="C138" i="8"/>
  <c r="O137" i="8"/>
  <c r="C197" i="7"/>
  <c r="F197" i="7"/>
  <c r="D197" i="7"/>
  <c r="K197" i="7"/>
  <c r="H197" i="7"/>
  <c r="G197" i="7"/>
  <c r="B197" i="7"/>
  <c r="I197" i="7"/>
  <c r="E197" i="7"/>
  <c r="J196" i="7"/>
  <c r="E461" i="8"/>
  <c r="L461" i="8"/>
  <c r="G461" i="8"/>
  <c r="J461" i="8"/>
  <c r="O461" i="8"/>
  <c r="F461" i="8"/>
  <c r="D461" i="8"/>
  <c r="C461" i="8"/>
  <c r="C202" i="1"/>
  <c r="J197" i="7"/>
  <c r="AK212" i="8"/>
  <c r="AL212" i="8"/>
  <c r="AS212" i="8"/>
  <c r="AJ212" i="8"/>
  <c r="AN212" i="8"/>
  <c r="AO212" i="8"/>
  <c r="AM212" i="8"/>
  <c r="AQ212" i="8"/>
  <c r="AV212" i="8"/>
  <c r="AI212" i="8"/>
  <c r="F228" i="11"/>
  <c r="H228" i="11"/>
  <c r="I228" i="11"/>
  <c r="D228" i="11"/>
  <c r="J228" i="11"/>
  <c r="K228" i="11"/>
  <c r="B228" i="11"/>
  <c r="E228" i="11"/>
  <c r="M228" i="11"/>
  <c r="C228" i="11"/>
  <c r="G228" i="11"/>
  <c r="O138" i="8"/>
  <c r="H198" i="7"/>
  <c r="I198" i="7"/>
  <c r="B198" i="7"/>
  <c r="C198" i="7"/>
  <c r="G198" i="7"/>
  <c r="D198" i="7"/>
  <c r="K198" i="7"/>
  <c r="F198" i="7"/>
  <c r="E198" i="7"/>
  <c r="D462" i="8"/>
  <c r="J462" i="8"/>
  <c r="O462" i="8"/>
  <c r="F462" i="8"/>
  <c r="G462" i="8"/>
  <c r="C462" i="8"/>
  <c r="E462" i="8"/>
  <c r="L462" i="8"/>
  <c r="AL213" i="8"/>
  <c r="AQ213" i="8"/>
  <c r="AV213" i="8"/>
  <c r="AI213" i="8"/>
  <c r="AS213" i="8"/>
  <c r="AM213" i="8"/>
  <c r="AK213" i="8"/>
  <c r="AN213" i="8"/>
  <c r="AO213" i="8"/>
  <c r="AJ213" i="8"/>
  <c r="J198" i="7"/>
  <c r="D229" i="11"/>
  <c r="I229" i="11"/>
  <c r="K229" i="11"/>
  <c r="E229" i="11"/>
  <c r="M229" i="11"/>
  <c r="F229" i="11"/>
  <c r="H229" i="11"/>
  <c r="G229" i="11"/>
  <c r="J229" i="11"/>
  <c r="C229" i="11"/>
  <c r="B229" i="11"/>
  <c r="G463" i="8"/>
  <c r="E463" i="8"/>
  <c r="L463" i="8"/>
  <c r="C463" i="8"/>
  <c r="J463" i="8"/>
  <c r="O463" i="8"/>
  <c r="D463" i="8"/>
  <c r="F463" i="8"/>
  <c r="C203" i="1"/>
  <c r="D199" i="7"/>
  <c r="B199" i="7"/>
  <c r="E199" i="7"/>
  <c r="F199" i="7"/>
  <c r="K199" i="7"/>
  <c r="C199" i="7"/>
  <c r="H199" i="7"/>
  <c r="G199" i="7"/>
  <c r="I199" i="7"/>
  <c r="C139" i="8"/>
  <c r="AS214" i="8"/>
  <c r="AI214" i="8"/>
  <c r="AO214" i="8"/>
  <c r="AL214" i="8"/>
  <c r="AK214" i="8"/>
  <c r="AJ214" i="8"/>
  <c r="AM214" i="8"/>
  <c r="AN214" i="8"/>
  <c r="AQ214" i="8"/>
  <c r="AV214" i="8"/>
  <c r="F230" i="11"/>
  <c r="G230" i="11"/>
  <c r="D230" i="11"/>
  <c r="C230" i="11"/>
  <c r="J230" i="11"/>
  <c r="M230" i="11"/>
  <c r="E230" i="11"/>
  <c r="H230" i="11"/>
  <c r="I230" i="11"/>
  <c r="B230" i="11"/>
  <c r="K230" i="11"/>
  <c r="O139" i="8"/>
  <c r="D464" i="8"/>
  <c r="F464" i="8"/>
  <c r="C464" i="8"/>
  <c r="G464" i="8"/>
  <c r="J464" i="8"/>
  <c r="O464" i="8"/>
  <c r="E464" i="8"/>
  <c r="L464" i="8"/>
  <c r="H200" i="7"/>
  <c r="E200" i="7"/>
  <c r="F200" i="7"/>
  <c r="B200" i="7"/>
  <c r="I200" i="7"/>
  <c r="K200" i="7"/>
  <c r="D200" i="7"/>
  <c r="C200" i="7"/>
  <c r="G200" i="7"/>
  <c r="J199" i="7"/>
  <c r="J200" i="7"/>
  <c r="AJ215" i="8"/>
  <c r="AN215" i="8"/>
  <c r="AO215" i="8"/>
  <c r="AL215" i="8"/>
  <c r="AQ215" i="8"/>
  <c r="AV215" i="8"/>
  <c r="AM215" i="8"/>
  <c r="AI215" i="8"/>
  <c r="AS215" i="8"/>
  <c r="AK215" i="8"/>
  <c r="G231" i="11"/>
  <c r="I231" i="11"/>
  <c r="E231" i="11"/>
  <c r="M231" i="11"/>
  <c r="D231" i="11"/>
  <c r="K231" i="11"/>
  <c r="C231" i="11"/>
  <c r="F231" i="11"/>
  <c r="H231" i="11"/>
  <c r="B231" i="11"/>
  <c r="J231" i="11"/>
  <c r="C204" i="1"/>
  <c r="G465" i="8"/>
  <c r="E465" i="8"/>
  <c r="L465" i="8"/>
  <c r="C465" i="8"/>
  <c r="D465" i="8"/>
  <c r="F465" i="8"/>
  <c r="J465" i="8"/>
  <c r="O465" i="8"/>
  <c r="D201" i="7"/>
  <c r="K201" i="7"/>
  <c r="E201" i="7"/>
  <c r="G201" i="7"/>
  <c r="C201" i="7"/>
  <c r="I201" i="7"/>
  <c r="F201" i="7"/>
  <c r="B201" i="7"/>
  <c r="H201" i="7"/>
  <c r="C140" i="8"/>
  <c r="AK216" i="8"/>
  <c r="AJ216" i="8"/>
  <c r="AL216" i="8"/>
  <c r="AS216" i="8"/>
  <c r="AI216" i="8"/>
  <c r="AM216" i="8"/>
  <c r="AQ216" i="8"/>
  <c r="AV216" i="8"/>
  <c r="AN216" i="8"/>
  <c r="AO216" i="8"/>
  <c r="E232" i="11"/>
  <c r="J232" i="11"/>
  <c r="K232" i="11"/>
  <c r="B232" i="11"/>
  <c r="I232" i="11"/>
  <c r="H232" i="11"/>
  <c r="M232" i="11"/>
  <c r="G232" i="11"/>
  <c r="C232" i="11"/>
  <c r="F232" i="11"/>
  <c r="D232" i="11"/>
  <c r="O140" i="8"/>
  <c r="J201" i="7"/>
  <c r="G202" i="7"/>
  <c r="H202" i="7"/>
  <c r="B202" i="7"/>
  <c r="D202" i="7"/>
  <c r="F202" i="7"/>
  <c r="E202" i="7"/>
  <c r="K202" i="7"/>
  <c r="I202" i="7"/>
  <c r="C202" i="7"/>
  <c r="D466" i="8"/>
  <c r="F466" i="8"/>
  <c r="J466" i="8"/>
  <c r="O466" i="8"/>
  <c r="E466" i="8"/>
  <c r="L466" i="8"/>
  <c r="G466" i="8"/>
  <c r="C466" i="8"/>
  <c r="AQ217" i="8"/>
  <c r="AV217" i="8"/>
  <c r="AN217" i="8"/>
  <c r="AJ217" i="8"/>
  <c r="AO217" i="8"/>
  <c r="AL217" i="8"/>
  <c r="AM217" i="8"/>
  <c r="AI217" i="8"/>
  <c r="AK217" i="8"/>
  <c r="AS217" i="8"/>
  <c r="F233" i="11"/>
  <c r="H233" i="11"/>
  <c r="D233" i="11"/>
  <c r="M233" i="11"/>
  <c r="B233" i="11"/>
  <c r="K233" i="11"/>
  <c r="G233" i="11"/>
  <c r="I233" i="11"/>
  <c r="C233" i="11"/>
  <c r="E233" i="11"/>
  <c r="J233" i="11"/>
  <c r="D467" i="8"/>
  <c r="G467" i="8"/>
  <c r="F467" i="8"/>
  <c r="J467" i="8"/>
  <c r="O467" i="8"/>
  <c r="C467" i="8"/>
  <c r="E467" i="8"/>
  <c r="L467" i="8"/>
  <c r="I203" i="7"/>
  <c r="C203" i="7"/>
  <c r="G203" i="7"/>
  <c r="F203" i="7"/>
  <c r="E203" i="7"/>
  <c r="B203" i="7"/>
  <c r="K203" i="7"/>
  <c r="D203" i="7"/>
  <c r="H203" i="7"/>
  <c r="C205" i="1"/>
  <c r="J202" i="7"/>
  <c r="C141" i="8"/>
  <c r="O141" i="8"/>
  <c r="AQ218" i="8"/>
  <c r="AV218" i="8"/>
  <c r="AS218" i="8"/>
  <c r="AL218" i="8"/>
  <c r="AO218" i="8"/>
  <c r="AM218" i="8"/>
  <c r="AK218" i="8"/>
  <c r="AN218" i="8"/>
  <c r="AJ218" i="8"/>
  <c r="AI218" i="8"/>
  <c r="H234" i="11"/>
  <c r="F234" i="11"/>
  <c r="B234" i="11"/>
  <c r="J234" i="11"/>
  <c r="K234" i="11"/>
  <c r="M234" i="11"/>
  <c r="G234" i="11"/>
  <c r="I234" i="11"/>
  <c r="D234" i="11"/>
  <c r="C234" i="11"/>
  <c r="E234" i="11"/>
  <c r="D468" i="8"/>
  <c r="E468" i="8"/>
  <c r="L468" i="8"/>
  <c r="F468" i="8"/>
  <c r="C468" i="8"/>
  <c r="J468" i="8"/>
  <c r="O468" i="8"/>
  <c r="G468" i="8"/>
  <c r="H204" i="7"/>
  <c r="I204" i="7"/>
  <c r="B204" i="7"/>
  <c r="D204" i="7"/>
  <c r="G204" i="7"/>
  <c r="E204" i="7"/>
  <c r="F204" i="7"/>
  <c r="C204" i="7"/>
  <c r="K204" i="7"/>
  <c r="J203" i="7"/>
  <c r="AO219" i="8"/>
  <c r="AI219" i="8"/>
  <c r="AM219" i="8"/>
  <c r="AS219" i="8"/>
  <c r="AJ219" i="8"/>
  <c r="AQ219" i="8"/>
  <c r="AV219" i="8"/>
  <c r="AN219" i="8"/>
  <c r="AK219" i="8"/>
  <c r="AL219" i="8"/>
  <c r="E235" i="11"/>
  <c r="J235" i="11"/>
  <c r="I235" i="11"/>
  <c r="C235" i="11"/>
  <c r="M235" i="11"/>
  <c r="G235" i="11"/>
  <c r="K235" i="11"/>
  <c r="H235" i="11"/>
  <c r="F235" i="11"/>
  <c r="D235" i="11"/>
  <c r="B235" i="11"/>
  <c r="G205" i="7"/>
  <c r="H205" i="7"/>
  <c r="B205" i="7"/>
  <c r="F205" i="7"/>
  <c r="C205" i="7"/>
  <c r="K205" i="7"/>
  <c r="D205" i="7"/>
  <c r="I205" i="7"/>
  <c r="E205" i="7"/>
  <c r="C206" i="1"/>
  <c r="G469" i="8"/>
  <c r="J469" i="8"/>
  <c r="O469" i="8"/>
  <c r="D469" i="8"/>
  <c r="C469" i="8"/>
  <c r="E469" i="8"/>
  <c r="L469" i="8"/>
  <c r="F469" i="8"/>
  <c r="J204" i="7"/>
  <c r="C142" i="8"/>
  <c r="AJ220" i="8"/>
  <c r="AK220" i="8"/>
  <c r="AI220" i="8"/>
  <c r="AL220" i="8"/>
  <c r="AM220" i="8"/>
  <c r="AS220" i="8"/>
  <c r="AO220" i="8"/>
  <c r="AQ220" i="8"/>
  <c r="AV220" i="8"/>
  <c r="AN220" i="8"/>
  <c r="H236" i="11"/>
  <c r="D236" i="11"/>
  <c r="G236" i="11"/>
  <c r="J236" i="11"/>
  <c r="B236" i="11"/>
  <c r="E236" i="11"/>
  <c r="K236" i="11"/>
  <c r="C236" i="11"/>
  <c r="M236" i="11"/>
  <c r="F236" i="11"/>
  <c r="I236" i="11"/>
  <c r="O142" i="8"/>
  <c r="D470" i="8"/>
  <c r="J470" i="8"/>
  <c r="O470" i="8"/>
  <c r="F470" i="8"/>
  <c r="G470" i="8"/>
  <c r="C470" i="8"/>
  <c r="E470" i="8"/>
  <c r="L470" i="8"/>
  <c r="H206" i="7"/>
  <c r="K206" i="7"/>
  <c r="B206" i="7"/>
  <c r="G206" i="7"/>
  <c r="D206" i="7"/>
  <c r="F206" i="7"/>
  <c r="E206" i="7"/>
  <c r="I206" i="7"/>
  <c r="C206" i="7"/>
  <c r="J205" i="7"/>
  <c r="AI221" i="8"/>
  <c r="AQ221" i="8"/>
  <c r="AV221" i="8"/>
  <c r="AL221" i="8"/>
  <c r="AN221" i="8"/>
  <c r="AK221" i="8"/>
  <c r="AJ221" i="8"/>
  <c r="AO221" i="8"/>
  <c r="AS221" i="8"/>
  <c r="AM221" i="8"/>
  <c r="I237" i="11"/>
  <c r="M237" i="11"/>
  <c r="B237" i="11"/>
  <c r="D237" i="11"/>
  <c r="E237" i="11"/>
  <c r="C237" i="11"/>
  <c r="F237" i="11"/>
  <c r="H237" i="11"/>
  <c r="G237" i="11"/>
  <c r="J237" i="11"/>
  <c r="K237" i="11"/>
  <c r="J206" i="7"/>
  <c r="C207" i="1"/>
  <c r="D471" i="8"/>
  <c r="F471" i="8"/>
  <c r="C471" i="8"/>
  <c r="E471" i="8"/>
  <c r="L471" i="8"/>
  <c r="G471" i="8"/>
  <c r="J471" i="8"/>
  <c r="O471" i="8"/>
  <c r="E207" i="7"/>
  <c r="H207" i="7"/>
  <c r="C207" i="7"/>
  <c r="G207" i="7"/>
  <c r="I207" i="7"/>
  <c r="F207" i="7"/>
  <c r="B207" i="7"/>
  <c r="D207" i="7"/>
  <c r="K207" i="7"/>
  <c r="C143" i="8"/>
  <c r="AO222" i="8"/>
  <c r="AQ222" i="8"/>
  <c r="AV222" i="8"/>
  <c r="AK222" i="8"/>
  <c r="AM222" i="8"/>
  <c r="AL222" i="8"/>
  <c r="AS222" i="8"/>
  <c r="AJ222" i="8"/>
  <c r="AI222" i="8"/>
  <c r="AN222" i="8"/>
  <c r="D238" i="11"/>
  <c r="J238" i="11"/>
  <c r="I238" i="11"/>
  <c r="E238" i="11"/>
  <c r="H238" i="11"/>
  <c r="M238" i="11"/>
  <c r="K238" i="11"/>
  <c r="G238" i="11"/>
  <c r="B238" i="11"/>
  <c r="F238" i="11"/>
  <c r="C238" i="11"/>
  <c r="O143" i="8"/>
  <c r="D472" i="8"/>
  <c r="F472" i="8"/>
  <c r="G472" i="8"/>
  <c r="C472" i="8"/>
  <c r="J472" i="8"/>
  <c r="O472" i="8"/>
  <c r="E472" i="8"/>
  <c r="L472" i="8"/>
  <c r="C208" i="7"/>
  <c r="E208" i="7"/>
  <c r="K208" i="7"/>
  <c r="H208" i="7"/>
  <c r="I208" i="7"/>
  <c r="B208" i="7"/>
  <c r="G208" i="7"/>
  <c r="D208" i="7"/>
  <c r="F208" i="7"/>
  <c r="J207" i="7"/>
  <c r="AN223" i="8"/>
  <c r="AI223" i="8"/>
  <c r="AO223" i="8"/>
  <c r="AM223" i="8"/>
  <c r="AS223" i="8"/>
  <c r="AQ223" i="8"/>
  <c r="AV223" i="8"/>
  <c r="AL223" i="8"/>
  <c r="AJ223" i="8"/>
  <c r="AK223" i="8"/>
  <c r="G239" i="11"/>
  <c r="H239" i="11"/>
  <c r="E239" i="11"/>
  <c r="M239" i="11"/>
  <c r="F239" i="11"/>
  <c r="D239" i="11"/>
  <c r="K239" i="11"/>
  <c r="B239" i="11"/>
  <c r="I239" i="11"/>
  <c r="J239" i="11"/>
  <c r="C239" i="11"/>
  <c r="C473" i="8"/>
  <c r="J473" i="8"/>
  <c r="O473" i="8"/>
  <c r="G473" i="8"/>
  <c r="D473" i="8"/>
  <c r="F473" i="8"/>
  <c r="E473" i="8"/>
  <c r="L473" i="8"/>
  <c r="J208" i="7"/>
  <c r="D209" i="7"/>
  <c r="K209" i="7"/>
  <c r="H209" i="7"/>
  <c r="E209" i="7"/>
  <c r="I209" i="7"/>
  <c r="C209" i="7"/>
  <c r="F209" i="7"/>
  <c r="B209" i="7"/>
  <c r="G209" i="7"/>
  <c r="C208" i="1"/>
  <c r="C144" i="8"/>
  <c r="O144" i="8"/>
  <c r="AL224" i="8"/>
  <c r="AI224" i="8"/>
  <c r="AJ224" i="8"/>
  <c r="AN224" i="8"/>
  <c r="AK224" i="8"/>
  <c r="AO224" i="8"/>
  <c r="AQ224" i="8"/>
  <c r="AV224" i="8"/>
  <c r="AM224" i="8"/>
  <c r="AS224" i="8"/>
  <c r="H240" i="11"/>
  <c r="C240" i="11"/>
  <c r="J240" i="11"/>
  <c r="D240" i="11"/>
  <c r="G240" i="11"/>
  <c r="F240" i="11"/>
  <c r="B240" i="11"/>
  <c r="I240" i="11"/>
  <c r="M240" i="11"/>
  <c r="E240" i="11"/>
  <c r="K240" i="11"/>
  <c r="C474" i="8"/>
  <c r="D474" i="8"/>
  <c r="G474" i="8"/>
  <c r="F474" i="8"/>
  <c r="J474" i="8"/>
  <c r="O474" i="8"/>
  <c r="E474" i="8"/>
  <c r="L474" i="8"/>
  <c r="H210" i="7"/>
  <c r="F210" i="7"/>
  <c r="D210" i="7"/>
  <c r="K210" i="7"/>
  <c r="G210" i="7"/>
  <c r="I210" i="7"/>
  <c r="E210" i="7"/>
  <c r="C210" i="7"/>
  <c r="B210" i="7"/>
  <c r="J209" i="7"/>
  <c r="C145" i="8"/>
  <c r="AO225" i="8"/>
  <c r="AI225" i="8"/>
  <c r="AS225" i="8"/>
  <c r="AJ225" i="8"/>
  <c r="AL225" i="8"/>
  <c r="AK225" i="8"/>
  <c r="AN225" i="8"/>
  <c r="AM225" i="8"/>
  <c r="AQ225" i="8"/>
  <c r="AV225" i="8"/>
  <c r="J210" i="7"/>
  <c r="B241" i="11"/>
  <c r="E241" i="11"/>
  <c r="J241" i="11"/>
  <c r="I241" i="11"/>
  <c r="D241" i="11"/>
  <c r="K241" i="11"/>
  <c r="G241" i="11"/>
  <c r="F241" i="11"/>
  <c r="H241" i="11"/>
  <c r="C241" i="11"/>
  <c r="M241" i="11"/>
  <c r="O145" i="8"/>
  <c r="G475" i="8"/>
  <c r="J475" i="8"/>
  <c r="O475" i="8"/>
  <c r="D475" i="8"/>
  <c r="C475" i="8"/>
  <c r="E475" i="8"/>
  <c r="L475" i="8"/>
  <c r="F475" i="8"/>
  <c r="B211" i="7"/>
  <c r="F211" i="7"/>
  <c r="D211" i="7"/>
  <c r="K211" i="7"/>
  <c r="C211" i="7"/>
  <c r="G211" i="7"/>
  <c r="H211" i="7"/>
  <c r="E211" i="7"/>
  <c r="I211" i="7"/>
  <c r="C209" i="1"/>
  <c r="J211" i="7"/>
  <c r="AL226" i="8"/>
  <c r="AM226" i="8"/>
  <c r="AS226" i="8"/>
  <c r="AI226" i="8"/>
  <c r="AN226" i="8"/>
  <c r="AJ226" i="8"/>
  <c r="AQ226" i="8"/>
  <c r="AV226" i="8"/>
  <c r="AK226" i="8"/>
  <c r="AO226" i="8"/>
  <c r="I242" i="11"/>
  <c r="F242" i="11"/>
  <c r="H242" i="11"/>
  <c r="E242" i="11"/>
  <c r="J242" i="11"/>
  <c r="B242" i="11"/>
  <c r="K242" i="11"/>
  <c r="G242" i="11"/>
  <c r="D242" i="11"/>
  <c r="M242" i="11"/>
  <c r="C242" i="11"/>
  <c r="D476" i="8"/>
  <c r="F476" i="8"/>
  <c r="J476" i="8"/>
  <c r="O476" i="8"/>
  <c r="C476" i="8"/>
  <c r="E476" i="8"/>
  <c r="L476" i="8"/>
  <c r="G476" i="8"/>
  <c r="B212" i="7"/>
  <c r="F212" i="7"/>
  <c r="D212" i="7"/>
  <c r="K212" i="7"/>
  <c r="G212" i="7"/>
  <c r="H212" i="7"/>
  <c r="E212" i="7"/>
  <c r="C212" i="7"/>
  <c r="I212" i="7"/>
  <c r="C146" i="8"/>
  <c r="AJ227" i="8"/>
  <c r="AS227" i="8"/>
  <c r="AO227" i="8"/>
  <c r="AK227" i="8"/>
  <c r="AN227" i="8"/>
  <c r="AQ227" i="8"/>
  <c r="AV227" i="8"/>
  <c r="AL227" i="8"/>
  <c r="AI227" i="8"/>
  <c r="AM227" i="8"/>
  <c r="I243" i="11"/>
  <c r="D243" i="11"/>
  <c r="M243" i="11"/>
  <c r="H243" i="11"/>
  <c r="E243" i="11"/>
  <c r="K243" i="11"/>
  <c r="B243" i="11"/>
  <c r="C243" i="11"/>
  <c r="F243" i="11"/>
  <c r="J243" i="11"/>
  <c r="G243" i="11"/>
  <c r="O146" i="8"/>
  <c r="F477" i="8"/>
  <c r="J477" i="8"/>
  <c r="O477" i="8"/>
  <c r="C477" i="8"/>
  <c r="G477" i="8"/>
  <c r="E477" i="8"/>
  <c r="L477" i="8"/>
  <c r="D477" i="8"/>
  <c r="J212" i="7"/>
  <c r="E213" i="7"/>
  <c r="C213" i="7"/>
  <c r="G213" i="7"/>
  <c r="H213" i="7"/>
  <c r="F213" i="7"/>
  <c r="K213" i="7"/>
  <c r="B213" i="7"/>
  <c r="D213" i="7"/>
  <c r="I213" i="7"/>
  <c r="C210" i="1"/>
  <c r="AO228" i="8"/>
  <c r="AN228" i="8"/>
  <c r="AK228" i="8"/>
  <c r="AJ228" i="8"/>
  <c r="AS228" i="8"/>
  <c r="AL228" i="8"/>
  <c r="AQ228" i="8"/>
  <c r="AV228" i="8"/>
  <c r="AI228" i="8"/>
  <c r="AM228" i="8"/>
  <c r="E244" i="11"/>
  <c r="K244" i="11"/>
  <c r="F244" i="11"/>
  <c r="I244" i="11"/>
  <c r="J244" i="11"/>
  <c r="D244" i="11"/>
  <c r="H244" i="11"/>
  <c r="M244" i="11"/>
  <c r="C244" i="11"/>
  <c r="B244" i="11"/>
  <c r="G244" i="11"/>
  <c r="D478" i="8"/>
  <c r="F478" i="8"/>
  <c r="G478" i="8"/>
  <c r="C478" i="8"/>
  <c r="E478" i="8"/>
  <c r="L478" i="8"/>
  <c r="J478" i="8"/>
  <c r="O478" i="8"/>
  <c r="C147" i="8"/>
  <c r="H214" i="7"/>
  <c r="G214" i="7"/>
  <c r="C214" i="7"/>
  <c r="F214" i="7"/>
  <c r="K214" i="7"/>
  <c r="D214" i="7"/>
  <c r="B214" i="7"/>
  <c r="I214" i="7"/>
  <c r="E214" i="7"/>
  <c r="J213" i="7"/>
  <c r="AS229" i="8"/>
  <c r="AO229" i="8"/>
  <c r="AI229" i="8"/>
  <c r="AQ229" i="8"/>
  <c r="AV229" i="8"/>
  <c r="AJ229" i="8"/>
  <c r="AK229" i="8"/>
  <c r="AN229" i="8"/>
  <c r="AL229" i="8"/>
  <c r="AM229" i="8"/>
  <c r="J214" i="7"/>
  <c r="D245" i="11"/>
  <c r="E245" i="11"/>
  <c r="I245" i="11"/>
  <c r="J245" i="11"/>
  <c r="F245" i="11"/>
  <c r="G245" i="11"/>
  <c r="B245" i="11"/>
  <c r="M245" i="11"/>
  <c r="H245" i="11"/>
  <c r="K245" i="11"/>
  <c r="C245" i="11"/>
  <c r="O147" i="8"/>
  <c r="I215" i="7"/>
  <c r="G215" i="7"/>
  <c r="H215" i="7"/>
  <c r="F215" i="7"/>
  <c r="B215" i="7"/>
  <c r="D215" i="7"/>
  <c r="C215" i="7"/>
  <c r="K215" i="7"/>
  <c r="E215" i="7"/>
  <c r="F479" i="8"/>
  <c r="G479" i="8"/>
  <c r="E479" i="8"/>
  <c r="L479" i="8"/>
  <c r="D479" i="8"/>
  <c r="C479" i="8"/>
  <c r="J479" i="8"/>
  <c r="O479" i="8"/>
  <c r="C211" i="1"/>
  <c r="AO230" i="8"/>
  <c r="AN230" i="8"/>
  <c r="AM230" i="8"/>
  <c r="AI230" i="8"/>
  <c r="AS230" i="8"/>
  <c r="AJ230" i="8"/>
  <c r="AL230" i="8"/>
  <c r="AQ230" i="8"/>
  <c r="AV230" i="8"/>
  <c r="AK230" i="8"/>
  <c r="C246" i="11"/>
  <c r="D246" i="11"/>
  <c r="G246" i="11"/>
  <c r="J246" i="11"/>
  <c r="F246" i="11"/>
  <c r="E246" i="11"/>
  <c r="B246" i="11"/>
  <c r="M246" i="11"/>
  <c r="H246" i="11"/>
  <c r="I246" i="11"/>
  <c r="K246" i="11"/>
  <c r="G480" i="8"/>
  <c r="E480" i="8"/>
  <c r="L480" i="8"/>
  <c r="J480" i="8"/>
  <c r="O480" i="8"/>
  <c r="C480" i="8"/>
  <c r="D480" i="8"/>
  <c r="F480" i="8"/>
  <c r="J215" i="7"/>
  <c r="E216" i="7"/>
  <c r="C216" i="7"/>
  <c r="I216" i="7"/>
  <c r="G216" i="7"/>
  <c r="F216" i="7"/>
  <c r="B216" i="7"/>
  <c r="K216" i="7"/>
  <c r="H216" i="7"/>
  <c r="D216" i="7"/>
  <c r="C148" i="8"/>
  <c r="AJ231" i="8"/>
  <c r="AI231" i="8"/>
  <c r="AS231" i="8"/>
  <c r="AQ231" i="8"/>
  <c r="AV231" i="8"/>
  <c r="AO231" i="8"/>
  <c r="AM231" i="8"/>
  <c r="AL231" i="8"/>
  <c r="AK231" i="8"/>
  <c r="AN231" i="8"/>
  <c r="I247" i="11"/>
  <c r="G247" i="11"/>
  <c r="M247" i="11"/>
  <c r="H247" i="11"/>
  <c r="C247" i="11"/>
  <c r="K247" i="11"/>
  <c r="D247" i="11"/>
  <c r="B247" i="11"/>
  <c r="E247" i="11"/>
  <c r="J247" i="11"/>
  <c r="F247" i="11"/>
  <c r="G481" i="8"/>
  <c r="E481" i="8"/>
  <c r="L481" i="8"/>
  <c r="D481" i="8"/>
  <c r="F481" i="8"/>
  <c r="C481" i="8"/>
  <c r="J481" i="8"/>
  <c r="O481" i="8"/>
  <c r="O148" i="8"/>
  <c r="J216" i="7"/>
  <c r="C212" i="1"/>
  <c r="B217" i="7"/>
  <c r="K217" i="7"/>
  <c r="D217" i="7"/>
  <c r="C217" i="7"/>
  <c r="I217" i="7"/>
  <c r="G217" i="7"/>
  <c r="F217" i="7"/>
  <c r="E217" i="7"/>
  <c r="H217" i="7"/>
  <c r="AS232" i="8"/>
  <c r="AK232" i="8"/>
  <c r="AM232" i="8"/>
  <c r="AI232" i="8"/>
  <c r="AN232" i="8"/>
  <c r="AQ232" i="8"/>
  <c r="AV232" i="8"/>
  <c r="AO232" i="8"/>
  <c r="AL232" i="8"/>
  <c r="AJ232" i="8"/>
  <c r="J217" i="7"/>
  <c r="F248" i="11"/>
  <c r="H248" i="11"/>
  <c r="G248" i="11"/>
  <c r="B248" i="11"/>
  <c r="I248" i="11"/>
  <c r="J248" i="11"/>
  <c r="E248" i="11"/>
  <c r="M248" i="11"/>
  <c r="K248" i="11"/>
  <c r="D248" i="11"/>
  <c r="C248" i="11"/>
  <c r="C482" i="8"/>
  <c r="D482" i="8"/>
  <c r="G482" i="8"/>
  <c r="F482" i="8"/>
  <c r="E482" i="8"/>
  <c r="L482" i="8"/>
  <c r="J482" i="8"/>
  <c r="O482" i="8"/>
  <c r="E218" i="7"/>
  <c r="F218" i="7"/>
  <c r="H218" i="7"/>
  <c r="I218" i="7"/>
  <c r="K218" i="7"/>
  <c r="B218" i="7"/>
  <c r="D218" i="7"/>
  <c r="C218" i="7"/>
  <c r="G218" i="7"/>
  <c r="C149" i="8"/>
  <c r="O149" i="8"/>
  <c r="AQ233" i="8"/>
  <c r="AV233" i="8"/>
  <c r="AS233" i="8"/>
  <c r="AO233" i="8"/>
  <c r="AK233" i="8"/>
  <c r="AI233" i="8"/>
  <c r="AJ233" i="8"/>
  <c r="AM233" i="8"/>
  <c r="AL233" i="8"/>
  <c r="AN233" i="8"/>
  <c r="H249" i="11"/>
  <c r="I249" i="11"/>
  <c r="D249" i="11"/>
  <c r="G249" i="11"/>
  <c r="J249" i="11"/>
  <c r="F249" i="11"/>
  <c r="K249" i="11"/>
  <c r="C249" i="11"/>
  <c r="M249" i="11"/>
  <c r="B249" i="11"/>
  <c r="E249" i="11"/>
  <c r="D483" i="8"/>
  <c r="J483" i="8"/>
  <c r="O483" i="8"/>
  <c r="F483" i="8"/>
  <c r="E483" i="8"/>
  <c r="L483" i="8"/>
  <c r="G483" i="8"/>
  <c r="C483" i="8"/>
  <c r="J218" i="7"/>
  <c r="D219" i="7"/>
  <c r="K219" i="7"/>
  <c r="E219" i="7"/>
  <c r="B219" i="7"/>
  <c r="G219" i="7"/>
  <c r="H219" i="7"/>
  <c r="C219" i="7"/>
  <c r="I219" i="7"/>
  <c r="F219" i="7"/>
  <c r="C213" i="1"/>
  <c r="AM234" i="8"/>
  <c r="AO234" i="8"/>
  <c r="AL234" i="8"/>
  <c r="AK234" i="8"/>
  <c r="AS234" i="8"/>
  <c r="AJ234" i="8"/>
  <c r="AQ234" i="8"/>
  <c r="AV234" i="8"/>
  <c r="AI234" i="8"/>
  <c r="AN234" i="8"/>
  <c r="D250" i="11"/>
  <c r="I250" i="11"/>
  <c r="B250" i="11"/>
  <c r="E250" i="11"/>
  <c r="C250" i="11"/>
  <c r="M250" i="11"/>
  <c r="G250" i="11"/>
  <c r="F250" i="11"/>
  <c r="J250" i="11"/>
  <c r="K250" i="11"/>
  <c r="H250" i="11"/>
  <c r="G484" i="8"/>
  <c r="E484" i="8"/>
  <c r="L484" i="8"/>
  <c r="C484" i="8"/>
  <c r="J484" i="8"/>
  <c r="O484" i="8"/>
  <c r="F484" i="8"/>
  <c r="D484" i="8"/>
  <c r="D220" i="7"/>
  <c r="K220" i="7"/>
  <c r="H220" i="7"/>
  <c r="E220" i="7"/>
  <c r="C220" i="7"/>
  <c r="F220" i="7"/>
  <c r="I220" i="7"/>
  <c r="B220" i="7"/>
  <c r="G220" i="7"/>
  <c r="C150" i="8"/>
  <c r="J219" i="7"/>
  <c r="O150" i="8"/>
  <c r="J220" i="7"/>
  <c r="AO235" i="8"/>
  <c r="AS235" i="8"/>
  <c r="AM235" i="8"/>
  <c r="AL235" i="8"/>
  <c r="AQ235" i="8"/>
  <c r="AV235" i="8"/>
  <c r="AJ235" i="8"/>
  <c r="AK235" i="8"/>
  <c r="AI235" i="8"/>
  <c r="AN235" i="8"/>
  <c r="H251" i="11"/>
  <c r="D251" i="11"/>
  <c r="F251" i="11"/>
  <c r="G251" i="11"/>
  <c r="C251" i="11"/>
  <c r="E251" i="11"/>
  <c r="J251" i="11"/>
  <c r="B251" i="11"/>
  <c r="K251" i="11"/>
  <c r="I251" i="11"/>
  <c r="M251" i="11"/>
  <c r="C151" i="8"/>
  <c r="D221" i="7"/>
  <c r="G221" i="7"/>
  <c r="H221" i="7"/>
  <c r="E221" i="7"/>
  <c r="F221" i="7"/>
  <c r="B221" i="7"/>
  <c r="I221" i="7"/>
  <c r="C221" i="7"/>
  <c r="K221" i="7"/>
  <c r="G485" i="8"/>
  <c r="J485" i="8"/>
  <c r="O485" i="8"/>
  <c r="C485" i="8"/>
  <c r="F485" i="8"/>
  <c r="E485" i="8"/>
  <c r="L485" i="8"/>
  <c r="D485" i="8"/>
  <c r="C214" i="1"/>
  <c r="AI236" i="8"/>
  <c r="AQ236" i="8"/>
  <c r="AV236" i="8"/>
  <c r="AL236" i="8"/>
  <c r="AS236" i="8"/>
  <c r="AN236" i="8"/>
  <c r="AM236" i="8"/>
  <c r="AK236" i="8"/>
  <c r="AO236" i="8"/>
  <c r="AJ236" i="8"/>
  <c r="C252" i="11"/>
  <c r="I252" i="11"/>
  <c r="G252" i="11"/>
  <c r="J252" i="11"/>
  <c r="H252" i="11"/>
  <c r="E252" i="11"/>
  <c r="K252" i="11"/>
  <c r="B252" i="11"/>
  <c r="M252" i="11"/>
  <c r="F252" i="11"/>
  <c r="D252" i="11"/>
  <c r="O151" i="8"/>
  <c r="C486" i="8"/>
  <c r="D486" i="8"/>
  <c r="E486" i="8"/>
  <c r="L486" i="8"/>
  <c r="G486" i="8"/>
  <c r="J486" i="8"/>
  <c r="O486" i="8"/>
  <c r="F486" i="8"/>
  <c r="J221" i="7"/>
  <c r="D222" i="7"/>
  <c r="H222" i="7"/>
  <c r="E222" i="7"/>
  <c r="G222" i="7"/>
  <c r="B222" i="7"/>
  <c r="F222" i="7"/>
  <c r="C222" i="7"/>
  <c r="K222" i="7"/>
  <c r="I222" i="7"/>
  <c r="AO237" i="8"/>
  <c r="AQ237" i="8"/>
  <c r="AV237" i="8"/>
  <c r="AL237" i="8"/>
  <c r="AS237" i="8"/>
  <c r="AJ237" i="8"/>
  <c r="AM237" i="8"/>
  <c r="AI237" i="8"/>
  <c r="AN237" i="8"/>
  <c r="AK237" i="8"/>
  <c r="I253" i="11"/>
  <c r="C253" i="11"/>
  <c r="K253" i="11"/>
  <c r="B253" i="11"/>
  <c r="M253" i="11"/>
  <c r="D253" i="11"/>
  <c r="G253" i="11"/>
  <c r="E253" i="11"/>
  <c r="J253" i="11"/>
  <c r="H253" i="11"/>
  <c r="F253" i="11"/>
  <c r="H223" i="7"/>
  <c r="E223" i="7"/>
  <c r="B223" i="7"/>
  <c r="G223" i="7"/>
  <c r="C223" i="7"/>
  <c r="I223" i="7"/>
  <c r="F223" i="7"/>
  <c r="K223" i="7"/>
  <c r="D223" i="7"/>
  <c r="F487" i="8"/>
  <c r="E487" i="8"/>
  <c r="L487" i="8"/>
  <c r="C487" i="8"/>
  <c r="G487" i="8"/>
  <c r="J487" i="8"/>
  <c r="O487" i="8"/>
  <c r="D487" i="8"/>
  <c r="C152" i="8"/>
  <c r="C215" i="1"/>
  <c r="J222" i="7"/>
  <c r="O152" i="8"/>
  <c r="AL238" i="8"/>
  <c r="AQ238" i="8"/>
  <c r="AV238" i="8"/>
  <c r="AO238" i="8"/>
  <c r="AM238" i="8"/>
  <c r="AN238" i="8"/>
  <c r="AS238" i="8"/>
  <c r="AI238" i="8"/>
  <c r="AJ238" i="8"/>
  <c r="AK238" i="8"/>
  <c r="G254" i="11"/>
  <c r="E254" i="11"/>
  <c r="H254" i="11"/>
  <c r="J254" i="11"/>
  <c r="F254" i="11"/>
  <c r="M254" i="11"/>
  <c r="D254" i="11"/>
  <c r="B254" i="11"/>
  <c r="I254" i="11"/>
  <c r="C254" i="11"/>
  <c r="K254" i="11"/>
  <c r="J223" i="7"/>
  <c r="G488" i="8"/>
  <c r="D488" i="8"/>
  <c r="C488" i="8"/>
  <c r="J488" i="8"/>
  <c r="O488" i="8"/>
  <c r="F488" i="8"/>
  <c r="E488" i="8"/>
  <c r="L488" i="8"/>
  <c r="E224" i="7"/>
  <c r="F224" i="7"/>
  <c r="I224" i="7"/>
  <c r="K224" i="7"/>
  <c r="B224" i="7"/>
  <c r="H224" i="7"/>
  <c r="D224" i="7"/>
  <c r="C224" i="7"/>
  <c r="G224" i="7"/>
  <c r="AJ239" i="8"/>
  <c r="AL239" i="8"/>
  <c r="AM239" i="8"/>
  <c r="AI239" i="8"/>
  <c r="AQ239" i="8"/>
  <c r="AV239" i="8"/>
  <c r="AN239" i="8"/>
  <c r="AO239" i="8"/>
  <c r="AS239" i="8"/>
  <c r="AK239" i="8"/>
  <c r="I255" i="11"/>
  <c r="K255" i="11"/>
  <c r="C255" i="11"/>
  <c r="E255" i="11"/>
  <c r="G255" i="11"/>
  <c r="J255" i="11"/>
  <c r="B255" i="11"/>
  <c r="F255" i="11"/>
  <c r="D255" i="11"/>
  <c r="M255" i="11"/>
  <c r="H255" i="11"/>
  <c r="C489" i="8"/>
  <c r="J489" i="8"/>
  <c r="O489" i="8"/>
  <c r="G489" i="8"/>
  <c r="E489" i="8"/>
  <c r="L489" i="8"/>
  <c r="D489" i="8"/>
  <c r="F489" i="8"/>
  <c r="J224" i="7"/>
  <c r="C216" i="1"/>
  <c r="C225" i="7"/>
  <c r="D225" i="7"/>
  <c r="H225" i="7"/>
  <c r="G225" i="7"/>
  <c r="F225" i="7"/>
  <c r="B225" i="7"/>
  <c r="E225" i="7"/>
  <c r="K225" i="7"/>
  <c r="I225" i="7"/>
  <c r="C153" i="8"/>
  <c r="AJ240" i="8"/>
  <c r="AS240" i="8"/>
  <c r="AI240" i="8"/>
  <c r="AO240" i="8"/>
  <c r="AQ240" i="8"/>
  <c r="AV240" i="8"/>
  <c r="AM240" i="8"/>
  <c r="AL240" i="8"/>
  <c r="AK240" i="8"/>
  <c r="AN240" i="8"/>
  <c r="D256" i="11"/>
  <c r="G256" i="11"/>
  <c r="K256" i="11"/>
  <c r="E256" i="11"/>
  <c r="B256" i="11"/>
  <c r="H256" i="11"/>
  <c r="J256" i="11"/>
  <c r="F256" i="11"/>
  <c r="I256" i="11"/>
  <c r="M256" i="11"/>
  <c r="C256" i="11"/>
  <c r="D490" i="8"/>
  <c r="C490" i="8"/>
  <c r="F490" i="8"/>
  <c r="G490" i="8"/>
  <c r="J490" i="8"/>
  <c r="O490" i="8"/>
  <c r="E490" i="8"/>
  <c r="L490" i="8"/>
  <c r="O153" i="8"/>
  <c r="D226" i="7"/>
  <c r="F226" i="7"/>
  <c r="H226" i="7"/>
  <c r="E226" i="7"/>
  <c r="K226" i="7"/>
  <c r="C226" i="7"/>
  <c r="G226" i="7"/>
  <c r="B226" i="7"/>
  <c r="I226" i="7"/>
  <c r="J225" i="7"/>
  <c r="AI241" i="8"/>
  <c r="AQ241" i="8"/>
  <c r="AV241" i="8"/>
  <c r="AK241" i="8"/>
  <c r="AL241" i="8"/>
  <c r="AS241" i="8"/>
  <c r="AO241" i="8"/>
  <c r="AJ241" i="8"/>
  <c r="AN241" i="8"/>
  <c r="AM241" i="8"/>
  <c r="D257" i="11"/>
  <c r="J257" i="11"/>
  <c r="C257" i="11"/>
  <c r="F257" i="11"/>
  <c r="H257" i="11"/>
  <c r="E257" i="11"/>
  <c r="K257" i="11"/>
  <c r="B257" i="11"/>
  <c r="M257" i="11"/>
  <c r="I257" i="11"/>
  <c r="G257" i="11"/>
  <c r="G491" i="8"/>
  <c r="D491" i="8"/>
  <c r="C491" i="8"/>
  <c r="J491" i="8"/>
  <c r="O491" i="8"/>
  <c r="F491" i="8"/>
  <c r="E491" i="8"/>
  <c r="L491" i="8"/>
  <c r="B227" i="7"/>
  <c r="E227" i="7"/>
  <c r="F227" i="7"/>
  <c r="C227" i="7"/>
  <c r="I227" i="7"/>
  <c r="K227" i="7"/>
  <c r="G227" i="7"/>
  <c r="H227" i="7"/>
  <c r="D227" i="7"/>
  <c r="J226" i="7"/>
  <c r="C154" i="8"/>
  <c r="C217" i="1"/>
  <c r="AN242" i="8"/>
  <c r="AI242" i="8"/>
  <c r="AS242" i="8"/>
  <c r="AK242" i="8"/>
  <c r="AM242" i="8"/>
  <c r="AL242" i="8"/>
  <c r="AQ242" i="8"/>
  <c r="AV242" i="8"/>
  <c r="AJ242" i="8"/>
  <c r="AO242" i="8"/>
  <c r="B258" i="11"/>
  <c r="C258" i="11"/>
  <c r="H258" i="11"/>
  <c r="D258" i="11"/>
  <c r="K258" i="11"/>
  <c r="F258" i="11"/>
  <c r="M258" i="11"/>
  <c r="G258" i="11"/>
  <c r="I258" i="11"/>
  <c r="J258" i="11"/>
  <c r="E258" i="11"/>
  <c r="C155" i="8"/>
  <c r="C492" i="8"/>
  <c r="D492" i="8"/>
  <c r="E492" i="8"/>
  <c r="L492" i="8"/>
  <c r="G492" i="8"/>
  <c r="F492" i="8"/>
  <c r="J492" i="8"/>
  <c r="O492" i="8"/>
  <c r="J227" i="7"/>
  <c r="O154" i="8"/>
  <c r="B228" i="7"/>
  <c r="I228" i="7"/>
  <c r="F228" i="7"/>
  <c r="C228" i="7"/>
  <c r="G228" i="7"/>
  <c r="K228" i="7"/>
  <c r="E228" i="7"/>
  <c r="H228" i="7"/>
  <c r="D228" i="7"/>
  <c r="AK243" i="8"/>
  <c r="AI243" i="8"/>
  <c r="AN243" i="8"/>
  <c r="AS243" i="8"/>
  <c r="AL243" i="8"/>
  <c r="AO243" i="8"/>
  <c r="AQ243" i="8"/>
  <c r="AV243" i="8"/>
  <c r="AM243" i="8"/>
  <c r="AJ243" i="8"/>
  <c r="C259" i="11"/>
  <c r="B259" i="11"/>
  <c r="E259" i="11"/>
  <c r="D259" i="11"/>
  <c r="I259" i="11"/>
  <c r="F259" i="11"/>
  <c r="J259" i="11"/>
  <c r="G259" i="11"/>
  <c r="M259" i="11"/>
  <c r="H259" i="11"/>
  <c r="K259" i="11"/>
  <c r="F493" i="8"/>
  <c r="E493" i="8"/>
  <c r="L493" i="8"/>
  <c r="J493" i="8"/>
  <c r="O493" i="8"/>
  <c r="C493" i="8"/>
  <c r="G493" i="8"/>
  <c r="D493" i="8"/>
  <c r="O155" i="8"/>
  <c r="D229" i="7"/>
  <c r="K229" i="7"/>
  <c r="B229" i="7"/>
  <c r="E229" i="7"/>
  <c r="G229" i="7"/>
  <c r="H229" i="7"/>
  <c r="I229" i="7"/>
  <c r="F229" i="7"/>
  <c r="C229" i="7"/>
  <c r="C218" i="1"/>
  <c r="J228" i="7"/>
  <c r="AO244" i="8"/>
  <c r="AL244" i="8"/>
  <c r="AJ244" i="8"/>
  <c r="AK244" i="8"/>
  <c r="AQ244" i="8"/>
  <c r="AV244" i="8"/>
  <c r="AS244" i="8"/>
  <c r="AM244" i="8"/>
  <c r="AI244" i="8"/>
  <c r="AN244" i="8"/>
  <c r="G260" i="11"/>
  <c r="D260" i="11"/>
  <c r="K260" i="11"/>
  <c r="H260" i="11"/>
  <c r="M260" i="11"/>
  <c r="C260" i="11"/>
  <c r="F260" i="11"/>
  <c r="I260" i="11"/>
  <c r="B260" i="11"/>
  <c r="E260" i="11"/>
  <c r="J260" i="11"/>
  <c r="J229" i="7"/>
  <c r="C156" i="8"/>
  <c r="H230" i="7"/>
  <c r="I230" i="7"/>
  <c r="C230" i="7"/>
  <c r="G230" i="7"/>
  <c r="F230" i="7"/>
  <c r="D230" i="7"/>
  <c r="K230" i="7"/>
  <c r="E230" i="7"/>
  <c r="B230" i="7"/>
  <c r="C494" i="8"/>
  <c r="D494" i="8"/>
  <c r="G494" i="8"/>
  <c r="F494" i="8"/>
  <c r="J494" i="8"/>
  <c r="O494" i="8"/>
  <c r="E494" i="8"/>
  <c r="L494" i="8"/>
  <c r="AS245" i="8"/>
  <c r="AK245" i="8"/>
  <c r="AM245" i="8"/>
  <c r="AJ245" i="8"/>
  <c r="AN245" i="8"/>
  <c r="AL245" i="8"/>
  <c r="AI245" i="8"/>
  <c r="AO245" i="8"/>
  <c r="AQ245" i="8"/>
  <c r="AV245" i="8"/>
  <c r="J230" i="7"/>
  <c r="E261" i="11"/>
  <c r="B261" i="11"/>
  <c r="G261" i="11"/>
  <c r="K261" i="11"/>
  <c r="H261" i="11"/>
  <c r="I261" i="11"/>
  <c r="C261" i="11"/>
  <c r="F261" i="11"/>
  <c r="D261" i="11"/>
  <c r="M261" i="11"/>
  <c r="J261" i="11"/>
  <c r="O156" i="8"/>
  <c r="F495" i="8"/>
  <c r="J495" i="8"/>
  <c r="O495" i="8"/>
  <c r="G495" i="8"/>
  <c r="C495" i="8"/>
  <c r="D495" i="8"/>
  <c r="E495" i="8"/>
  <c r="L495" i="8"/>
  <c r="I231" i="7"/>
  <c r="G231" i="7"/>
  <c r="F231" i="7"/>
  <c r="B231" i="7"/>
  <c r="K231" i="7"/>
  <c r="E231" i="7"/>
  <c r="C231" i="7"/>
  <c r="D231" i="7"/>
  <c r="H231" i="7"/>
  <c r="C219" i="1"/>
  <c r="J231" i="7"/>
  <c r="AM246" i="8"/>
  <c r="AJ246" i="8"/>
  <c r="AQ246" i="8"/>
  <c r="AV246" i="8"/>
  <c r="AI246" i="8"/>
  <c r="AO246" i="8"/>
  <c r="AK246" i="8"/>
  <c r="AS246" i="8"/>
  <c r="AN246" i="8"/>
  <c r="AL246" i="8"/>
  <c r="B262" i="11"/>
  <c r="E262" i="11"/>
  <c r="D262" i="11"/>
  <c r="G262" i="11"/>
  <c r="F262" i="11"/>
  <c r="I262" i="11"/>
  <c r="J262" i="11"/>
  <c r="M262" i="11"/>
  <c r="K262" i="11"/>
  <c r="C262" i="11"/>
  <c r="H262" i="11"/>
  <c r="G496" i="8"/>
  <c r="D496" i="8"/>
  <c r="C496" i="8"/>
  <c r="J496" i="8"/>
  <c r="O496" i="8"/>
  <c r="F496" i="8"/>
  <c r="E496" i="8"/>
  <c r="L496" i="8"/>
  <c r="D232" i="7"/>
  <c r="F232" i="7"/>
  <c r="E232" i="7"/>
  <c r="K232" i="7"/>
  <c r="B232" i="7"/>
  <c r="I232" i="7"/>
  <c r="G232" i="7"/>
  <c r="H232" i="7"/>
  <c r="C232" i="7"/>
  <c r="C157" i="8"/>
  <c r="AO247" i="8"/>
  <c r="AQ247" i="8"/>
  <c r="AV247" i="8"/>
  <c r="AN247" i="8"/>
  <c r="AS247" i="8"/>
  <c r="AL247" i="8"/>
  <c r="AI247" i="8"/>
  <c r="AK247" i="8"/>
  <c r="AJ247" i="8"/>
  <c r="AM247" i="8"/>
  <c r="J263" i="11"/>
  <c r="B263" i="11"/>
  <c r="I263" i="11"/>
  <c r="H263" i="11"/>
  <c r="K263" i="11"/>
  <c r="D263" i="11"/>
  <c r="G263" i="11"/>
  <c r="C263" i="11"/>
  <c r="E263" i="11"/>
  <c r="M263" i="11"/>
  <c r="F263" i="11"/>
  <c r="O157" i="8"/>
  <c r="C497" i="8"/>
  <c r="E497" i="8"/>
  <c r="L497" i="8"/>
  <c r="G497" i="8"/>
  <c r="D497" i="8"/>
  <c r="J497" i="8"/>
  <c r="O497" i="8"/>
  <c r="F497" i="8"/>
  <c r="C220" i="1"/>
  <c r="J232" i="7"/>
  <c r="K233" i="7"/>
  <c r="E233" i="7"/>
  <c r="I233" i="7"/>
  <c r="G233" i="7"/>
  <c r="H233" i="7"/>
  <c r="B233" i="7"/>
  <c r="D233" i="7"/>
  <c r="F233" i="7"/>
  <c r="C233" i="7"/>
  <c r="AI248" i="8"/>
  <c r="AJ248" i="8"/>
  <c r="AQ248" i="8"/>
  <c r="AV248" i="8"/>
  <c r="AO248" i="8"/>
  <c r="AN248" i="8"/>
  <c r="AK248" i="8"/>
  <c r="AL248" i="8"/>
  <c r="AM248" i="8"/>
  <c r="AS248" i="8"/>
  <c r="H264" i="11"/>
  <c r="I264" i="11"/>
  <c r="K264" i="11"/>
  <c r="G264" i="11"/>
  <c r="F264" i="11"/>
  <c r="C264" i="11"/>
  <c r="E264" i="11"/>
  <c r="B264" i="11"/>
  <c r="J264" i="11"/>
  <c r="M264" i="11"/>
  <c r="D264" i="11"/>
  <c r="C498" i="8"/>
  <c r="D498" i="8"/>
  <c r="F498" i="8"/>
  <c r="E498" i="8"/>
  <c r="L498" i="8"/>
  <c r="G498" i="8"/>
  <c r="J498" i="8"/>
  <c r="O498" i="8"/>
  <c r="D234" i="7"/>
  <c r="H234" i="7"/>
  <c r="E234" i="7"/>
  <c r="G234" i="7"/>
  <c r="I234" i="7"/>
  <c r="F234" i="7"/>
  <c r="K234" i="7"/>
  <c r="B234" i="7"/>
  <c r="C234" i="7"/>
  <c r="C221" i="1"/>
  <c r="J233" i="7"/>
  <c r="C158" i="8"/>
  <c r="AM249" i="8"/>
  <c r="AJ249" i="8"/>
  <c r="AS249" i="8"/>
  <c r="AO249" i="8"/>
  <c r="AQ249" i="8"/>
  <c r="AV249" i="8"/>
  <c r="AL249" i="8"/>
  <c r="AK249" i="8"/>
  <c r="AN249" i="8"/>
  <c r="AI249" i="8"/>
  <c r="F265" i="11"/>
  <c r="G265" i="11"/>
  <c r="J265" i="11"/>
  <c r="E265" i="11"/>
  <c r="C265" i="11"/>
  <c r="B265" i="11"/>
  <c r="D265" i="11"/>
  <c r="H265" i="11"/>
  <c r="M265" i="11"/>
  <c r="I265" i="11"/>
  <c r="K265" i="11"/>
  <c r="O158" i="8"/>
  <c r="H235" i="7"/>
  <c r="B235" i="7"/>
  <c r="E235" i="7"/>
  <c r="C235" i="7"/>
  <c r="G235" i="7"/>
  <c r="K235" i="7"/>
  <c r="D235" i="7"/>
  <c r="F235" i="7"/>
  <c r="I235" i="7"/>
  <c r="G499" i="8"/>
  <c r="D499" i="8"/>
  <c r="J499" i="8"/>
  <c r="O499" i="8"/>
  <c r="C499" i="8"/>
  <c r="E499" i="8"/>
  <c r="L499" i="8"/>
  <c r="F499" i="8"/>
  <c r="J234" i="7"/>
  <c r="AK250" i="8"/>
  <c r="AO250" i="8"/>
  <c r="AN250" i="8"/>
  <c r="AQ250" i="8"/>
  <c r="AV250" i="8"/>
  <c r="AJ250" i="8"/>
  <c r="AL250" i="8"/>
  <c r="AM250" i="8"/>
  <c r="AS250" i="8"/>
  <c r="AI250" i="8"/>
  <c r="I266" i="11"/>
  <c r="E266" i="11"/>
  <c r="K266" i="11"/>
  <c r="D266" i="11"/>
  <c r="G266" i="11"/>
  <c r="J266" i="11"/>
  <c r="F266" i="11"/>
  <c r="M266" i="11"/>
  <c r="B266" i="11"/>
  <c r="C266" i="11"/>
  <c r="H266" i="11"/>
  <c r="F500" i="8"/>
  <c r="C500" i="8"/>
  <c r="J500" i="8"/>
  <c r="O500" i="8"/>
  <c r="G500" i="8"/>
  <c r="D500" i="8"/>
  <c r="E500" i="8"/>
  <c r="L500" i="8"/>
  <c r="D236" i="7"/>
  <c r="G236" i="7"/>
  <c r="H236" i="7"/>
  <c r="E236" i="7"/>
  <c r="C236" i="7"/>
  <c r="F236" i="7"/>
  <c r="B236" i="7"/>
  <c r="K236" i="7"/>
  <c r="I236" i="7"/>
  <c r="C222" i="1"/>
  <c r="J235" i="7"/>
  <c r="C159" i="8"/>
  <c r="O159" i="8"/>
  <c r="AL251" i="8"/>
  <c r="AS251" i="8"/>
  <c r="AJ251" i="8"/>
  <c r="AM251" i="8"/>
  <c r="AN251" i="8"/>
  <c r="AO251" i="8"/>
  <c r="AK251" i="8"/>
  <c r="AQ251" i="8"/>
  <c r="AV251" i="8"/>
  <c r="AI251" i="8"/>
  <c r="F267" i="11"/>
  <c r="I267" i="11"/>
  <c r="J267" i="11"/>
  <c r="E267" i="11"/>
  <c r="B267" i="11"/>
  <c r="K267" i="11"/>
  <c r="G267" i="11"/>
  <c r="M267" i="11"/>
  <c r="D267" i="11"/>
  <c r="C267" i="11"/>
  <c r="H267" i="11"/>
  <c r="F501" i="8"/>
  <c r="J501" i="8"/>
  <c r="O501" i="8"/>
  <c r="E501" i="8"/>
  <c r="L501" i="8"/>
  <c r="C501" i="8"/>
  <c r="G501" i="8"/>
  <c r="D501" i="8"/>
  <c r="C160" i="8"/>
  <c r="C237" i="7"/>
  <c r="H237" i="7"/>
  <c r="F237" i="7"/>
  <c r="D237" i="7"/>
  <c r="K237" i="7"/>
  <c r="I237" i="7"/>
  <c r="E237" i="7"/>
  <c r="B237" i="7"/>
  <c r="G237" i="7"/>
  <c r="J236" i="7"/>
  <c r="AL252" i="8"/>
  <c r="AK252" i="8"/>
  <c r="AS252" i="8"/>
  <c r="AJ252" i="8"/>
  <c r="AM252" i="8"/>
  <c r="AN252" i="8"/>
  <c r="AI252" i="8"/>
  <c r="AQ252" i="8"/>
  <c r="AV252" i="8"/>
  <c r="AO252" i="8"/>
  <c r="D268" i="11"/>
  <c r="H268" i="11"/>
  <c r="K268" i="11"/>
  <c r="E268" i="11"/>
  <c r="I268" i="11"/>
  <c r="M268" i="11"/>
  <c r="B268" i="11"/>
  <c r="F268" i="11"/>
  <c r="G268" i="11"/>
  <c r="J268" i="11"/>
  <c r="C268" i="11"/>
  <c r="O160" i="8"/>
  <c r="C223" i="1"/>
  <c r="J237" i="7"/>
  <c r="I238" i="7"/>
  <c r="K238" i="7"/>
  <c r="D238" i="7"/>
  <c r="C238" i="7"/>
  <c r="F238" i="7"/>
  <c r="B238" i="7"/>
  <c r="E238" i="7"/>
  <c r="H238" i="7"/>
  <c r="G238" i="7"/>
  <c r="G502" i="8"/>
  <c r="C502" i="8"/>
  <c r="E502" i="8"/>
  <c r="L502" i="8"/>
  <c r="F502" i="8"/>
  <c r="D502" i="8"/>
  <c r="J502" i="8"/>
  <c r="O502" i="8"/>
  <c r="AQ253" i="8"/>
  <c r="AV253" i="8"/>
  <c r="AI253" i="8"/>
  <c r="AL253" i="8"/>
  <c r="AK253" i="8"/>
  <c r="AS253" i="8"/>
  <c r="AJ253" i="8"/>
  <c r="AM253" i="8"/>
  <c r="AO253" i="8"/>
  <c r="AN253" i="8"/>
  <c r="D269" i="11"/>
  <c r="C269" i="11"/>
  <c r="M269" i="11"/>
  <c r="H269" i="11"/>
  <c r="B269" i="11"/>
  <c r="E269" i="11"/>
  <c r="I269" i="11"/>
  <c r="K269" i="11"/>
  <c r="G269" i="11"/>
  <c r="F269" i="11"/>
  <c r="J269" i="11"/>
  <c r="J238" i="7"/>
  <c r="C161" i="8"/>
  <c r="E239" i="7"/>
  <c r="C239" i="7"/>
  <c r="B239" i="7"/>
  <c r="I239" i="7"/>
  <c r="H239" i="7"/>
  <c r="D239" i="7"/>
  <c r="F239" i="7"/>
  <c r="K239" i="7"/>
  <c r="G239" i="7"/>
  <c r="C503" i="8"/>
  <c r="E503" i="8"/>
  <c r="L503" i="8"/>
  <c r="G503" i="8"/>
  <c r="F503" i="8"/>
  <c r="J503" i="8"/>
  <c r="O503" i="8"/>
  <c r="D503" i="8"/>
  <c r="AK254" i="8"/>
  <c r="AQ254" i="8"/>
  <c r="AV254" i="8"/>
  <c r="AM254" i="8"/>
  <c r="AN254" i="8"/>
  <c r="AL254" i="8"/>
  <c r="AS254" i="8"/>
  <c r="AJ254" i="8"/>
  <c r="AI254" i="8"/>
  <c r="AO254" i="8"/>
  <c r="H270" i="11"/>
  <c r="B270" i="11"/>
  <c r="J270" i="11"/>
  <c r="K270" i="11"/>
  <c r="I270" i="11"/>
  <c r="F270" i="11"/>
  <c r="C270" i="11"/>
  <c r="E270" i="11"/>
  <c r="D270" i="11"/>
  <c r="G270" i="11"/>
  <c r="M270" i="11"/>
  <c r="D504" i="8"/>
  <c r="J504" i="8"/>
  <c r="O504" i="8"/>
  <c r="F504" i="8"/>
  <c r="C504" i="8"/>
  <c r="E504" i="8"/>
  <c r="L504" i="8"/>
  <c r="G504" i="8"/>
  <c r="O161" i="8"/>
  <c r="C224" i="1"/>
  <c r="J239" i="7"/>
  <c r="B240" i="7"/>
  <c r="E240" i="7"/>
  <c r="K240" i="7"/>
  <c r="C240" i="7"/>
  <c r="H240" i="7"/>
  <c r="G240" i="7"/>
  <c r="I240" i="7"/>
  <c r="F240" i="7"/>
  <c r="D240" i="7"/>
  <c r="AJ255" i="8"/>
  <c r="AL255" i="8"/>
  <c r="AK255" i="8"/>
  <c r="AI255" i="8"/>
  <c r="AM255" i="8"/>
  <c r="AS255" i="8"/>
  <c r="AN255" i="8"/>
  <c r="AO255" i="8"/>
  <c r="AQ255" i="8"/>
  <c r="AV255" i="8"/>
  <c r="D271" i="11"/>
  <c r="I271" i="11"/>
  <c r="H271" i="11"/>
  <c r="E271" i="11"/>
  <c r="K271" i="11"/>
  <c r="C271" i="11"/>
  <c r="M271" i="11"/>
  <c r="F271" i="11"/>
  <c r="J271" i="11"/>
  <c r="B271" i="11"/>
  <c r="G271" i="11"/>
  <c r="C241" i="7"/>
  <c r="D241" i="7"/>
  <c r="G241" i="7"/>
  <c r="B241" i="7"/>
  <c r="H241" i="7"/>
  <c r="I241" i="7"/>
  <c r="K241" i="7"/>
  <c r="E241" i="7"/>
  <c r="F241" i="7"/>
  <c r="C162" i="8"/>
  <c r="D505" i="8"/>
  <c r="F505" i="8"/>
  <c r="J505" i="8"/>
  <c r="O505" i="8"/>
  <c r="G505" i="8"/>
  <c r="C505" i="8"/>
  <c r="E505" i="8"/>
  <c r="L505" i="8"/>
  <c r="J240" i="7"/>
  <c r="AN256" i="8"/>
  <c r="AM256" i="8"/>
  <c r="AS256" i="8"/>
  <c r="AO256" i="8"/>
  <c r="AJ256" i="8"/>
  <c r="AK256" i="8"/>
  <c r="AQ256" i="8"/>
  <c r="AV256" i="8"/>
  <c r="AL256" i="8"/>
  <c r="AI256" i="8"/>
  <c r="J241" i="7"/>
  <c r="D272" i="11"/>
  <c r="G272" i="11"/>
  <c r="K272" i="11"/>
  <c r="H272" i="11"/>
  <c r="J272" i="11"/>
  <c r="F272" i="11"/>
  <c r="C272" i="11"/>
  <c r="I272" i="11"/>
  <c r="M272" i="11"/>
  <c r="E272" i="11"/>
  <c r="B272" i="11"/>
  <c r="O162" i="8"/>
  <c r="H242" i="7"/>
  <c r="G242" i="7"/>
  <c r="F242" i="7"/>
  <c r="C242" i="7"/>
  <c r="K242" i="7"/>
  <c r="D242" i="7"/>
  <c r="B242" i="7"/>
  <c r="E242" i="7"/>
  <c r="I242" i="7"/>
  <c r="C225" i="1"/>
  <c r="D506" i="8"/>
  <c r="J506" i="8"/>
  <c r="O506" i="8"/>
  <c r="F506" i="8"/>
  <c r="E506" i="8"/>
  <c r="L506" i="8"/>
  <c r="C506" i="8"/>
  <c r="G506" i="8"/>
  <c r="AQ257" i="8"/>
  <c r="AV257" i="8"/>
  <c r="AM257" i="8"/>
  <c r="AI257" i="8"/>
  <c r="AJ257" i="8"/>
  <c r="AN257" i="8"/>
  <c r="AL257" i="8"/>
  <c r="AK257" i="8"/>
  <c r="AO257" i="8"/>
  <c r="AS257" i="8"/>
  <c r="B273" i="11"/>
  <c r="H273" i="11"/>
  <c r="J273" i="11"/>
  <c r="F273" i="11"/>
  <c r="E273" i="11"/>
  <c r="K273" i="11"/>
  <c r="D273" i="11"/>
  <c r="G273" i="11"/>
  <c r="M273" i="11"/>
  <c r="I273" i="11"/>
  <c r="C273" i="11"/>
  <c r="J242" i="7"/>
  <c r="B243" i="7"/>
  <c r="G243" i="7"/>
  <c r="H243" i="7"/>
  <c r="D243" i="7"/>
  <c r="K243" i="7"/>
  <c r="F243" i="7"/>
  <c r="E243" i="7"/>
  <c r="I243" i="7"/>
  <c r="C243" i="7"/>
  <c r="G507" i="8"/>
  <c r="E507" i="8"/>
  <c r="L507" i="8"/>
  <c r="J507" i="8"/>
  <c r="O507" i="8"/>
  <c r="C507" i="8"/>
  <c r="D507" i="8"/>
  <c r="F507" i="8"/>
  <c r="C163" i="8"/>
  <c r="AS258" i="8"/>
  <c r="AN258" i="8"/>
  <c r="AJ258" i="8"/>
  <c r="AL258" i="8"/>
  <c r="AI258" i="8"/>
  <c r="AM258" i="8"/>
  <c r="AQ258" i="8"/>
  <c r="AV258" i="8"/>
  <c r="AO258" i="8"/>
  <c r="AK258" i="8"/>
  <c r="G274" i="11"/>
  <c r="E274" i="11"/>
  <c r="J274" i="11"/>
  <c r="F274" i="11"/>
  <c r="M274" i="11"/>
  <c r="B274" i="11"/>
  <c r="D274" i="11"/>
  <c r="H274" i="11"/>
  <c r="K274" i="11"/>
  <c r="I274" i="11"/>
  <c r="C274" i="11"/>
  <c r="J243" i="7"/>
  <c r="O163" i="8"/>
  <c r="C226" i="1"/>
  <c r="D508" i="8"/>
  <c r="F508" i="8"/>
  <c r="E508" i="8"/>
  <c r="L508" i="8"/>
  <c r="J508" i="8"/>
  <c r="O508" i="8"/>
  <c r="G508" i="8"/>
  <c r="C508" i="8"/>
  <c r="H244" i="7"/>
  <c r="E244" i="7"/>
  <c r="B244" i="7"/>
  <c r="G244" i="7"/>
  <c r="F244" i="7"/>
  <c r="D244" i="7"/>
  <c r="K244" i="7"/>
  <c r="I244" i="7"/>
  <c r="C244" i="7"/>
  <c r="AS259" i="8"/>
  <c r="AN259" i="8"/>
  <c r="AM259" i="8"/>
  <c r="AQ259" i="8"/>
  <c r="AV259" i="8"/>
  <c r="AJ259" i="8"/>
  <c r="AL259" i="8"/>
  <c r="AK259" i="8"/>
  <c r="AI259" i="8"/>
  <c r="AO259" i="8"/>
  <c r="E275" i="11"/>
  <c r="I275" i="11"/>
  <c r="G275" i="11"/>
  <c r="D275" i="11"/>
  <c r="B275" i="11"/>
  <c r="M275" i="11"/>
  <c r="H275" i="11"/>
  <c r="C275" i="11"/>
  <c r="K275" i="11"/>
  <c r="J275" i="11"/>
  <c r="F275" i="11"/>
  <c r="G509" i="8"/>
  <c r="J509" i="8"/>
  <c r="O509" i="8"/>
  <c r="D509" i="8"/>
  <c r="F509" i="8"/>
  <c r="E509" i="8"/>
  <c r="L509" i="8"/>
  <c r="C509" i="8"/>
  <c r="J244" i="7"/>
  <c r="C245" i="7"/>
  <c r="H245" i="7"/>
  <c r="I245" i="7"/>
  <c r="F245" i="7"/>
  <c r="D245" i="7"/>
  <c r="B245" i="7"/>
  <c r="E245" i="7"/>
  <c r="G245" i="7"/>
  <c r="K245" i="7"/>
  <c r="C164" i="8"/>
  <c r="AK260" i="8"/>
  <c r="AM260" i="8"/>
  <c r="AJ260" i="8"/>
  <c r="AN260" i="8"/>
  <c r="AO260" i="8"/>
  <c r="AI260" i="8"/>
  <c r="AS260" i="8"/>
  <c r="AQ260" i="8"/>
  <c r="AV260" i="8"/>
  <c r="AL260" i="8"/>
  <c r="J245" i="7"/>
  <c r="C276" i="11"/>
  <c r="F276" i="11"/>
  <c r="B276" i="11"/>
  <c r="D276" i="11"/>
  <c r="M276" i="11"/>
  <c r="G276" i="11"/>
  <c r="E276" i="11"/>
  <c r="J276" i="11"/>
  <c r="H276" i="11"/>
  <c r="I276" i="11"/>
  <c r="K276" i="11"/>
  <c r="C165" i="8"/>
  <c r="G510" i="8"/>
  <c r="D510" i="8"/>
  <c r="C510" i="8"/>
  <c r="J510" i="8"/>
  <c r="O510" i="8"/>
  <c r="E510" i="8"/>
  <c r="L510" i="8"/>
  <c r="F510" i="8"/>
  <c r="O164" i="8"/>
  <c r="C227" i="1"/>
  <c r="D246" i="7"/>
  <c r="E246" i="7"/>
  <c r="G246" i="7"/>
  <c r="C246" i="7"/>
  <c r="K246" i="7"/>
  <c r="F246" i="7"/>
  <c r="H246" i="7"/>
  <c r="B246" i="7"/>
  <c r="I246" i="7"/>
  <c r="AQ261" i="8"/>
  <c r="AV261" i="8"/>
  <c r="AL261" i="8"/>
  <c r="AI261" i="8"/>
  <c r="AN261" i="8"/>
  <c r="AJ261" i="8"/>
  <c r="AO261" i="8"/>
  <c r="AM261" i="8"/>
  <c r="AS261" i="8"/>
  <c r="AK261" i="8"/>
  <c r="G277" i="11"/>
  <c r="I277" i="11"/>
  <c r="D277" i="11"/>
  <c r="J277" i="11"/>
  <c r="E277" i="11"/>
  <c r="C277" i="11"/>
  <c r="F277" i="11"/>
  <c r="K277" i="11"/>
  <c r="M277" i="11"/>
  <c r="B277" i="11"/>
  <c r="H277" i="11"/>
  <c r="F511" i="8"/>
  <c r="G511" i="8"/>
  <c r="E511" i="8"/>
  <c r="L511" i="8"/>
  <c r="D511" i="8"/>
  <c r="J511" i="8"/>
  <c r="O511" i="8"/>
  <c r="C511" i="8"/>
  <c r="C166" i="8"/>
  <c r="O165" i="8"/>
  <c r="J246" i="7"/>
  <c r="C247" i="7"/>
  <c r="H247" i="7"/>
  <c r="K247" i="7"/>
  <c r="D247" i="7"/>
  <c r="B247" i="7"/>
  <c r="E247" i="7"/>
  <c r="F247" i="7"/>
  <c r="I247" i="7"/>
  <c r="G247" i="7"/>
  <c r="O166" i="8"/>
  <c r="AI262" i="8"/>
  <c r="AK262" i="8"/>
  <c r="AM262" i="8"/>
  <c r="AO262" i="8"/>
  <c r="AJ262" i="8"/>
  <c r="AS262" i="8"/>
  <c r="AQ262" i="8"/>
  <c r="AV262" i="8"/>
  <c r="AL262" i="8"/>
  <c r="AN262" i="8"/>
  <c r="H278" i="11"/>
  <c r="B278" i="11"/>
  <c r="M278" i="11"/>
  <c r="C278" i="11"/>
  <c r="J278" i="11"/>
  <c r="D278" i="11"/>
  <c r="G278" i="11"/>
  <c r="K278" i="11"/>
  <c r="E278" i="11"/>
  <c r="F278" i="11"/>
  <c r="I278" i="11"/>
  <c r="C167" i="8"/>
  <c r="C228" i="1"/>
  <c r="K248" i="7"/>
  <c r="B248" i="7"/>
  <c r="D248" i="7"/>
  <c r="C248" i="7"/>
  <c r="I248" i="7"/>
  <c r="E248" i="7"/>
  <c r="H248" i="7"/>
  <c r="G248" i="7"/>
  <c r="F248" i="7"/>
  <c r="F512" i="8"/>
  <c r="J512" i="8"/>
  <c r="O512" i="8"/>
  <c r="G512" i="8"/>
  <c r="E512" i="8"/>
  <c r="L512" i="8"/>
  <c r="C512" i="8"/>
  <c r="D512" i="8"/>
  <c r="J247" i="7"/>
  <c r="O167" i="8"/>
  <c r="J248" i="7"/>
  <c r="AJ263" i="8"/>
  <c r="AO263" i="8"/>
  <c r="AK263" i="8"/>
  <c r="AS263" i="8"/>
  <c r="AM263" i="8"/>
  <c r="AI263" i="8"/>
  <c r="AQ263" i="8"/>
  <c r="AV263" i="8"/>
  <c r="AL263" i="8"/>
  <c r="AN263" i="8"/>
  <c r="D279" i="11"/>
  <c r="C279" i="11"/>
  <c r="M279" i="11"/>
  <c r="F279" i="11"/>
  <c r="E279" i="11"/>
  <c r="B279" i="11"/>
  <c r="H279" i="11"/>
  <c r="K279" i="11"/>
  <c r="I279" i="11"/>
  <c r="J279" i="11"/>
  <c r="G279" i="11"/>
  <c r="C513" i="8"/>
  <c r="J513" i="8"/>
  <c r="O513" i="8"/>
  <c r="D513" i="8"/>
  <c r="E513" i="8"/>
  <c r="L513" i="8"/>
  <c r="G513" i="8"/>
  <c r="F513" i="8"/>
  <c r="H249" i="7"/>
  <c r="E249" i="7"/>
  <c r="K249" i="7"/>
  <c r="C249" i="7"/>
  <c r="G249" i="7"/>
  <c r="I249" i="7"/>
  <c r="B249" i="7"/>
  <c r="F249" i="7"/>
  <c r="D249" i="7"/>
  <c r="C168" i="8"/>
  <c r="AL264" i="8"/>
  <c r="AK264" i="8"/>
  <c r="AN264" i="8"/>
  <c r="AQ264" i="8"/>
  <c r="AV264" i="8"/>
  <c r="AJ264" i="8"/>
  <c r="AM264" i="8"/>
  <c r="AI264" i="8"/>
  <c r="AO264" i="8"/>
  <c r="AS264" i="8"/>
  <c r="I280" i="11"/>
  <c r="C280" i="11"/>
  <c r="J280" i="11"/>
  <c r="B280" i="11"/>
  <c r="F280" i="11"/>
  <c r="H280" i="11"/>
  <c r="E280" i="11"/>
  <c r="K280" i="11"/>
  <c r="D280" i="11"/>
  <c r="M280" i="11"/>
  <c r="G280" i="11"/>
  <c r="J249" i="7"/>
  <c r="G514" i="8"/>
  <c r="C514" i="8"/>
  <c r="J514" i="8"/>
  <c r="O514" i="8"/>
  <c r="D514" i="8"/>
  <c r="E514" i="8"/>
  <c r="L514" i="8"/>
  <c r="F514" i="8"/>
  <c r="I250" i="7"/>
  <c r="H250" i="7"/>
  <c r="K250" i="7"/>
  <c r="B250" i="7"/>
  <c r="D250" i="7"/>
  <c r="G250" i="7"/>
  <c r="E250" i="7"/>
  <c r="F250" i="7"/>
  <c r="C250" i="7"/>
  <c r="C229" i="1"/>
  <c r="O168" i="8"/>
  <c r="J250" i="7"/>
  <c r="AK20" i="8"/>
  <c r="E29" i="11"/>
  <c r="AV21" i="8"/>
  <c r="C281" i="11"/>
  <c r="T29" i="11"/>
  <c r="M281" i="11"/>
  <c r="J281" i="11"/>
  <c r="J283" i="11"/>
  <c r="E281" i="11"/>
  <c r="E283" i="11"/>
  <c r="I281" i="11"/>
  <c r="I283" i="11"/>
  <c r="H281" i="11"/>
  <c r="H283" i="11"/>
  <c r="G281" i="11"/>
  <c r="D281" i="11"/>
  <c r="D283" i="11"/>
  <c r="K281" i="11"/>
  <c r="K283" i="11"/>
  <c r="B281" i="11"/>
  <c r="F281" i="11"/>
  <c r="F283" i="11"/>
  <c r="G515" i="8"/>
  <c r="E515" i="8"/>
  <c r="L515" i="8"/>
  <c r="C515" i="8"/>
  <c r="F515" i="8"/>
  <c r="D515" i="8"/>
  <c r="J515" i="8"/>
  <c r="O515" i="8"/>
  <c r="D251" i="7"/>
  <c r="E251" i="7"/>
  <c r="G251" i="7"/>
  <c r="F251" i="7"/>
  <c r="B251" i="7"/>
  <c r="H251" i="7"/>
  <c r="I251" i="7"/>
  <c r="K251" i="7"/>
  <c r="C251" i="7"/>
  <c r="C169" i="8"/>
  <c r="G283" i="11"/>
  <c r="G39" i="11"/>
  <c r="T30" i="11"/>
  <c r="L24" i="11"/>
  <c r="L25" i="11"/>
  <c r="M25" i="11"/>
  <c r="M24" i="11"/>
  <c r="G516" i="8"/>
  <c r="D516" i="8"/>
  <c r="C516" i="8"/>
  <c r="F516" i="8"/>
  <c r="J516" i="8"/>
  <c r="O516" i="8"/>
  <c r="E516" i="8"/>
  <c r="L516" i="8"/>
  <c r="D252" i="7"/>
  <c r="C252" i="7"/>
  <c r="F252" i="7"/>
  <c r="E252" i="7"/>
  <c r="K252" i="7"/>
  <c r="B252" i="7"/>
  <c r="H252" i="7"/>
  <c r="G252" i="7"/>
  <c r="I252" i="7"/>
  <c r="C230" i="1"/>
  <c r="J251" i="7"/>
  <c r="O169" i="8"/>
  <c r="C170" i="8"/>
  <c r="O170" i="8"/>
  <c r="D517" i="8"/>
  <c r="F517" i="8"/>
  <c r="E517" i="8"/>
  <c r="L517" i="8"/>
  <c r="G517" i="8"/>
  <c r="C517" i="8"/>
  <c r="J517" i="8"/>
  <c r="O517" i="8"/>
  <c r="E253" i="7"/>
  <c r="K253" i="7"/>
  <c r="I253" i="7"/>
  <c r="C253" i="7"/>
  <c r="G253" i="7"/>
  <c r="H253" i="7"/>
  <c r="B253" i="7"/>
  <c r="F253" i="7"/>
  <c r="D253" i="7"/>
  <c r="J252" i="7"/>
  <c r="H254" i="7"/>
  <c r="I254" i="7"/>
  <c r="D254" i="7"/>
  <c r="F254" i="7"/>
  <c r="B254" i="7"/>
  <c r="G254" i="7"/>
  <c r="C254" i="7"/>
  <c r="E254" i="7"/>
  <c r="K254" i="7"/>
  <c r="J253" i="7"/>
  <c r="C231" i="1"/>
  <c r="D518" i="8"/>
  <c r="F518" i="8"/>
  <c r="G518" i="8"/>
  <c r="E518" i="8"/>
  <c r="L518" i="8"/>
  <c r="J518" i="8"/>
  <c r="O518" i="8"/>
  <c r="C518" i="8"/>
  <c r="C171" i="8"/>
  <c r="J254" i="7"/>
  <c r="O171" i="8"/>
  <c r="F519" i="8"/>
  <c r="G519" i="8"/>
  <c r="J519" i="8"/>
  <c r="O519" i="8"/>
  <c r="D519" i="8"/>
  <c r="E519" i="8"/>
  <c r="L519" i="8"/>
  <c r="C519" i="8"/>
  <c r="I255" i="7"/>
  <c r="K255" i="7"/>
  <c r="H255" i="7"/>
  <c r="D255" i="7"/>
  <c r="C255" i="7"/>
  <c r="F255" i="7"/>
  <c r="E255" i="7"/>
  <c r="G255" i="7"/>
  <c r="B255" i="7"/>
  <c r="D520" i="8"/>
  <c r="F520" i="8"/>
  <c r="J520" i="8"/>
  <c r="O520" i="8"/>
  <c r="E520" i="8"/>
  <c r="L520" i="8"/>
  <c r="G520" i="8"/>
  <c r="C520" i="8"/>
  <c r="J255" i="7"/>
  <c r="C232" i="1"/>
  <c r="C172" i="8"/>
  <c r="E256" i="7"/>
  <c r="C256" i="7"/>
  <c r="F256" i="7"/>
  <c r="G256" i="7"/>
  <c r="D256" i="7"/>
  <c r="I256" i="7"/>
  <c r="H256" i="7"/>
  <c r="K256" i="7"/>
  <c r="B256" i="7"/>
  <c r="O172" i="8"/>
  <c r="J256" i="7"/>
  <c r="C173" i="8"/>
  <c r="O173" i="8"/>
  <c r="I257" i="7"/>
  <c r="I259" i="7"/>
  <c r="B257" i="7"/>
  <c r="G257" i="7"/>
  <c r="D257" i="7"/>
  <c r="H257" i="7"/>
  <c r="H259" i="7"/>
  <c r="H16" i="7"/>
  <c r="F257" i="7"/>
  <c r="F259" i="7"/>
  <c r="E257" i="7"/>
  <c r="E259" i="7"/>
  <c r="K257" i="7"/>
  <c r="C257" i="7"/>
  <c r="Y7" i="7"/>
  <c r="C521" i="8"/>
  <c r="D521" i="8"/>
  <c r="G521" i="8"/>
  <c r="F521" i="8"/>
  <c r="J521" i="8"/>
  <c r="O521" i="8"/>
  <c r="E521" i="8"/>
  <c r="L521" i="8"/>
  <c r="C522" i="8"/>
  <c r="E522" i="8"/>
  <c r="L522" i="8"/>
  <c r="D522" i="8"/>
  <c r="F522" i="8"/>
  <c r="J522" i="8"/>
  <c r="O522" i="8"/>
  <c r="G522" i="8"/>
  <c r="Y8" i="7"/>
  <c r="K11" i="7"/>
  <c r="L11" i="7"/>
  <c r="C174" i="8"/>
  <c r="J257" i="7"/>
  <c r="J259" i="7"/>
  <c r="G259" i="7"/>
  <c r="C233" i="1"/>
  <c r="O174" i="8"/>
  <c r="O278" i="8"/>
  <c r="E274" i="8"/>
  <c r="E13" i="7"/>
  <c r="K12" i="7"/>
  <c r="L12" i="7"/>
  <c r="C234" i="1"/>
  <c r="C175" i="8"/>
  <c r="C176" i="8"/>
  <c r="O175" i="8"/>
  <c r="O176" i="8"/>
  <c r="C177" i="8"/>
  <c r="C235" i="1"/>
  <c r="O177" i="8"/>
  <c r="C178" i="8"/>
  <c r="O178" i="8"/>
  <c r="C236" i="1"/>
  <c r="C179" i="8"/>
  <c r="O179" i="8"/>
  <c r="C180" i="8"/>
  <c r="C237" i="1"/>
  <c r="O180" i="8"/>
  <c r="C181" i="8"/>
  <c r="C238" i="1"/>
  <c r="O181" i="8"/>
  <c r="C182" i="8"/>
  <c r="C239" i="1"/>
  <c r="O182" i="8"/>
  <c r="C183" i="8"/>
  <c r="C240" i="1"/>
  <c r="O183" i="8"/>
  <c r="C184" i="8"/>
  <c r="O185" i="8"/>
  <c r="C185" i="8"/>
  <c r="C241" i="1"/>
  <c r="O184" i="8"/>
  <c r="C186" i="8"/>
  <c r="C242" i="1"/>
  <c r="O186" i="8"/>
  <c r="C243" i="1"/>
  <c r="C187" i="8"/>
  <c r="O187" i="8"/>
  <c r="C244" i="1"/>
  <c r="C188" i="8"/>
  <c r="O188" i="8"/>
  <c r="C189" i="8"/>
  <c r="O189" i="8"/>
  <c r="C245" i="1"/>
  <c r="C190" i="8"/>
  <c r="O190" i="8"/>
  <c r="C246" i="1"/>
  <c r="C191" i="8"/>
  <c r="O191" i="8"/>
  <c r="C247" i="1"/>
  <c r="C192" i="8"/>
  <c r="C193" i="8"/>
  <c r="O193" i="8"/>
  <c r="O192" i="8"/>
  <c r="C248" i="1"/>
  <c r="C249" i="1"/>
  <c r="C194" i="8"/>
  <c r="O194" i="8"/>
  <c r="C195" i="8"/>
  <c r="C196" i="8"/>
  <c r="C250" i="1"/>
  <c r="O195" i="8"/>
  <c r="O196" i="8"/>
  <c r="C197" i="8"/>
  <c r="O197" i="8"/>
  <c r="C251" i="1"/>
  <c r="C198" i="8"/>
  <c r="O198" i="8"/>
  <c r="C252" i="1"/>
  <c r="C199" i="8"/>
  <c r="C200" i="8"/>
  <c r="O199" i="8"/>
  <c r="C253" i="1"/>
  <c r="O200" i="8"/>
  <c r="C201" i="8"/>
  <c r="C254" i="1"/>
  <c r="O201" i="8"/>
  <c r="C202" i="8"/>
  <c r="O202" i="8"/>
  <c r="C255" i="1"/>
  <c r="C203" i="8"/>
  <c r="C204" i="8"/>
  <c r="O203" i="8"/>
  <c r="C205" i="8"/>
  <c r="C256" i="1"/>
  <c r="O204" i="8"/>
  <c r="O205" i="8"/>
  <c r="C206" i="8"/>
  <c r="C257" i="1"/>
  <c r="O206" i="8"/>
  <c r="C207" i="8"/>
  <c r="C258" i="1"/>
  <c r="O207" i="8"/>
  <c r="C208" i="8"/>
  <c r="C259" i="1"/>
  <c r="O208" i="8"/>
  <c r="C209" i="8"/>
  <c r="C260" i="1"/>
  <c r="O209" i="8"/>
  <c r="C261" i="1"/>
  <c r="C210" i="8"/>
  <c r="O210" i="8"/>
  <c r="C211" i="8"/>
  <c r="C262" i="1"/>
  <c r="C212" i="8"/>
  <c r="O211" i="8"/>
  <c r="O212" i="8"/>
  <c r="C263" i="1"/>
  <c r="C213" i="8"/>
  <c r="O213" i="8"/>
  <c r="C264" i="1"/>
  <c r="C214" i="8"/>
  <c r="O214" i="8"/>
  <c r="C265" i="1"/>
  <c r="C215" i="8"/>
  <c r="O215" i="8"/>
  <c r="C216" i="8"/>
  <c r="C266" i="1"/>
  <c r="O216" i="8"/>
  <c r="C267" i="1"/>
  <c r="C217" i="8"/>
  <c r="O217" i="8"/>
  <c r="C218" i="8"/>
  <c r="C268" i="1"/>
  <c r="C219" i="8"/>
  <c r="O218" i="8"/>
  <c r="O219" i="8"/>
  <c r="C269" i="1"/>
  <c r="C220" i="8"/>
  <c r="O220" i="8"/>
  <c r="C221" i="8"/>
  <c r="C270" i="1"/>
  <c r="O221" i="8"/>
  <c r="C222" i="8"/>
  <c r="O222" i="8"/>
  <c r="C271" i="1"/>
  <c r="C223" i="8"/>
  <c r="C224" i="8"/>
  <c r="O224" i="8"/>
  <c r="O223" i="8"/>
  <c r="C272" i="1"/>
  <c r="C273" i="1"/>
  <c r="C225" i="8"/>
  <c r="C226" i="8"/>
  <c r="O225" i="8"/>
  <c r="O226" i="8"/>
  <c r="C274" i="1"/>
  <c r="C275" i="1"/>
  <c r="C227" i="8"/>
  <c r="C228" i="8"/>
  <c r="O227" i="8"/>
  <c r="O228" i="8"/>
  <c r="C276" i="1"/>
  <c r="O229" i="8"/>
  <c r="C229" i="8"/>
  <c r="C277" i="1"/>
  <c r="C230" i="8"/>
  <c r="C278" i="1"/>
  <c r="C231" i="8"/>
  <c r="O230" i="8"/>
  <c r="O231" i="8"/>
  <c r="C279" i="1"/>
  <c r="C232" i="8"/>
  <c r="O232" i="8"/>
  <c r="C280" i="1"/>
  <c r="C233" i="8"/>
  <c r="O233" i="8"/>
  <c r="C281" i="1"/>
  <c r="C234" i="8"/>
  <c r="O234" i="8"/>
  <c r="C282" i="1"/>
  <c r="C235" i="8"/>
  <c r="C236" i="8"/>
  <c r="C283" i="1"/>
  <c r="O235" i="8"/>
  <c r="O236" i="8"/>
  <c r="C237" i="8"/>
  <c r="O237" i="8"/>
  <c r="C284" i="1"/>
  <c r="C238" i="8"/>
  <c r="C239" i="8"/>
  <c r="O238" i="8"/>
  <c r="O239" i="8"/>
  <c r="C240" i="8"/>
  <c r="C285" i="1"/>
  <c r="O240" i="8"/>
  <c r="C241" i="8"/>
  <c r="C242" i="8"/>
  <c r="C286" i="1"/>
  <c r="O241" i="8"/>
  <c r="O242" i="8"/>
  <c r="C287" i="1"/>
  <c r="C243" i="8"/>
  <c r="O243" i="8"/>
  <c r="C244" i="8"/>
  <c r="O244" i="8"/>
  <c r="C288" i="1"/>
  <c r="C245" i="8"/>
  <c r="O245" i="8"/>
  <c r="C246" i="8"/>
  <c r="C289" i="1"/>
  <c r="O246" i="8"/>
  <c r="C290" i="1"/>
  <c r="C247" i="8"/>
  <c r="O247" i="8"/>
  <c r="C291" i="1"/>
  <c r="C248" i="8"/>
  <c r="O248" i="8"/>
  <c r="C292" i="1"/>
  <c r="C249" i="8"/>
  <c r="O249" i="8"/>
  <c r="C250" i="8"/>
  <c r="C293" i="1"/>
  <c r="C251" i="8"/>
  <c r="O250" i="8"/>
  <c r="O251" i="8"/>
  <c r="C252" i="8"/>
  <c r="C294" i="1"/>
  <c r="O252" i="8"/>
  <c r="C295" i="1"/>
  <c r="C253" i="8"/>
  <c r="C254" i="8"/>
  <c r="O253" i="8"/>
  <c r="O254" i="8"/>
  <c r="C296" i="1"/>
  <c r="C255" i="8"/>
  <c r="C256" i="8"/>
  <c r="C297" i="1"/>
  <c r="O255" i="8"/>
  <c r="O256" i="8"/>
  <c r="C298" i="1"/>
  <c r="C257" i="8"/>
  <c r="O257" i="8"/>
  <c r="C299" i="1"/>
  <c r="C258" i="8"/>
  <c r="O258" i="8"/>
  <c r="C300" i="1"/>
  <c r="C259" i="8"/>
  <c r="O259" i="8"/>
  <c r="C260" i="8"/>
  <c r="C301" i="1"/>
  <c r="O260" i="8"/>
  <c r="C261" i="8"/>
  <c r="O261" i="8"/>
  <c r="C302" i="1"/>
  <c r="C262" i="8"/>
  <c r="O262" i="8"/>
  <c r="C303" i="1"/>
  <c r="C263" i="8"/>
  <c r="O263" i="8"/>
  <c r="E264" i="8"/>
  <c r="L264" i="8"/>
  <c r="C264" i="8"/>
  <c r="C304" i="1"/>
  <c r="O264" i="8"/>
  <c r="O21" i="8"/>
  <c r="E20" i="8"/>
  <c r="E110"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H356" i="1"/>
  <c r="H113" i="1"/>
  <c r="J356" i="1"/>
  <c r="C354" i="1"/>
  <c r="Y69" i="1"/>
  <c r="K356" i="1"/>
  <c r="I356" i="1"/>
  <c r="I113" i="1"/>
  <c r="B354" i="1"/>
  <c r="E356" i="1"/>
  <c r="Y70" i="1"/>
  <c r="N108" i="1"/>
  <c r="O108" i="1"/>
  <c r="L356" i="1"/>
  <c r="G356" i="1"/>
  <c r="F354" i="1"/>
  <c r="N109" i="1"/>
  <c r="O109" i="1"/>
  <c r="F356" i="1"/>
  <c r="N354" i="1"/>
</calcChain>
</file>

<file path=xl/sharedStrings.xml><?xml version="1.0" encoding="utf-8"?>
<sst xmlns="http://schemas.openxmlformats.org/spreadsheetml/2006/main" count="667" uniqueCount="412">
  <si>
    <t>Institución</t>
  </si>
  <si>
    <t>Plazo</t>
  </si>
  <si>
    <t>Comisión apertura</t>
  </si>
  <si>
    <t>Relación Ingreso pago</t>
  </si>
  <si>
    <t>Avalúo</t>
  </si>
  <si>
    <t>IVA</t>
  </si>
  <si>
    <t>Comisión por administración</t>
  </si>
  <si>
    <t>Escrituración</t>
  </si>
  <si>
    <t>SEGUROS BANCO</t>
  </si>
  <si>
    <t>SEGUROS</t>
  </si>
  <si>
    <t>¿Prima Unica?</t>
  </si>
  <si>
    <t>Numero de Intervinientes</t>
  </si>
  <si>
    <t>"Plazo"</t>
  </si>
  <si>
    <t>Prima Unica</t>
  </si>
  <si>
    <t>Vida mes 49</t>
  </si>
  <si>
    <t>Daños</t>
  </si>
  <si>
    <t>"Seguros"</t>
  </si>
  <si>
    <t>"Intervinientes"</t>
  </si>
  <si>
    <t>Banco Santander (México) S.A.</t>
  </si>
  <si>
    <t>SI</t>
  </si>
  <si>
    <t>NO</t>
  </si>
  <si>
    <t>Prima Mensual</t>
  </si>
  <si>
    <t>Pago por mil</t>
  </si>
  <si>
    <t>Aforo</t>
  </si>
  <si>
    <t xml:space="preserve">Fecha </t>
  </si>
  <si>
    <t>dd mmm aaaa</t>
  </si>
  <si>
    <t>Teléfono</t>
  </si>
  <si>
    <t>DATOS DEL FINANCIAMIENTO</t>
  </si>
  <si>
    <t>GASTOS INICIALES</t>
  </si>
  <si>
    <t>Inmueble</t>
  </si>
  <si>
    <t>Valor de la vivienda</t>
  </si>
  <si>
    <t>Destino</t>
  </si>
  <si>
    <t>Gastos estimados de escrituración</t>
  </si>
  <si>
    <t>Parámetros</t>
  </si>
  <si>
    <t>Comisión de apertura</t>
  </si>
  <si>
    <t>Plazo en años</t>
  </si>
  <si>
    <t>Subtotal</t>
  </si>
  <si>
    <t>Crédito</t>
  </si>
  <si>
    <t>Crédito Total</t>
  </si>
  <si>
    <t>Sin IVA Informativo</t>
  </si>
  <si>
    <t>Plazo remanente</t>
  </si>
  <si>
    <t>Periodo</t>
  </si>
  <si>
    <t>Intereses</t>
  </si>
  <si>
    <t>Amortización</t>
  </si>
  <si>
    <t>Pago de Crédito</t>
  </si>
  <si>
    <t>Comisión por Autorización de Crédito Diferida (incluye IVA)</t>
  </si>
  <si>
    <t>Pago Total</t>
  </si>
  <si>
    <t>Saldo al Final del Periodo</t>
  </si>
  <si>
    <t>Pagos Anticipados
Selecciona efecto  y captura Monto</t>
  </si>
  <si>
    <t>Pago por mil Inicial</t>
  </si>
  <si>
    <t>Seguro de Vida</t>
  </si>
  <si>
    <t>Nombre del cliente</t>
  </si>
  <si>
    <t xml:space="preserve">Atendido por </t>
  </si>
  <si>
    <t>Porcentaje estimado de gastos notariales</t>
  </si>
  <si>
    <t>Valor vivienda capturada</t>
  </si>
  <si>
    <t>Aforo máximo por producto</t>
  </si>
  <si>
    <t xml:space="preserve">CREDITO FINAL </t>
  </si>
  <si>
    <t>Crédito Máximo a otorgar</t>
  </si>
  <si>
    <t>ADQUISICION</t>
  </si>
  <si>
    <t>RESUMEN FINAL</t>
  </si>
  <si>
    <t>Tasa de Interés</t>
  </si>
  <si>
    <t>Valor de la Vivienda</t>
  </si>
  <si>
    <t>CREDITO TOTAL</t>
  </si>
  <si>
    <t>Pago Mensual</t>
  </si>
  <si>
    <t>Comisión Mensual</t>
  </si>
  <si>
    <t>Incremento anual al pago</t>
  </si>
  <si>
    <t>Ingresos Requeridos</t>
  </si>
  <si>
    <t>Comisión de Apertura</t>
  </si>
  <si>
    <t>Gastos Notariales</t>
  </si>
  <si>
    <t>Total Crédito</t>
  </si>
  <si>
    <t>GASTOS MENSUALES</t>
  </si>
  <si>
    <t>Este documento es únicamente de carácter informativo y para fines ilustrativos por lo que no implica asunción de obligación ni compromiso por parte de Banco Santander (México) S.A.</t>
  </si>
  <si>
    <t>Las condiciones del producto y políticas de crédito contenidas en el simulador están sujetas a cambio sin previo aviso.</t>
  </si>
  <si>
    <t>La autorización del crédito es una facultad discrecional de Banco Santander (México) S.A. por lo que se reserva el derecho de otorgarla o negarla.</t>
  </si>
  <si>
    <t>Banco Santander (México) S.A. se reserva el derecho de solicitar información adicional y/o restringir parámetros de enganche, monto, plazo o tasa en función de las características específicas del solicitante y del inmueble.</t>
  </si>
  <si>
    <t>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t>
  </si>
  <si>
    <t>Adquisición</t>
  </si>
  <si>
    <t>FLUJOS</t>
  </si>
  <si>
    <t>¿Desea contratar el Seguro de Vida con el Banco?</t>
  </si>
  <si>
    <t>Fecha</t>
  </si>
  <si>
    <t>1. Datos del Solicitante</t>
  </si>
  <si>
    <t>Plazo (años)</t>
  </si>
  <si>
    <t>Aforo máximo</t>
  </si>
  <si>
    <t>2. Condiciones financieras</t>
  </si>
  <si>
    <t>Intervinientes</t>
  </si>
  <si>
    <t>Comisión mensual (+ IVA)</t>
  </si>
  <si>
    <t>Total mensualidad Inicial</t>
  </si>
  <si>
    <t>Subtotal Gastos</t>
  </si>
  <si>
    <t>Liquidez</t>
  </si>
  <si>
    <t>Efecto en Pagos anticipados</t>
  </si>
  <si>
    <t xml:space="preserve">CAT  Promedio </t>
  </si>
  <si>
    <t>Tabla liquidez</t>
  </si>
  <si>
    <t>Tasa de Interés Fija</t>
  </si>
  <si>
    <t/>
  </si>
  <si>
    <t>Ajuste anual</t>
  </si>
  <si>
    <t xml:space="preserve">CAT  </t>
  </si>
  <si>
    <t>TABLA</t>
  </si>
  <si>
    <t>CAT  LIQUIDEZ</t>
  </si>
  <si>
    <t>Hoja 2/2</t>
  </si>
  <si>
    <t xml:space="preserve">Comisión apertura </t>
  </si>
  <si>
    <t>Iva de intereses</t>
  </si>
  <si>
    <t>IVA de intereses</t>
  </si>
  <si>
    <t>Adquisición con Apoyo INFONAVIT</t>
  </si>
  <si>
    <t>Terminación de Obra y Remodelación</t>
  </si>
  <si>
    <t>Construcción</t>
  </si>
  <si>
    <t>Programa Construcción</t>
  </si>
  <si>
    <t>"Construcción"</t>
  </si>
  <si>
    <t>Apoyo INFONAVIT</t>
  </si>
  <si>
    <t>Salario mínimo</t>
  </si>
  <si>
    <t>25 vmmdf</t>
  </si>
  <si>
    <t>11vsmmdf</t>
  </si>
  <si>
    <t xml:space="preserve">Hipoteca inteligente Santander </t>
  </si>
  <si>
    <t xml:space="preserve">Cofinavit </t>
  </si>
  <si>
    <t>Aforos Fovissste</t>
  </si>
  <si>
    <t>(Ambos créditos + SSV)</t>
  </si>
  <si>
    <t>Ubicación del inmueble</t>
  </si>
  <si>
    <t>"ubicación"</t>
  </si>
  <si>
    <t>Acapulco de Juárez/ GUERRERO</t>
  </si>
  <si>
    <t xml:space="preserve"> Bahía de Banderas /NAYARIT</t>
  </si>
  <si>
    <t xml:space="preserve"> José Arzueta (Zihuatanejo) /GUERRERO</t>
  </si>
  <si>
    <t xml:space="preserve"> Manzanillo /COLIMA</t>
  </si>
  <si>
    <t xml:space="preserve"> MORELOS</t>
  </si>
  <si>
    <t xml:space="preserve"> San Juan del Río /QUERETARO</t>
  </si>
  <si>
    <t>Otro</t>
  </si>
  <si>
    <t>Inspección de Obra</t>
  </si>
  <si>
    <t>Obra</t>
  </si>
  <si>
    <t>Monto mínimo de Crédito</t>
  </si>
  <si>
    <t>"origen"</t>
  </si>
  <si>
    <t>Monto crédito solicitado</t>
  </si>
  <si>
    <t>Monto Crédito</t>
  </si>
  <si>
    <t>Prima Unica adicional al crédito</t>
  </si>
  <si>
    <t>COFINAVIT</t>
  </si>
  <si>
    <t>Suma Crédito INFONAVIT</t>
  </si>
  <si>
    <t>SUMA SSV</t>
  </si>
  <si>
    <t>Valor de vivienda (Máximo ambos créditos)</t>
  </si>
  <si>
    <t>Aforo máximo Créditos</t>
  </si>
  <si>
    <t>Crédito BANCO máximo por aforo al 100%</t>
  </si>
  <si>
    <t>Prima Unica Adicional COFINAVIT</t>
  </si>
  <si>
    <t>Prima Unica Adicional al crédito</t>
  </si>
  <si>
    <t>CONSTRUCCION</t>
  </si>
  <si>
    <t>Tipo de Cofinanciamiento</t>
  </si>
  <si>
    <t>Valor Terreno</t>
  </si>
  <si>
    <t>Valor Proyecto</t>
  </si>
  <si>
    <t>Total Inmueble</t>
  </si>
  <si>
    <t>Ministraciones</t>
  </si>
  <si>
    <t>Terreno más Construcción</t>
  </si>
  <si>
    <t>Primer Ministración</t>
  </si>
  <si>
    <t>Segunda ministración</t>
  </si>
  <si>
    <t>Tercera ministración</t>
  </si>
  <si>
    <t>Cuarta ministración</t>
  </si>
  <si>
    <t>Quinta ministración</t>
  </si>
  <si>
    <t>CONSTRUCCION EN TERRENO PROPIO</t>
  </si>
  <si>
    <t>Aforo solicitado</t>
  </si>
  <si>
    <t>Aforo Máximo por destino</t>
  </si>
  <si>
    <t>Importe de Crédito por Aforo Máximo</t>
  </si>
  <si>
    <t>CREDITO Máximo OTORGADO (Nuevo monto de Crédito Solicitado)</t>
  </si>
  <si>
    <t xml:space="preserve">Tasa de Interés </t>
  </si>
  <si>
    <t>Primer Disposición</t>
  </si>
  <si>
    <t>3 Disposiciones subsecuentes</t>
  </si>
  <si>
    <t>Inspección y seguimiento de obra</t>
  </si>
  <si>
    <t>ültima Disposición</t>
  </si>
  <si>
    <t>Mes</t>
  </si>
  <si>
    <t>Base Aportación INFONAVIT</t>
  </si>
  <si>
    <t>Aportación Patronal Bimestral</t>
  </si>
  <si>
    <t xml:space="preserve">Su crédito se amortizará en </t>
  </si>
  <si>
    <t>Plazo real</t>
  </si>
  <si>
    <t>Pagos Anticipados
Captura Monto</t>
  </si>
  <si>
    <t>Reducción Plazo</t>
  </si>
  <si>
    <t>DETERMINACION OPCION PRIMA UNICA</t>
  </si>
  <si>
    <t>DETERMINACION DEL MONTO DEL CASH OUT</t>
  </si>
  <si>
    <t>DETERMINACION DEL MONTO DEL CASH OUT PLUS</t>
  </si>
  <si>
    <t>Liquidez Plus</t>
  </si>
  <si>
    <t xml:space="preserve">Cuota Congelados </t>
  </si>
  <si>
    <t>aportaciones patronales</t>
  </si>
  <si>
    <t>Cofis</t>
  </si>
  <si>
    <t>Disposiciones de Crédito para Construcción</t>
  </si>
  <si>
    <t>Sustitución/ origen Liquidez</t>
  </si>
  <si>
    <t>NOTAS</t>
  </si>
  <si>
    <t>* Los periodos para el cálculo de intereses se consideran de 30 días.</t>
  </si>
  <si>
    <t>Los productos hipotecarios son emitidos por Banco Santander (México), S.A., Institución de Banca Múltiple, Grupo Financiero Santander México.</t>
  </si>
  <si>
    <t>Características, Términos, Comisiones, Requisitos de Contratación, Tasa de Interés aplicable, Vigencia, Restricciones y Beneficios del producto, consulta www.santander.com.mx , Disponible en toda la República Mexicana</t>
  </si>
  <si>
    <t>Terreno</t>
  </si>
  <si>
    <t>Hipoteca Red Salud</t>
  </si>
  <si>
    <t>Apoyo infonavit</t>
  </si>
  <si>
    <t>Terminación de Obra</t>
  </si>
  <si>
    <t>COFIS</t>
  </si>
  <si>
    <t>Aforo Solicitado</t>
  </si>
  <si>
    <t>Tipo de cliente</t>
  </si>
  <si>
    <t>Asalariado</t>
  </si>
  <si>
    <t>Independiente</t>
  </si>
  <si>
    <t>Valor mínimo terreno construcción</t>
  </si>
  <si>
    <t>Valor mínimo terreno</t>
  </si>
  <si>
    <t>Valor vivienda para Aforo máximo</t>
  </si>
  <si>
    <t>Valor mínimo construcción</t>
  </si>
  <si>
    <t>Valor mínimo vivienda</t>
  </si>
  <si>
    <t>3. Oferta de Tasas</t>
  </si>
  <si>
    <t>Selecciona la tasa para tu tabla de amortización</t>
  </si>
  <si>
    <t>Selecciona el efecto de los Pagos anticipados</t>
  </si>
  <si>
    <r>
      <rPr>
        <b/>
        <sz val="12"/>
        <color rgb="FFFF0000"/>
        <rFont val="Arial"/>
        <family val="2"/>
      </rPr>
      <t>S</t>
    </r>
    <r>
      <rPr>
        <b/>
        <sz val="12"/>
        <color theme="0" tint="-0.499984740745262"/>
        <rFont val="Arial"/>
        <family val="2"/>
      </rPr>
      <t xml:space="preserve">IMULADOR </t>
    </r>
    <r>
      <rPr>
        <b/>
        <sz val="12"/>
        <color rgb="FFFF0000"/>
        <rFont val="Arial"/>
        <family val="2"/>
      </rPr>
      <t>C</t>
    </r>
    <r>
      <rPr>
        <b/>
        <sz val="12"/>
        <color theme="0" tint="-0.499984740745262"/>
        <rFont val="Arial"/>
        <family val="2"/>
      </rPr>
      <t xml:space="preserve">REDITO </t>
    </r>
    <r>
      <rPr>
        <b/>
        <sz val="12"/>
        <color rgb="FFFF0000"/>
        <rFont val="Arial"/>
        <family val="2"/>
      </rPr>
      <t>H</t>
    </r>
    <r>
      <rPr>
        <b/>
        <sz val="12"/>
        <color theme="0" tint="-0.499984740745262"/>
        <rFont val="Arial"/>
        <family val="2"/>
      </rPr>
      <t xml:space="preserve">IPOTECARIO </t>
    </r>
    <r>
      <rPr>
        <b/>
        <sz val="12"/>
        <color rgb="FFFF0000"/>
        <rFont val="Arial"/>
        <family val="2"/>
      </rPr>
      <t>HIPOTECA PERSONAL</t>
    </r>
  </si>
  <si>
    <t>Fovissste Alia2</t>
  </si>
  <si>
    <t>Fovissste Respalda2</t>
  </si>
  <si>
    <t>Monto de Crédito que otorga el INFONAVIT</t>
  </si>
  <si>
    <t>Capacidad máxima crédito FOVISSSTE</t>
  </si>
  <si>
    <t>Saldo de la Subcuenta de Vivienda</t>
  </si>
  <si>
    <t>Saldo subcuenta de vivienda en el SAR</t>
  </si>
  <si>
    <t>Selecciona el esquema de Pagos</t>
  </si>
  <si>
    <t>Esquema de Pagos</t>
  </si>
  <si>
    <t>Fijos</t>
  </si>
  <si>
    <t>Esquema de Pagos Liquidez Twin</t>
  </si>
  <si>
    <t>Sustitución</t>
  </si>
  <si>
    <t>Mejoras</t>
  </si>
  <si>
    <t>Susti</t>
  </si>
  <si>
    <t>Liquidez Susti</t>
  </si>
  <si>
    <t>Sustitución/ origen Adquisición</t>
  </si>
  <si>
    <t>Sustitución/ Cofinanciamiento</t>
  </si>
  <si>
    <t>Comisión Liquidez Plus</t>
  </si>
  <si>
    <t>Cuota Fija</t>
  </si>
  <si>
    <t>Factores seguros</t>
  </si>
  <si>
    <t>Prima unica mes 49</t>
  </si>
  <si>
    <t>Recurrente</t>
  </si>
  <si>
    <t>Liquidez GE</t>
  </si>
  <si>
    <t>Ingresos mínimos Liquidez</t>
  </si>
  <si>
    <t>General</t>
  </si>
  <si>
    <t>Select</t>
  </si>
  <si>
    <t>Origen del crédito</t>
  </si>
  <si>
    <t>Lista de Productos</t>
  </si>
  <si>
    <t>TASA</t>
  </si>
  <si>
    <t>COMISION APERTURA</t>
  </si>
  <si>
    <t>COMISION POR ADMINISTRACION</t>
  </si>
  <si>
    <t>Aforos Máximo Crédito Banco</t>
  </si>
  <si>
    <t>Aforo cofinanciados CREDITOS</t>
  </si>
  <si>
    <t>Aforos Cofinanciados CREDITOS + SSV</t>
  </si>
  <si>
    <t>tasa liquidez Simple</t>
  </si>
  <si>
    <t>tasa liquidez Twin</t>
  </si>
  <si>
    <t>Financiamiento de Gastos</t>
  </si>
  <si>
    <t>PAGO POR MIL</t>
  </si>
  <si>
    <t>Crecientes</t>
  </si>
  <si>
    <t>fijos</t>
  </si>
  <si>
    <t>LIQUIDEZ TWIN</t>
  </si>
  <si>
    <t>tasas</t>
  </si>
  <si>
    <t>Código tabla para Pagos Anticipados</t>
  </si>
  <si>
    <t>Tabla aforo</t>
  </si>
  <si>
    <t>Plazo solicitado</t>
  </si>
  <si>
    <t>Tasa x perfil</t>
  </si>
  <si>
    <t>Rangos</t>
  </si>
  <si>
    <t>&lt;=70%</t>
  </si>
  <si>
    <t>&gt;=71%  &lt;=80%</t>
  </si>
  <si>
    <t>&gt;=81%  &lt;=90%</t>
  </si>
  <si>
    <t>Perfil 1</t>
  </si>
  <si>
    <t>Perfil 115</t>
  </si>
  <si>
    <t>Perfil 120</t>
  </si>
  <si>
    <t>Perfil 2</t>
  </si>
  <si>
    <t>Perfil 215</t>
  </si>
  <si>
    <t>Perfil 220</t>
  </si>
  <si>
    <t>Perfil 3</t>
  </si>
  <si>
    <t>Perfil 315</t>
  </si>
  <si>
    <t>Perfil 320</t>
  </si>
  <si>
    <t>Perfil 4</t>
  </si>
  <si>
    <t>Perfil 415</t>
  </si>
  <si>
    <t>Perfil 420</t>
  </si>
  <si>
    <t>Perfil 7</t>
  </si>
  <si>
    <t>FOVISSSTE</t>
  </si>
  <si>
    <t>Capacidad máxima crédito (pesos)</t>
  </si>
  <si>
    <t>Prima Unica Adicional FOVISSSTE</t>
  </si>
  <si>
    <t>Aforo con PU adicional</t>
  </si>
  <si>
    <t>Cálculo</t>
  </si>
  <si>
    <t>Apoyo INFONAVIT Construcción</t>
  </si>
  <si>
    <t>Aforo REAL solicitado</t>
  </si>
  <si>
    <t>Aforos Cofis (ambos créditos)</t>
  </si>
  <si>
    <t>Aforo real</t>
  </si>
  <si>
    <t>Seguro de Daños /obra</t>
  </si>
  <si>
    <t>Gastos INFONAVIT</t>
  </si>
  <si>
    <t>Crédito INSTITUTO</t>
  </si>
  <si>
    <t>ssv INSTITUTO</t>
  </si>
  <si>
    <t>Creci.pago</t>
  </si>
  <si>
    <t>P. Programados</t>
  </si>
  <si>
    <t>Construccion</t>
  </si>
  <si>
    <t>Reducción cuota</t>
  </si>
  <si>
    <t>Enganche</t>
  </si>
  <si>
    <r>
      <rPr>
        <b/>
        <sz val="16"/>
        <color rgb="FFFF0000"/>
        <rFont val="Arial"/>
        <family val="2"/>
      </rPr>
      <t>S</t>
    </r>
    <r>
      <rPr>
        <b/>
        <sz val="14"/>
        <color theme="0" tint="-0.499984740745262"/>
        <rFont val="Arial"/>
        <family val="2"/>
      </rPr>
      <t xml:space="preserve">IMULADOR </t>
    </r>
    <r>
      <rPr>
        <b/>
        <sz val="16"/>
        <color rgb="FFFF0000"/>
        <rFont val="Arial"/>
        <family val="2"/>
      </rPr>
      <t>C</t>
    </r>
    <r>
      <rPr>
        <b/>
        <sz val="14"/>
        <color theme="0" tint="-0.499984740745262"/>
        <rFont val="Arial"/>
        <family val="2"/>
      </rPr>
      <t xml:space="preserve">REDITO </t>
    </r>
    <r>
      <rPr>
        <b/>
        <sz val="16"/>
        <color rgb="FFFF0000"/>
        <rFont val="Arial"/>
        <family val="2"/>
      </rPr>
      <t>H</t>
    </r>
    <r>
      <rPr>
        <b/>
        <sz val="14"/>
        <color theme="0" tint="-0.499984740745262"/>
        <rFont val="Arial"/>
        <family val="2"/>
      </rPr>
      <t>IPOTECARIO</t>
    </r>
  </si>
  <si>
    <t>Valor del inmueble</t>
  </si>
  <si>
    <t>PLAZO</t>
  </si>
  <si>
    <t>Monto solicitado por cliente</t>
  </si>
  <si>
    <t>Mejora /Origen Adquisición</t>
  </si>
  <si>
    <t>Mejora /Origen Liquidez</t>
  </si>
  <si>
    <t>Nueva Cuota</t>
  </si>
  <si>
    <t>Congelados</t>
  </si>
  <si>
    <t>Cuota Programados</t>
  </si>
  <si>
    <t>Capital Programados</t>
  </si>
  <si>
    <t xml:space="preserve">Factor Programados </t>
  </si>
  <si>
    <t>FINAL</t>
  </si>
  <si>
    <t>1=pagos fijos, 2= pagos crecientes</t>
  </si>
  <si>
    <t>Esquema</t>
  </si>
  <si>
    <t>Pagos Anticipados</t>
  </si>
  <si>
    <t>Busqueda</t>
  </si>
  <si>
    <t>4. Tabla de Amortización</t>
  </si>
  <si>
    <t>TOTALES</t>
  </si>
  <si>
    <t>Pasos para un Proceso Exitoso:</t>
  </si>
  <si>
    <t>1) Asegúrate de entregar la impresión del simulador al cliente.</t>
  </si>
  <si>
    <t>2) Aclara todas sus dudas. Entrégale el folleto informativo del producto para que conozca las características, tasas y comisiones.</t>
  </si>
  <si>
    <t>Folleto Informativo</t>
  </si>
  <si>
    <t>3) Llena la solicitud electrónica de crédito hipotecario</t>
  </si>
  <si>
    <t>https://servicios.santander.com.mx/formularios_hipotecario</t>
  </si>
  <si>
    <t>i) Ayuda al cliente y llena la solicitud electrónica de crédito hipotecario que se encuentra en la red. Imprímela y pídele al cliente que la firme.</t>
  </si>
  <si>
    <t>ii) Si el cliente no dispone de tiempo para llenar la solicitud en ese momento, pídele que lo haga teniendo mucho cuidado en llenar en forma legible los campos requeridos.</t>
  </si>
  <si>
    <t>iii) Indica al cliente que deberá requisitar la solicitud llenando TODOS los campos. Haz hincapié que deberá requisitar el Consentimiento del Seguro de Vida que se incluye en la solicitud de crédito.</t>
  </si>
  <si>
    <t>iv) Indica al cliente que deberá entregarte el original debidamente firmado.</t>
  </si>
  <si>
    <r>
      <t xml:space="preserve">v) Deberá anexar los documentos que se indican en la solicitud en el apartado </t>
    </r>
    <r>
      <rPr>
        <b/>
        <sz val="10"/>
        <color indexed="8"/>
        <rFont val="Arial"/>
        <family val="2"/>
      </rPr>
      <t>"DOCUMENTACION Y REQUISITOS PARA AUTORIZACION".</t>
    </r>
  </si>
  <si>
    <t>IMPORTANTE: ESTOS SON LOS FORMATOS QUE SIEMPRE DEBERÁS ENTREGAR AL  CLIENTE:</t>
  </si>
  <si>
    <t>Simulador de crédito</t>
  </si>
  <si>
    <r>
      <t xml:space="preserve">Solicitud de crédito hipotecario </t>
    </r>
    <r>
      <rPr>
        <b/>
        <sz val="10"/>
        <color rgb="FF0070C0"/>
        <rFont val="Arial"/>
        <family val="2"/>
      </rPr>
      <t>(formato BHF-003)</t>
    </r>
  </si>
  <si>
    <t>Folleto informativo del producto</t>
  </si>
  <si>
    <t>Tu tarjeta de presentación</t>
  </si>
  <si>
    <t>¿Qué sigue?</t>
  </si>
  <si>
    <t>4. Una vez que recibas la documentación del cliente deberás :</t>
  </si>
  <si>
    <t>i) Revisar que la solicitud se encuentre requisitada correctamente y que hayan respondido en todos los apartados. Pon principal atención en:</t>
  </si>
  <si>
    <t>* RFC completo y con homoclave</t>
  </si>
  <si>
    <t>* CURP</t>
  </si>
  <si>
    <t>ii) Revisar que la documentación entregada esté completa y sea congruente contra lo declarado en la solicitud.</t>
  </si>
  <si>
    <r>
      <t xml:space="preserve">iii) Cotejar el original de la identificación del cliente (y del cónyuge, en su caso) contra las copias, verificando que la información sea </t>
    </r>
    <r>
      <rPr>
        <b/>
        <sz val="10"/>
        <color indexed="10"/>
        <rFont val="Arial"/>
        <family val="2"/>
      </rPr>
      <t>LEGIBLE</t>
    </r>
    <r>
      <rPr>
        <sz val="10"/>
        <color indexed="8"/>
        <rFont val="Arial"/>
        <family val="2"/>
      </rPr>
      <t xml:space="preserve"> y la fotografía sea </t>
    </r>
    <r>
      <rPr>
        <b/>
        <sz val="10"/>
        <color indexed="10"/>
        <rFont val="Arial"/>
        <family val="2"/>
      </rPr>
      <t>NITIDA.</t>
    </r>
  </si>
  <si>
    <r>
      <t xml:space="preserve">iv) Cotejar los originales de los documentos entregados contra las copias, verificando que la información sea </t>
    </r>
    <r>
      <rPr>
        <b/>
        <sz val="10"/>
        <color indexed="10"/>
        <rFont val="Arial"/>
        <family val="2"/>
      </rPr>
      <t>LEGIBLE</t>
    </r>
    <r>
      <rPr>
        <sz val="10"/>
        <color indexed="8"/>
        <rFont val="Arial"/>
        <family val="2"/>
      </rPr>
      <t xml:space="preserve"> y no presente alteraciones.</t>
    </r>
  </si>
  <si>
    <t>v) Estampar Sello de Cotejado contra original anotando tu nombre, No. de Expediente, firma y fecha.</t>
  </si>
  <si>
    <t>IMPORTANTE: Si detectas que falta algún comprobante o que existen irregularidades en la documentación, deberás indicar al cliente que será necesario que te entregue la información faltante. INFORMALE QUE SU SOLICITUD SE TRAMITARA HASTA QUE LA INFORMACION ESTE COMPLETA Y CORRECTA.</t>
  </si>
  <si>
    <t>5. Si el crédito es con Apoyo INFONAVIT, Cofinavit o FOVISSSTE ingresa al portal correspondiente y verifica la elegibilidad del cliente.</t>
  </si>
  <si>
    <t>Página del INFONAVIT     www.infonavit.org.mx</t>
  </si>
  <si>
    <t>Página del FOVISSSTE    www.fovissste.gob.mx</t>
  </si>
  <si>
    <t>6. Ingresa al sistema GARRA y captura la información declarada en la solicitud para evaluar al cliente.</t>
  </si>
  <si>
    <t>a) Si la respuesta de GARRA es APROBADA o en Zona Gris:</t>
  </si>
  <si>
    <t>7. Elabora y firma el formato BHF-054 Carátula del Expediente Crédito Hipotecario, anexa la documentación y transmite por el multifuncional a la línea de Servicio de Hipotecario (GEOBAN/ Fábrica Hipotecario) para su análisis y resolución definitiva.</t>
  </si>
  <si>
    <t>Recibirás de GEOBAN /Fábrica Hipotecario un correo con la resolución definitiva a la solicitud:</t>
  </si>
  <si>
    <t>APROBADA</t>
  </si>
  <si>
    <t>* Contacta al cliente e informa el resultado de su solicitud.</t>
  </si>
  <si>
    <r>
      <t xml:space="preserve">* Indica al cliente que deberá entregarte la documentación del inmueble y del vendedor para continuar con el proceso. 
La lista de la documentación requerida está detallada en la solicitud de crédito en la parte </t>
    </r>
    <r>
      <rPr>
        <b/>
        <sz val="10"/>
        <color indexed="8"/>
        <rFont val="Arial"/>
        <family val="2"/>
      </rPr>
      <t>"DOCUMENTOS PARA LA FORMALIZACION".</t>
    </r>
  </si>
  <si>
    <t>REPARO</t>
  </si>
  <si>
    <t>* Contacta al cliente y solicita la documentación adicional que te fue requerida por GEOBAN/Fábrica Hipotecario.</t>
  </si>
  <si>
    <t>Una vez que el cliente te entregue la documentación complementaria, deberás enviar por el multifuncional a la línea de Servicio de Hipotecario (GEOBAN/ Fábrica Hipotecario):</t>
  </si>
  <si>
    <r>
      <t xml:space="preserve">a) Formato </t>
    </r>
    <r>
      <rPr>
        <b/>
        <sz val="10"/>
        <color indexed="8"/>
        <rFont val="Arial"/>
        <family val="2"/>
      </rPr>
      <t>BHF-054 Carátula del Expediente Crédito Hipotecario.</t>
    </r>
  </si>
  <si>
    <t>b) Documentación complementaria.</t>
  </si>
  <si>
    <r>
      <t xml:space="preserve">c) Formato </t>
    </r>
    <r>
      <rPr>
        <b/>
        <sz val="10"/>
        <color indexed="8"/>
        <rFont val="Arial"/>
        <family val="2"/>
      </rPr>
      <t>BHF-035 Carta de Excepción de Crédito Hipotecario.</t>
    </r>
  </si>
  <si>
    <t>No olvides revisar que la nueva documentación sea LEGIBLE y cotejarla contra los originales, estampando sello de cotejo y anotando tu nombre, No. de expediente, firma y fecha.</t>
  </si>
  <si>
    <t>b) Si la respuesta de GARRA es DENEGADA</t>
  </si>
  <si>
    <t>Informa al cliente la causa del rechazo.</t>
  </si>
  <si>
    <t>SEGURO VIDA</t>
  </si>
  <si>
    <t>SEGURO DAÑOS</t>
  </si>
  <si>
    <t>Santander Prima Unica</t>
  </si>
  <si>
    <t>Santander Prima Mensual</t>
  </si>
  <si>
    <t>Cofinavit</t>
  </si>
  <si>
    <t>Nombre del solicitante</t>
  </si>
  <si>
    <t>FOVISSSTE Alia2</t>
  </si>
  <si>
    <t>Santander Cuota Fija</t>
  </si>
  <si>
    <t>Atendido por</t>
  </si>
  <si>
    <t>FOVISSSTE Respalda2</t>
  </si>
  <si>
    <t>Mejora de Condiciones/Origen Adquisición</t>
  </si>
  <si>
    <t>Mejora de Condiciones/Origen Liquidez</t>
  </si>
  <si>
    <t>Escrituración (aprox)</t>
  </si>
  <si>
    <t>Construcción en Terreno Propio</t>
  </si>
  <si>
    <t>Adquisición de Terreno y Construcción</t>
  </si>
  <si>
    <t>Plazo en meses</t>
  </si>
  <si>
    <t>Esquema de Pago</t>
  </si>
  <si>
    <t>Seguro de Daños</t>
  </si>
  <si>
    <t>Número de Intervinientes</t>
  </si>
  <si>
    <t>Monto de Crédito</t>
  </si>
  <si>
    <t>CAT  Promedio</t>
  </si>
  <si>
    <t>Efecto</t>
  </si>
  <si>
    <t>Cuota</t>
  </si>
  <si>
    <t>NOTAS:</t>
  </si>
  <si>
    <t xml:space="preserve">* Las aportaciones patronales y las Anualidades Garantizadas que deba entregar el INFONAVIT al Banco no son responsabilidad de Banco Santander (México), S.A. y su aplicación al crédito dependerá de la entrega de recursos que realice el INFONAVIT.
</t>
  </si>
  <si>
    <t>Este documento es únicamente de carácter informativo y para fines ilustrativos por lo que no implica asunción de obligación ni compromiso por parte de  Santander.</t>
  </si>
  <si>
    <t>La autorización del crédito es una facultad discrecional de Santander por lo que se reserva el derecho de otorgarla o negarla.</t>
  </si>
  <si>
    <t>Santander se reserva el derecho de solicitar información adicional y/o restringir parámetros de enganche, monto, plazo o tasa en función de las características específicas del solicitante y del inmueble.</t>
  </si>
  <si>
    <t xml:space="preserve">El cálculo en el Seguro de referencia es única y exclusivamente con fines informativos e ilustrativos. </t>
  </si>
  <si>
    <t>La calidad en la prestación de los servicios y responsabilidad en el otorgamiento de los mismos es responsabilidad directa de Zúrich Santander Seguros México S.A., y/o de la Aseguradora con la que contrate estos seguros.</t>
  </si>
  <si>
    <t>Los importes del Crédito y Saldo de la Subcuenta de Vivienda que deba entregar el INFONAVIT no son responsabilidad de Banco Santander (México) S.A. y podrán variar en cualquier momento, lo que podrá modificar el resultado mostrado en este simulador.</t>
  </si>
  <si>
    <t xml:space="preserve">Fijos </t>
  </si>
  <si>
    <t xml:space="preserve">Los productos hipotecarios pueden ser emitidos por Banco Santander (México), S.A., Institución de Banca Múltiple, Grupo Financiero Santander México, </t>
  </si>
  <si>
    <t>Liquidez para gastos y dinero Adicional</t>
  </si>
  <si>
    <t>TOTAL</t>
  </si>
  <si>
    <t>IVA Intereses</t>
  </si>
  <si>
    <t>Liquidez Dinero Adicional PLUS</t>
  </si>
  <si>
    <t>Tasa de Interés Anual Ordinaria</t>
  </si>
  <si>
    <t>Pagos Anticipados
Selecciona efecto y captura monto</t>
  </si>
  <si>
    <t>Base</t>
  </si>
  <si>
    <t>Captura los ingresos estimados (NETOS)</t>
  </si>
  <si>
    <t>¿Cuál es el saldo de sus tarjetas de crédito? 
(excepto Amex)</t>
  </si>
  <si>
    <t>¿Cuál es el saldo de su crédito de auto?</t>
  </si>
  <si>
    <t>¿Cuál es el saldo de sus créditos personales?</t>
  </si>
  <si>
    <t>¿Cuál es el saldo de su crédito hipotecario?</t>
  </si>
  <si>
    <t>Pago mensual estimado</t>
  </si>
  <si>
    <t xml:space="preserve">Captura Pago mensual </t>
  </si>
  <si>
    <t>DTI MAXIMO
(máximo endeudamiento posible)</t>
  </si>
  <si>
    <t>Selecciona opción</t>
  </si>
  <si>
    <t xml:space="preserve">Conservar </t>
  </si>
  <si>
    <t>Liquidar</t>
  </si>
  <si>
    <t>La simulación de capacidad reduciendo deudas sólo aplica para esquemas de Pagos fijos y condicionado al pago de la deuda previo a la firma</t>
  </si>
  <si>
    <t>I) CALCULA LA CAPACIDAD DE PAGO</t>
  </si>
  <si>
    <t>II) OTRAS ALTERNATIVAS BAJANDO ENDEUDAMIENTO (Si sus ingresos actuales no le son suficientes para el monto de crédito solicitado)</t>
  </si>
  <si>
    <t>Importe que dispone el cliente para el pago del Hipotecario</t>
  </si>
  <si>
    <t>Nuevo importe que dispondría el cliente para pago del Hipotecario</t>
  </si>
  <si>
    <t>Ingresos mínimos requeridos</t>
  </si>
  <si>
    <t>Comisión por Autorización de Crédito Diferida</t>
  </si>
  <si>
    <t>ESTE DOCUMENTO NO ES UNA OFERTA VINCULANTE</t>
  </si>
  <si>
    <t>Ingresos</t>
  </si>
  <si>
    <t>Pago x mil</t>
  </si>
  <si>
    <t>SIMULADOR HIPOTECA PERSONAL SANTANDER (TASA RESOLUCION)</t>
  </si>
  <si>
    <t>Sustitución/ Mejora de Condiciones</t>
  </si>
  <si>
    <t>Suma Ecotecnologías</t>
  </si>
  <si>
    <t>Ecotecnologías</t>
  </si>
  <si>
    <t>Aforo integral final</t>
  </si>
  <si>
    <t>¿Ecotecnología?</t>
  </si>
  <si>
    <t>Ecotecnología</t>
  </si>
  <si>
    <t>Versión. 3.11 (8 mayo 2017)</t>
  </si>
  <si>
    <t>BHF-034 (052017)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</si>
</sst>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quot;$&quot;#,##0"/>
    <numFmt numFmtId="6" formatCode="&quot;$&quot;#,##0;[Red]\-&quot;$&quot;#,##0"/>
    <numFmt numFmtId="7" formatCode="&quot;$&quot;#,##0.00;\-&quot;$&quot;#,##0.00"/>
    <numFmt numFmtId="8" formatCode="&quot;$&quot;#,##0.00;[Red]\-&quot;$&quot;#,##0.00"/>
    <numFmt numFmtId="42" formatCode="_-&quot;$&quot;* #,##0_-;\-&quot;$&quot;* #,##0_-;_-&quot;$&quot;* &quot;-&quot;_-;_-@_-"/>
    <numFmt numFmtId="44" formatCode="_-&quot;$&quot;* #,##0.00_-;\-&quot;$&quot;* #,##0.00_-;_-&quot;$&quot;* &quot;-&quot;??_-;_-@_-"/>
    <numFmt numFmtId="43" formatCode="_-* #,##0.00_-;\-* #,##0.00_-;_-* &quot;-&quot;??_-;_-@_-"/>
    <numFmt numFmtId="164" formatCode="_-* #,##0_-;\-* #,##0_-;_-* &quot;-&quot;??_-;_-@_-"/>
    <numFmt numFmtId="165" formatCode="_-* #,##0.00\ [$€]_-;\-* #,##0.00\ [$€]_-;_-* &quot;-&quot;??\ [$€]_-;_-@_-"/>
    <numFmt numFmtId="166" formatCode="[$-80A]d&quot; de &quot;mmmm&quot; de &quot;yyyy;@"/>
    <numFmt numFmtId="167" formatCode="&quot;$&quot;#,##0"/>
    <numFmt numFmtId="168" formatCode="0.0%"/>
    <numFmt numFmtId="169" formatCode="_-&quot;$&quot;* #,##0_-;\-&quot;$&quot;* #,##0_-;_-&quot;$&quot;* &quot;-&quot;??_-;_-@_-"/>
    <numFmt numFmtId="170" formatCode="0.0000%"/>
    <numFmt numFmtId="171" formatCode="_(* #,##0_);_(* \(#,##0\);_(* &quot;-&quot;??_);_(@_)"/>
    <numFmt numFmtId="172" formatCode="0.000000%"/>
    <numFmt numFmtId="173" formatCode="0.00000%"/>
    <numFmt numFmtId="174" formatCode="_-* #,##0.00\ _p_t_a_-;\-* #,##0.00\ _p_t_a_-;_-* &quot;-&quot;??\ _p_t_a_-;_-@_-"/>
    <numFmt numFmtId="175" formatCode="&quot;$&quot;#,##0.00"/>
    <numFmt numFmtId="176" formatCode="0.000%"/>
    <numFmt numFmtId="177" formatCode="_-* #,##0.0000_-;\-* #,##0.0000_-;_-* &quot;-&quot;??_-;_-@_-"/>
  </numFmts>
  <fonts count="104" x14ac:knownFonts="1">
    <font>
      <sz val="11"/>
      <color theme="1"/>
      <name val="Calibri"/>
      <family val="2"/>
      <scheme val="minor"/>
    </font>
    <font>
      <sz val="10"/>
      <name val="Arial"/>
      <family val="2"/>
    </font>
    <font>
      <b/>
      <sz val="10"/>
      <color indexed="9"/>
      <name val="Arial"/>
      <family val="2"/>
    </font>
    <font>
      <b/>
      <sz val="10"/>
      <name val="Arial"/>
      <family val="2"/>
    </font>
    <font>
      <b/>
      <sz val="10"/>
      <color indexed="10"/>
      <name val="Arial"/>
      <family val="2"/>
    </font>
    <font>
      <sz val="10"/>
      <name val="Arial"/>
      <family val="2"/>
    </font>
    <font>
      <b/>
      <sz val="10"/>
      <color rgb="FFFF0000"/>
      <name val="Arial"/>
      <family val="2"/>
    </font>
    <font>
      <sz val="8"/>
      <name val="Arial"/>
      <family val="2"/>
    </font>
    <font>
      <b/>
      <sz val="8"/>
      <name val="Arial"/>
      <family val="2"/>
    </font>
    <font>
      <sz val="10"/>
      <color indexed="10"/>
      <name val="Arial"/>
      <family val="2"/>
    </font>
    <font>
      <b/>
      <sz val="9"/>
      <name val="Arial"/>
      <family val="2"/>
    </font>
    <font>
      <sz val="9"/>
      <name val="Arial"/>
      <family val="2"/>
    </font>
    <font>
      <b/>
      <sz val="8"/>
      <color indexed="10"/>
      <name val="Arial"/>
      <family val="2"/>
    </font>
    <font>
      <b/>
      <sz val="11"/>
      <name val="Arial"/>
      <family val="2"/>
    </font>
    <font>
      <sz val="10"/>
      <color theme="0"/>
      <name val="Arial"/>
      <family val="2"/>
    </font>
    <font>
      <b/>
      <sz val="11"/>
      <color indexed="9"/>
      <name val="Arial"/>
      <family val="2"/>
    </font>
    <font>
      <b/>
      <sz val="10"/>
      <color theme="0"/>
      <name val="Arial"/>
      <family val="2"/>
    </font>
    <font>
      <b/>
      <sz val="14"/>
      <color indexed="10"/>
      <name val="Arial"/>
      <family val="2"/>
    </font>
    <font>
      <b/>
      <sz val="9"/>
      <color indexed="9"/>
      <name val="Arial"/>
      <family val="2"/>
    </font>
    <font>
      <b/>
      <sz val="9"/>
      <color rgb="FFFF0000"/>
      <name val="Arial"/>
      <family val="2"/>
    </font>
    <font>
      <b/>
      <sz val="12"/>
      <color indexed="9"/>
      <name val="Arial"/>
      <family val="2"/>
    </font>
    <font>
      <sz val="11"/>
      <color theme="1"/>
      <name val="Calibri"/>
      <family val="2"/>
      <scheme val="minor"/>
    </font>
    <font>
      <sz val="10"/>
      <color theme="1"/>
      <name val="Calibri"/>
      <family val="2"/>
      <scheme val="minor"/>
    </font>
    <font>
      <b/>
      <sz val="10"/>
      <color rgb="FFFFFFFF"/>
      <name val="Arial"/>
      <family val="2"/>
    </font>
    <font>
      <u/>
      <sz val="10"/>
      <color indexed="9"/>
      <name val="Arial"/>
      <family val="2"/>
    </font>
    <font>
      <sz val="10"/>
      <color rgb="FFFF0000"/>
      <name val="Arial"/>
      <family val="2"/>
    </font>
    <font>
      <sz val="10"/>
      <color rgb="FFFF0000"/>
      <name val="Calibri"/>
      <family val="2"/>
      <scheme val="minor"/>
    </font>
    <font>
      <b/>
      <sz val="10"/>
      <color theme="0"/>
      <name val="Calibri"/>
      <family val="2"/>
      <scheme val="minor"/>
    </font>
    <font>
      <sz val="10"/>
      <color theme="1"/>
      <name val="Arial"/>
      <family val="2"/>
    </font>
    <font>
      <b/>
      <sz val="10"/>
      <color theme="1"/>
      <name val="Arial"/>
      <family val="2"/>
    </font>
    <font>
      <b/>
      <i/>
      <u/>
      <sz val="20"/>
      <color indexed="9"/>
      <name val="Arial"/>
      <family val="2"/>
    </font>
    <font>
      <b/>
      <i/>
      <u/>
      <sz val="16"/>
      <color indexed="9"/>
      <name val="Arial"/>
      <family val="2"/>
    </font>
    <font>
      <b/>
      <i/>
      <sz val="9"/>
      <color theme="3" tint="0.39997558519241921"/>
      <name val="Arial"/>
      <family val="2"/>
    </font>
    <font>
      <b/>
      <sz val="14"/>
      <color theme="0" tint="-0.499984740745262"/>
      <name val="Arial"/>
      <family val="2"/>
    </font>
    <font>
      <b/>
      <sz val="16"/>
      <color rgb="FFFF0000"/>
      <name val="Arial"/>
      <family val="2"/>
    </font>
    <font>
      <sz val="6"/>
      <color theme="1"/>
      <name val="Arial"/>
      <family val="2"/>
    </font>
    <font>
      <b/>
      <u/>
      <sz val="10"/>
      <color theme="0"/>
      <name val="Arial"/>
      <family val="2"/>
    </font>
    <font>
      <sz val="8"/>
      <color rgb="FFFF0000"/>
      <name val="Arial"/>
      <family val="2"/>
    </font>
    <font>
      <b/>
      <sz val="11"/>
      <color theme="1"/>
      <name val="Arial"/>
      <family val="2"/>
    </font>
    <font>
      <sz val="9"/>
      <color indexed="10"/>
      <name val="Arial"/>
      <family val="2"/>
    </font>
    <font>
      <b/>
      <sz val="10"/>
      <color theme="1"/>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u/>
      <sz val="12"/>
      <color theme="1"/>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6"/>
      <color rgb="FFFF0000"/>
      <name val="Calibri"/>
      <family val="2"/>
      <scheme val="minor"/>
    </font>
    <font>
      <b/>
      <sz val="12"/>
      <color theme="0" tint="-0.499984740745262"/>
      <name val="Arial"/>
      <family val="2"/>
    </font>
    <font>
      <b/>
      <sz val="12"/>
      <color rgb="FFFF0000"/>
      <name val="Arial"/>
      <family val="2"/>
    </font>
    <font>
      <sz val="11"/>
      <color indexed="8"/>
      <name val="Arial"/>
      <family val="2"/>
    </font>
    <font>
      <sz val="11"/>
      <name val="Arial"/>
      <family val="2"/>
    </font>
    <font>
      <b/>
      <sz val="14"/>
      <color rgb="FFFF0000"/>
      <name val="Arial"/>
      <family val="2"/>
    </font>
    <font>
      <b/>
      <u/>
      <sz val="10"/>
      <color rgb="FFFF0000"/>
      <name val="Arial"/>
      <family val="2"/>
    </font>
    <font>
      <b/>
      <sz val="10"/>
      <color rgb="FFFF0000"/>
      <name val="Calibri"/>
      <family val="2"/>
      <scheme val="minor"/>
    </font>
    <font>
      <b/>
      <sz val="10"/>
      <color indexed="17"/>
      <name val="Arial"/>
      <family val="2"/>
    </font>
    <font>
      <sz val="8"/>
      <color theme="3" tint="0.39997558519241921"/>
      <name val="Arial"/>
      <family val="2"/>
    </font>
    <font>
      <b/>
      <sz val="10"/>
      <color theme="3" tint="0.39997558519241921"/>
      <name val="Arial"/>
      <family val="2"/>
    </font>
    <font>
      <b/>
      <sz val="11"/>
      <color rgb="FFFF0000"/>
      <name val="Arial"/>
      <family val="2"/>
    </font>
    <font>
      <b/>
      <sz val="10"/>
      <color theme="1" tint="0.499984740745262"/>
      <name val="Arial"/>
      <family val="2"/>
    </font>
    <font>
      <sz val="10"/>
      <color theme="1" tint="0.499984740745262"/>
      <name val="Arial"/>
      <family val="2"/>
    </font>
    <font>
      <b/>
      <sz val="11"/>
      <color rgb="FFFF0000"/>
      <name val="Calibri"/>
      <family val="2"/>
      <scheme val="minor"/>
    </font>
    <font>
      <b/>
      <sz val="11"/>
      <color indexed="10"/>
      <name val="Arial"/>
      <family val="2"/>
    </font>
    <font>
      <b/>
      <sz val="10"/>
      <color theme="0" tint="-4.9989318521683403E-2"/>
      <name val="Calibri"/>
      <family val="2"/>
      <scheme val="minor"/>
    </font>
    <font>
      <sz val="8"/>
      <color theme="1"/>
      <name val="Arial"/>
      <family val="2"/>
    </font>
    <font>
      <sz val="7"/>
      <color theme="1"/>
      <name val="Arial"/>
      <family val="2"/>
    </font>
    <font>
      <b/>
      <sz val="10"/>
      <color theme="3" tint="0.59999389629810485"/>
      <name val="Arial"/>
      <family val="2"/>
    </font>
    <font>
      <b/>
      <u/>
      <sz val="8"/>
      <name val="Arial"/>
      <family val="2"/>
    </font>
    <font>
      <b/>
      <sz val="8"/>
      <color indexed="9"/>
      <name val="Arial"/>
      <family val="2"/>
    </font>
    <font>
      <sz val="10"/>
      <color theme="3" tint="0.39997558519241921"/>
      <name val="Calibri"/>
      <family val="2"/>
      <scheme val="minor"/>
    </font>
    <font>
      <b/>
      <sz val="11"/>
      <color theme="0"/>
      <name val="Arial"/>
      <family val="2"/>
    </font>
    <font>
      <b/>
      <sz val="8"/>
      <color rgb="FFFF0000"/>
      <name val="Arial"/>
      <family val="2"/>
    </font>
    <font>
      <b/>
      <i/>
      <sz val="10"/>
      <color theme="1" tint="0.499984740745262"/>
      <name val="Arial"/>
      <family val="2"/>
    </font>
    <font>
      <sz val="11"/>
      <color rgb="FFFF0000"/>
      <name val="Calibri"/>
      <family val="2"/>
      <scheme val="minor"/>
    </font>
    <font>
      <b/>
      <u/>
      <sz val="14"/>
      <color rgb="FFFF0000"/>
      <name val="Arial"/>
      <family val="2"/>
    </font>
    <font>
      <i/>
      <sz val="10"/>
      <color theme="1" tint="0.499984740745262"/>
      <name val="Calibri"/>
      <family val="2"/>
      <scheme val="minor"/>
    </font>
    <font>
      <sz val="10"/>
      <color indexed="12"/>
      <name val="Arial"/>
      <family val="2"/>
    </font>
    <font>
      <b/>
      <sz val="12"/>
      <color theme="0"/>
      <name val="Arial"/>
      <family val="2"/>
    </font>
    <font>
      <b/>
      <u/>
      <sz val="12"/>
      <color theme="0"/>
      <name val="Arial"/>
      <family val="2"/>
    </font>
    <font>
      <sz val="6"/>
      <color theme="1"/>
      <name val="Calibri"/>
      <family val="2"/>
      <scheme val="minor"/>
    </font>
    <font>
      <i/>
      <sz val="9"/>
      <color rgb="FFFF0000"/>
      <name val="Arial"/>
      <family val="2"/>
    </font>
    <font>
      <i/>
      <sz val="10"/>
      <color theme="1" tint="0.499984740745262"/>
      <name val="Arial"/>
      <family val="2"/>
    </font>
    <font>
      <sz val="10"/>
      <color indexed="8"/>
      <name val="Arial"/>
      <family val="2"/>
    </font>
    <font>
      <b/>
      <sz val="12"/>
      <color indexed="10"/>
      <name val="Arial"/>
      <family val="2"/>
    </font>
    <font>
      <b/>
      <sz val="10"/>
      <color indexed="8"/>
      <name val="Arial"/>
      <family val="2"/>
    </font>
    <font>
      <u/>
      <sz val="10"/>
      <color indexed="12"/>
      <name val="Arial"/>
      <family val="2"/>
    </font>
    <font>
      <b/>
      <sz val="10"/>
      <color rgb="FF0070C0"/>
      <name val="Arial"/>
      <family val="2"/>
    </font>
    <font>
      <b/>
      <u/>
      <sz val="12"/>
      <color indexed="10"/>
      <name val="Arial"/>
      <family val="2"/>
    </font>
    <font>
      <b/>
      <u/>
      <sz val="10"/>
      <color indexed="10"/>
      <name val="Arial"/>
      <family val="2"/>
    </font>
    <font>
      <sz val="10"/>
      <color indexed="62"/>
      <name val="Arial"/>
      <family val="2"/>
    </font>
    <font>
      <b/>
      <sz val="12"/>
      <name val="Arial"/>
      <family val="2"/>
    </font>
    <font>
      <sz val="10"/>
      <color indexed="9"/>
      <name val="Arial"/>
      <family val="2"/>
    </font>
    <font>
      <b/>
      <sz val="9"/>
      <color theme="0"/>
      <name val="Arial"/>
      <family val="2"/>
    </font>
    <font>
      <i/>
      <sz val="10"/>
      <name val="Arial"/>
      <family val="2"/>
    </font>
    <font>
      <b/>
      <sz val="16"/>
      <color indexed="10"/>
      <name val="Arial"/>
      <family val="2"/>
    </font>
    <font>
      <b/>
      <sz val="9"/>
      <color theme="1" tint="0.499984740745262"/>
      <name val="Arial"/>
      <family val="2"/>
    </font>
    <font>
      <i/>
      <sz val="10"/>
      <color rgb="FFFF0000"/>
      <name val="Arial"/>
      <family val="2"/>
    </font>
    <font>
      <sz val="6"/>
      <name val="Arial"/>
      <family val="2"/>
    </font>
    <font>
      <sz val="10"/>
      <color theme="3" tint="0.79998168889431442"/>
      <name val="Arial"/>
      <family val="2"/>
    </font>
    <font>
      <b/>
      <sz val="10"/>
      <color theme="0" tint="-0.499984740745262"/>
      <name val="Arial"/>
      <family val="2"/>
    </font>
    <font>
      <b/>
      <sz val="11"/>
      <color theme="5" tint="-0.249977111117893"/>
      <name val="Calibri"/>
      <family val="2"/>
      <scheme val="minor"/>
    </font>
    <font>
      <b/>
      <sz val="10"/>
      <color theme="5" tint="-0.249977111117893"/>
      <name val="Calibri"/>
      <family val="2"/>
      <scheme val="minor"/>
    </font>
    <font>
      <sz val="8"/>
      <name val="Calibri"/>
      <family val="2"/>
      <scheme val="minor"/>
    </font>
  </fonts>
  <fills count="52">
    <fill>
      <patternFill patternType="none"/>
    </fill>
    <fill>
      <patternFill patternType="gray125"/>
    </fill>
    <fill>
      <patternFill patternType="solid">
        <fgColor indexed="10"/>
        <bgColor indexed="64"/>
      </patternFill>
    </fill>
    <fill>
      <patternFill patternType="solid">
        <fgColor indexed="51"/>
        <bgColor indexed="64"/>
      </patternFill>
    </fill>
    <fill>
      <patternFill patternType="solid">
        <fgColor indexed="15"/>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44"/>
        <bgColor indexed="64"/>
      </patternFill>
    </fill>
    <fill>
      <patternFill patternType="solid">
        <fgColor indexed="50"/>
        <bgColor indexed="64"/>
      </patternFill>
    </fill>
    <fill>
      <patternFill patternType="solid">
        <fgColor indexed="61"/>
        <bgColor indexed="64"/>
      </patternFill>
    </fill>
    <fill>
      <patternFill patternType="solid">
        <fgColor indexed="53"/>
        <bgColor indexed="64"/>
      </patternFill>
    </fill>
    <fill>
      <patternFill patternType="solid">
        <fgColor indexed="48"/>
        <bgColor indexed="64"/>
      </patternFill>
    </fill>
    <fill>
      <patternFill patternType="solid">
        <fgColor theme="5" tint="0.39997558519241921"/>
        <bgColor indexed="64"/>
      </patternFill>
    </fill>
    <fill>
      <patternFill patternType="solid">
        <fgColor indexed="4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2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0000"/>
        <bgColor rgb="FF000000"/>
      </patternFill>
    </fill>
    <fill>
      <patternFill patternType="solid">
        <fgColor indexed="12"/>
        <bgColor indexed="64"/>
      </patternFill>
    </fill>
    <fill>
      <patternFill patternType="solid">
        <fgColor rgb="FF92D05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70C0"/>
        <bgColor indexed="64"/>
      </patternFill>
    </fill>
    <fill>
      <patternFill patternType="solid">
        <fgColor indexed="52"/>
        <bgColor indexed="64"/>
      </patternFill>
    </fill>
    <fill>
      <patternFill patternType="solid">
        <fgColor theme="0" tint="-0.499984740745262"/>
        <bgColor indexed="64"/>
      </patternFill>
    </fill>
    <fill>
      <patternFill patternType="solid">
        <fgColor theme="1" tint="4.9989318521683403E-2"/>
        <bgColor indexed="64"/>
      </patternFill>
    </fill>
    <fill>
      <patternFill patternType="solid">
        <fgColor theme="3" tint="0.39997558519241921"/>
        <bgColor indexed="64"/>
      </patternFill>
    </fill>
    <fill>
      <patternFill patternType="solid">
        <fgColor rgb="FFFFFF99"/>
        <bgColor rgb="FF000000"/>
      </patternFill>
    </fill>
    <fill>
      <patternFill patternType="solid">
        <fgColor rgb="FFFF999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indexed="17"/>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1" tint="0.249977111117893"/>
        <bgColor rgb="FF000000"/>
      </patternFill>
    </fill>
    <fill>
      <patternFill patternType="solid">
        <fgColor indexed="62"/>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theme="6" tint="0.59999389629810485"/>
        <bgColor indexed="64"/>
      </patternFill>
    </fill>
    <fill>
      <patternFill patternType="solid">
        <fgColor theme="1" tint="0.499984740745262"/>
        <bgColor indexed="64"/>
      </patternFill>
    </fill>
    <fill>
      <patternFill patternType="solid">
        <fgColor theme="8" tint="0.39997558519241921"/>
        <bgColor indexed="64"/>
      </patternFill>
    </fill>
  </fills>
  <borders count="77">
    <border>
      <left/>
      <right/>
      <top/>
      <bottom/>
      <diagonal/>
    </border>
    <border>
      <left style="thin">
        <color auto="1"/>
      </left>
      <right style="thin">
        <color auto="1"/>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style="medium">
        <color auto="1"/>
      </left>
      <right/>
      <top style="medium">
        <color auto="1"/>
      </top>
      <bottom style="medium">
        <color auto="1"/>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diagonal/>
    </border>
    <border>
      <left style="medium">
        <color rgb="FFFF0000"/>
      </left>
      <right style="medium">
        <color rgb="FFFF0000"/>
      </right>
      <top style="medium">
        <color rgb="FFFF0000"/>
      </top>
      <bottom style="medium">
        <color rgb="FFFF0000"/>
      </bottom>
      <diagonal/>
    </border>
    <border>
      <left/>
      <right/>
      <top style="medium">
        <color rgb="FFFF0000"/>
      </top>
      <bottom style="medium">
        <color rgb="FFFF0000"/>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medium">
        <color auto="1"/>
      </right>
      <top style="medium">
        <color auto="1"/>
      </top>
      <bottom style="medium">
        <color auto="1"/>
      </bottom>
      <diagonal/>
    </border>
    <border>
      <left/>
      <right/>
      <top style="medium">
        <color rgb="FFFF0000"/>
      </top>
      <bottom/>
      <diagonal/>
    </border>
    <border>
      <left style="thin">
        <color rgb="FFFF0000"/>
      </left>
      <right style="thin">
        <color rgb="FFFF0000"/>
      </right>
      <top style="thin">
        <color rgb="FFFF0000"/>
      </top>
      <bottom style="thin">
        <color rgb="FFFF0000"/>
      </bottom>
      <diagonal/>
    </border>
    <border>
      <left style="hair">
        <color auto="1"/>
      </left>
      <right style="hair">
        <color auto="1"/>
      </right>
      <top style="hair">
        <color auto="1"/>
      </top>
      <bottom style="hair">
        <color auto="1"/>
      </bottom>
      <diagonal/>
    </border>
    <border>
      <left/>
      <right/>
      <top/>
      <bottom style="medium">
        <color rgb="FFFF0000"/>
      </bottom>
      <diagonal/>
    </border>
    <border>
      <left/>
      <right/>
      <top style="medium">
        <color auto="1"/>
      </top>
      <bottom/>
      <diagonal/>
    </border>
    <border>
      <left style="hair">
        <color auto="1"/>
      </left>
      <right style="hair">
        <color auto="1"/>
      </right>
      <top style="hair">
        <color auto="1"/>
      </top>
      <bottom/>
      <diagonal/>
    </border>
    <border>
      <left/>
      <right style="medium">
        <color auto="1"/>
      </right>
      <top style="medium">
        <color auto="1"/>
      </top>
      <bottom/>
      <diagonal/>
    </border>
    <border>
      <left/>
      <right style="thin">
        <color auto="1"/>
      </right>
      <top style="thin">
        <color auto="1"/>
      </top>
      <bottom style="thin">
        <color auto="1"/>
      </bottom>
      <diagonal/>
    </border>
    <border>
      <left/>
      <right/>
      <top style="medium">
        <color auto="1"/>
      </top>
      <bottom style="medium">
        <color auto="1"/>
      </bottom>
      <diagonal/>
    </border>
    <border>
      <left style="medium">
        <color auto="1"/>
      </left>
      <right/>
      <top/>
      <bottom style="medium">
        <color auto="1"/>
      </bottom>
      <diagonal/>
    </border>
    <border>
      <left style="thin">
        <color auto="1"/>
      </left>
      <right/>
      <top style="thin">
        <color auto="1"/>
      </top>
      <bottom/>
      <diagonal/>
    </border>
    <border>
      <left/>
      <right/>
      <top style="thin">
        <color auto="1"/>
      </top>
      <bottom style="thin">
        <color auto="1"/>
      </bottom>
      <diagonal/>
    </border>
    <border>
      <left style="medium">
        <color auto="1"/>
      </left>
      <right/>
      <top/>
      <bottom/>
      <diagonal/>
    </border>
    <border>
      <left/>
      <right style="thin">
        <color auto="1"/>
      </right>
      <top/>
      <bottom style="thin">
        <color auto="1"/>
      </bottom>
      <diagonal/>
    </border>
    <border>
      <left style="medium">
        <color auto="1"/>
      </left>
      <right/>
      <top style="medium">
        <color auto="1"/>
      </top>
      <bottom/>
      <diagonal/>
    </border>
    <border>
      <left style="medium">
        <color rgb="FFFF0000"/>
      </left>
      <right style="medium">
        <color rgb="FFFF0000"/>
      </right>
      <top style="medium">
        <color rgb="FFFF0000"/>
      </top>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top style="thick">
        <color rgb="FFFF0000"/>
      </top>
      <bottom/>
      <diagonal/>
    </border>
    <border>
      <left style="medium">
        <color rgb="FFFF0000"/>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style="medium">
        <color rgb="FFFF0000"/>
      </right>
      <top/>
      <bottom style="medium">
        <color rgb="FFFF000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medium">
        <color rgb="FFFF0000"/>
      </bottom>
      <diagonal/>
    </border>
    <border>
      <left style="thin">
        <color rgb="FFFF0000"/>
      </left>
      <right/>
      <top style="thin">
        <color rgb="FFFF0000"/>
      </top>
      <bottom/>
      <diagonal/>
    </border>
    <border>
      <left style="thin">
        <color rgb="FFFF0000"/>
      </left>
      <right/>
      <top/>
      <bottom/>
      <diagonal/>
    </border>
    <border>
      <left style="thin">
        <color rgb="FFFF0000"/>
      </left>
      <right/>
      <top/>
      <bottom style="medium">
        <color rgb="FFFF0000"/>
      </bottom>
      <diagonal/>
    </border>
    <border>
      <left/>
      <right/>
      <top/>
      <bottom style="medium">
        <color indexed="10"/>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right/>
      <top style="double">
        <color indexed="9"/>
      </top>
      <bottom style="dotted">
        <color indexed="23"/>
      </bottom>
      <diagonal/>
    </border>
    <border>
      <left/>
      <right/>
      <top style="hair">
        <color auto="1"/>
      </top>
      <bottom/>
      <diagonal/>
    </border>
    <border>
      <left/>
      <right/>
      <top/>
      <bottom style="dotted">
        <color indexed="23"/>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indexed="23"/>
      </left>
      <right style="hair">
        <color indexed="23"/>
      </right>
      <top style="hair">
        <color indexed="23"/>
      </top>
      <bottom style="hair">
        <color indexed="23"/>
      </bottom>
      <diagonal/>
    </border>
    <border>
      <left style="thin">
        <color indexed="10"/>
      </left>
      <right style="thin">
        <color indexed="10"/>
      </right>
      <top style="thin">
        <color indexed="10"/>
      </top>
      <bottom/>
      <diagonal/>
    </border>
    <border>
      <left/>
      <right style="hair">
        <color indexed="23"/>
      </right>
      <top/>
      <bottom style="hair">
        <color indexed="23"/>
      </bottom>
      <diagonal/>
    </border>
    <border>
      <left/>
      <right/>
      <top/>
      <bottom style="hair">
        <color indexed="23"/>
      </bottom>
      <diagonal/>
    </border>
    <border>
      <left/>
      <right/>
      <top/>
      <bottom style="dotted">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tted">
        <color auto="1"/>
      </bottom>
      <diagonal/>
    </border>
    <border>
      <left style="double">
        <color auto="1"/>
      </left>
      <right/>
      <top/>
      <bottom style="thin">
        <color auto="1"/>
      </bottom>
      <diagonal/>
    </border>
    <border>
      <left/>
      <right style="double">
        <color auto="1"/>
      </right>
      <top/>
      <bottom style="thin">
        <color auto="1"/>
      </bottom>
      <diagonal/>
    </border>
  </borders>
  <cellStyleXfs count="14">
    <xf numFmtId="0" fontId="0" fillId="0" borderId="0"/>
    <xf numFmtId="0" fontId="1" fillId="0" borderId="0"/>
    <xf numFmtId="9"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21" fillId="0" borderId="0" applyFont="0" applyFill="0" applyBorder="0" applyAlignment="0" applyProtection="0"/>
    <xf numFmtId="9" fontId="21" fillId="0" borderId="0" applyFont="0" applyFill="0" applyBorder="0" applyAlignment="0" applyProtection="0"/>
    <xf numFmtId="0" fontId="41" fillId="0" borderId="0" applyNumberFormat="0" applyFill="0" applyBorder="0" applyAlignment="0" applyProtection="0"/>
    <xf numFmtId="43" fontId="1" fillId="0" borderId="0" applyFont="0" applyFill="0" applyBorder="0" applyAlignment="0" applyProtection="0"/>
    <xf numFmtId="0" fontId="21" fillId="0" borderId="0"/>
    <xf numFmtId="0" fontId="86" fillId="0" borderId="0" applyNumberFormat="0" applyFill="0" applyBorder="0" applyAlignment="0" applyProtection="0">
      <alignment vertical="top"/>
      <protection locked="0"/>
    </xf>
    <xf numFmtId="9" fontId="1" fillId="0" borderId="0" applyFont="0" applyFill="0" applyBorder="0" applyAlignment="0" applyProtection="0"/>
    <xf numFmtId="43" fontId="1" fillId="0" borderId="0" applyFont="0" applyFill="0" applyBorder="0" applyAlignment="0" applyProtection="0"/>
    <xf numFmtId="174" fontId="1" fillId="0" borderId="0" applyFont="0" applyFill="0" applyBorder="0" applyAlignment="0" applyProtection="0"/>
  </cellStyleXfs>
  <cellXfs count="1166">
    <xf numFmtId="0" fontId="0" fillId="0" borderId="0" xfId="0"/>
    <xf numFmtId="0" fontId="2" fillId="2" borderId="0" xfId="1" applyFont="1" applyFill="1" applyAlignment="1">
      <alignment horizontal="center" wrapText="1"/>
    </xf>
    <xf numFmtId="0" fontId="3" fillId="5" borderId="0" xfId="1" applyFont="1" applyFill="1" applyAlignment="1">
      <alignment horizontal="center" wrapText="1"/>
    </xf>
    <xf numFmtId="0" fontId="3" fillId="7" borderId="0" xfId="1" applyFont="1" applyFill="1" applyAlignment="1">
      <alignment horizontal="center" wrapText="1"/>
    </xf>
    <xf numFmtId="0" fontId="3" fillId="8" borderId="0" xfId="1" applyFont="1" applyFill="1" applyAlignment="1">
      <alignment horizontal="center" wrapText="1"/>
    </xf>
    <xf numFmtId="0" fontId="3" fillId="9" borderId="0" xfId="1" applyFont="1" applyFill="1" applyAlignment="1">
      <alignment horizontal="center" wrapText="1"/>
    </xf>
    <xf numFmtId="0" fontId="2" fillId="10" borderId="0" xfId="1" applyFont="1" applyFill="1" applyAlignment="1">
      <alignment horizontal="center" wrapText="1"/>
    </xf>
    <xf numFmtId="0" fontId="3" fillId="6" borderId="0" xfId="1" applyFont="1" applyFill="1" applyAlignment="1">
      <alignment horizontal="center" wrapText="1"/>
    </xf>
    <xf numFmtId="0" fontId="3" fillId="11" borderId="0" xfId="1" applyFont="1" applyFill="1" applyAlignment="1">
      <alignment horizontal="center" wrapText="1"/>
    </xf>
    <xf numFmtId="0" fontId="2" fillId="12" borderId="0" xfId="1" applyFont="1" applyFill="1" applyAlignment="1">
      <alignment horizontal="center" wrapText="1"/>
    </xf>
    <xf numFmtId="0" fontId="3" fillId="3" borderId="0" xfId="1" applyFont="1" applyFill="1" applyAlignment="1">
      <alignment horizontal="center" wrapText="1"/>
    </xf>
    <xf numFmtId="0" fontId="1" fillId="11" borderId="0" xfId="1" applyFill="1" applyAlignment="1">
      <alignment horizontal="center" wrapText="1"/>
    </xf>
    <xf numFmtId="0" fontId="2" fillId="14" borderId="0" xfId="1" applyFont="1" applyFill="1" applyAlignment="1">
      <alignment horizontal="center" wrapText="1"/>
    </xf>
    <xf numFmtId="0" fontId="1" fillId="0" borderId="0" xfId="1" applyAlignment="1">
      <alignment horizontal="center" wrapText="1"/>
    </xf>
    <xf numFmtId="0" fontId="2" fillId="2" borderId="0" xfId="1" applyFont="1" applyFill="1"/>
    <xf numFmtId="0" fontId="3" fillId="7" borderId="0" xfId="1" applyFont="1" applyFill="1" applyAlignment="1">
      <alignment horizontal="center"/>
    </xf>
    <xf numFmtId="0" fontId="3" fillId="8" borderId="0" xfId="1" applyFont="1" applyFill="1" applyAlignment="1">
      <alignment horizontal="center"/>
    </xf>
    <xf numFmtId="0" fontId="3" fillId="0" borderId="0" xfId="1" applyFont="1"/>
    <xf numFmtId="0" fontId="2" fillId="10" borderId="0" xfId="1" applyFont="1" applyFill="1"/>
    <xf numFmtId="0" fontId="3" fillId="8" borderId="0" xfId="1" applyFont="1" applyFill="1"/>
    <xf numFmtId="0" fontId="3" fillId="6" borderId="0" xfId="1" applyFont="1" applyFill="1"/>
    <xf numFmtId="0" fontId="3" fillId="11" borderId="0" xfId="1" applyFont="1" applyFill="1"/>
    <xf numFmtId="0" fontId="2" fillId="12" borderId="0" xfId="1" applyFont="1" applyFill="1"/>
    <xf numFmtId="0" fontId="3" fillId="9" borderId="0" xfId="1" applyFont="1" applyFill="1"/>
    <xf numFmtId="0" fontId="1" fillId="3" borderId="0" xfId="1" applyFill="1" applyBorder="1" applyAlignment="1">
      <alignment horizontal="center"/>
    </xf>
    <xf numFmtId="0" fontId="3" fillId="11" borderId="0" xfId="1" applyFont="1" applyFill="1" applyAlignment="1">
      <alignment horizontal="center"/>
    </xf>
    <xf numFmtId="0" fontId="3" fillId="14" borderId="0" xfId="1" applyFont="1" applyFill="1"/>
    <xf numFmtId="0" fontId="1" fillId="0" borderId="0" xfId="1"/>
    <xf numFmtId="0" fontId="1" fillId="0" borderId="0" xfId="1" applyAlignment="1">
      <alignment horizontal="center"/>
    </xf>
    <xf numFmtId="43" fontId="6" fillId="16" borderId="7" xfId="3" applyFont="1" applyFill="1" applyBorder="1" applyAlignment="1">
      <alignment horizontal="center"/>
    </xf>
    <xf numFmtId="0" fontId="3" fillId="16" borderId="7" xfId="1" applyFont="1" applyFill="1" applyBorder="1" applyAlignment="1">
      <alignment horizontal="center"/>
    </xf>
    <xf numFmtId="0" fontId="4" fillId="16" borderId="7" xfId="1" applyFont="1" applyFill="1" applyBorder="1" applyAlignment="1">
      <alignment horizontal="center"/>
    </xf>
    <xf numFmtId="0" fontId="1" fillId="0" borderId="0" xfId="1" applyFill="1"/>
    <xf numFmtId="0" fontId="1" fillId="0" borderId="0" xfId="1" applyFill="1" applyAlignment="1">
      <alignment horizontal="center"/>
    </xf>
    <xf numFmtId="0" fontId="4" fillId="0" borderId="0" xfId="1" applyFont="1" applyBorder="1"/>
    <xf numFmtId="0" fontId="1" fillId="0" borderId="0" xfId="1" applyBorder="1"/>
    <xf numFmtId="0" fontId="1" fillId="0" borderId="0" xfId="1" applyBorder="1" applyAlignment="1">
      <alignment horizontal="center"/>
    </xf>
    <xf numFmtId="0" fontId="1" fillId="0" borderId="0" xfId="1" applyFill="1" applyBorder="1"/>
    <xf numFmtId="0" fontId="7" fillId="0" borderId="0" xfId="1" applyFont="1" applyBorder="1" applyProtection="1">
      <protection locked="0"/>
    </xf>
    <xf numFmtId="0" fontId="1" fillId="0" borderId="1" xfId="1" applyBorder="1" applyAlignment="1">
      <alignment horizontal="center"/>
    </xf>
    <xf numFmtId="0" fontId="1" fillId="0" borderId="1" xfId="1" applyBorder="1"/>
    <xf numFmtId="0" fontId="1" fillId="0" borderId="10" xfId="1" applyFill="1" applyBorder="1" applyAlignment="1">
      <alignment horizontal="center"/>
    </xf>
    <xf numFmtId="0" fontId="1" fillId="0" borderId="11" xfId="1" applyBorder="1" applyAlignment="1">
      <alignment horizontal="center"/>
    </xf>
    <xf numFmtId="0" fontId="1" fillId="0" borderId="10" xfId="1" applyBorder="1"/>
    <xf numFmtId="0" fontId="1" fillId="0" borderId="3" xfId="1" applyBorder="1"/>
    <xf numFmtId="8" fontId="1" fillId="0" borderId="0" xfId="1" applyNumberFormat="1" applyFill="1" applyBorder="1"/>
    <xf numFmtId="0" fontId="1" fillId="0" borderId="10" xfId="1" applyBorder="1" applyAlignment="1">
      <alignment horizontal="center"/>
    </xf>
    <xf numFmtId="0" fontId="10" fillId="0" borderId="0" xfId="1" applyFont="1"/>
    <xf numFmtId="0" fontId="11" fillId="0" borderId="0" xfId="1" applyFont="1"/>
    <xf numFmtId="0" fontId="12" fillId="0" borderId="0" xfId="1" applyFont="1" applyFill="1" applyBorder="1" applyAlignment="1" applyProtection="1">
      <alignment horizontal="right"/>
      <protection locked="0"/>
    </xf>
    <xf numFmtId="0" fontId="4" fillId="0" borderId="0" xfId="1" applyFont="1" applyFill="1" applyBorder="1"/>
    <xf numFmtId="0" fontId="3" fillId="5" borderId="0" xfId="1" applyFont="1" applyFill="1" applyBorder="1" applyAlignment="1" applyProtection="1">
      <alignment horizontal="center" vertical="center" wrapText="1"/>
      <protection hidden="1"/>
    </xf>
    <xf numFmtId="0" fontId="3" fillId="0" borderId="0" xfId="0" applyFont="1" applyFill="1" applyProtection="1">
      <protection hidden="1"/>
    </xf>
    <xf numFmtId="0" fontId="22" fillId="0" borderId="0" xfId="0" applyFont="1"/>
    <xf numFmtId="0" fontId="6" fillId="0" borderId="0" xfId="0" applyFont="1"/>
    <xf numFmtId="0" fontId="23" fillId="21" borderId="3" xfId="0" applyFont="1" applyFill="1" applyBorder="1" applyAlignment="1">
      <alignment horizontal="center" wrapText="1"/>
    </xf>
    <xf numFmtId="0" fontId="25" fillId="0" borderId="0" xfId="0" applyFont="1" applyFill="1" applyBorder="1" applyProtection="1">
      <protection hidden="1"/>
    </xf>
    <xf numFmtId="0" fontId="1" fillId="0" borderId="0" xfId="0" applyFont="1" applyFill="1" applyProtection="1">
      <protection hidden="1"/>
    </xf>
    <xf numFmtId="0" fontId="4" fillId="0" borderId="0" xfId="0" applyFont="1" applyFill="1" applyBorder="1" applyAlignment="1" applyProtection="1">
      <alignment vertical="center"/>
      <protection hidden="1"/>
    </xf>
    <xf numFmtId="0" fontId="3" fillId="0" borderId="0" xfId="0" applyFont="1" applyFill="1" applyBorder="1" applyProtection="1">
      <protection hidden="1"/>
    </xf>
    <xf numFmtId="0" fontId="2" fillId="20" borderId="0" xfId="0" applyFont="1" applyFill="1" applyProtection="1">
      <protection locked="0"/>
    </xf>
    <xf numFmtId="0" fontId="22" fillId="20" borderId="0" xfId="0" applyFont="1" applyFill="1"/>
    <xf numFmtId="42" fontId="22" fillId="19" borderId="0" xfId="0" applyNumberFormat="1" applyFont="1" applyFill="1"/>
    <xf numFmtId="8" fontId="22" fillId="0" borderId="0" xfId="0" applyNumberFormat="1" applyFont="1"/>
    <xf numFmtId="42" fontId="22" fillId="0" borderId="3" xfId="0" applyNumberFormat="1" applyFont="1" applyBorder="1"/>
    <xf numFmtId="9" fontId="26" fillId="0" borderId="3" xfId="0" applyNumberFormat="1" applyFont="1" applyBorder="1"/>
    <xf numFmtId="42" fontId="22" fillId="19" borderId="3" xfId="0" applyNumberFormat="1" applyFont="1" applyFill="1" applyBorder="1"/>
    <xf numFmtId="0" fontId="22" fillId="0" borderId="3" xfId="0" applyFont="1" applyBorder="1"/>
    <xf numFmtId="42" fontId="27" fillId="20" borderId="3" xfId="0" applyNumberFormat="1" applyFont="1" applyFill="1" applyBorder="1"/>
    <xf numFmtId="9" fontId="22" fillId="0" borderId="3" xfId="6" applyFont="1" applyBorder="1"/>
    <xf numFmtId="9" fontId="1" fillId="0" borderId="1" xfId="1" applyNumberFormat="1" applyBorder="1"/>
    <xf numFmtId="9" fontId="1" fillId="0" borderId="11" xfId="1" applyNumberFormat="1" applyBorder="1"/>
    <xf numFmtId="0" fontId="3" fillId="0" borderId="0" xfId="0" applyFont="1" applyAlignment="1" applyProtection="1">
      <alignment horizontal="left"/>
      <protection hidden="1"/>
    </xf>
    <xf numFmtId="0" fontId="30" fillId="2" borderId="0" xfId="0" applyFont="1" applyFill="1" applyBorder="1" applyAlignment="1"/>
    <xf numFmtId="0" fontId="31" fillId="2" borderId="0" xfId="0" applyFont="1" applyFill="1" applyBorder="1" applyAlignment="1"/>
    <xf numFmtId="0" fontId="20" fillId="2" borderId="3" xfId="0" applyFont="1" applyFill="1" applyBorder="1"/>
    <xf numFmtId="1" fontId="0" fillId="0" borderId="0" xfId="0" applyNumberFormat="1" applyAlignment="1">
      <alignment horizontal="left"/>
    </xf>
    <xf numFmtId="0" fontId="8" fillId="0" borderId="3" xfId="0" applyFont="1" applyBorder="1" applyAlignment="1" applyProtection="1">
      <protection locked="0"/>
    </xf>
    <xf numFmtId="1" fontId="0" fillId="0" borderId="3" xfId="0" applyNumberFormat="1" applyBorder="1" applyAlignment="1">
      <alignment horizontal="left"/>
    </xf>
    <xf numFmtId="0" fontId="8" fillId="0" borderId="3" xfId="0" applyFont="1" applyBorder="1" applyProtection="1">
      <protection locked="0"/>
    </xf>
    <xf numFmtId="0" fontId="8" fillId="0" borderId="3" xfId="0" applyFont="1" applyFill="1" applyBorder="1" applyProtection="1">
      <protection locked="0"/>
    </xf>
    <xf numFmtId="0" fontId="12" fillId="0" borderId="3" xfId="0" applyFont="1" applyFill="1" applyBorder="1" applyProtection="1">
      <protection locked="0"/>
    </xf>
    <xf numFmtId="10" fontId="22" fillId="0" borderId="3" xfId="0" applyNumberFormat="1" applyFont="1" applyBorder="1"/>
    <xf numFmtId="8" fontId="22" fillId="0" borderId="3" xfId="0" applyNumberFormat="1" applyFont="1" applyBorder="1"/>
    <xf numFmtId="0" fontId="3" fillId="0" borderId="0" xfId="0" applyFont="1" applyFill="1" applyAlignment="1" applyProtection="1">
      <alignment horizontal="right"/>
      <protection hidden="1"/>
    </xf>
    <xf numFmtId="0" fontId="1" fillId="0" borderId="0" xfId="0" applyFont="1" applyFill="1" applyBorder="1" applyAlignment="1" applyProtection="1">
      <alignment horizontal="left"/>
      <protection hidden="1"/>
    </xf>
    <xf numFmtId="0" fontId="15" fillId="22" borderId="0" xfId="0" applyFont="1" applyFill="1" applyAlignment="1" applyProtection="1">
      <alignment horizontal="center" vertical="center" wrapText="1"/>
      <protection hidden="1"/>
    </xf>
    <xf numFmtId="0" fontId="28" fillId="0" borderId="0" xfId="0" applyFont="1" applyProtection="1">
      <protection hidden="1"/>
    </xf>
    <xf numFmtId="0" fontId="28" fillId="0" borderId="0" xfId="0" applyFont="1" applyAlignment="1" applyProtection="1">
      <alignment horizontal="centerContinuous"/>
      <protection hidden="1"/>
    </xf>
    <xf numFmtId="0" fontId="28" fillId="0" borderId="0" xfId="0" applyFont="1" applyAlignment="1" applyProtection="1">
      <protection hidden="1"/>
    </xf>
    <xf numFmtId="0" fontId="29" fillId="0" borderId="0" xfId="0" applyFont="1" applyProtection="1">
      <protection hidden="1"/>
    </xf>
    <xf numFmtId="0" fontId="28" fillId="0" borderId="0" xfId="0" applyFont="1" applyFill="1" applyProtection="1">
      <protection hidden="1"/>
    </xf>
    <xf numFmtId="0" fontId="28" fillId="0" borderId="0" xfId="0" applyFont="1" applyBorder="1" applyProtection="1">
      <protection hidden="1"/>
    </xf>
    <xf numFmtId="0" fontId="28" fillId="17" borderId="3" xfId="0" applyFont="1" applyFill="1" applyBorder="1" applyProtection="1">
      <protection hidden="1"/>
    </xf>
    <xf numFmtId="0" fontId="1" fillId="0" borderId="0" xfId="0" applyFont="1" applyFill="1" applyAlignment="1" applyProtection="1">
      <alignment horizontal="center"/>
      <protection hidden="1"/>
    </xf>
    <xf numFmtId="0" fontId="35" fillId="0" borderId="0" xfId="0" applyFont="1" applyAlignment="1" applyProtection="1">
      <alignment horizontal="right"/>
      <protection hidden="1"/>
    </xf>
    <xf numFmtId="164" fontId="5" fillId="0" borderId="1" xfId="3" applyNumberFormat="1" applyFont="1" applyBorder="1" applyAlignment="1">
      <alignment horizontal="center"/>
    </xf>
    <xf numFmtId="0" fontId="2" fillId="20" borderId="16" xfId="0" applyFont="1" applyFill="1" applyBorder="1" applyProtection="1">
      <protection hidden="1"/>
    </xf>
    <xf numFmtId="0" fontId="24" fillId="20" borderId="16" xfId="0" applyFont="1" applyFill="1" applyBorder="1" applyProtection="1">
      <protection hidden="1"/>
    </xf>
    <xf numFmtId="0" fontId="24" fillId="20" borderId="16" xfId="0" applyFont="1" applyFill="1" applyBorder="1" applyAlignment="1" applyProtection="1">
      <alignment horizontal="center"/>
      <protection hidden="1"/>
    </xf>
    <xf numFmtId="0" fontId="33" fillId="0" borderId="0" xfId="0" applyFont="1" applyFill="1" applyAlignment="1" applyProtection="1">
      <alignment horizontal="centerContinuous"/>
      <protection hidden="1"/>
    </xf>
    <xf numFmtId="0" fontId="28" fillId="0" borderId="0" xfId="0" applyFont="1" applyFill="1" applyAlignment="1" applyProtection="1">
      <alignment horizontal="centerContinuous"/>
      <protection hidden="1"/>
    </xf>
    <xf numFmtId="0" fontId="28" fillId="0" borderId="0" xfId="0" applyFont="1" applyFill="1" applyAlignment="1" applyProtection="1">
      <alignment horizontal="right"/>
      <protection hidden="1"/>
    </xf>
    <xf numFmtId="0" fontId="16" fillId="20" borderId="18" xfId="0" applyFont="1" applyFill="1" applyBorder="1" applyProtection="1">
      <protection hidden="1"/>
    </xf>
    <xf numFmtId="0" fontId="14" fillId="20" borderId="18" xfId="0" applyFont="1" applyFill="1" applyBorder="1" applyProtection="1">
      <protection hidden="1"/>
    </xf>
    <xf numFmtId="0" fontId="16" fillId="20" borderId="18" xfId="0" applyFont="1" applyFill="1" applyBorder="1" applyAlignment="1" applyProtection="1">
      <alignment horizontal="right"/>
      <protection hidden="1"/>
    </xf>
    <xf numFmtId="0" fontId="2" fillId="2" borderId="3" xfId="1" applyFont="1" applyFill="1" applyBorder="1" applyAlignment="1" applyProtection="1">
      <alignment horizontal="center" vertical="center" wrapText="1"/>
      <protection hidden="1"/>
    </xf>
    <xf numFmtId="0" fontId="36" fillId="20" borderId="16" xfId="0" applyFont="1" applyFill="1" applyBorder="1" applyAlignment="1" applyProtection="1">
      <alignment horizontal="left"/>
      <protection hidden="1"/>
    </xf>
    <xf numFmtId="0" fontId="4" fillId="17" borderId="22" xfId="1" applyFont="1" applyFill="1" applyBorder="1" applyAlignment="1">
      <alignment horizontal="center"/>
    </xf>
    <xf numFmtId="9" fontId="6" fillId="17" borderId="3" xfId="6" applyFont="1" applyFill="1" applyBorder="1" applyAlignment="1">
      <alignment horizontal="center"/>
    </xf>
    <xf numFmtId="0" fontId="19" fillId="0" borderId="0" xfId="0" applyFont="1" applyAlignment="1" applyProtection="1">
      <alignment horizontal="left"/>
      <protection hidden="1"/>
    </xf>
    <xf numFmtId="0" fontId="1" fillId="0" borderId="0" xfId="1" applyFont="1" applyFill="1" applyBorder="1" applyProtection="1">
      <protection hidden="1"/>
    </xf>
    <xf numFmtId="3" fontId="28" fillId="0" borderId="0" xfId="0" applyNumberFormat="1" applyFont="1" applyProtection="1">
      <protection hidden="1"/>
    </xf>
    <xf numFmtId="3" fontId="28" fillId="17" borderId="0" xfId="0" applyNumberFormat="1" applyFont="1" applyFill="1" applyProtection="1">
      <protection hidden="1"/>
    </xf>
    <xf numFmtId="0" fontId="28" fillId="0" borderId="0" xfId="0" applyFont="1" applyAlignment="1" applyProtection="1">
      <alignment horizontal="center"/>
      <protection hidden="1"/>
    </xf>
    <xf numFmtId="0" fontId="3" fillId="0" borderId="0" xfId="0" applyFont="1" applyFill="1" applyAlignment="1" applyProtection="1">
      <alignment horizontal="left"/>
      <protection hidden="1"/>
    </xf>
    <xf numFmtId="42" fontId="3" fillId="0" borderId="0" xfId="0" applyNumberFormat="1" applyFont="1" applyFill="1" applyBorder="1" applyAlignment="1" applyProtection="1">
      <alignment horizontal="center" vertical="center"/>
      <protection hidden="1"/>
    </xf>
    <xf numFmtId="0" fontId="28" fillId="0" borderId="0" xfId="0" applyFont="1" applyFill="1" applyBorder="1" applyProtection="1">
      <protection hidden="1"/>
    </xf>
    <xf numFmtId="0" fontId="1" fillId="0" borderId="0" xfId="0" applyFont="1" applyFill="1" applyBorder="1" applyProtection="1">
      <protection hidden="1"/>
    </xf>
    <xf numFmtId="0" fontId="37" fillId="17" borderId="3" xfId="1" applyFont="1" applyFill="1" applyBorder="1" applyProtection="1">
      <protection locked="0"/>
    </xf>
    <xf numFmtId="0" fontId="29" fillId="0" borderId="0" xfId="0" applyFont="1" applyAlignment="1" applyProtection="1">
      <alignment horizontal="left"/>
      <protection hidden="1"/>
    </xf>
    <xf numFmtId="0" fontId="29" fillId="0" borderId="23" xfId="0" applyFont="1" applyFill="1" applyBorder="1" applyAlignment="1" applyProtection="1">
      <protection hidden="1"/>
    </xf>
    <xf numFmtId="0" fontId="1" fillId="24" borderId="0" xfId="1" applyFill="1" applyAlignment="1">
      <alignment horizontal="center" wrapText="1"/>
    </xf>
    <xf numFmtId="0" fontId="0" fillId="25" borderId="0" xfId="0" applyFill="1" applyBorder="1" applyAlignment="1" applyProtection="1">
      <alignment horizontal="center"/>
      <protection hidden="1"/>
    </xf>
    <xf numFmtId="0" fontId="6" fillId="0" borderId="0" xfId="0" applyFont="1" applyFill="1" applyBorder="1" applyAlignment="1" applyProtection="1">
      <alignment horizontal="center"/>
      <protection hidden="1"/>
    </xf>
    <xf numFmtId="0" fontId="3" fillId="15" borderId="8" xfId="1" applyFont="1" applyFill="1" applyBorder="1" applyAlignment="1">
      <alignment horizontal="center"/>
    </xf>
    <xf numFmtId="0" fontId="6" fillId="0" borderId="0" xfId="0" applyFont="1" applyProtection="1">
      <protection hidden="1"/>
    </xf>
    <xf numFmtId="42" fontId="22" fillId="17" borderId="3" xfId="0" applyNumberFormat="1" applyFont="1" applyFill="1" applyBorder="1"/>
    <xf numFmtId="44" fontId="22" fillId="17" borderId="3" xfId="0" applyNumberFormat="1" applyFont="1" applyFill="1" applyBorder="1"/>
    <xf numFmtId="6" fontId="28" fillId="0" borderId="0" xfId="0" applyNumberFormat="1" applyFont="1" applyAlignment="1" applyProtection="1">
      <alignment horizontal="center"/>
      <protection hidden="1"/>
    </xf>
    <xf numFmtId="9" fontId="6" fillId="17" borderId="8" xfId="1" applyNumberFormat="1" applyFont="1" applyFill="1" applyBorder="1" applyAlignment="1">
      <alignment horizontal="center"/>
    </xf>
    <xf numFmtId="0" fontId="4" fillId="0" borderId="24" xfId="1" applyFont="1" applyFill="1" applyBorder="1" applyAlignment="1" applyProtection="1">
      <alignment horizontal="center" vertical="top" wrapText="1"/>
      <protection hidden="1"/>
    </xf>
    <xf numFmtId="3" fontId="28" fillId="0" borderId="25" xfId="0" applyNumberFormat="1" applyFont="1" applyBorder="1" applyProtection="1">
      <protection hidden="1"/>
    </xf>
    <xf numFmtId="3" fontId="28" fillId="0" borderId="25" xfId="0" applyNumberFormat="1" applyFont="1" applyBorder="1" applyAlignment="1" applyProtection="1">
      <alignment horizontal="center"/>
      <protection hidden="1"/>
    </xf>
    <xf numFmtId="0" fontId="18" fillId="2" borderId="3" xfId="1" applyFont="1" applyFill="1" applyBorder="1" applyAlignment="1" applyProtection="1">
      <alignment horizontal="center" vertical="center" wrapText="1"/>
      <protection hidden="1"/>
    </xf>
    <xf numFmtId="0" fontId="28" fillId="0" borderId="0" xfId="0" applyFont="1" applyAlignment="1" applyProtection="1">
      <alignment vertical="center"/>
      <protection hidden="1"/>
    </xf>
    <xf numFmtId="0" fontId="29" fillId="0" borderId="0" xfId="0" applyFont="1" applyAlignment="1" applyProtection="1">
      <alignment vertical="center"/>
      <protection hidden="1"/>
    </xf>
    <xf numFmtId="168" fontId="17" fillId="0" borderId="0" xfId="6" applyNumberFormat="1" applyFont="1" applyFill="1" applyAlignment="1" applyProtection="1">
      <alignment horizontal="center"/>
      <protection hidden="1"/>
    </xf>
    <xf numFmtId="4" fontId="13" fillId="0" borderId="0" xfId="0" applyNumberFormat="1" applyFont="1" applyFill="1" applyAlignment="1" applyProtection="1">
      <alignment horizontal="left"/>
      <protection hidden="1"/>
    </xf>
    <xf numFmtId="0" fontId="28" fillId="0" borderId="0" xfId="0" applyFont="1" applyFill="1" applyBorder="1" applyAlignment="1" applyProtection="1">
      <alignment horizontal="center"/>
      <protection hidden="1"/>
    </xf>
    <xf numFmtId="0" fontId="11" fillId="0" borderId="0" xfId="0" applyFont="1" applyFill="1" applyAlignment="1" applyProtection="1">
      <alignment horizontal="left"/>
      <protection hidden="1"/>
    </xf>
    <xf numFmtId="0" fontId="39" fillId="0" borderId="0" xfId="0" applyFont="1" applyAlignment="1" applyProtection="1">
      <alignment horizontal="left" indent="1"/>
      <protection locked="0"/>
    </xf>
    <xf numFmtId="42" fontId="27" fillId="20" borderId="1" xfId="0" applyNumberFormat="1" applyFont="1" applyFill="1" applyBorder="1"/>
    <xf numFmtId="0" fontId="4" fillId="0" borderId="0" xfId="0" applyFont="1" applyFill="1" applyBorder="1" applyAlignment="1" applyProtection="1">
      <protection locked="0"/>
    </xf>
    <xf numFmtId="164" fontId="32" fillId="0" borderId="0" xfId="0" applyNumberFormat="1" applyFont="1" applyFill="1" applyBorder="1" applyAlignment="1">
      <alignment horizontal="right"/>
    </xf>
    <xf numFmtId="0" fontId="22" fillId="0" borderId="0" xfId="0" applyFont="1" applyFill="1" applyBorder="1"/>
    <xf numFmtId="0" fontId="40" fillId="0" borderId="0" xfId="0" applyFont="1"/>
    <xf numFmtId="0" fontId="28" fillId="25" borderId="0" xfId="0" applyFont="1" applyFill="1" applyAlignment="1" applyProtection="1">
      <alignment horizontal="center"/>
      <protection hidden="1"/>
    </xf>
    <xf numFmtId="0" fontId="28" fillId="25" borderId="0" xfId="0" applyFont="1" applyFill="1" applyProtection="1">
      <protection hidden="1"/>
    </xf>
    <xf numFmtId="0" fontId="28" fillId="25" borderId="0" xfId="0" applyFont="1" applyFill="1" applyAlignment="1" applyProtection="1">
      <protection hidden="1"/>
    </xf>
    <xf numFmtId="3" fontId="28" fillId="0" borderId="25" xfId="0" applyNumberFormat="1" applyFont="1" applyFill="1" applyBorder="1" applyAlignment="1" applyProtection="1">
      <alignment horizontal="center"/>
      <protection hidden="1"/>
    </xf>
    <xf numFmtId="0" fontId="1" fillId="0" borderId="0" xfId="0" applyFont="1" applyFill="1" applyBorder="1" applyAlignment="1" applyProtection="1">
      <alignment horizontal="center"/>
      <protection hidden="1"/>
    </xf>
    <xf numFmtId="0" fontId="14" fillId="0" borderId="0" xfId="0" applyFont="1" applyAlignment="1" applyProtection="1">
      <alignment horizontal="center"/>
      <protection hidden="1"/>
    </xf>
    <xf numFmtId="0" fontId="14" fillId="0" borderId="0" xfId="0" applyFont="1" applyProtection="1">
      <protection hidden="1"/>
    </xf>
    <xf numFmtId="0" fontId="41" fillId="0" borderId="0" xfId="7" applyAlignment="1" applyProtection="1">
      <alignment vertical="center"/>
      <protection hidden="1"/>
    </xf>
    <xf numFmtId="0" fontId="28" fillId="0" borderId="0" xfId="0" applyFont="1" applyAlignment="1" applyProtection="1">
      <alignment horizontal="left"/>
      <protection hidden="1"/>
    </xf>
    <xf numFmtId="3" fontId="28" fillId="0" borderId="28" xfId="0" applyNumberFormat="1" applyFont="1" applyBorder="1" applyAlignment="1" applyProtection="1">
      <alignment horizontal="center"/>
      <protection hidden="1"/>
    </xf>
    <xf numFmtId="0" fontId="3" fillId="0" borderId="0" xfId="0" applyFont="1" applyAlignment="1" applyProtection="1">
      <alignment horizontal="right" vertical="center"/>
      <protection hidden="1"/>
    </xf>
    <xf numFmtId="3" fontId="25" fillId="0" borderId="28" xfId="0" applyNumberFormat="1" applyFont="1" applyBorder="1" applyAlignment="1" applyProtection="1">
      <alignment horizontal="center"/>
      <protection hidden="1"/>
    </xf>
    <xf numFmtId="0" fontId="28" fillId="0" borderId="0" xfId="0" applyFont="1" applyBorder="1" applyAlignment="1" applyProtection="1">
      <protection hidden="1"/>
    </xf>
    <xf numFmtId="6" fontId="6" fillId="0" borderId="0" xfId="0" applyNumberFormat="1" applyFont="1" applyFill="1" applyBorder="1" applyAlignment="1" applyProtection="1">
      <alignment horizontal="center"/>
      <protection hidden="1"/>
    </xf>
    <xf numFmtId="0" fontId="3" fillId="25" borderId="0" xfId="0" applyFont="1" applyFill="1" applyBorder="1" applyProtection="1">
      <protection hidden="1"/>
    </xf>
    <xf numFmtId="0" fontId="4" fillId="25" borderId="0" xfId="1" applyFont="1" applyFill="1" applyProtection="1">
      <protection hidden="1"/>
    </xf>
    <xf numFmtId="0" fontId="1" fillId="25" borderId="0" xfId="0" applyFont="1" applyFill="1" applyBorder="1" applyProtection="1">
      <protection hidden="1"/>
    </xf>
    <xf numFmtId="0" fontId="1" fillId="25" borderId="0" xfId="1" applyFont="1" applyFill="1" applyAlignment="1" applyProtection="1">
      <alignment horizontal="left"/>
      <protection hidden="1"/>
    </xf>
    <xf numFmtId="0" fontId="6" fillId="25" borderId="0" xfId="0" applyFont="1" applyFill="1" applyBorder="1" applyAlignment="1" applyProtection="1">
      <alignment horizontal="right"/>
      <protection hidden="1"/>
    </xf>
    <xf numFmtId="0" fontId="3" fillId="20" borderId="0" xfId="0" applyFont="1" applyFill="1" applyBorder="1" applyProtection="1">
      <protection hidden="1"/>
    </xf>
    <xf numFmtId="0" fontId="28" fillId="20" borderId="0" xfId="0" applyFont="1" applyFill="1" applyProtection="1">
      <protection hidden="1"/>
    </xf>
    <xf numFmtId="0" fontId="1" fillId="20" borderId="0" xfId="0" applyFont="1" applyFill="1" applyBorder="1" applyAlignment="1" applyProtection="1">
      <alignment horizontal="left"/>
      <protection hidden="1"/>
    </xf>
    <xf numFmtId="0" fontId="3" fillId="20" borderId="0" xfId="0" applyFont="1" applyFill="1" applyAlignment="1" applyProtection="1">
      <alignment horizontal="right"/>
      <protection hidden="1"/>
    </xf>
    <xf numFmtId="0" fontId="1" fillId="20" borderId="0" xfId="0" applyFont="1" applyFill="1" applyBorder="1" applyAlignment="1" applyProtection="1">
      <alignment horizontal="center"/>
      <protection hidden="1"/>
    </xf>
    <xf numFmtId="166" fontId="0" fillId="0" borderId="0" xfId="0" applyNumberFormat="1"/>
    <xf numFmtId="0" fontId="0" fillId="20" borderId="0" xfId="0" applyFill="1"/>
    <xf numFmtId="0" fontId="42" fillId="20" borderId="0" xfId="0" applyFont="1" applyFill="1"/>
    <xf numFmtId="42" fontId="0" fillId="0" borderId="0" xfId="0" applyNumberFormat="1"/>
    <xf numFmtId="10" fontId="0" fillId="0" borderId="0" xfId="0" applyNumberFormat="1"/>
    <xf numFmtId="3" fontId="0" fillId="0" borderId="0" xfId="0" applyNumberFormat="1"/>
    <xf numFmtId="42" fontId="43" fillId="0" borderId="0" xfId="0" applyNumberFormat="1" applyFont="1"/>
    <xf numFmtId="3" fontId="0" fillId="0" borderId="0" xfId="0" applyNumberFormat="1" applyAlignment="1">
      <alignment horizontal="center"/>
    </xf>
    <xf numFmtId="0" fontId="46" fillId="0" borderId="0" xfId="0" applyFont="1"/>
    <xf numFmtId="44" fontId="0" fillId="0" borderId="0" xfId="0" applyNumberFormat="1"/>
    <xf numFmtId="10" fontId="48" fillId="0" borderId="0" xfId="6" applyNumberFormat="1" applyFont="1" applyAlignment="1">
      <alignment horizontal="center"/>
    </xf>
    <xf numFmtId="0" fontId="45" fillId="0" borderId="0" xfId="0" applyFont="1" applyAlignment="1">
      <alignment horizontal="center"/>
    </xf>
    <xf numFmtId="0" fontId="2" fillId="27" borderId="3" xfId="1" applyFont="1" applyFill="1" applyBorder="1" applyAlignment="1" applyProtection="1">
      <alignment horizontal="center" vertical="center" wrapText="1"/>
      <protection hidden="1"/>
    </xf>
    <xf numFmtId="0" fontId="0" fillId="0" borderId="27" xfId="0" applyBorder="1"/>
    <xf numFmtId="0" fontId="0" fillId="0" borderId="29" xfId="0" applyBorder="1"/>
    <xf numFmtId="0" fontId="0" fillId="0" borderId="0" xfId="0" applyBorder="1"/>
    <xf numFmtId="0" fontId="42" fillId="27" borderId="0" xfId="0" applyFont="1" applyFill="1" applyBorder="1"/>
    <xf numFmtId="0" fontId="0" fillId="0" borderId="14" xfId="0" applyBorder="1"/>
    <xf numFmtId="10" fontId="0" fillId="0" borderId="0" xfId="0" applyNumberFormat="1" applyBorder="1"/>
    <xf numFmtId="42" fontId="0" fillId="0" borderId="0" xfId="0" applyNumberFormat="1" applyBorder="1"/>
    <xf numFmtId="1" fontId="0" fillId="0" borderId="0" xfId="0" applyNumberFormat="1" applyBorder="1"/>
    <xf numFmtId="42" fontId="43" fillId="0" borderId="0" xfId="0" applyNumberFormat="1" applyFont="1" applyBorder="1"/>
    <xf numFmtId="0" fontId="46" fillId="0" borderId="0" xfId="0" applyFont="1" applyBorder="1"/>
    <xf numFmtId="0" fontId="15" fillId="22" borderId="14" xfId="0"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0" fillId="0" borderId="0" xfId="0" applyProtection="1">
      <protection hidden="1"/>
    </xf>
    <xf numFmtId="0" fontId="0" fillId="0" borderId="0" xfId="0" applyAlignment="1" applyProtection="1">
      <alignment horizontal="right"/>
      <protection hidden="1"/>
    </xf>
    <xf numFmtId="0" fontId="43" fillId="0" borderId="0" xfId="0" applyFont="1" applyProtection="1">
      <protection hidden="1"/>
    </xf>
    <xf numFmtId="0" fontId="0" fillId="0" borderId="25" xfId="0" applyBorder="1" applyAlignment="1" applyProtection="1">
      <alignment horizontal="center"/>
      <protection hidden="1"/>
    </xf>
    <xf numFmtId="0" fontId="6" fillId="25" borderId="0" xfId="0" applyFont="1" applyFill="1" applyProtection="1">
      <protection hidden="1"/>
    </xf>
    <xf numFmtId="0" fontId="49" fillId="0" borderId="0" xfId="0" applyFont="1" applyFill="1" applyAlignment="1" applyProtection="1">
      <alignment horizontal="centerContinuous"/>
      <protection hidden="1"/>
    </xf>
    <xf numFmtId="0" fontId="47" fillId="0" borderId="0" xfId="0" applyFont="1" applyAlignment="1" applyProtection="1">
      <alignment horizontal="centerContinuous"/>
      <protection hidden="1"/>
    </xf>
    <xf numFmtId="169" fontId="0" fillId="0" borderId="0" xfId="0" applyNumberFormat="1"/>
    <xf numFmtId="0" fontId="28" fillId="0" borderId="0" xfId="0" applyFont="1" applyBorder="1" applyAlignment="1" applyProtection="1">
      <alignment horizontal="center"/>
      <protection hidden="1"/>
    </xf>
    <xf numFmtId="0" fontId="51" fillId="0" borderId="1" xfId="0" applyFont="1" applyBorder="1" applyProtection="1">
      <protection hidden="1"/>
    </xf>
    <xf numFmtId="0" fontId="1" fillId="0" borderId="10" xfId="0" applyFont="1" applyFill="1" applyBorder="1"/>
    <xf numFmtId="0" fontId="1" fillId="0" borderId="11" xfId="0" applyFont="1" applyFill="1" applyBorder="1"/>
    <xf numFmtId="0" fontId="1" fillId="0" borderId="12" xfId="0" applyFont="1" applyBorder="1" applyProtection="1">
      <protection locked="0"/>
    </xf>
    <xf numFmtId="0" fontId="1" fillId="0" borderId="5" xfId="0" applyFont="1" applyFill="1" applyBorder="1"/>
    <xf numFmtId="0" fontId="54" fillId="0" borderId="0" xfId="0" applyFont="1" applyAlignment="1" applyProtection="1">
      <alignment vertical="center"/>
      <protection hidden="1"/>
    </xf>
    <xf numFmtId="0" fontId="3" fillId="7" borderId="0" xfId="0" applyFont="1" applyFill="1" applyAlignment="1">
      <alignment horizontal="center" wrapText="1"/>
    </xf>
    <xf numFmtId="0" fontId="3" fillId="7" borderId="0" xfId="0" applyFont="1" applyFill="1" applyAlignment="1">
      <alignment horizontal="center"/>
    </xf>
    <xf numFmtId="0" fontId="0" fillId="0" borderId="0" xfId="0" applyBorder="1" applyAlignment="1">
      <alignment horizontal="center"/>
    </xf>
    <xf numFmtId="0" fontId="0" fillId="0" borderId="1" xfId="0" applyBorder="1" applyAlignment="1">
      <alignment horizontal="center"/>
    </xf>
    <xf numFmtId="0" fontId="0" fillId="0" borderId="10" xfId="0" applyBorder="1" applyAlignment="1">
      <alignment horizontal="center"/>
    </xf>
    <xf numFmtId="0" fontId="3" fillId="28" borderId="0" xfId="0" applyFont="1" applyFill="1" applyAlignment="1">
      <alignment horizontal="center" wrapText="1"/>
    </xf>
    <xf numFmtId="0" fontId="3" fillId="28" borderId="0" xfId="0" applyFont="1" applyFill="1"/>
    <xf numFmtId="0" fontId="4" fillId="0" borderId="7" xfId="0" applyFont="1" applyFill="1" applyBorder="1" applyAlignment="1">
      <alignment horizontal="center"/>
    </xf>
    <xf numFmtId="0" fontId="4" fillId="0" borderId="0" xfId="0" applyFont="1" applyBorder="1"/>
    <xf numFmtId="0" fontId="3" fillId="0" borderId="0" xfId="0" applyFont="1" applyBorder="1"/>
    <xf numFmtId="43" fontId="0" fillId="28" borderId="31" xfId="5" applyFont="1" applyFill="1" applyBorder="1"/>
    <xf numFmtId="0" fontId="3" fillId="0" borderId="9" xfId="0" applyFont="1" applyBorder="1"/>
    <xf numFmtId="164" fontId="3" fillId="28" borderId="32" xfId="5" applyNumberFormat="1" applyFont="1" applyFill="1" applyBorder="1"/>
    <xf numFmtId="43" fontId="0" fillId="0" borderId="13" xfId="0" applyNumberFormat="1" applyBorder="1"/>
    <xf numFmtId="0" fontId="0" fillId="0" borderId="0" xfId="0" applyFill="1"/>
    <xf numFmtId="0" fontId="0" fillId="0" borderId="1" xfId="0" applyBorder="1"/>
    <xf numFmtId="0" fontId="0" fillId="0" borderId="11" xfId="0" applyBorder="1"/>
    <xf numFmtId="0" fontId="52" fillId="0" borderId="10" xfId="0" applyFont="1" applyFill="1" applyBorder="1" applyAlignment="1" applyProtection="1">
      <alignment horizontal="left"/>
      <protection hidden="1"/>
    </xf>
    <xf numFmtId="0" fontId="52" fillId="0" borderId="10" xfId="0" applyFont="1" applyBorder="1" applyAlignment="1" applyProtection="1">
      <alignment horizontal="left"/>
      <protection hidden="1"/>
    </xf>
    <xf numFmtId="0" fontId="3" fillId="6" borderId="1" xfId="0" applyFont="1" applyFill="1" applyBorder="1" applyAlignment="1">
      <alignment horizontal="center" wrapText="1"/>
    </xf>
    <xf numFmtId="0" fontId="0" fillId="0" borderId="10" xfId="0" applyBorder="1"/>
    <xf numFmtId="0" fontId="0" fillId="0" borderId="0" xfId="0" applyFill="1" applyBorder="1"/>
    <xf numFmtId="0" fontId="3" fillId="8" borderId="0" xfId="0" applyFont="1" applyFill="1" applyAlignment="1">
      <alignment horizontal="center" wrapText="1"/>
    </xf>
    <xf numFmtId="0" fontId="3" fillId="8"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3" fillId="0" borderId="3" xfId="0" applyFont="1" applyBorder="1" applyAlignment="1">
      <alignment horizontal="center"/>
    </xf>
    <xf numFmtId="0" fontId="3" fillId="7" borderId="3" xfId="0" applyFont="1" applyFill="1" applyBorder="1" applyAlignment="1">
      <alignment horizontal="center"/>
    </xf>
    <xf numFmtId="0" fontId="3" fillId="9" borderId="0" xfId="0" applyFont="1" applyFill="1" applyAlignment="1">
      <alignment horizontal="center" wrapText="1"/>
    </xf>
    <xf numFmtId="0" fontId="3" fillId="9" borderId="0" xfId="0" applyFont="1" applyFill="1" applyAlignment="1">
      <alignment horizontal="center"/>
    </xf>
    <xf numFmtId="0" fontId="7" fillId="0" borderId="1" xfId="0" applyFont="1" applyBorder="1" applyProtection="1">
      <protection locked="0"/>
    </xf>
    <xf numFmtId="0" fontId="7" fillId="0" borderId="10" xfId="0" applyFont="1" applyBorder="1" applyProtection="1">
      <protection locked="0"/>
    </xf>
    <xf numFmtId="0" fontId="7" fillId="0" borderId="0" xfId="0" applyFont="1" applyBorder="1" applyProtection="1">
      <protection locked="0"/>
    </xf>
    <xf numFmtId="0" fontId="1" fillId="0" borderId="0" xfId="1" applyFill="1" applyBorder="1" applyAlignment="1">
      <alignment horizontal="center" wrapText="1"/>
    </xf>
    <xf numFmtId="0" fontId="4" fillId="17" borderId="7" xfId="1" applyFont="1" applyFill="1" applyBorder="1"/>
    <xf numFmtId="0" fontId="3" fillId="7" borderId="0" xfId="0" applyFont="1" applyFill="1"/>
    <xf numFmtId="0" fontId="3" fillId="3" borderId="0" xfId="0" applyFont="1" applyFill="1" applyAlignment="1">
      <alignment horizontal="center" wrapText="1"/>
    </xf>
    <xf numFmtId="0" fontId="0" fillId="3" borderId="0" xfId="0" applyFill="1" applyBorder="1" applyAlignment="1">
      <alignment horizontal="center"/>
    </xf>
    <xf numFmtId="0" fontId="3" fillId="15" borderId="7" xfId="0" applyFont="1" applyFill="1" applyBorder="1" applyAlignment="1">
      <alignment horizontal="center"/>
    </xf>
    <xf numFmtId="0" fontId="25" fillId="0" borderId="0" xfId="0" applyFont="1" applyFill="1" applyAlignment="1" applyProtection="1">
      <alignment wrapText="1"/>
      <protection hidden="1"/>
    </xf>
    <xf numFmtId="5" fontId="22" fillId="17" borderId="13" xfId="0" applyNumberFormat="1" applyFont="1" applyFill="1" applyBorder="1"/>
    <xf numFmtId="42" fontId="22" fillId="0" borderId="3" xfId="0" applyNumberFormat="1" applyFont="1" applyFill="1" applyBorder="1"/>
    <xf numFmtId="43" fontId="22" fillId="0" borderId="3" xfId="0" applyNumberFormat="1" applyFont="1" applyBorder="1"/>
    <xf numFmtId="0" fontId="20" fillId="29" borderId="34" xfId="0" applyFont="1" applyFill="1" applyBorder="1"/>
    <xf numFmtId="0" fontId="3" fillId="0" borderId="3" xfId="0" applyFont="1" applyFill="1" applyBorder="1"/>
    <xf numFmtId="0" fontId="56" fillId="0" borderId="35" xfId="0" applyFont="1" applyBorder="1"/>
    <xf numFmtId="0" fontId="4" fillId="0" borderId="0" xfId="0" applyFont="1" applyBorder="1" applyAlignment="1">
      <alignment horizontal="right"/>
    </xf>
    <xf numFmtId="0" fontId="57" fillId="0" borderId="0" xfId="0" applyFont="1" applyAlignment="1" applyProtection="1">
      <alignment horizontal="left" indent="1"/>
      <protection locked="0"/>
    </xf>
    <xf numFmtId="0" fontId="58" fillId="0" borderId="0" xfId="0" applyFont="1"/>
    <xf numFmtId="0" fontId="4" fillId="0" borderId="0" xfId="0" applyFont="1"/>
    <xf numFmtId="5" fontId="22" fillId="0" borderId="3" xfId="0" applyNumberFormat="1" applyFont="1" applyBorder="1"/>
    <xf numFmtId="9" fontId="22" fillId="0" borderId="3" xfId="0" applyNumberFormat="1" applyFont="1" applyBorder="1"/>
    <xf numFmtId="164" fontId="22" fillId="0" borderId="3" xfId="5" applyNumberFormat="1" applyFont="1" applyBorder="1"/>
    <xf numFmtId="164" fontId="27" fillId="20" borderId="3" xfId="5" applyNumberFormat="1" applyFont="1" applyFill="1" applyBorder="1"/>
    <xf numFmtId="8" fontId="55" fillId="0" borderId="3" xfId="0" applyNumberFormat="1" applyFont="1" applyBorder="1"/>
    <xf numFmtId="164" fontId="55" fillId="0" borderId="3" xfId="5" applyNumberFormat="1" applyFont="1" applyBorder="1"/>
    <xf numFmtId="0" fontId="2" fillId="2" borderId="0" xfId="0" applyFont="1" applyFill="1"/>
    <xf numFmtId="0" fontId="1" fillId="0" borderId="33" xfId="0" applyFont="1" applyFill="1" applyBorder="1" applyProtection="1">
      <protection locked="0"/>
    </xf>
    <xf numFmtId="0" fontId="1" fillId="0" borderId="9" xfId="0" applyFont="1" applyFill="1" applyBorder="1" applyProtection="1">
      <protection locked="0"/>
    </xf>
    <xf numFmtId="0" fontId="4" fillId="0" borderId="9" xfId="0" applyFont="1" applyBorder="1"/>
    <xf numFmtId="0" fontId="3" fillId="0" borderId="0" xfId="0" applyFont="1" applyFill="1" applyBorder="1" applyProtection="1">
      <protection locked="0"/>
    </xf>
    <xf numFmtId="0" fontId="3" fillId="0" borderId="4" xfId="0" applyFont="1" applyFill="1" applyBorder="1" applyProtection="1">
      <protection locked="0"/>
    </xf>
    <xf numFmtId="0" fontId="3" fillId="18" borderId="3" xfId="0" applyFont="1" applyFill="1" applyBorder="1" applyProtection="1">
      <protection locked="0"/>
    </xf>
    <xf numFmtId="0" fontId="3" fillId="0" borderId="3" xfId="0" applyFont="1" applyFill="1" applyBorder="1" applyProtection="1">
      <protection locked="0"/>
    </xf>
    <xf numFmtId="0" fontId="1" fillId="0" borderId="3" xfId="0" applyFont="1" applyFill="1" applyBorder="1" applyProtection="1">
      <protection locked="0"/>
    </xf>
    <xf numFmtId="0" fontId="1" fillId="0" borderId="0" xfId="0" applyFont="1" applyFill="1" applyBorder="1" applyProtection="1">
      <protection locked="0"/>
    </xf>
    <xf numFmtId="8" fontId="22" fillId="0" borderId="0" xfId="0" applyNumberFormat="1" applyFont="1" applyBorder="1"/>
    <xf numFmtId="0" fontId="1" fillId="0" borderId="3" xfId="0" applyFont="1" applyBorder="1"/>
    <xf numFmtId="0" fontId="1" fillId="0" borderId="3" xfId="0" applyFont="1" applyFill="1" applyBorder="1"/>
    <xf numFmtId="3" fontId="22" fillId="0" borderId="3" xfId="0" applyNumberFormat="1" applyFont="1" applyBorder="1"/>
    <xf numFmtId="0" fontId="22" fillId="30" borderId="0" xfId="0" applyFont="1" applyFill="1"/>
    <xf numFmtId="0" fontId="22" fillId="17" borderId="3" xfId="0" applyFont="1" applyFill="1" applyBorder="1"/>
    <xf numFmtId="0" fontId="6" fillId="25" borderId="0" xfId="0" applyFont="1" applyFill="1" applyBorder="1" applyProtection="1">
      <protection hidden="1"/>
    </xf>
    <xf numFmtId="0" fontId="60" fillId="25" borderId="0" xfId="0" applyFont="1" applyFill="1" applyProtection="1">
      <protection hidden="1"/>
    </xf>
    <xf numFmtId="0" fontId="1" fillId="25" borderId="0" xfId="0" applyFont="1" applyFill="1" applyProtection="1">
      <protection hidden="1"/>
    </xf>
    <xf numFmtId="43" fontId="22" fillId="17" borderId="3" xfId="0" applyNumberFormat="1" applyFont="1" applyFill="1" applyBorder="1"/>
    <xf numFmtId="3" fontId="22" fillId="17" borderId="3" xfId="0" applyNumberFormat="1" applyFont="1" applyFill="1" applyBorder="1"/>
    <xf numFmtId="43" fontId="1" fillId="0" borderId="0" xfId="5" applyFont="1" applyBorder="1" applyProtection="1">
      <protection hidden="1"/>
    </xf>
    <xf numFmtId="170" fontId="3" fillId="16" borderId="0" xfId="0" applyNumberFormat="1" applyFont="1" applyFill="1" applyProtection="1">
      <protection hidden="1"/>
    </xf>
    <xf numFmtId="10" fontId="28" fillId="17" borderId="3" xfId="0" applyNumberFormat="1" applyFont="1" applyFill="1" applyBorder="1" applyProtection="1">
      <protection hidden="1"/>
    </xf>
    <xf numFmtId="164" fontId="1" fillId="0" borderId="0" xfId="5" applyNumberFormat="1" applyFont="1" applyBorder="1" applyProtection="1">
      <protection hidden="1"/>
    </xf>
    <xf numFmtId="43" fontId="1" fillId="0" borderId="4" xfId="5" applyFont="1" applyBorder="1" applyProtection="1">
      <protection hidden="1"/>
    </xf>
    <xf numFmtId="164" fontId="1" fillId="0" borderId="5" xfId="5" applyNumberFormat="1" applyFont="1" applyBorder="1" applyProtection="1">
      <protection hidden="1"/>
    </xf>
    <xf numFmtId="164" fontId="1" fillId="0" borderId="36" xfId="5" applyNumberFormat="1" applyFont="1" applyBorder="1" applyProtection="1">
      <protection hidden="1"/>
    </xf>
    <xf numFmtId="0" fontId="3" fillId="0" borderId="0" xfId="0" applyFont="1" applyAlignment="1" applyProtection="1">
      <alignment horizontal="center" vertical="center" wrapText="1"/>
      <protection hidden="1"/>
    </xf>
    <xf numFmtId="0" fontId="3" fillId="15" borderId="3" xfId="0" applyFont="1" applyFill="1" applyBorder="1" applyAlignment="1" applyProtection="1">
      <alignment horizontal="center" vertical="center" wrapText="1"/>
      <protection hidden="1"/>
    </xf>
    <xf numFmtId="0" fontId="3" fillId="15" borderId="0" xfId="0" applyFont="1" applyFill="1" applyBorder="1" applyAlignment="1" applyProtection="1">
      <alignment horizontal="center" vertical="center" wrapText="1"/>
      <protection hidden="1"/>
    </xf>
    <xf numFmtId="0" fontId="28" fillId="0" borderId="0" xfId="0" applyFont="1" applyAlignment="1" applyProtection="1">
      <alignment horizontal="center" vertical="center"/>
      <protection hidden="1"/>
    </xf>
    <xf numFmtId="42" fontId="28" fillId="20" borderId="33" xfId="0" applyNumberFormat="1" applyFont="1" applyFill="1" applyBorder="1" applyProtection="1">
      <protection hidden="1"/>
    </xf>
    <xf numFmtId="0" fontId="28" fillId="0" borderId="12" xfId="0" applyFont="1" applyBorder="1" applyProtection="1">
      <protection hidden="1"/>
    </xf>
    <xf numFmtId="0" fontId="28" fillId="19" borderId="4" xfId="0" applyFont="1" applyFill="1" applyBorder="1" applyAlignment="1" applyProtection="1">
      <protection hidden="1"/>
    </xf>
    <xf numFmtId="0" fontId="28" fillId="19" borderId="5" xfId="0" applyFont="1" applyFill="1" applyBorder="1" applyAlignment="1" applyProtection="1">
      <protection hidden="1"/>
    </xf>
    <xf numFmtId="43" fontId="1" fillId="0" borderId="5" xfId="5" applyFont="1" applyBorder="1" applyProtection="1">
      <protection hidden="1"/>
    </xf>
    <xf numFmtId="43" fontId="28" fillId="0" borderId="4" xfId="0" applyNumberFormat="1" applyFont="1" applyBorder="1" applyProtection="1">
      <protection hidden="1"/>
    </xf>
    <xf numFmtId="43" fontId="28" fillId="0" borderId="9" xfId="0" applyNumberFormat="1" applyFont="1" applyBorder="1" applyProtection="1">
      <protection hidden="1"/>
    </xf>
    <xf numFmtId="4" fontId="28" fillId="0" borderId="25" xfId="0" applyNumberFormat="1" applyFont="1" applyBorder="1" applyAlignment="1" applyProtection="1">
      <alignment horizontal="center"/>
      <protection hidden="1"/>
    </xf>
    <xf numFmtId="4" fontId="28" fillId="0" borderId="25" xfId="0" applyNumberFormat="1" applyFont="1" applyFill="1" applyBorder="1" applyAlignment="1" applyProtection="1">
      <alignment horizontal="center"/>
      <protection hidden="1"/>
    </xf>
    <xf numFmtId="0" fontId="13" fillId="0" borderId="3" xfId="0" applyFont="1" applyFill="1" applyBorder="1" applyAlignment="1" applyProtection="1">
      <protection hidden="1"/>
    </xf>
    <xf numFmtId="0" fontId="28" fillId="17" borderId="1" xfId="0" applyFont="1" applyFill="1" applyBorder="1" applyProtection="1">
      <protection hidden="1"/>
    </xf>
    <xf numFmtId="2" fontId="28" fillId="17" borderId="11" xfId="0" applyNumberFormat="1" applyFont="1" applyFill="1" applyBorder="1" applyProtection="1">
      <protection hidden="1"/>
    </xf>
    <xf numFmtId="0" fontId="13" fillId="0" borderId="0" xfId="0" applyFont="1" applyFill="1" applyAlignment="1" applyProtection="1">
      <alignment horizontal="right"/>
      <protection hidden="1"/>
    </xf>
    <xf numFmtId="1" fontId="63" fillId="0" borderId="0" xfId="0" applyNumberFormat="1" applyFont="1" applyFill="1" applyBorder="1" applyAlignment="1" applyProtection="1">
      <alignment horizontal="center"/>
      <protection hidden="1"/>
    </xf>
    <xf numFmtId="0" fontId="13" fillId="0" borderId="0" xfId="0" applyFont="1" applyFill="1" applyAlignment="1" applyProtection="1">
      <protection hidden="1"/>
    </xf>
    <xf numFmtId="0" fontId="63" fillId="0" borderId="0" xfId="0" applyFont="1" applyFill="1" applyAlignment="1" applyProtection="1">
      <alignment horizontal="center"/>
      <protection hidden="1"/>
    </xf>
    <xf numFmtId="4" fontId="29" fillId="0" borderId="25" xfId="0" applyNumberFormat="1" applyFont="1" applyBorder="1" applyAlignment="1" applyProtection="1">
      <alignment horizontal="center"/>
      <protection hidden="1"/>
    </xf>
    <xf numFmtId="0" fontId="3" fillId="0" borderId="0" xfId="0" applyFont="1" applyFill="1" applyBorder="1" applyAlignment="1" applyProtection="1">
      <alignment horizontal="center" vertical="center" wrapText="1"/>
      <protection hidden="1"/>
    </xf>
    <xf numFmtId="3" fontId="3" fillId="0" borderId="0" xfId="0" applyNumberFormat="1" applyFont="1" applyFill="1" applyBorder="1" applyAlignment="1" applyProtection="1">
      <alignment horizontal="center"/>
      <protection hidden="1"/>
    </xf>
    <xf numFmtId="0" fontId="20" fillId="0" borderId="0" xfId="0" applyFont="1" applyFill="1" applyBorder="1"/>
    <xf numFmtId="0" fontId="23" fillId="21" borderId="1" xfId="0" applyFont="1" applyFill="1" applyBorder="1" applyAlignment="1">
      <alignment horizontal="center" wrapText="1"/>
    </xf>
    <xf numFmtId="9" fontId="22" fillId="0" borderId="0" xfId="6" applyFont="1" applyFill="1" applyBorder="1"/>
    <xf numFmtId="44" fontId="22" fillId="0" borderId="0" xfId="0" applyNumberFormat="1" applyFont="1" applyFill="1" applyBorder="1"/>
    <xf numFmtId="0" fontId="0" fillId="5" borderId="33" xfId="0" applyFill="1" applyBorder="1" applyProtection="1">
      <protection locked="0"/>
    </xf>
    <xf numFmtId="42" fontId="64" fillId="20" borderId="0" xfId="0" applyNumberFormat="1" applyFont="1" applyFill="1" applyBorder="1"/>
    <xf numFmtId="9" fontId="26" fillId="0" borderId="3" xfId="0" applyNumberFormat="1" applyFont="1" applyFill="1" applyBorder="1"/>
    <xf numFmtId="0" fontId="0" fillId="6" borderId="16" xfId="0" applyFill="1" applyBorder="1" applyProtection="1">
      <protection locked="0"/>
    </xf>
    <xf numFmtId="164" fontId="64" fillId="20" borderId="0" xfId="5" applyNumberFormat="1" applyFont="1" applyFill="1"/>
    <xf numFmtId="0" fontId="0" fillId="8" borderId="0" xfId="0" applyFill="1" applyProtection="1">
      <protection locked="0"/>
    </xf>
    <xf numFmtId="0" fontId="0" fillId="17" borderId="3" xfId="0" applyFill="1" applyBorder="1"/>
    <xf numFmtId="10" fontId="0" fillId="17" borderId="3" xfId="0" applyNumberFormat="1" applyFill="1" applyBorder="1"/>
    <xf numFmtId="0" fontId="22" fillId="19" borderId="3" xfId="0" applyFont="1" applyFill="1" applyBorder="1"/>
    <xf numFmtId="10" fontId="22" fillId="19" borderId="3" xfId="0" applyNumberFormat="1" applyFont="1" applyFill="1" applyBorder="1"/>
    <xf numFmtId="44" fontId="22" fillId="19" borderId="3" xfId="0" applyNumberFormat="1" applyFont="1" applyFill="1" applyBorder="1"/>
    <xf numFmtId="10" fontId="0" fillId="0" borderId="25" xfId="6" applyNumberFormat="1" applyFont="1" applyBorder="1" applyAlignment="1" applyProtection="1">
      <alignment horizontal="center"/>
      <protection hidden="1"/>
    </xf>
    <xf numFmtId="10" fontId="3" fillId="0" borderId="0" xfId="0" applyNumberFormat="1" applyFont="1" applyFill="1" applyBorder="1" applyAlignment="1" applyProtection="1">
      <alignment horizontal="center"/>
      <protection hidden="1"/>
    </xf>
    <xf numFmtId="0" fontId="9" fillId="0" borderId="1" xfId="0" applyFont="1" applyBorder="1" applyAlignment="1" applyProtection="1">
      <alignment horizontal="center"/>
      <protection hidden="1"/>
    </xf>
    <xf numFmtId="0" fontId="0" fillId="0" borderId="10" xfId="0" applyBorder="1" applyProtection="1">
      <protection hidden="1"/>
    </xf>
    <xf numFmtId="0" fontId="0" fillId="19" borderId="10" xfId="0" applyFill="1" applyBorder="1" applyProtection="1">
      <protection hidden="1"/>
    </xf>
    <xf numFmtId="8" fontId="0" fillId="0" borderId="10" xfId="0" applyNumberFormat="1" applyBorder="1" applyProtection="1">
      <protection hidden="1"/>
    </xf>
    <xf numFmtId="8" fontId="1" fillId="0" borderId="0" xfId="0" applyNumberFormat="1" applyFont="1" applyFill="1" applyBorder="1" applyAlignment="1" applyProtection="1">
      <alignment horizontal="left"/>
      <protection hidden="1"/>
    </xf>
    <xf numFmtId="0" fontId="0" fillId="19" borderId="4" xfId="0" applyFill="1" applyBorder="1"/>
    <xf numFmtId="43" fontId="0" fillId="0" borderId="4" xfId="5" applyFont="1" applyBorder="1"/>
    <xf numFmtId="43" fontId="0" fillId="0" borderId="9" xfId="5" applyFont="1" applyBorder="1"/>
    <xf numFmtId="0" fontId="0" fillId="19" borderId="5" xfId="0" applyFill="1" applyBorder="1"/>
    <xf numFmtId="0" fontId="0" fillId="0" borderId="5" xfId="0" applyBorder="1"/>
    <xf numFmtId="43" fontId="28" fillId="0" borderId="5" xfId="5" applyNumberFormat="1" applyFont="1" applyBorder="1" applyProtection="1">
      <protection hidden="1"/>
    </xf>
    <xf numFmtId="43" fontId="28" fillId="0" borderId="36" xfId="5" applyNumberFormat="1" applyFont="1" applyBorder="1" applyProtection="1">
      <protection hidden="1"/>
    </xf>
    <xf numFmtId="3" fontId="0" fillId="20" borderId="0" xfId="0" applyNumberFormat="1" applyFill="1" applyAlignment="1">
      <alignment horizontal="center"/>
    </xf>
    <xf numFmtId="4" fontId="0" fillId="0" borderId="0" xfId="0" applyNumberFormat="1"/>
    <xf numFmtId="3" fontId="62" fillId="0" borderId="0" xfId="0" applyNumberFormat="1" applyFont="1" applyAlignment="1">
      <alignment horizontal="center"/>
    </xf>
    <xf numFmtId="43" fontId="0" fillId="0" borderId="0" xfId="0" applyNumberFormat="1"/>
    <xf numFmtId="3" fontId="0" fillId="0" borderId="0" xfId="0" applyNumberFormat="1" applyFill="1" applyAlignment="1">
      <alignment horizontal="center"/>
    </xf>
    <xf numFmtId="43" fontId="0" fillId="0" borderId="0" xfId="5" applyFont="1" applyBorder="1"/>
    <xf numFmtId="0" fontId="43" fillId="0" borderId="0" xfId="0" applyFont="1" applyBorder="1"/>
    <xf numFmtId="3" fontId="28" fillId="0" borderId="0" xfId="0" applyNumberFormat="1" applyFont="1" applyBorder="1" applyAlignment="1" applyProtection="1">
      <alignment horizontal="center"/>
      <protection hidden="1"/>
    </xf>
    <xf numFmtId="3" fontId="0" fillId="31" borderId="0" xfId="0" applyNumberFormat="1" applyFill="1" applyAlignment="1">
      <alignment horizontal="center"/>
    </xf>
    <xf numFmtId="0" fontId="2" fillId="26" borderId="3" xfId="1" applyFont="1" applyFill="1" applyBorder="1" applyAlignment="1" applyProtection="1">
      <alignment horizontal="center" vertical="center" wrapText="1"/>
      <protection hidden="1"/>
    </xf>
    <xf numFmtId="0" fontId="18" fillId="26" borderId="3" xfId="1" applyFont="1" applyFill="1" applyBorder="1" applyAlignment="1" applyProtection="1">
      <alignment horizontal="center" vertical="center" wrapText="1"/>
      <protection hidden="1"/>
    </xf>
    <xf numFmtId="44" fontId="0" fillId="0" borderId="14" xfId="0" applyNumberFormat="1" applyBorder="1"/>
    <xf numFmtId="10" fontId="13" fillId="0" borderId="0" xfId="6" applyNumberFormat="1" applyFont="1" applyFill="1" applyBorder="1" applyAlignment="1" applyProtection="1">
      <alignment horizontal="center" vertical="center"/>
      <protection hidden="1"/>
    </xf>
    <xf numFmtId="167" fontId="29" fillId="0" borderId="0" xfId="0" applyNumberFormat="1" applyFont="1" applyFill="1" applyAlignment="1" applyProtection="1">
      <alignment horizontal="center" vertical="center"/>
      <protection locked="0" hidden="1"/>
    </xf>
    <xf numFmtId="3" fontId="25" fillId="0" borderId="25" xfId="0" applyNumberFormat="1" applyFont="1" applyBorder="1" applyAlignment="1" applyProtection="1">
      <alignment horizontal="center"/>
      <protection locked="0" hidden="1"/>
    </xf>
    <xf numFmtId="0" fontId="25" fillId="0" borderId="25" xfId="0" applyFont="1" applyBorder="1" applyProtection="1">
      <protection locked="0" hidden="1"/>
    </xf>
    <xf numFmtId="0" fontId="6" fillId="0" borderId="24" xfId="0" applyFont="1" applyBorder="1" applyAlignment="1" applyProtection="1">
      <alignment horizontal="center" vertical="center"/>
      <protection locked="0" hidden="1"/>
    </xf>
    <xf numFmtId="0" fontId="38" fillId="0" borderId="26" xfId="0" applyFont="1" applyBorder="1" applyAlignment="1" applyProtection="1">
      <alignment horizontal="centerContinuous" vertical="center"/>
      <protection hidden="1"/>
    </xf>
    <xf numFmtId="0" fontId="65" fillId="0" borderId="0" xfId="0" applyFont="1" applyProtection="1">
      <protection hidden="1"/>
    </xf>
    <xf numFmtId="0" fontId="66" fillId="0" borderId="0" xfId="0" applyFont="1" applyProtection="1">
      <protection hidden="1"/>
    </xf>
    <xf numFmtId="0" fontId="3" fillId="32" borderId="3" xfId="0" applyFont="1" applyFill="1" applyBorder="1"/>
    <xf numFmtId="0" fontId="1" fillId="0" borderId="11" xfId="0" applyFont="1" applyFill="1" applyBorder="1" applyAlignment="1">
      <alignment horizontal="center"/>
    </xf>
    <xf numFmtId="0" fontId="1" fillId="0" borderId="3" xfId="0" applyFont="1" applyFill="1" applyBorder="1" applyAlignment="1">
      <alignment horizontal="center"/>
    </xf>
    <xf numFmtId="0" fontId="1" fillId="0" borderId="0" xfId="0" applyFont="1" applyFill="1" applyBorder="1" applyAlignment="1">
      <alignment horizontal="center"/>
    </xf>
    <xf numFmtId="0" fontId="4" fillId="17" borderId="1" xfId="0" applyFont="1" applyFill="1" applyBorder="1" applyAlignment="1">
      <alignment horizontal="center"/>
    </xf>
    <xf numFmtId="0" fontId="4" fillId="0" borderId="11" xfId="0" applyFont="1" applyBorder="1" applyAlignment="1">
      <alignment horizontal="center"/>
    </xf>
    <xf numFmtId="0" fontId="3" fillId="0" borderId="2" xfId="0" applyFont="1" applyBorder="1"/>
    <xf numFmtId="164" fontId="3" fillId="28" borderId="6" xfId="5" applyNumberFormat="1" applyFont="1" applyFill="1" applyBorder="1"/>
    <xf numFmtId="0" fontId="25" fillId="0" borderId="0" xfId="0" applyFont="1" applyProtection="1">
      <protection hidden="1"/>
    </xf>
    <xf numFmtId="9" fontId="9" fillId="0" borderId="0" xfId="6" applyFont="1" applyAlignment="1" applyProtection="1">
      <alignment horizontal="left" indent="1"/>
      <protection locked="0"/>
    </xf>
    <xf numFmtId="0" fontId="29" fillId="0" borderId="0" xfId="0" applyFont="1" applyFill="1" applyBorder="1" applyAlignment="1" applyProtection="1">
      <protection hidden="1"/>
    </xf>
    <xf numFmtId="0" fontId="1" fillId="0" borderId="12" xfId="1" applyFill="1" applyBorder="1"/>
    <xf numFmtId="0" fontId="1" fillId="0" borderId="5" xfId="1" applyFill="1" applyBorder="1"/>
    <xf numFmtId="0" fontId="1" fillId="0" borderId="36" xfId="1" applyFill="1" applyBorder="1"/>
    <xf numFmtId="8" fontId="1" fillId="0" borderId="30" xfId="1" applyNumberFormat="1" applyFill="1" applyBorder="1"/>
    <xf numFmtId="0" fontId="3" fillId="33" borderId="3" xfId="0" applyFont="1" applyFill="1" applyBorder="1" applyAlignment="1">
      <alignment horizontal="center" wrapText="1"/>
    </xf>
    <xf numFmtId="0" fontId="3" fillId="0" borderId="3" xfId="1" applyFont="1" applyFill="1" applyBorder="1"/>
    <xf numFmtId="0" fontId="1" fillId="0" borderId="3" xfId="1" quotePrefix="1" applyFill="1" applyBorder="1"/>
    <xf numFmtId="3" fontId="3" fillId="0" borderId="3" xfId="1" applyNumberFormat="1" applyFont="1" applyFill="1" applyBorder="1" applyAlignment="1">
      <alignment horizontal="right"/>
    </xf>
    <xf numFmtId="3" fontId="1" fillId="0" borderId="3" xfId="1" applyNumberFormat="1" applyFill="1" applyBorder="1" applyAlignment="1">
      <alignment horizontal="right"/>
    </xf>
    <xf numFmtId="3" fontId="3" fillId="17" borderId="3" xfId="1" applyNumberFormat="1" applyFont="1" applyFill="1" applyBorder="1" applyAlignment="1">
      <alignment horizontal="right"/>
    </xf>
    <xf numFmtId="0" fontId="16" fillId="20" borderId="23" xfId="0" applyFont="1" applyFill="1" applyBorder="1" applyProtection="1">
      <protection hidden="1"/>
    </xf>
    <xf numFmtId="0" fontId="14" fillId="20" borderId="23" xfId="0" applyFont="1" applyFill="1" applyBorder="1" applyProtection="1">
      <protection hidden="1"/>
    </xf>
    <xf numFmtId="0" fontId="16" fillId="20" borderId="23" xfId="0" applyFont="1" applyFill="1" applyBorder="1" applyAlignment="1" applyProtection="1">
      <alignment horizontal="right"/>
      <protection hidden="1"/>
    </xf>
    <xf numFmtId="0" fontId="38" fillId="0" borderId="40" xfId="0" applyFont="1" applyBorder="1" applyAlignment="1" applyProtection="1">
      <alignment horizontal="centerContinuous" vertical="center"/>
      <protection hidden="1"/>
    </xf>
    <xf numFmtId="0" fontId="38" fillId="0" borderId="41" xfId="0" applyFont="1" applyBorder="1" applyAlignment="1" applyProtection="1">
      <alignment horizontal="centerContinuous" vertical="center"/>
      <protection hidden="1"/>
    </xf>
    <xf numFmtId="0" fontId="3" fillId="15" borderId="33" xfId="0" applyFont="1" applyFill="1" applyBorder="1" applyAlignment="1" applyProtection="1">
      <alignment horizontal="center" vertical="center" wrapText="1"/>
      <protection hidden="1"/>
    </xf>
    <xf numFmtId="0" fontId="3" fillId="15" borderId="12" xfId="0" applyFont="1" applyFill="1" applyBorder="1" applyAlignment="1" applyProtection="1">
      <alignment horizontal="center" vertical="center" wrapText="1"/>
      <protection hidden="1"/>
    </xf>
    <xf numFmtId="0" fontId="6" fillId="0" borderId="0" xfId="0" applyFont="1" applyFill="1" applyAlignment="1" applyProtection="1">
      <alignment horizontal="right" vertical="center"/>
      <protection hidden="1"/>
    </xf>
    <xf numFmtId="1" fontId="4" fillId="0" borderId="0" xfId="0" applyNumberFormat="1" applyFont="1" applyFill="1" applyBorder="1" applyAlignment="1" applyProtection="1">
      <alignment horizontal="center"/>
      <protection hidden="1"/>
    </xf>
    <xf numFmtId="0" fontId="3" fillId="0" borderId="0" xfId="0" applyFont="1" applyFill="1" applyAlignment="1" applyProtection="1">
      <protection hidden="1"/>
    </xf>
    <xf numFmtId="0" fontId="28" fillId="0" borderId="0" xfId="0" applyFont="1" applyAlignment="1" applyProtection="1">
      <alignment horizontal="right"/>
      <protection hidden="1"/>
    </xf>
    <xf numFmtId="0" fontId="4" fillId="0" borderId="0" xfId="0" applyFont="1" applyFill="1" applyAlignment="1" applyProtection="1">
      <alignment horizontal="center"/>
      <protection hidden="1"/>
    </xf>
    <xf numFmtId="6" fontId="28" fillId="0" borderId="0" xfId="0" applyNumberFormat="1" applyFont="1" applyBorder="1" applyAlignment="1" applyProtection="1">
      <alignment horizontal="center"/>
      <protection hidden="1"/>
    </xf>
    <xf numFmtId="9" fontId="28" fillId="0" borderId="0" xfId="0" applyNumberFormat="1" applyFont="1" applyBorder="1" applyAlignment="1" applyProtection="1">
      <alignment horizontal="center"/>
      <protection hidden="1"/>
    </xf>
    <xf numFmtId="10" fontId="6" fillId="0" borderId="0" xfId="0" applyNumberFormat="1" applyFont="1" applyBorder="1" applyAlignment="1" applyProtection="1">
      <alignment horizontal="center"/>
      <protection hidden="1"/>
    </xf>
    <xf numFmtId="10" fontId="3" fillId="0" borderId="0" xfId="0" applyNumberFormat="1" applyFont="1" applyBorder="1" applyAlignment="1" applyProtection="1">
      <alignment horizontal="center"/>
      <protection hidden="1"/>
    </xf>
    <xf numFmtId="6" fontId="29" fillId="0" borderId="0" xfId="0" applyNumberFormat="1" applyFont="1" applyBorder="1" applyAlignment="1" applyProtection="1">
      <alignment horizontal="center"/>
      <protection hidden="1"/>
    </xf>
    <xf numFmtId="6" fontId="6" fillId="0" borderId="0" xfId="0" applyNumberFormat="1" applyFont="1" applyBorder="1" applyAlignment="1" applyProtection="1">
      <alignment horizontal="center"/>
      <protection hidden="1"/>
    </xf>
    <xf numFmtId="167" fontId="29" fillId="0" borderId="0" xfId="0" applyNumberFormat="1" applyFont="1" applyBorder="1" applyAlignment="1" applyProtection="1">
      <alignment horizontal="center"/>
      <protection hidden="1"/>
    </xf>
    <xf numFmtId="167" fontId="28" fillId="0" borderId="0" xfId="0" applyNumberFormat="1" applyFont="1" applyBorder="1" applyAlignment="1" applyProtection="1">
      <alignment horizontal="center"/>
      <protection hidden="1"/>
    </xf>
    <xf numFmtId="167" fontId="6" fillId="0" borderId="0" xfId="0" applyNumberFormat="1" applyFont="1" applyBorder="1" applyAlignment="1" applyProtection="1">
      <alignment horizontal="center"/>
      <protection hidden="1"/>
    </xf>
    <xf numFmtId="43" fontId="0" fillId="0" borderId="0" xfId="0" applyNumberFormat="1" applyBorder="1"/>
    <xf numFmtId="0" fontId="3" fillId="32" borderId="11" xfId="0" applyFont="1" applyFill="1" applyBorder="1"/>
    <xf numFmtId="0" fontId="1" fillId="0" borderId="0" xfId="0" applyFont="1" applyFill="1" applyBorder="1"/>
    <xf numFmtId="0" fontId="16" fillId="31" borderId="3" xfId="1" applyFont="1" applyFill="1" applyBorder="1" applyAlignment="1" applyProtection="1">
      <alignment horizontal="center"/>
      <protection hidden="1"/>
    </xf>
    <xf numFmtId="0" fontId="16" fillId="31" borderId="15" xfId="1" applyFont="1" applyFill="1" applyBorder="1" applyAlignment="1" applyProtection="1">
      <alignment horizontal="center"/>
      <protection hidden="1"/>
    </xf>
    <xf numFmtId="0" fontId="1" fillId="0" borderId="3" xfId="0" applyFont="1" applyBorder="1" applyAlignment="1" applyProtection="1">
      <alignment horizontal="left"/>
      <protection hidden="1"/>
    </xf>
    <xf numFmtId="0" fontId="1" fillId="0" borderId="3" xfId="0" applyFont="1" applyBorder="1" applyProtection="1">
      <protection hidden="1"/>
    </xf>
    <xf numFmtId="0" fontId="28" fillId="0" borderId="15" xfId="0" applyFont="1" applyBorder="1" applyProtection="1">
      <protection hidden="1"/>
    </xf>
    <xf numFmtId="0" fontId="28" fillId="0" borderId="3" xfId="0" applyFont="1" applyBorder="1" applyProtection="1">
      <protection hidden="1"/>
    </xf>
    <xf numFmtId="0" fontId="1" fillId="0" borderId="15" xfId="0" applyFont="1" applyBorder="1" applyProtection="1">
      <protection hidden="1"/>
    </xf>
    <xf numFmtId="0" fontId="1" fillId="0" borderId="36" xfId="1" applyBorder="1"/>
    <xf numFmtId="0" fontId="59" fillId="0" borderId="0" xfId="0" applyFont="1" applyFill="1" applyAlignment="1" applyProtection="1">
      <protection hidden="1"/>
    </xf>
    <xf numFmtId="0" fontId="3" fillId="35" borderId="0" xfId="0" applyFont="1" applyFill="1" applyAlignment="1">
      <alignment horizontal="center" wrapText="1"/>
    </xf>
    <xf numFmtId="0" fontId="7" fillId="0" borderId="0" xfId="0" applyFont="1" applyFill="1" applyBorder="1" applyProtection="1">
      <protection locked="0"/>
    </xf>
    <xf numFmtId="0" fontId="4" fillId="15" borderId="13" xfId="1" applyFont="1" applyFill="1" applyBorder="1"/>
    <xf numFmtId="0" fontId="1" fillId="6" borderId="10" xfId="1" applyFill="1" applyBorder="1"/>
    <xf numFmtId="0" fontId="1" fillId="6" borderId="11" xfId="1" applyFill="1" applyBorder="1"/>
    <xf numFmtId="0" fontId="3" fillId="6" borderId="10" xfId="0" applyFont="1" applyFill="1" applyBorder="1" applyAlignment="1">
      <alignment horizontal="center" wrapText="1"/>
    </xf>
    <xf numFmtId="0" fontId="6" fillId="0" borderId="10" xfId="1" applyFont="1" applyBorder="1"/>
    <xf numFmtId="0" fontId="6" fillId="0" borderId="11" xfId="1" applyFont="1" applyBorder="1"/>
    <xf numFmtId="0" fontId="1" fillId="0" borderId="1" xfId="0" applyFont="1" applyBorder="1" applyProtection="1">
      <protection locked="0"/>
    </xf>
    <xf numFmtId="0" fontId="1" fillId="17" borderId="10" xfId="0" applyFont="1" applyFill="1" applyBorder="1"/>
    <xf numFmtId="10" fontId="3" fillId="17" borderId="8" xfId="2" applyNumberFormat="1" applyFont="1" applyFill="1" applyBorder="1"/>
    <xf numFmtId="0" fontId="3" fillId="11" borderId="3" xfId="0" applyFont="1" applyFill="1" applyBorder="1" applyAlignment="1">
      <alignment horizontal="center" wrapText="1"/>
    </xf>
    <xf numFmtId="0" fontId="2" fillId="12" borderId="0" xfId="0" applyFont="1" applyFill="1" applyAlignment="1">
      <alignment horizontal="center" wrapText="1"/>
    </xf>
    <xf numFmtId="9" fontId="4" fillId="17" borderId="7" xfId="1" applyNumberFormat="1" applyFont="1" applyFill="1" applyBorder="1" applyAlignment="1">
      <alignment horizontal="center"/>
    </xf>
    <xf numFmtId="0" fontId="4" fillId="0" borderId="8" xfId="1" applyFont="1" applyBorder="1" applyAlignment="1">
      <alignment horizontal="center"/>
    </xf>
    <xf numFmtId="0" fontId="1" fillId="0" borderId="0" xfId="1" quotePrefix="1" applyFill="1" applyBorder="1"/>
    <xf numFmtId="0" fontId="3" fillId="36" borderId="0" xfId="0" applyFont="1" applyFill="1" applyAlignment="1">
      <alignment horizontal="center"/>
    </xf>
    <xf numFmtId="0" fontId="0" fillId="0" borderId="1" xfId="0" applyFill="1" applyBorder="1"/>
    <xf numFmtId="0" fontId="0" fillId="0" borderId="10" xfId="0" applyFill="1" applyBorder="1"/>
    <xf numFmtId="3" fontId="6" fillId="17" borderId="3" xfId="0" applyNumberFormat="1" applyFont="1" applyFill="1" applyBorder="1" applyAlignment="1">
      <alignment horizontal="center"/>
    </xf>
    <xf numFmtId="0" fontId="16" fillId="2" borderId="18" xfId="0" applyFont="1" applyFill="1" applyBorder="1" applyAlignment="1" applyProtection="1">
      <alignment horizontal="left"/>
      <protection hidden="1"/>
    </xf>
    <xf numFmtId="0" fontId="16" fillId="2" borderId="23" xfId="0" applyFont="1" applyFill="1" applyBorder="1" applyAlignment="1" applyProtection="1">
      <alignment horizontal="left"/>
      <protection hidden="1"/>
    </xf>
    <xf numFmtId="0" fontId="6" fillId="0" borderId="0" xfId="0" applyFont="1" applyFill="1" applyProtection="1">
      <protection hidden="1"/>
    </xf>
    <xf numFmtId="0" fontId="2" fillId="37" borderId="0" xfId="0" applyFont="1" applyFill="1" applyAlignment="1">
      <alignment horizontal="center" wrapText="1"/>
    </xf>
    <xf numFmtId="0" fontId="10" fillId="0" borderId="0" xfId="1" applyFont="1" applyFill="1" applyBorder="1"/>
    <xf numFmtId="0" fontId="11" fillId="0" borderId="0" xfId="1" applyFont="1" applyFill="1" applyBorder="1"/>
    <xf numFmtId="0" fontId="1" fillId="0" borderId="3" xfId="1" applyFill="1" applyBorder="1"/>
    <xf numFmtId="0" fontId="67" fillId="0" borderId="0" xfId="0" applyFont="1" applyBorder="1" applyAlignment="1">
      <alignment horizontal="center"/>
    </xf>
    <xf numFmtId="0" fontId="67" fillId="0" borderId="3" xfId="0" applyFont="1" applyBorder="1"/>
    <xf numFmtId="0" fontId="1" fillId="17" borderId="3" xfId="1" applyFill="1" applyBorder="1"/>
    <xf numFmtId="0" fontId="4" fillId="17" borderId="13" xfId="1" applyFont="1" applyFill="1" applyBorder="1" applyAlignment="1">
      <alignment horizontal="center"/>
    </xf>
    <xf numFmtId="3" fontId="1" fillId="0" borderId="12" xfId="1" applyNumberFormat="1" applyFill="1" applyBorder="1" applyAlignment="1">
      <alignment horizontal="right"/>
    </xf>
    <xf numFmtId="43" fontId="0" fillId="0" borderId="3" xfId="5" applyFont="1" applyFill="1" applyBorder="1"/>
    <xf numFmtId="9" fontId="6" fillId="0" borderId="3" xfId="6" applyFont="1" applyFill="1" applyBorder="1" applyAlignment="1">
      <alignment horizontal="center"/>
    </xf>
    <xf numFmtId="0" fontId="3" fillId="7" borderId="2" xfId="0" applyFont="1" applyFill="1" applyBorder="1" applyAlignment="1">
      <alignment wrapText="1"/>
    </xf>
    <xf numFmtId="0" fontId="7" fillId="0" borderId="5" xfId="0" applyFont="1" applyBorder="1" applyProtection="1">
      <protection locked="0"/>
    </xf>
    <xf numFmtId="0" fontId="7" fillId="0" borderId="36" xfId="0" applyFont="1" applyBorder="1" applyProtection="1">
      <protection locked="0"/>
    </xf>
    <xf numFmtId="0" fontId="3" fillId="4" borderId="3" xfId="0" applyFont="1" applyFill="1" applyBorder="1" applyAlignment="1">
      <alignment horizontal="center" wrapText="1"/>
    </xf>
    <xf numFmtId="0" fontId="0" fillId="0" borderId="3" xfId="0" applyBorder="1"/>
    <xf numFmtId="0" fontId="6" fillId="17" borderId="3" xfId="1" applyFont="1" applyFill="1" applyBorder="1"/>
    <xf numFmtId="9" fontId="1" fillId="17" borderId="3" xfId="6" applyFont="1" applyFill="1" applyBorder="1"/>
    <xf numFmtId="9" fontId="1" fillId="17" borderId="3" xfId="1" applyNumberFormat="1" applyFill="1" applyBorder="1"/>
    <xf numFmtId="0" fontId="1" fillId="20" borderId="0" xfId="1" applyFill="1"/>
    <xf numFmtId="0" fontId="1" fillId="20" borderId="0" xfId="1" applyFill="1" applyBorder="1"/>
    <xf numFmtId="0" fontId="14" fillId="20" borderId="0" xfId="1" applyFont="1" applyFill="1" applyAlignment="1">
      <alignment horizontal="center"/>
    </xf>
    <xf numFmtId="0" fontId="68" fillId="11" borderId="3" xfId="0" applyFont="1" applyFill="1" applyBorder="1" applyAlignment="1" applyProtection="1">
      <alignment horizontal="center" wrapText="1"/>
      <protection locked="0"/>
    </xf>
    <xf numFmtId="0" fontId="68" fillId="5" borderId="3" xfId="0" applyFont="1" applyFill="1" applyBorder="1" applyAlignment="1" applyProtection="1">
      <alignment horizontal="center" wrapText="1"/>
      <protection locked="0"/>
    </xf>
    <xf numFmtId="0" fontId="8" fillId="9" borderId="3" xfId="0" applyFont="1" applyFill="1" applyBorder="1" applyAlignment="1" applyProtection="1">
      <alignment horizontal="center" wrapText="1"/>
      <protection locked="0"/>
    </xf>
    <xf numFmtId="0" fontId="7" fillId="7" borderId="3" xfId="0" applyFont="1" applyFill="1" applyBorder="1" applyAlignment="1" applyProtection="1">
      <alignment horizontal="center" wrapText="1"/>
      <protection locked="0"/>
    </xf>
    <xf numFmtId="0" fontId="6" fillId="0" borderId="0" xfId="1" applyFont="1" applyAlignment="1">
      <alignment horizontal="center"/>
    </xf>
    <xf numFmtId="9" fontId="0" fillId="0" borderId="3" xfId="6" applyFont="1" applyBorder="1" applyAlignment="1">
      <alignment horizontal="center"/>
    </xf>
    <xf numFmtId="0" fontId="2" fillId="2" borderId="1" xfId="0" applyFont="1" applyFill="1" applyBorder="1"/>
    <xf numFmtId="10" fontId="1" fillId="0" borderId="3" xfId="6" applyNumberFormat="1" applyFont="1" applyBorder="1" applyAlignment="1">
      <alignment horizontal="center"/>
    </xf>
    <xf numFmtId="0" fontId="1" fillId="0" borderId="3" xfId="1" applyBorder="1" applyAlignment="1">
      <alignment horizontal="center"/>
    </xf>
    <xf numFmtId="9" fontId="1" fillId="0" borderId="3" xfId="6" applyFont="1" applyBorder="1" applyAlignment="1">
      <alignment horizontal="center"/>
    </xf>
    <xf numFmtId="9" fontId="1" fillId="0" borderId="3" xfId="1" applyNumberFormat="1" applyBorder="1" applyAlignment="1">
      <alignment horizontal="center"/>
    </xf>
    <xf numFmtId="0" fontId="3" fillId="34" borderId="2" xfId="0" applyFont="1" applyFill="1" applyBorder="1" applyAlignment="1" applyProtection="1">
      <alignment horizontal="center"/>
      <protection locked="0"/>
    </xf>
    <xf numFmtId="43" fontId="6" fillId="16" borderId="29" xfId="3" applyFont="1" applyFill="1" applyBorder="1" applyAlignment="1">
      <alignment horizontal="center"/>
    </xf>
    <xf numFmtId="43" fontId="3" fillId="17" borderId="8" xfId="5" applyFont="1" applyFill="1" applyBorder="1"/>
    <xf numFmtId="164" fontId="0" fillId="0" borderId="3" xfId="5" applyNumberFormat="1" applyFont="1" applyBorder="1"/>
    <xf numFmtId="0" fontId="3" fillId="0" borderId="16" xfId="1" applyFont="1" applyBorder="1"/>
    <xf numFmtId="0" fontId="3" fillId="0" borderId="2" xfId="1" applyFont="1" applyBorder="1"/>
    <xf numFmtId="0" fontId="1" fillId="0" borderId="11" xfId="1" applyFont="1" applyBorder="1" applyAlignment="1">
      <alignment horizontal="center"/>
    </xf>
    <xf numFmtId="0" fontId="3" fillId="36" borderId="0" xfId="0" applyFont="1" applyFill="1" applyAlignment="1">
      <alignment horizontal="center" wrapText="1"/>
    </xf>
    <xf numFmtId="0" fontId="1" fillId="36" borderId="0" xfId="0" applyFont="1" applyFill="1" applyAlignment="1">
      <alignment horizontal="center" wrapText="1"/>
    </xf>
    <xf numFmtId="10" fontId="6" fillId="17" borderId="0" xfId="1" applyNumberFormat="1" applyFont="1" applyFill="1" applyBorder="1" applyAlignment="1">
      <alignment horizontal="center"/>
    </xf>
    <xf numFmtId="0" fontId="3" fillId="23" borderId="3" xfId="0" applyFont="1" applyFill="1" applyBorder="1" applyAlignment="1">
      <alignment horizontal="center"/>
    </xf>
    <xf numFmtId="0" fontId="4" fillId="17" borderId="37" xfId="0" applyFont="1" applyFill="1" applyBorder="1" applyAlignment="1">
      <alignment horizontal="center"/>
    </xf>
    <xf numFmtId="0" fontId="1" fillId="0" borderId="12" xfId="0" applyFont="1" applyFill="1" applyBorder="1" applyAlignment="1">
      <alignment horizontal="center"/>
    </xf>
    <xf numFmtId="0" fontId="1" fillId="0" borderId="36" xfId="0" applyFont="1" applyBorder="1" applyAlignment="1">
      <alignment horizontal="center"/>
    </xf>
    <xf numFmtId="42" fontId="4" fillId="17" borderId="1" xfId="1" applyNumberFormat="1" applyFont="1" applyFill="1" applyBorder="1" applyAlignment="1">
      <alignment horizontal="center"/>
    </xf>
    <xf numFmtId="0" fontId="3" fillId="35" borderId="1" xfId="0" applyFont="1" applyFill="1" applyBorder="1" applyAlignment="1">
      <alignment horizontal="center" wrapText="1"/>
    </xf>
    <xf numFmtId="0" fontId="62" fillId="17" borderId="11" xfId="0" applyFont="1" applyFill="1" applyBorder="1" applyAlignment="1">
      <alignment horizontal="center"/>
    </xf>
    <xf numFmtId="0" fontId="6" fillId="17" borderId="30" xfId="1" applyFont="1" applyFill="1" applyBorder="1"/>
    <xf numFmtId="0" fontId="1" fillId="40" borderId="0" xfId="1" applyFill="1" applyAlignment="1">
      <alignment horizontal="center" wrapText="1"/>
    </xf>
    <xf numFmtId="0" fontId="69" fillId="38" borderId="1" xfId="0" applyFont="1" applyFill="1" applyBorder="1" applyAlignment="1" applyProtection="1">
      <alignment horizontal="left"/>
      <protection locked="0"/>
    </xf>
    <xf numFmtId="0" fontId="69" fillId="38" borderId="4" xfId="0" applyFont="1" applyFill="1" applyBorder="1" applyAlignment="1" applyProtection="1">
      <alignment horizontal="center"/>
      <protection locked="0"/>
    </xf>
    <xf numFmtId="2" fontId="1" fillId="17" borderId="0" xfId="1" applyNumberFormat="1" applyFill="1" applyBorder="1" applyAlignment="1">
      <alignment horizontal="center"/>
    </xf>
    <xf numFmtId="0" fontId="3" fillId="0" borderId="33" xfId="0" applyFont="1" applyBorder="1" applyAlignment="1">
      <alignment horizontal="center"/>
    </xf>
    <xf numFmtId="0" fontId="0" fillId="0" borderId="12" xfId="0" applyBorder="1"/>
    <xf numFmtId="10" fontId="0" fillId="0" borderId="4" xfId="6" applyNumberFormat="1" applyFont="1" applyFill="1" applyBorder="1"/>
    <xf numFmtId="2" fontId="3" fillId="0" borderId="5" xfId="0" applyNumberFormat="1" applyFont="1" applyFill="1" applyBorder="1"/>
    <xf numFmtId="10" fontId="0" fillId="0" borderId="4" xfId="6" applyNumberFormat="1" applyFont="1" applyBorder="1"/>
    <xf numFmtId="2" fontId="3" fillId="0" borderId="5" xfId="0" applyNumberFormat="1" applyFont="1" applyBorder="1"/>
    <xf numFmtId="10" fontId="6" fillId="17" borderId="3" xfId="0" applyNumberFormat="1" applyFont="1" applyFill="1" applyBorder="1" applyAlignment="1">
      <alignment horizontal="center"/>
    </xf>
    <xf numFmtId="0" fontId="1" fillId="0" borderId="30" xfId="1" applyFill="1" applyBorder="1"/>
    <xf numFmtId="0" fontId="0" fillId="42" borderId="30" xfId="0" applyFill="1" applyBorder="1" applyAlignment="1"/>
    <xf numFmtId="0" fontId="1" fillId="42" borderId="15" xfId="1" applyFill="1" applyBorder="1"/>
    <xf numFmtId="0" fontId="3" fillId="0" borderId="0" xfId="0" applyFont="1" applyBorder="1" applyAlignment="1">
      <alignment horizontal="right" vertical="center"/>
    </xf>
    <xf numFmtId="0" fontId="54" fillId="0" borderId="12" xfId="0" applyFont="1" applyBorder="1" applyAlignment="1">
      <alignment vertical="center"/>
    </xf>
    <xf numFmtId="0" fontId="25" fillId="0" borderId="0" xfId="0" applyFont="1" applyFill="1" applyBorder="1" applyAlignment="1">
      <alignment horizontal="center"/>
    </xf>
    <xf numFmtId="0" fontId="0" fillId="0" borderId="4" xfId="0" applyFill="1" applyBorder="1" applyAlignment="1">
      <alignment horizontal="center"/>
    </xf>
    <xf numFmtId="0" fontId="0" fillId="0" borderId="9" xfId="0" applyFill="1" applyBorder="1" applyAlignment="1">
      <alignment horizontal="center"/>
    </xf>
    <xf numFmtId="0" fontId="1" fillId="0" borderId="2" xfId="0" applyFont="1" applyFill="1" applyBorder="1" applyAlignment="1">
      <alignment horizontal="center"/>
    </xf>
    <xf numFmtId="0" fontId="25" fillId="0" borderId="2" xfId="0" applyFont="1" applyFill="1" applyBorder="1" applyAlignment="1">
      <alignment horizontal="center"/>
    </xf>
    <xf numFmtId="0" fontId="25" fillId="19" borderId="0" xfId="0" applyFont="1" applyFill="1" applyBorder="1" applyAlignment="1">
      <alignment horizontal="center"/>
    </xf>
    <xf numFmtId="0" fontId="0" fillId="19" borderId="4" xfId="0" applyFill="1" applyBorder="1" applyAlignment="1">
      <alignment horizontal="center"/>
    </xf>
    <xf numFmtId="0" fontId="1" fillId="19" borderId="0" xfId="0" applyFont="1" applyFill="1" applyBorder="1" applyAlignment="1">
      <alignment horizontal="center"/>
    </xf>
    <xf numFmtId="0" fontId="0" fillId="19" borderId="9" xfId="0" applyFill="1" applyBorder="1" applyAlignment="1">
      <alignment horizontal="center"/>
    </xf>
    <xf numFmtId="0" fontId="1" fillId="19" borderId="2" xfId="0" applyFont="1" applyFill="1" applyBorder="1" applyAlignment="1">
      <alignment horizontal="center"/>
    </xf>
    <xf numFmtId="0" fontId="25" fillId="19" borderId="2" xfId="0" applyFont="1" applyFill="1" applyBorder="1" applyAlignment="1">
      <alignment horizontal="center"/>
    </xf>
    <xf numFmtId="0" fontId="1" fillId="0" borderId="43" xfId="1" applyFill="1" applyBorder="1" applyAlignment="1">
      <alignment horizontal="center" wrapText="1"/>
    </xf>
    <xf numFmtId="0" fontId="1" fillId="0" borderId="23" xfId="0" applyFont="1" applyBorder="1" applyAlignment="1">
      <alignment vertical="center"/>
    </xf>
    <xf numFmtId="0" fontId="1" fillId="0" borderId="23" xfId="1" applyBorder="1"/>
    <xf numFmtId="0" fontId="1" fillId="0" borderId="44" xfId="1" applyBorder="1" applyAlignment="1">
      <alignment horizontal="center" wrapText="1"/>
    </xf>
    <xf numFmtId="0" fontId="1" fillId="0" borderId="45" xfId="1" applyFill="1" applyBorder="1"/>
    <xf numFmtId="0" fontId="1" fillId="17" borderId="0" xfId="1" applyFill="1" applyBorder="1"/>
    <xf numFmtId="0" fontId="1" fillId="0" borderId="46" xfId="1" applyBorder="1"/>
    <xf numFmtId="0" fontId="1" fillId="0" borderId="46" xfId="1" applyFill="1" applyBorder="1"/>
    <xf numFmtId="0" fontId="1" fillId="0" borderId="47" xfId="1" applyFill="1" applyBorder="1"/>
    <xf numFmtId="0" fontId="1" fillId="0" borderId="26" xfId="1" applyFill="1" applyBorder="1"/>
    <xf numFmtId="0" fontId="1" fillId="0" borderId="26" xfId="1" applyFill="1" applyBorder="1" applyAlignment="1">
      <alignment horizontal="center"/>
    </xf>
    <xf numFmtId="0" fontId="1" fillId="0" borderId="48" xfId="1" applyFill="1" applyBorder="1"/>
    <xf numFmtId="0" fontId="1" fillId="0" borderId="33" xfId="1" applyBorder="1"/>
    <xf numFmtId="0" fontId="0" fillId="0" borderId="0" xfId="0" applyFill="1" applyBorder="1" applyAlignment="1">
      <alignment horizontal="center"/>
    </xf>
    <xf numFmtId="0" fontId="7" fillId="0" borderId="0" xfId="0" applyFont="1" applyAlignment="1" applyProtection="1">
      <alignment horizontal="left" indent="1"/>
      <protection locked="0"/>
    </xf>
    <xf numFmtId="9" fontId="22" fillId="0" borderId="0" xfId="6" applyFont="1" applyAlignment="1">
      <alignment horizontal="center"/>
    </xf>
    <xf numFmtId="43" fontId="22" fillId="0" borderId="0" xfId="0" applyNumberFormat="1" applyFont="1" applyBorder="1"/>
    <xf numFmtId="9" fontId="1" fillId="0" borderId="0" xfId="6" applyFont="1" applyAlignment="1" applyProtection="1">
      <alignment horizontal="center"/>
      <protection locked="0"/>
    </xf>
    <xf numFmtId="0" fontId="7" fillId="0" borderId="0" xfId="0" applyFont="1"/>
    <xf numFmtId="0" fontId="1" fillId="0" borderId="0" xfId="0" applyFont="1" applyBorder="1" applyProtection="1">
      <protection hidden="1"/>
    </xf>
    <xf numFmtId="1" fontId="16" fillId="20" borderId="42" xfId="0" applyNumberFormat="1" applyFont="1" applyFill="1" applyBorder="1" applyAlignment="1">
      <alignment horizontal="center" vertical="center"/>
    </xf>
    <xf numFmtId="10" fontId="6" fillId="0" borderId="5" xfId="6" applyNumberFormat="1" applyFont="1" applyBorder="1"/>
    <xf numFmtId="10" fontId="6" fillId="0" borderId="5" xfId="6" applyNumberFormat="1" applyFont="1" applyFill="1" applyBorder="1"/>
    <xf numFmtId="10" fontId="6" fillId="0" borderId="36" xfId="6" applyNumberFormat="1" applyFont="1" applyFill="1" applyBorder="1"/>
    <xf numFmtId="8" fontId="55" fillId="0" borderId="0" xfId="0" applyNumberFormat="1" applyFont="1" applyBorder="1"/>
    <xf numFmtId="164" fontId="55" fillId="0" borderId="0" xfId="5" applyNumberFormat="1" applyFont="1" applyBorder="1"/>
    <xf numFmtId="0" fontId="22" fillId="0" borderId="0" xfId="0" applyFont="1" applyAlignment="1">
      <alignment horizontal="center"/>
    </xf>
    <xf numFmtId="10" fontId="62" fillId="17" borderId="0" xfId="6" applyNumberFormat="1" applyFont="1" applyFill="1" applyBorder="1" applyAlignment="1">
      <alignment horizontal="center"/>
    </xf>
    <xf numFmtId="2" fontId="6" fillId="17" borderId="0" xfId="1" applyNumberFormat="1" applyFont="1" applyFill="1" applyBorder="1" applyAlignment="1">
      <alignment horizontal="center"/>
    </xf>
    <xf numFmtId="0" fontId="6" fillId="0" borderId="0" xfId="1" applyFont="1" applyFill="1" applyBorder="1"/>
    <xf numFmtId="10" fontId="6" fillId="0" borderId="0" xfId="6" applyNumberFormat="1" applyFont="1" applyFill="1" applyBorder="1"/>
    <xf numFmtId="0" fontId="3" fillId="0" borderId="3" xfId="0" applyFont="1" applyBorder="1"/>
    <xf numFmtId="9" fontId="70" fillId="0" borderId="0" xfId="6" applyFont="1" applyBorder="1" applyAlignment="1">
      <alignment horizontal="center"/>
    </xf>
    <xf numFmtId="9" fontId="6" fillId="17" borderId="0" xfId="6" applyFont="1" applyFill="1" applyAlignment="1">
      <alignment horizontal="center"/>
    </xf>
    <xf numFmtId="43" fontId="26" fillId="0" borderId="3" xfId="0" applyNumberFormat="1" applyFont="1" applyBorder="1"/>
    <xf numFmtId="0" fontId="72" fillId="0" borderId="3" xfId="0" applyFont="1" applyBorder="1" applyAlignment="1" applyProtection="1">
      <alignment horizontal="left"/>
      <protection locked="0"/>
    </xf>
    <xf numFmtId="44" fontId="22" fillId="0" borderId="3" xfId="0" applyNumberFormat="1" applyFont="1" applyBorder="1"/>
    <xf numFmtId="0" fontId="54" fillId="0" borderId="0" xfId="0" applyFont="1" applyFill="1" applyBorder="1" applyAlignment="1">
      <alignment vertical="center"/>
    </xf>
    <xf numFmtId="0" fontId="14" fillId="0" borderId="0" xfId="1" applyFont="1" applyFill="1" applyBorder="1"/>
    <xf numFmtId="0" fontId="23" fillId="43" borderId="3" xfId="0" applyFont="1" applyFill="1" applyBorder="1" applyAlignment="1">
      <alignment horizontal="center" wrapText="1"/>
    </xf>
    <xf numFmtId="0" fontId="1" fillId="0" borderId="0" xfId="0" applyFont="1" applyProtection="1">
      <protection hidden="1"/>
    </xf>
    <xf numFmtId="0" fontId="3" fillId="0" borderId="0" xfId="0" applyFont="1" applyProtection="1">
      <protection hidden="1"/>
    </xf>
    <xf numFmtId="43" fontId="22" fillId="0" borderId="0" xfId="5" applyFont="1"/>
    <xf numFmtId="10" fontId="28" fillId="0" borderId="25" xfId="6" applyNumberFormat="1" applyFont="1" applyFill="1" applyBorder="1" applyAlignment="1" applyProtection="1">
      <alignment horizontal="center"/>
      <protection hidden="1"/>
    </xf>
    <xf numFmtId="10" fontId="28" fillId="17" borderId="0" xfId="0" applyNumberFormat="1" applyFont="1" applyFill="1" applyBorder="1" applyProtection="1">
      <protection hidden="1"/>
    </xf>
    <xf numFmtId="0" fontId="1" fillId="0" borderId="12" xfId="0" applyFont="1" applyBorder="1" applyProtection="1">
      <protection hidden="1"/>
    </xf>
    <xf numFmtId="0" fontId="1" fillId="0" borderId="5" xfId="0" applyFont="1" applyBorder="1" applyProtection="1">
      <protection hidden="1"/>
    </xf>
    <xf numFmtId="0" fontId="1" fillId="0" borderId="33" xfId="0" applyFont="1" applyBorder="1" applyAlignment="1" applyProtection="1">
      <alignment horizontal="right"/>
      <protection hidden="1"/>
    </xf>
    <xf numFmtId="171" fontId="9" fillId="0" borderId="4" xfId="8" applyNumberFormat="1" applyFont="1" applyBorder="1" applyProtection="1">
      <protection hidden="1"/>
    </xf>
    <xf numFmtId="164" fontId="1" fillId="0" borderId="4" xfId="5" applyNumberFormat="1" applyFont="1" applyBorder="1" applyProtection="1">
      <protection hidden="1"/>
    </xf>
    <xf numFmtId="164" fontId="1" fillId="0" borderId="9" xfId="5" applyNumberFormat="1" applyFont="1" applyBorder="1" applyProtection="1">
      <protection hidden="1"/>
    </xf>
    <xf numFmtId="10" fontId="6" fillId="17" borderId="3" xfId="6" applyNumberFormat="1" applyFont="1" applyFill="1" applyBorder="1" applyAlignment="1">
      <alignment horizontal="center"/>
    </xf>
    <xf numFmtId="0" fontId="62" fillId="0" borderId="4" xfId="0" applyFont="1" applyBorder="1"/>
    <xf numFmtId="10" fontId="71" fillId="20" borderId="0" xfId="6" applyNumberFormat="1" applyFont="1" applyFill="1" applyAlignment="1" applyProtection="1">
      <alignment horizontal="center" vertical="center"/>
      <protection locked="0" hidden="1"/>
    </xf>
    <xf numFmtId="6" fontId="6" fillId="0" borderId="0" xfId="0" applyNumberFormat="1" applyFont="1" applyFill="1" applyBorder="1" applyAlignment="1" applyProtection="1">
      <alignment horizontal="center"/>
      <protection locked="0" hidden="1"/>
    </xf>
    <xf numFmtId="0" fontId="19" fillId="0" borderId="24" xfId="0" applyFont="1" applyFill="1" applyBorder="1" applyAlignment="1" applyProtection="1">
      <alignment horizontal="center" vertical="center"/>
      <protection locked="0" hidden="1"/>
    </xf>
    <xf numFmtId="0" fontId="29" fillId="0" borderId="0" xfId="0" applyFont="1" applyAlignment="1" applyProtection="1">
      <alignment horizontal="center"/>
      <protection locked="0" hidden="1"/>
    </xf>
    <xf numFmtId="0" fontId="38" fillId="0" borderId="26" xfId="0" applyFont="1" applyFill="1" applyBorder="1" applyAlignment="1" applyProtection="1">
      <alignment horizontal="centerContinuous" vertical="center"/>
      <protection hidden="1"/>
    </xf>
    <xf numFmtId="0" fontId="29" fillId="0" borderId="0" xfId="0" applyFont="1" applyFill="1" applyProtection="1">
      <protection hidden="1"/>
    </xf>
    <xf numFmtId="0" fontId="54" fillId="0" borderId="0" xfId="0" applyFont="1" applyFill="1" applyAlignment="1" applyProtection="1">
      <alignment vertical="center"/>
      <protection hidden="1"/>
    </xf>
    <xf numFmtId="0" fontId="54" fillId="0" borderId="0" xfId="0" applyFont="1" applyFill="1" applyProtection="1">
      <protection hidden="1"/>
    </xf>
    <xf numFmtId="10" fontId="28" fillId="0" borderId="0" xfId="6" applyNumberFormat="1" applyFont="1" applyBorder="1" applyAlignment="1" applyProtection="1">
      <alignment horizontal="center"/>
      <protection hidden="1"/>
    </xf>
    <xf numFmtId="6" fontId="3" fillId="0" borderId="0" xfId="0" applyNumberFormat="1" applyFont="1" applyBorder="1" applyAlignment="1" applyProtection="1">
      <alignment horizontal="center"/>
      <protection hidden="1"/>
    </xf>
    <xf numFmtId="5" fontId="22" fillId="0" borderId="0" xfId="0" applyNumberFormat="1" applyFont="1"/>
    <xf numFmtId="9" fontId="0" fillId="23" borderId="3" xfId="6" applyFont="1" applyFill="1" applyBorder="1" applyAlignment="1">
      <alignment horizontal="center"/>
    </xf>
    <xf numFmtId="0" fontId="53" fillId="0" borderId="0" xfId="0" applyFont="1" applyAlignment="1" applyProtection="1">
      <alignment horizontal="center" vertical="top"/>
      <protection hidden="1"/>
    </xf>
    <xf numFmtId="0" fontId="53" fillId="25" borderId="0" xfId="0" applyFont="1" applyFill="1" applyAlignment="1" applyProtection="1">
      <alignment horizontal="center" vertical="top"/>
      <protection hidden="1"/>
    </xf>
    <xf numFmtId="0" fontId="75" fillId="25" borderId="0" xfId="0" applyFont="1" applyFill="1" applyAlignment="1" applyProtection="1">
      <alignment vertical="top"/>
      <protection hidden="1"/>
    </xf>
    <xf numFmtId="10" fontId="1" fillId="34" borderId="3" xfId="6" applyNumberFormat="1" applyFont="1" applyFill="1" applyBorder="1" applyAlignment="1">
      <alignment horizontal="center"/>
    </xf>
    <xf numFmtId="9" fontId="22" fillId="0" borderId="0" xfId="6" applyFont="1"/>
    <xf numFmtId="9" fontId="6" fillId="0" borderId="3" xfId="0" applyNumberFormat="1" applyFont="1" applyFill="1" applyBorder="1" applyAlignment="1">
      <alignment horizontal="center"/>
    </xf>
    <xf numFmtId="9" fontId="0" fillId="0" borderId="3" xfId="6" applyFont="1" applyFill="1" applyBorder="1" applyAlignment="1">
      <alignment horizontal="center"/>
    </xf>
    <xf numFmtId="0" fontId="70" fillId="0" borderId="15" xfId="0" applyFont="1" applyBorder="1"/>
    <xf numFmtId="0" fontId="22" fillId="0" borderId="34" xfId="0" applyFont="1" applyBorder="1"/>
    <xf numFmtId="42" fontId="22" fillId="0" borderId="30" xfId="0" applyNumberFormat="1" applyFont="1" applyFill="1" applyBorder="1"/>
    <xf numFmtId="6" fontId="76" fillId="0" borderId="34" xfId="0" applyNumberFormat="1" applyFont="1" applyBorder="1" applyAlignment="1">
      <alignment horizontal="center"/>
    </xf>
    <xf numFmtId="8" fontId="28" fillId="0" borderId="0" xfId="0" applyNumberFormat="1" applyFont="1" applyProtection="1">
      <protection hidden="1"/>
    </xf>
    <xf numFmtId="0" fontId="9" fillId="0" borderId="35" xfId="0" applyFont="1" applyBorder="1" applyProtection="1">
      <protection hidden="1"/>
    </xf>
    <xf numFmtId="0" fontId="9" fillId="0" borderId="0" xfId="0" applyFont="1" applyBorder="1" applyProtection="1">
      <protection hidden="1"/>
    </xf>
    <xf numFmtId="0" fontId="9" fillId="0" borderId="0" xfId="0" applyFont="1" applyBorder="1" applyAlignment="1" applyProtection="1">
      <alignment horizontal="center"/>
      <protection hidden="1"/>
    </xf>
    <xf numFmtId="0" fontId="77" fillId="0" borderId="0" xfId="0" applyFont="1" applyFill="1" applyBorder="1" applyAlignment="1" applyProtection="1">
      <alignment horizontal="center"/>
      <protection hidden="1"/>
    </xf>
    <xf numFmtId="0" fontId="77" fillId="0" borderId="0" xfId="0" applyFont="1" applyFill="1" applyBorder="1" applyProtection="1">
      <protection hidden="1"/>
    </xf>
    <xf numFmtId="0" fontId="4" fillId="0" borderId="0" xfId="0" applyFont="1" applyBorder="1" applyAlignment="1" applyProtection="1">
      <alignment horizontal="center"/>
      <protection hidden="1"/>
    </xf>
    <xf numFmtId="0" fontId="28" fillId="17" borderId="3" xfId="0" applyFont="1" applyFill="1" applyBorder="1" applyAlignment="1" applyProtection="1">
      <alignment vertical="center"/>
      <protection hidden="1"/>
    </xf>
    <xf numFmtId="0" fontId="1" fillId="0" borderId="0" xfId="0" applyFont="1" applyFill="1" applyBorder="1" applyAlignment="1" applyProtection="1">
      <alignment horizontal="right"/>
      <protection hidden="1"/>
    </xf>
    <xf numFmtId="0" fontId="4" fillId="42" borderId="3" xfId="0" applyFont="1" applyFill="1" applyBorder="1" applyAlignment="1" applyProtection="1">
      <alignment horizontal="center"/>
      <protection hidden="1"/>
    </xf>
    <xf numFmtId="0" fontId="4" fillId="0" borderId="3" xfId="0" applyFont="1" applyBorder="1" applyAlignment="1" applyProtection="1">
      <alignment horizontal="center"/>
      <protection hidden="1"/>
    </xf>
    <xf numFmtId="0" fontId="1" fillId="15" borderId="0" xfId="0" applyFont="1" applyFill="1" applyProtection="1">
      <protection hidden="1"/>
    </xf>
    <xf numFmtId="0" fontId="1" fillId="17" borderId="0" xfId="0" applyFont="1" applyFill="1" applyProtection="1">
      <protection hidden="1"/>
    </xf>
    <xf numFmtId="0" fontId="1" fillId="17" borderId="0" xfId="0" applyFont="1" applyFill="1" applyAlignment="1" applyProtection="1">
      <alignment horizontal="center" vertical="center"/>
      <protection hidden="1"/>
    </xf>
    <xf numFmtId="172" fontId="4" fillId="0" borderId="0" xfId="6" applyNumberFormat="1" applyFont="1" applyProtection="1">
      <protection hidden="1"/>
    </xf>
    <xf numFmtId="0" fontId="28" fillId="17" borderId="3" xfId="0" applyFont="1" applyFill="1" applyBorder="1" applyAlignment="1" applyProtection="1">
      <protection hidden="1"/>
    </xf>
    <xf numFmtId="173" fontId="77" fillId="0" borderId="3" xfId="6" applyNumberFormat="1" applyFont="1" applyBorder="1" applyAlignment="1">
      <alignment horizontal="center"/>
    </xf>
    <xf numFmtId="170" fontId="77" fillId="0" borderId="3" xfId="6" applyNumberFormat="1" applyFont="1" applyBorder="1"/>
    <xf numFmtId="170" fontId="77" fillId="0" borderId="3" xfId="6" applyNumberFormat="1" applyFont="1" applyBorder="1" applyProtection="1">
      <protection locked="0"/>
    </xf>
    <xf numFmtId="170" fontId="1" fillId="0" borderId="3" xfId="6" applyNumberFormat="1" applyFont="1" applyBorder="1" applyProtection="1">
      <protection hidden="1"/>
    </xf>
    <xf numFmtId="170" fontId="0" fillId="0" borderId="3" xfId="6" applyNumberFormat="1" applyFont="1" applyBorder="1"/>
    <xf numFmtId="170" fontId="1" fillId="0" borderId="3" xfId="6" applyNumberFormat="1" applyFont="1" applyBorder="1" applyAlignment="1" applyProtection="1">
      <protection hidden="1"/>
    </xf>
    <xf numFmtId="0" fontId="1" fillId="0" borderId="3" xfId="0" applyFont="1" applyBorder="1" applyAlignment="1" applyProtection="1">
      <protection hidden="1"/>
    </xf>
    <xf numFmtId="0" fontId="1" fillId="0" borderId="3" xfId="0" applyFont="1" applyBorder="1" applyAlignment="1" applyProtection="1">
      <alignment vertical="top"/>
      <protection hidden="1"/>
    </xf>
    <xf numFmtId="0" fontId="3" fillId="0" borderId="35" xfId="0" applyFont="1" applyBorder="1" applyAlignment="1" applyProtection="1">
      <alignment horizontal="left"/>
      <protection hidden="1"/>
    </xf>
    <xf numFmtId="0" fontId="1" fillId="0" borderId="0" xfId="0" applyFont="1" applyFill="1" applyBorder="1" applyAlignment="1" applyProtection="1">
      <protection hidden="1"/>
    </xf>
    <xf numFmtId="0" fontId="28" fillId="0" borderId="33" xfId="0" applyFont="1" applyBorder="1" applyAlignment="1" applyProtection="1">
      <alignment vertical="center"/>
      <protection hidden="1"/>
    </xf>
    <xf numFmtId="0" fontId="28" fillId="0" borderId="16" xfId="0" applyFont="1" applyBorder="1" applyProtection="1">
      <protection hidden="1"/>
    </xf>
    <xf numFmtId="0" fontId="28" fillId="0" borderId="4" xfId="0" applyFont="1" applyBorder="1" applyProtection="1">
      <protection hidden="1"/>
    </xf>
    <xf numFmtId="0" fontId="28" fillId="0" borderId="5" xfId="0" applyFont="1" applyBorder="1" applyProtection="1">
      <protection hidden="1"/>
    </xf>
    <xf numFmtId="0" fontId="3" fillId="16" borderId="5" xfId="0" applyFont="1" applyFill="1" applyBorder="1" applyAlignment="1" applyProtection="1">
      <alignment horizontal="left"/>
      <protection hidden="1"/>
    </xf>
    <xf numFmtId="0" fontId="3" fillId="0" borderId="4" xfId="0" applyFont="1" applyBorder="1" applyAlignment="1" applyProtection="1">
      <alignment horizontal="left"/>
      <protection hidden="1"/>
    </xf>
    <xf numFmtId="0" fontId="9" fillId="0" borderId="4" xfId="0" applyFont="1" applyBorder="1" applyProtection="1">
      <protection hidden="1"/>
    </xf>
    <xf numFmtId="0" fontId="4" fillId="0" borderId="5" xfId="0" applyFont="1" applyBorder="1" applyAlignment="1" applyProtection="1">
      <alignment horizontal="center"/>
      <protection hidden="1"/>
    </xf>
    <xf numFmtId="0" fontId="2" fillId="2" borderId="5" xfId="0" applyFont="1" applyFill="1" applyBorder="1" applyAlignment="1" applyProtection="1">
      <alignment horizontal="center"/>
      <protection hidden="1"/>
    </xf>
    <xf numFmtId="4" fontId="28" fillId="19" borderId="4" xfId="0" applyNumberFormat="1" applyFont="1" applyFill="1" applyBorder="1" applyProtection="1">
      <protection hidden="1"/>
    </xf>
    <xf numFmtId="4" fontId="28" fillId="19" borderId="0" xfId="0" applyNumberFormat="1" applyFont="1" applyFill="1" applyBorder="1" applyProtection="1">
      <protection hidden="1"/>
    </xf>
    <xf numFmtId="4" fontId="28" fillId="17" borderId="0" xfId="0" applyNumberFormat="1" applyFont="1" applyFill="1" applyBorder="1" applyProtection="1">
      <protection hidden="1"/>
    </xf>
    <xf numFmtId="4" fontId="28" fillId="45" borderId="0" xfId="0" applyNumberFormat="1" applyFont="1" applyFill="1" applyBorder="1" applyProtection="1">
      <protection hidden="1"/>
    </xf>
    <xf numFmtId="173" fontId="25" fillId="0" borderId="5" xfId="6" applyNumberFormat="1" applyFont="1" applyBorder="1" applyProtection="1">
      <protection hidden="1"/>
    </xf>
    <xf numFmtId="4" fontId="28" fillId="45" borderId="4" xfId="0" applyNumberFormat="1" applyFont="1" applyFill="1" applyBorder="1" applyProtection="1">
      <protection hidden="1"/>
    </xf>
    <xf numFmtId="4" fontId="28" fillId="0" borderId="0" xfId="0" applyNumberFormat="1" applyFont="1" applyFill="1" applyBorder="1" applyProtection="1">
      <protection hidden="1"/>
    </xf>
    <xf numFmtId="4" fontId="28" fillId="0" borderId="4" xfId="0" applyNumberFormat="1" applyFont="1" applyBorder="1" applyProtection="1">
      <protection hidden="1"/>
    </xf>
    <xf numFmtId="4" fontId="28" fillId="0" borderId="0" xfId="0" applyNumberFormat="1" applyFont="1" applyBorder="1" applyProtection="1">
      <protection hidden="1"/>
    </xf>
    <xf numFmtId="4" fontId="28" fillId="0" borderId="9" xfId="0" applyNumberFormat="1" applyFont="1" applyBorder="1" applyProtection="1">
      <protection hidden="1"/>
    </xf>
    <xf numFmtId="4" fontId="28" fillId="0" borderId="2" xfId="0" applyNumberFormat="1" applyFont="1" applyBorder="1" applyProtection="1">
      <protection hidden="1"/>
    </xf>
    <xf numFmtId="4" fontId="28" fillId="0" borderId="2" xfId="0" applyNumberFormat="1" applyFont="1" applyFill="1" applyBorder="1" applyProtection="1">
      <protection hidden="1"/>
    </xf>
    <xf numFmtId="4" fontId="28" fillId="45" borderId="2" xfId="0" applyNumberFormat="1" applyFont="1" applyFill="1" applyBorder="1" applyProtection="1">
      <protection hidden="1"/>
    </xf>
    <xf numFmtId="173" fontId="25" fillId="0" borderId="36" xfId="6" applyNumberFormat="1" applyFont="1" applyBorder="1" applyProtection="1">
      <protection hidden="1"/>
    </xf>
    <xf numFmtId="173" fontId="74" fillId="0" borderId="0" xfId="6" applyNumberFormat="1" applyFont="1" applyProtection="1">
      <protection hidden="1"/>
    </xf>
    <xf numFmtId="0" fontId="0" fillId="45" borderId="3" xfId="0" applyFill="1" applyBorder="1" applyProtection="1">
      <protection hidden="1"/>
    </xf>
    <xf numFmtId="0" fontId="0" fillId="19" borderId="0" xfId="0" applyFill="1" applyProtection="1">
      <protection hidden="1"/>
    </xf>
    <xf numFmtId="4" fontId="28" fillId="0" borderId="4" xfId="0" applyNumberFormat="1" applyFont="1" applyFill="1" applyBorder="1" applyProtection="1">
      <protection hidden="1"/>
    </xf>
    <xf numFmtId="0" fontId="78" fillId="2" borderId="38" xfId="0" applyFont="1" applyFill="1" applyBorder="1" applyAlignment="1" applyProtection="1">
      <alignment horizontal="left"/>
      <protection hidden="1"/>
    </xf>
    <xf numFmtId="0" fontId="78" fillId="2" borderId="17" xfId="0" applyFont="1" applyFill="1" applyBorder="1" applyAlignment="1" applyProtection="1">
      <alignment horizontal="left"/>
      <protection hidden="1"/>
    </xf>
    <xf numFmtId="0" fontId="79" fillId="20" borderId="16" xfId="0" applyFont="1" applyFill="1" applyBorder="1" applyAlignment="1" applyProtection="1">
      <alignment horizontal="left"/>
      <protection hidden="1"/>
    </xf>
    <xf numFmtId="0" fontId="28" fillId="0" borderId="0" xfId="0" applyFont="1" applyFill="1" applyAlignment="1" applyProtection="1">
      <alignment horizontal="center" vertical="center"/>
      <protection hidden="1"/>
    </xf>
    <xf numFmtId="0" fontId="28" fillId="0" borderId="0" xfId="0" applyFont="1" applyFill="1" applyAlignment="1" applyProtection="1">
      <alignment vertical="center"/>
      <protection hidden="1"/>
    </xf>
    <xf numFmtId="0" fontId="3" fillId="0" borderId="0" xfId="0" applyFont="1" applyFill="1" applyAlignment="1" applyProtection="1">
      <alignment vertical="center"/>
      <protection hidden="1"/>
    </xf>
    <xf numFmtId="0" fontId="6" fillId="0" borderId="0" xfId="0" applyFont="1" applyFill="1" applyAlignment="1" applyProtection="1">
      <alignment vertical="center"/>
      <protection hidden="1"/>
    </xf>
    <xf numFmtId="0" fontId="73" fillId="0" borderId="0" xfId="0" applyFont="1" applyFill="1" applyAlignment="1" applyProtection="1">
      <alignment vertical="center"/>
      <protection hidden="1"/>
    </xf>
    <xf numFmtId="0" fontId="3" fillId="0" borderId="0" xfId="0" applyFont="1" applyFill="1" applyAlignment="1" applyProtection="1">
      <alignment horizontal="right" vertical="center"/>
      <protection hidden="1"/>
    </xf>
    <xf numFmtId="0" fontId="28" fillId="0" borderId="4" xfId="0" applyFont="1" applyFill="1" applyBorder="1" applyProtection="1">
      <protection hidden="1"/>
    </xf>
    <xf numFmtId="0" fontId="28" fillId="0" borderId="0" xfId="0" applyFont="1" applyFill="1" applyBorder="1" applyAlignment="1" applyProtection="1">
      <alignment vertical="center"/>
      <protection hidden="1"/>
    </xf>
    <xf numFmtId="0" fontId="28" fillId="0" borderId="5" xfId="0" applyFont="1" applyFill="1" applyBorder="1" applyAlignment="1" applyProtection="1">
      <alignment vertical="center"/>
      <protection hidden="1"/>
    </xf>
    <xf numFmtId="0" fontId="78" fillId="20" borderId="23" xfId="0" applyFont="1" applyFill="1" applyBorder="1" applyProtection="1">
      <protection hidden="1"/>
    </xf>
    <xf numFmtId="0" fontId="3" fillId="0" borderId="34" xfId="0" applyFont="1" applyBorder="1" applyProtection="1">
      <protection hidden="1"/>
    </xf>
    <xf numFmtId="3" fontId="3" fillId="0" borderId="34" xfId="0" applyNumberFormat="1" applyFont="1" applyBorder="1" applyProtection="1">
      <protection hidden="1"/>
    </xf>
    <xf numFmtId="3" fontId="14" fillId="0" borderId="34" xfId="0" applyNumberFormat="1" applyFont="1" applyBorder="1" applyProtection="1">
      <protection hidden="1"/>
    </xf>
    <xf numFmtId="0" fontId="43" fillId="0" borderId="34" xfId="0" applyFont="1" applyBorder="1" applyProtection="1">
      <protection hidden="1"/>
    </xf>
    <xf numFmtId="0" fontId="0" fillId="0" borderId="34" xfId="0" applyBorder="1" applyProtection="1">
      <protection hidden="1"/>
    </xf>
    <xf numFmtId="3" fontId="43" fillId="0" borderId="34" xfId="0" applyNumberFormat="1" applyFont="1" applyBorder="1" applyProtection="1">
      <protection hidden="1"/>
    </xf>
    <xf numFmtId="3" fontId="43" fillId="0" borderId="34" xfId="0" applyNumberFormat="1" applyFont="1" applyBorder="1" applyAlignment="1" applyProtection="1">
      <alignment horizontal="center"/>
      <protection hidden="1"/>
    </xf>
    <xf numFmtId="0" fontId="0" fillId="0" borderId="34" xfId="0" applyBorder="1" applyAlignment="1" applyProtection="1">
      <alignment horizontal="center"/>
      <protection hidden="1"/>
    </xf>
    <xf numFmtId="3" fontId="3" fillId="0" borderId="34" xfId="0" applyNumberFormat="1" applyFont="1" applyBorder="1" applyAlignment="1" applyProtection="1">
      <alignment horizontal="center"/>
      <protection hidden="1"/>
    </xf>
    <xf numFmtId="0" fontId="80" fillId="0" borderId="0" xfId="0" applyFont="1" applyAlignment="1" applyProtection="1">
      <alignment wrapText="1"/>
      <protection hidden="1"/>
    </xf>
    <xf numFmtId="2" fontId="0" fillId="0" borderId="3" xfId="0" applyNumberFormat="1" applyBorder="1"/>
    <xf numFmtId="0" fontId="82" fillId="0" borderId="0" xfId="0" applyFont="1" applyAlignment="1" applyProtection="1">
      <alignment horizontal="center"/>
      <protection hidden="1"/>
    </xf>
    <xf numFmtId="0" fontId="81" fillId="17" borderId="0" xfId="0" applyFont="1" applyFill="1" applyAlignment="1" applyProtection="1">
      <alignment horizontal="right"/>
      <protection hidden="1"/>
    </xf>
    <xf numFmtId="0" fontId="28" fillId="25" borderId="49" xfId="0" applyFont="1" applyFill="1" applyBorder="1" applyProtection="1">
      <protection hidden="1"/>
    </xf>
    <xf numFmtId="0" fontId="75" fillId="25" borderId="50" xfId="0" applyFont="1" applyFill="1" applyBorder="1" applyAlignment="1" applyProtection="1">
      <alignment vertical="top"/>
      <protection hidden="1"/>
    </xf>
    <xf numFmtId="0" fontId="28" fillId="0" borderId="50" xfId="0" applyFont="1" applyBorder="1" applyAlignment="1" applyProtection="1">
      <alignment horizontal="center"/>
      <protection hidden="1"/>
    </xf>
    <xf numFmtId="10" fontId="6" fillId="0" borderId="50" xfId="0" applyNumberFormat="1" applyFont="1" applyBorder="1" applyAlignment="1" applyProtection="1">
      <alignment horizontal="center"/>
      <protection hidden="1"/>
    </xf>
    <xf numFmtId="10" fontId="3" fillId="0" borderId="50" xfId="0" applyNumberFormat="1" applyFont="1" applyBorder="1" applyAlignment="1" applyProtection="1">
      <alignment horizontal="center"/>
      <protection hidden="1"/>
    </xf>
    <xf numFmtId="6" fontId="28" fillId="0" borderId="50" xfId="0" applyNumberFormat="1" applyFont="1" applyBorder="1" applyAlignment="1" applyProtection="1">
      <alignment horizontal="center"/>
      <protection hidden="1"/>
    </xf>
    <xf numFmtId="167" fontId="29" fillId="0" borderId="50" xfId="0" applyNumberFormat="1" applyFont="1" applyBorder="1" applyAlignment="1" applyProtection="1">
      <alignment horizontal="center"/>
      <protection hidden="1"/>
    </xf>
    <xf numFmtId="167" fontId="28" fillId="0" borderId="50" xfId="0" applyNumberFormat="1" applyFont="1" applyBorder="1" applyAlignment="1" applyProtection="1">
      <alignment horizontal="center"/>
      <protection hidden="1"/>
    </xf>
    <xf numFmtId="167" fontId="6" fillId="0" borderId="50" xfId="0" applyNumberFormat="1" applyFont="1" applyBorder="1" applyAlignment="1" applyProtection="1">
      <alignment horizontal="center"/>
      <protection hidden="1"/>
    </xf>
    <xf numFmtId="0" fontId="28" fillId="25" borderId="52" xfId="0" applyFont="1" applyFill="1" applyBorder="1" applyProtection="1">
      <protection hidden="1"/>
    </xf>
    <xf numFmtId="0" fontId="53" fillId="25" borderId="53" xfId="0" applyFont="1" applyFill="1" applyBorder="1" applyAlignment="1" applyProtection="1">
      <alignment horizontal="center" vertical="top"/>
      <protection hidden="1"/>
    </xf>
    <xf numFmtId="0" fontId="3" fillId="25" borderId="53" xfId="0" applyFont="1" applyFill="1" applyBorder="1" applyProtection="1">
      <protection hidden="1"/>
    </xf>
    <xf numFmtId="0" fontId="6" fillId="25" borderId="53" xfId="0" applyFont="1" applyFill="1" applyBorder="1" applyProtection="1">
      <protection hidden="1"/>
    </xf>
    <xf numFmtId="0" fontId="1" fillId="25" borderId="53" xfId="0" applyFont="1" applyFill="1" applyBorder="1" applyProtection="1">
      <protection hidden="1"/>
    </xf>
    <xf numFmtId="0" fontId="4" fillId="25" borderId="53" xfId="1" applyFont="1" applyFill="1" applyBorder="1" applyProtection="1">
      <protection hidden="1"/>
    </xf>
    <xf numFmtId="0" fontId="28" fillId="25" borderId="53" xfId="0" applyFont="1" applyFill="1" applyBorder="1" applyProtection="1">
      <protection hidden="1"/>
    </xf>
    <xf numFmtId="0" fontId="1" fillId="25" borderId="53" xfId="1" applyFont="1" applyFill="1" applyBorder="1" applyAlignment="1" applyProtection="1">
      <alignment horizontal="left"/>
      <protection hidden="1"/>
    </xf>
    <xf numFmtId="0" fontId="3" fillId="25" borderId="53" xfId="0" applyFont="1" applyFill="1" applyBorder="1" applyAlignment="1" applyProtection="1">
      <alignment horizontal="right"/>
      <protection hidden="1"/>
    </xf>
    <xf numFmtId="0" fontId="6" fillId="25" borderId="53" xfId="0" applyFont="1" applyFill="1" applyBorder="1" applyAlignment="1" applyProtection="1">
      <alignment horizontal="right"/>
      <protection hidden="1"/>
    </xf>
    <xf numFmtId="0" fontId="83" fillId="19" borderId="0" xfId="9" applyFont="1" applyFill="1"/>
    <xf numFmtId="0" fontId="83" fillId="0" borderId="0" xfId="9" applyFont="1" applyFill="1"/>
    <xf numFmtId="0" fontId="83" fillId="0" borderId="0" xfId="9" applyFont="1"/>
    <xf numFmtId="0" fontId="86" fillId="0" borderId="0" xfId="10" applyFont="1" applyBorder="1" applyAlignment="1" applyProtection="1">
      <protection hidden="1"/>
    </xf>
    <xf numFmtId="0" fontId="83" fillId="0" borderId="0" xfId="9" applyFont="1" applyAlignment="1">
      <alignment horizontal="justify" wrapText="1"/>
    </xf>
    <xf numFmtId="0" fontId="83" fillId="0" borderId="0" xfId="9" applyFont="1" applyAlignment="1">
      <alignment horizontal="justify"/>
    </xf>
    <xf numFmtId="0" fontId="83" fillId="0" borderId="0" xfId="9" applyFont="1" applyProtection="1">
      <protection locked="0"/>
    </xf>
    <xf numFmtId="0" fontId="85" fillId="0" borderId="0" xfId="9" applyFont="1"/>
    <xf numFmtId="0" fontId="86" fillId="0" borderId="0" xfId="10" applyBorder="1" applyAlignment="1" applyProtection="1">
      <protection hidden="1"/>
    </xf>
    <xf numFmtId="0" fontId="88" fillId="0" borderId="0" xfId="9" applyFont="1"/>
    <xf numFmtId="0" fontId="83" fillId="0" borderId="0" xfId="9" applyFont="1" applyAlignment="1">
      <alignment horizontal="left" wrapText="1"/>
    </xf>
    <xf numFmtId="0" fontId="83" fillId="0" borderId="0" xfId="9" applyFont="1" applyAlignment="1">
      <alignment wrapText="1"/>
    </xf>
    <xf numFmtId="0" fontId="83" fillId="19" borderId="0" xfId="9" applyFont="1" applyFill="1" applyAlignment="1">
      <alignment vertical="center"/>
    </xf>
    <xf numFmtId="0" fontId="83" fillId="0" borderId="0" xfId="9" applyFont="1" applyAlignment="1">
      <alignment vertical="center"/>
    </xf>
    <xf numFmtId="0" fontId="86" fillId="0" borderId="0" xfId="10" applyBorder="1" applyAlignment="1" applyProtection="1">
      <protection locked="0" hidden="1"/>
    </xf>
    <xf numFmtId="0" fontId="86" fillId="0" borderId="0" xfId="10" applyFont="1" applyBorder="1" applyAlignment="1" applyProtection="1">
      <protection locked="0" hidden="1"/>
    </xf>
    <xf numFmtId="0" fontId="83" fillId="0" borderId="0" xfId="9" applyFont="1" applyAlignment="1">
      <alignment horizontal="center" wrapText="1"/>
    </xf>
    <xf numFmtId="0" fontId="89" fillId="0" borderId="0" xfId="9" applyFont="1" applyAlignment="1">
      <alignment wrapText="1"/>
    </xf>
    <xf numFmtId="0" fontId="89" fillId="0" borderId="0" xfId="9" applyFont="1" applyAlignment="1">
      <alignment horizontal="justify" wrapText="1"/>
    </xf>
    <xf numFmtId="0" fontId="83" fillId="19" borderId="0" xfId="9" applyFont="1" applyFill="1" applyBorder="1"/>
    <xf numFmtId="0" fontId="83" fillId="0" borderId="55" xfId="9" applyFont="1" applyBorder="1"/>
    <xf numFmtId="0" fontId="3" fillId="46" borderId="33" xfId="0" applyFont="1" applyFill="1" applyBorder="1" applyProtection="1">
      <protection hidden="1"/>
    </xf>
    <xf numFmtId="0" fontId="3" fillId="46" borderId="12" xfId="0" applyFont="1" applyFill="1" applyBorder="1" applyProtection="1">
      <protection hidden="1"/>
    </xf>
    <xf numFmtId="0" fontId="3" fillId="13" borderId="12" xfId="0" applyFont="1" applyFill="1" applyBorder="1" applyProtection="1">
      <protection hidden="1"/>
    </xf>
    <xf numFmtId="0" fontId="1" fillId="47" borderId="0" xfId="0" applyFont="1" applyFill="1" applyBorder="1" applyProtection="1">
      <protection locked="0"/>
    </xf>
    <xf numFmtId="0" fontId="2" fillId="0" borderId="1" xfId="0" applyFont="1" applyFill="1" applyBorder="1" applyAlignment="1">
      <alignment horizontal="center"/>
    </xf>
    <xf numFmtId="0" fontId="3" fillId="48" borderId="0" xfId="0" applyFont="1" applyFill="1" applyBorder="1" applyAlignment="1" applyProtection="1">
      <alignment horizontal="centerContinuous"/>
      <protection hidden="1"/>
    </xf>
    <xf numFmtId="0" fontId="1" fillId="0" borderId="1" xfId="0" applyFont="1" applyBorder="1" applyProtection="1">
      <protection hidden="1"/>
    </xf>
    <xf numFmtId="0" fontId="1" fillId="0" borderId="1" xfId="0" applyFont="1" applyFill="1" applyBorder="1" applyProtection="1">
      <protection hidden="1"/>
    </xf>
    <xf numFmtId="0" fontId="1" fillId="0" borderId="0" xfId="0" applyFont="1" applyAlignment="1" applyProtection="1">
      <alignment horizontal="center"/>
      <protection hidden="1"/>
    </xf>
    <xf numFmtId="0" fontId="1" fillId="0" borderId="0" xfId="0" applyFont="1" applyAlignment="1" applyProtection="1">
      <alignment horizontal="centerContinuous"/>
      <protection hidden="1"/>
    </xf>
    <xf numFmtId="0" fontId="1" fillId="0" borderId="10" xfId="0" applyFont="1" applyBorder="1" applyProtection="1">
      <protection hidden="1"/>
    </xf>
    <xf numFmtId="9" fontId="1" fillId="0" borderId="0" xfId="11" applyFont="1" applyFill="1" applyBorder="1"/>
    <xf numFmtId="172" fontId="4" fillId="0" borderId="0" xfId="11" applyNumberFormat="1" applyFont="1" applyProtection="1">
      <protection hidden="1"/>
    </xf>
    <xf numFmtId="0" fontId="1" fillId="0" borderId="11" xfId="0" applyFont="1" applyBorder="1" applyProtection="1">
      <protection hidden="1"/>
    </xf>
    <xf numFmtId="0" fontId="3" fillId="0" borderId="0" xfId="0" applyFont="1" applyFill="1" applyBorder="1" applyAlignment="1" applyProtection="1">
      <alignment horizontal="center"/>
      <protection hidden="1"/>
    </xf>
    <xf numFmtId="0" fontId="3" fillId="0" borderId="0" xfId="0" applyFont="1" applyFill="1" applyBorder="1" applyAlignment="1" applyProtection="1">
      <protection hidden="1"/>
    </xf>
    <xf numFmtId="10" fontId="1" fillId="0" borderId="0" xfId="0" applyNumberFormat="1" applyFont="1" applyProtection="1">
      <protection hidden="1"/>
    </xf>
    <xf numFmtId="4" fontId="1" fillId="0" borderId="0" xfId="0" applyNumberFormat="1" applyFont="1" applyFill="1" applyBorder="1" applyProtection="1">
      <protection hidden="1"/>
    </xf>
    <xf numFmtId="7" fontId="90" fillId="0" borderId="0" xfId="0" applyNumberFormat="1" applyFont="1" applyFill="1" applyBorder="1" applyAlignment="1" applyProtection="1">
      <alignment horizontal="right"/>
      <protection hidden="1"/>
    </xf>
    <xf numFmtId="0" fontId="1" fillId="0" borderId="60" xfId="0" applyFont="1" applyFill="1" applyBorder="1" applyProtection="1">
      <protection hidden="1"/>
    </xf>
    <xf numFmtId="0" fontId="9" fillId="0" borderId="0" xfId="0" applyFont="1" applyProtection="1">
      <protection hidden="1"/>
    </xf>
    <xf numFmtId="0" fontId="1" fillId="17" borderId="1" xfId="0" applyFont="1" applyFill="1" applyBorder="1" applyAlignment="1">
      <alignment horizontal="left"/>
    </xf>
    <xf numFmtId="175" fontId="1" fillId="0" borderId="0" xfId="0" applyNumberFormat="1" applyFont="1" applyProtection="1">
      <protection hidden="1"/>
    </xf>
    <xf numFmtId="0" fontId="1" fillId="17" borderId="11" xfId="0" applyFont="1" applyFill="1" applyBorder="1" applyAlignment="1">
      <alignment horizontal="left"/>
    </xf>
    <xf numFmtId="9" fontId="1" fillId="0" borderId="0" xfId="11" applyFont="1" applyBorder="1" applyProtection="1">
      <protection hidden="1"/>
    </xf>
    <xf numFmtId="4" fontId="1" fillId="0" borderId="0" xfId="0" applyNumberFormat="1" applyFont="1" applyProtection="1">
      <protection hidden="1"/>
    </xf>
    <xf numFmtId="0" fontId="1" fillId="0" borderId="0" xfId="0" applyFont="1" applyFill="1" applyAlignment="1" applyProtection="1">
      <alignment wrapText="1"/>
      <protection hidden="1"/>
    </xf>
    <xf numFmtId="10" fontId="16" fillId="0" borderId="0" xfId="11" applyNumberFormat="1" applyFont="1" applyFill="1" applyBorder="1" applyAlignment="1" applyProtection="1">
      <alignment horizontal="left"/>
      <protection hidden="1"/>
    </xf>
    <xf numFmtId="0" fontId="1" fillId="0" borderId="0" xfId="0" applyFont="1" applyFill="1" applyAlignment="1" applyProtection="1">
      <alignment vertical="top"/>
      <protection hidden="1"/>
    </xf>
    <xf numFmtId="0" fontId="4" fillId="0" borderId="0" xfId="0" applyFont="1" applyAlignment="1" applyProtection="1">
      <alignment horizontal="right"/>
      <protection hidden="1"/>
    </xf>
    <xf numFmtId="0" fontId="6" fillId="0" borderId="0" xfId="0" applyFont="1" applyFill="1" applyProtection="1">
      <protection locked="0" hidden="1"/>
    </xf>
    <xf numFmtId="3" fontId="1" fillId="0" borderId="0" xfId="0" applyNumberFormat="1" applyFont="1" applyFill="1" applyProtection="1">
      <protection hidden="1"/>
    </xf>
    <xf numFmtId="4" fontId="4" fillId="0" borderId="0" xfId="0" applyNumberFormat="1" applyFont="1" applyFill="1" applyAlignment="1" applyProtection="1">
      <alignment wrapText="1"/>
      <protection hidden="1"/>
    </xf>
    <xf numFmtId="0" fontId="1" fillId="0" borderId="0" xfId="0" applyFont="1" applyAlignment="1" applyProtection="1">
      <protection hidden="1"/>
    </xf>
    <xf numFmtId="4" fontId="3" fillId="0" borderId="0" xfId="0" applyNumberFormat="1" applyFont="1" applyFill="1" applyAlignment="1" applyProtection="1">
      <alignment horizontal="left"/>
      <protection hidden="1"/>
    </xf>
    <xf numFmtId="0" fontId="1" fillId="0" borderId="0" xfId="0" applyFont="1" applyFill="1" applyAlignment="1" applyProtection="1">
      <alignment horizontal="centerContinuous"/>
      <protection hidden="1"/>
    </xf>
    <xf numFmtId="0" fontId="1" fillId="0" borderId="0" xfId="0" applyFont="1" applyFill="1" applyAlignment="1" applyProtection="1">
      <protection hidden="1"/>
    </xf>
    <xf numFmtId="3" fontId="1" fillId="0" borderId="0" xfId="0" applyNumberFormat="1" applyFont="1" applyFill="1" applyAlignment="1" applyProtection="1">
      <protection hidden="1"/>
    </xf>
    <xf numFmtId="3" fontId="3" fillId="0" borderId="0" xfId="0" applyNumberFormat="1" applyFont="1" applyProtection="1">
      <protection hidden="1"/>
    </xf>
    <xf numFmtId="0" fontId="1" fillId="16" borderId="62" xfId="0" applyFont="1" applyFill="1" applyBorder="1" applyAlignment="1" applyProtection="1">
      <protection hidden="1"/>
    </xf>
    <xf numFmtId="2" fontId="1" fillId="16" borderId="62" xfId="0" applyNumberFormat="1" applyFont="1" applyFill="1" applyBorder="1" applyAlignment="1" applyProtection="1">
      <protection hidden="1"/>
    </xf>
    <xf numFmtId="0" fontId="1" fillId="16" borderId="63" xfId="0" applyFont="1" applyFill="1" applyBorder="1" applyAlignment="1" applyProtection="1">
      <protection hidden="1"/>
    </xf>
    <xf numFmtId="0" fontId="1" fillId="0" borderId="55" xfId="0" applyFont="1" applyBorder="1" applyAlignment="1" applyProtection="1">
      <protection hidden="1"/>
    </xf>
    <xf numFmtId="0" fontId="1" fillId="0" borderId="55" xfId="0" applyFont="1" applyFill="1" applyBorder="1" applyAlignment="1" applyProtection="1">
      <alignment horizontal="left"/>
      <protection hidden="1"/>
    </xf>
    <xf numFmtId="0" fontId="1" fillId="0" borderId="55" xfId="0" applyFont="1" applyFill="1" applyBorder="1" applyAlignment="1" applyProtection="1">
      <alignment wrapText="1"/>
      <protection hidden="1"/>
    </xf>
    <xf numFmtId="0" fontId="3" fillId="0" borderId="55" xfId="0" applyFont="1" applyBorder="1" applyProtection="1">
      <protection hidden="1"/>
    </xf>
    <xf numFmtId="0" fontId="3" fillId="0" borderId="0" xfId="0" applyFont="1" applyBorder="1" applyProtection="1">
      <protection hidden="1"/>
    </xf>
    <xf numFmtId="0" fontId="1" fillId="0" borderId="0" xfId="0" applyFont="1" applyFill="1" applyAlignment="1" applyProtection="1">
      <alignment horizontal="left"/>
      <protection hidden="1"/>
    </xf>
    <xf numFmtId="0" fontId="4" fillId="0" borderId="0" xfId="0" applyFont="1" applyFill="1" applyBorder="1" applyAlignment="1" applyProtection="1">
      <alignment horizontal="center" vertical="center"/>
      <protection locked="0" hidden="1"/>
    </xf>
    <xf numFmtId="10" fontId="3" fillId="0" borderId="0" xfId="0" applyNumberFormat="1" applyFont="1" applyFill="1" applyAlignment="1" applyProtection="1">
      <alignment vertical="top" wrapText="1"/>
      <protection hidden="1"/>
    </xf>
    <xf numFmtId="0" fontId="3" fillId="0" borderId="2" xfId="0" applyFont="1" applyBorder="1" applyAlignment="1" applyProtection="1">
      <alignment vertical="center"/>
      <protection hidden="1"/>
    </xf>
    <xf numFmtId="0" fontId="9" fillId="0" borderId="0" xfId="0" applyFont="1" applyFill="1" applyProtection="1">
      <protection hidden="1"/>
    </xf>
    <xf numFmtId="0" fontId="3" fillId="5" borderId="0" xfId="0" applyFont="1" applyFill="1" applyBorder="1" applyAlignment="1" applyProtection="1">
      <alignment horizontal="center" vertical="center" wrapText="1"/>
      <protection hidden="1"/>
    </xf>
    <xf numFmtId="0" fontId="2" fillId="0" borderId="0" xfId="0" applyFont="1" applyFill="1" applyAlignment="1" applyProtection="1">
      <alignment horizontal="center" vertical="center" wrapText="1"/>
      <protection hidden="1"/>
    </xf>
    <xf numFmtId="0" fontId="3" fillId="0" borderId="0" xfId="0" applyFont="1" applyAlignment="1" applyProtection="1">
      <alignment horizontal="center"/>
      <protection hidden="1"/>
    </xf>
    <xf numFmtId="0" fontId="3" fillId="0" borderId="0" xfId="0" applyFont="1" applyFill="1" applyAlignment="1" applyProtection="1">
      <alignment horizontal="center"/>
      <protection hidden="1"/>
    </xf>
    <xf numFmtId="0" fontId="3" fillId="0" borderId="0" xfId="0" applyFont="1" applyBorder="1" applyAlignment="1" applyProtection="1">
      <alignment horizontal="center"/>
      <protection hidden="1"/>
    </xf>
    <xf numFmtId="0" fontId="1" fillId="5" borderId="0" xfId="0" applyFont="1" applyFill="1" applyProtection="1">
      <protection hidden="1"/>
    </xf>
    <xf numFmtId="0" fontId="1" fillId="0" borderId="16" xfId="0" applyFont="1" applyBorder="1" applyProtection="1">
      <protection hidden="1"/>
    </xf>
    <xf numFmtId="4" fontId="1" fillId="0" borderId="16" xfId="0" applyNumberFormat="1" applyFont="1" applyBorder="1" applyProtection="1">
      <protection hidden="1"/>
    </xf>
    <xf numFmtId="0" fontId="1" fillId="0" borderId="16" xfId="0" applyFont="1" applyFill="1" applyBorder="1" applyProtection="1">
      <protection hidden="1"/>
    </xf>
    <xf numFmtId="0" fontId="1" fillId="0" borderId="16" xfId="0" applyFont="1" applyBorder="1" applyAlignment="1" applyProtection="1">
      <alignment horizontal="right"/>
      <protection hidden="1"/>
    </xf>
    <xf numFmtId="3" fontId="1" fillId="17" borderId="33" xfId="0" applyNumberFormat="1" applyFont="1" applyFill="1" applyBorder="1" applyProtection="1">
      <protection hidden="1"/>
    </xf>
    <xf numFmtId="0" fontId="3" fillId="15" borderId="0" xfId="0" applyFont="1" applyFill="1" applyBorder="1" applyAlignment="1" applyProtection="1">
      <alignment horizontal="center"/>
      <protection hidden="1"/>
    </xf>
    <xf numFmtId="164" fontId="3" fillId="5" borderId="0" xfId="0" applyNumberFormat="1" applyFont="1" applyFill="1" applyBorder="1" applyAlignment="1" applyProtection="1">
      <alignment horizontal="center"/>
      <protection hidden="1"/>
    </xf>
    <xf numFmtId="171" fontId="9" fillId="0" borderId="0" xfId="8" applyNumberFormat="1" applyFont="1" applyBorder="1" applyProtection="1">
      <protection hidden="1"/>
    </xf>
    <xf numFmtId="3" fontId="1" fillId="18" borderId="12" xfId="0" applyNumberFormat="1" applyFont="1" applyFill="1" applyBorder="1" applyProtection="1">
      <protection hidden="1"/>
    </xf>
    <xf numFmtId="0" fontId="1" fillId="5" borderId="0" xfId="0" applyFont="1" applyFill="1" applyBorder="1" applyAlignment="1" applyProtection="1">
      <alignment horizontal="center"/>
      <protection hidden="1"/>
    </xf>
    <xf numFmtId="171" fontId="1" fillId="0" borderId="0" xfId="8" applyNumberFormat="1" applyFont="1" applyFill="1" applyBorder="1" applyProtection="1">
      <protection hidden="1"/>
    </xf>
    <xf numFmtId="10" fontId="1" fillId="0" borderId="5" xfId="11" applyNumberFormat="1" applyFont="1" applyFill="1" applyBorder="1" applyAlignment="1" applyProtection="1">
      <alignment horizontal="center"/>
      <protection hidden="1"/>
    </xf>
    <xf numFmtId="3" fontId="1" fillId="15" borderId="4" xfId="0" applyNumberFormat="1" applyFont="1" applyFill="1" applyBorder="1" applyProtection="1">
      <protection hidden="1"/>
    </xf>
    <xf numFmtId="3" fontId="1" fillId="15" borderId="5" xfId="0" applyNumberFormat="1" applyFont="1" applyFill="1" applyBorder="1" applyProtection="1">
      <protection hidden="1"/>
    </xf>
    <xf numFmtId="4" fontId="3" fillId="15" borderId="0" xfId="0" applyNumberFormat="1" applyFont="1" applyFill="1" applyBorder="1" applyProtection="1">
      <protection hidden="1"/>
    </xf>
    <xf numFmtId="3" fontId="1" fillId="0" borderId="4" xfId="0" applyNumberFormat="1" applyFont="1" applyFill="1" applyBorder="1" applyProtection="1">
      <protection hidden="1"/>
    </xf>
    <xf numFmtId="43" fontId="9" fillId="0" borderId="0" xfId="12" applyFont="1" applyProtection="1">
      <protection hidden="1"/>
    </xf>
    <xf numFmtId="174" fontId="3" fillId="0" borderId="0" xfId="13" applyFont="1" applyFill="1" applyBorder="1" applyProtection="1">
      <protection hidden="1"/>
    </xf>
    <xf numFmtId="43" fontId="1" fillId="0" borderId="0" xfId="12" applyFont="1" applyProtection="1">
      <protection hidden="1"/>
    </xf>
    <xf numFmtId="8" fontId="1" fillId="0" borderId="0" xfId="0" applyNumberFormat="1" applyFont="1" applyProtection="1">
      <protection hidden="1"/>
    </xf>
    <xf numFmtId="174" fontId="92" fillId="2" borderId="0" xfId="13" applyFont="1" applyFill="1" applyProtection="1">
      <protection hidden="1"/>
    </xf>
    <xf numFmtId="174" fontId="92" fillId="0" borderId="0" xfId="13" applyFont="1" applyFill="1" applyProtection="1">
      <protection hidden="1"/>
    </xf>
    <xf numFmtId="8" fontId="1" fillId="0" borderId="0" xfId="0" applyNumberFormat="1" applyFont="1" applyFill="1" applyProtection="1">
      <protection hidden="1"/>
    </xf>
    <xf numFmtId="8" fontId="9" fillId="0" borderId="0" xfId="0" applyNumberFormat="1" applyFont="1" applyBorder="1" applyProtection="1">
      <protection hidden="1"/>
    </xf>
    <xf numFmtId="8" fontId="9" fillId="0" borderId="0" xfId="0" applyNumberFormat="1" applyFont="1" applyFill="1" applyBorder="1" applyProtection="1">
      <protection hidden="1"/>
    </xf>
    <xf numFmtId="0" fontId="1" fillId="0" borderId="0" xfId="0" applyFont="1" applyBorder="1" applyAlignment="1" applyProtection="1">
      <protection hidden="1"/>
    </xf>
    <xf numFmtId="0" fontId="1" fillId="0" borderId="0" xfId="0" applyFont="1" applyBorder="1" applyAlignment="1" applyProtection="1">
      <alignment horizontal="center"/>
      <protection hidden="1"/>
    </xf>
    <xf numFmtId="4" fontId="1" fillId="0" borderId="0" xfId="0" applyNumberFormat="1" applyFont="1" applyFill="1" applyBorder="1" applyAlignment="1" applyProtection="1">
      <alignment horizontal="center"/>
      <protection hidden="1"/>
    </xf>
    <xf numFmtId="0" fontId="3" fillId="0" borderId="34" xfId="0" applyFont="1" applyFill="1" applyBorder="1" applyAlignment="1" applyProtection="1">
      <alignment horizontal="center"/>
      <protection hidden="1"/>
    </xf>
    <xf numFmtId="4" fontId="3" fillId="0" borderId="34" xfId="0" applyNumberFormat="1" applyFont="1" applyBorder="1" applyAlignment="1" applyProtection="1">
      <alignment horizontal="center"/>
      <protection hidden="1"/>
    </xf>
    <xf numFmtId="4" fontId="2" fillId="0" borderId="0" xfId="0" applyNumberFormat="1" applyFont="1" applyBorder="1" applyAlignment="1" applyProtection="1">
      <alignment horizontal="center"/>
      <protection hidden="1"/>
    </xf>
    <xf numFmtId="8" fontId="1" fillId="0" borderId="0" xfId="0" applyNumberFormat="1" applyFont="1" applyFill="1" applyBorder="1" applyAlignment="1" applyProtection="1">
      <alignment horizontal="center"/>
      <protection hidden="1"/>
    </xf>
    <xf numFmtId="8" fontId="1" fillId="0" borderId="0" xfId="0" applyNumberFormat="1" applyFont="1" applyFill="1" applyBorder="1" applyProtection="1">
      <protection hidden="1"/>
    </xf>
    <xf numFmtId="8" fontId="90" fillId="0" borderId="0" xfId="0" applyNumberFormat="1" applyFont="1" applyFill="1" applyBorder="1" applyAlignment="1" applyProtection="1">
      <alignment horizontal="right"/>
      <protection hidden="1"/>
    </xf>
    <xf numFmtId="0" fontId="3" fillId="0" borderId="0" xfId="0" applyFont="1" applyFill="1" applyBorder="1" applyAlignment="1" applyProtection="1">
      <alignment horizontal="left"/>
      <protection hidden="1"/>
    </xf>
    <xf numFmtId="0" fontId="1" fillId="0" borderId="0" xfId="0" applyFont="1" applyAlignment="1" applyProtection="1">
      <alignment vertical="top"/>
      <protection hidden="1"/>
    </xf>
    <xf numFmtId="171" fontId="1" fillId="0" borderId="0" xfId="8" applyNumberFormat="1" applyFont="1" applyFill="1" applyBorder="1" applyAlignment="1" applyProtection="1">
      <alignment vertical="top"/>
      <protection hidden="1"/>
    </xf>
    <xf numFmtId="0" fontId="1" fillId="49" borderId="0" xfId="0" applyFont="1" applyFill="1" applyProtection="1">
      <protection hidden="1"/>
    </xf>
    <xf numFmtId="0" fontId="1" fillId="0" borderId="2" xfId="0" applyFont="1" applyFill="1" applyBorder="1" applyProtection="1">
      <protection hidden="1"/>
    </xf>
    <xf numFmtId="0" fontId="1" fillId="0" borderId="10" xfId="0" applyFont="1" applyFill="1" applyBorder="1" applyProtection="1">
      <protection hidden="1"/>
    </xf>
    <xf numFmtId="0" fontId="1" fillId="17" borderId="3" xfId="0" applyFont="1" applyFill="1" applyBorder="1"/>
    <xf numFmtId="10" fontId="1" fillId="19" borderId="5" xfId="11" applyNumberFormat="1" applyFont="1" applyFill="1" applyBorder="1" applyAlignment="1" applyProtection="1">
      <alignment horizontal="center"/>
      <protection hidden="1"/>
    </xf>
    <xf numFmtId="3" fontId="1" fillId="26" borderId="5" xfId="0" applyNumberFormat="1" applyFont="1" applyFill="1" applyBorder="1" applyProtection="1">
      <protection hidden="1"/>
    </xf>
    <xf numFmtId="3" fontId="1" fillId="0" borderId="5" xfId="0" applyNumberFormat="1" applyFont="1" applyFill="1" applyBorder="1" applyProtection="1">
      <protection hidden="1"/>
    </xf>
    <xf numFmtId="0" fontId="1" fillId="0" borderId="1" xfId="0" applyFont="1" applyBorder="1" applyAlignment="1" applyProtection="1">
      <protection hidden="1"/>
    </xf>
    <xf numFmtId="0" fontId="1" fillId="0" borderId="11" xfId="0" applyFont="1" applyBorder="1" applyAlignment="1" applyProtection="1">
      <protection hidden="1"/>
    </xf>
    <xf numFmtId="0" fontId="1" fillId="26" borderId="0" xfId="0" applyFont="1" applyFill="1" applyBorder="1" applyProtection="1">
      <protection hidden="1"/>
    </xf>
    <xf numFmtId="0" fontId="3" fillId="26" borderId="0" xfId="0" applyFont="1" applyFill="1" applyBorder="1" applyProtection="1">
      <protection hidden="1"/>
    </xf>
    <xf numFmtId="0" fontId="1" fillId="0" borderId="0" xfId="0" applyFont="1" applyFill="1" applyBorder="1" applyAlignment="1" applyProtection="1">
      <alignment vertical="top" wrapText="1"/>
      <protection hidden="1"/>
    </xf>
    <xf numFmtId="0" fontId="2" fillId="0" borderId="33" xfId="0" applyFont="1" applyFill="1" applyBorder="1" applyAlignment="1">
      <alignment horizontal="center"/>
    </xf>
    <xf numFmtId="0" fontId="2" fillId="0" borderId="0" xfId="0" applyFont="1" applyFill="1" applyBorder="1" applyAlignment="1">
      <alignment horizontal="center"/>
    </xf>
    <xf numFmtId="0" fontId="9" fillId="0" borderId="0" xfId="0" applyFont="1" applyFill="1" applyBorder="1" applyAlignment="1" applyProtection="1">
      <alignment horizontal="center"/>
      <protection hidden="1"/>
    </xf>
    <xf numFmtId="174" fontId="1" fillId="0" borderId="0" xfId="13" applyFont="1" applyFill="1" applyBorder="1" applyProtection="1">
      <protection hidden="1"/>
    </xf>
    <xf numFmtId="173" fontId="25" fillId="0" borderId="5" xfId="6" applyNumberFormat="1" applyFont="1" applyBorder="1" applyAlignment="1" applyProtection="1">
      <alignment horizontal="center"/>
      <protection hidden="1"/>
    </xf>
    <xf numFmtId="173" fontId="25" fillId="0" borderId="36" xfId="6" applyNumberFormat="1" applyFont="1" applyBorder="1" applyAlignment="1" applyProtection="1">
      <alignment horizontal="center"/>
      <protection hidden="1"/>
    </xf>
    <xf numFmtId="0" fontId="1" fillId="0" borderId="33" xfId="0" applyFont="1" applyFill="1" applyBorder="1" applyAlignment="1" applyProtection="1">
      <protection hidden="1"/>
    </xf>
    <xf numFmtId="0" fontId="1" fillId="0" borderId="16" xfId="0" applyFont="1" applyFill="1" applyBorder="1" applyAlignment="1" applyProtection="1">
      <protection hidden="1"/>
    </xf>
    <xf numFmtId="0" fontId="1" fillId="0" borderId="12" xfId="0" applyFont="1" applyFill="1" applyBorder="1" applyAlignment="1" applyProtection="1">
      <protection hidden="1"/>
    </xf>
    <xf numFmtId="0" fontId="1" fillId="0" borderId="4" xfId="0" applyFont="1" applyFill="1" applyBorder="1" applyAlignment="1" applyProtection="1">
      <protection hidden="1"/>
    </xf>
    <xf numFmtId="0" fontId="1" fillId="0" borderId="5" xfId="0" applyFont="1" applyFill="1" applyBorder="1" applyAlignment="1" applyProtection="1">
      <protection hidden="1"/>
    </xf>
    <xf numFmtId="0" fontId="1" fillId="0" borderId="4" xfId="0" applyFont="1" applyBorder="1" applyAlignment="1" applyProtection="1">
      <protection hidden="1"/>
    </xf>
    <xf numFmtId="0" fontId="1" fillId="0" borderId="4" xfId="0" applyFont="1" applyFill="1" applyBorder="1" applyProtection="1">
      <protection hidden="1"/>
    </xf>
    <xf numFmtId="0" fontId="1" fillId="0" borderId="5" xfId="0" applyFont="1" applyFill="1" applyBorder="1" applyProtection="1">
      <protection hidden="1"/>
    </xf>
    <xf numFmtId="0" fontId="4" fillId="16" borderId="4" xfId="0" applyFont="1" applyFill="1" applyBorder="1" applyAlignment="1" applyProtection="1">
      <alignment horizontal="center" vertical="center"/>
      <protection locked="0" hidden="1"/>
    </xf>
    <xf numFmtId="0" fontId="3" fillId="0" borderId="4" xfId="0" applyFont="1" applyBorder="1" applyAlignment="1" applyProtection="1">
      <alignment horizontal="center"/>
      <protection hidden="1"/>
    </xf>
    <xf numFmtId="0" fontId="9" fillId="17" borderId="5" xfId="0" applyFont="1" applyFill="1" applyBorder="1" applyAlignment="1" applyProtection="1">
      <alignment horizontal="center"/>
      <protection hidden="1"/>
    </xf>
    <xf numFmtId="0" fontId="1" fillId="26" borderId="4" xfId="0" applyFont="1" applyFill="1" applyBorder="1" applyProtection="1">
      <protection hidden="1"/>
    </xf>
    <xf numFmtId="0" fontId="3" fillId="26" borderId="4" xfId="0" applyFont="1" applyFill="1" applyBorder="1" applyProtection="1">
      <protection hidden="1"/>
    </xf>
    <xf numFmtId="174" fontId="3" fillId="0" borderId="4" xfId="13" applyFont="1" applyFill="1" applyBorder="1" applyProtection="1">
      <protection hidden="1"/>
    </xf>
    <xf numFmtId="0" fontId="14" fillId="0" borderId="0" xfId="0" applyFont="1" applyFill="1"/>
    <xf numFmtId="4" fontId="1" fillId="0" borderId="0" xfId="0" applyNumberFormat="1" applyFont="1" applyFill="1" applyAlignment="1" applyProtection="1">
      <alignment horizontal="left"/>
      <protection hidden="1"/>
    </xf>
    <xf numFmtId="10" fontId="1" fillId="0" borderId="5" xfId="6" applyNumberFormat="1" applyFont="1" applyBorder="1" applyProtection="1">
      <protection hidden="1"/>
    </xf>
    <xf numFmtId="44" fontId="93" fillId="0" borderId="0" xfId="0" applyNumberFormat="1" applyFont="1" applyBorder="1" applyAlignment="1" applyProtection="1">
      <alignment horizontal="center"/>
      <protection hidden="1"/>
    </xf>
    <xf numFmtId="44" fontId="93" fillId="0" borderId="0" xfId="0" applyNumberFormat="1" applyFont="1" applyFill="1" applyBorder="1" applyAlignment="1" applyProtection="1">
      <alignment horizontal="center"/>
      <protection hidden="1"/>
    </xf>
    <xf numFmtId="44" fontId="93" fillId="0" borderId="50" xfId="0" applyNumberFormat="1" applyFont="1" applyFill="1" applyBorder="1" applyAlignment="1" applyProtection="1">
      <alignment horizontal="center"/>
      <protection hidden="1"/>
    </xf>
    <xf numFmtId="0" fontId="50" fillId="0" borderId="39" xfId="0" applyFont="1" applyBorder="1" applyAlignment="1" applyProtection="1">
      <alignment horizontal="centerContinuous" vertical="center"/>
      <protection hidden="1"/>
    </xf>
    <xf numFmtId="0" fontId="22" fillId="0" borderId="0" xfId="0" applyFont="1" applyProtection="1">
      <protection hidden="1"/>
    </xf>
    <xf numFmtId="0" fontId="83" fillId="0" borderId="1" xfId="0" applyFont="1" applyBorder="1" applyProtection="1">
      <protection hidden="1"/>
    </xf>
    <xf numFmtId="0" fontId="1" fillId="0" borderId="4" xfId="0" applyFont="1" applyFill="1" applyBorder="1" applyAlignment="1" applyProtection="1">
      <alignment horizontal="left"/>
      <protection hidden="1"/>
    </xf>
    <xf numFmtId="0" fontId="3" fillId="0" borderId="0" xfId="0" applyFont="1" applyAlignment="1" applyProtection="1">
      <protection hidden="1"/>
    </xf>
    <xf numFmtId="0" fontId="3" fillId="0" borderId="0" xfId="0" applyFont="1" applyAlignment="1" applyProtection="1">
      <alignment horizontal="centerContinuous"/>
      <protection hidden="1"/>
    </xf>
    <xf numFmtId="7" fontId="3" fillId="0" borderId="0" xfId="0" applyNumberFormat="1" applyFont="1" applyAlignment="1" applyProtection="1">
      <alignment horizontal="centerContinuous"/>
      <protection hidden="1"/>
    </xf>
    <xf numFmtId="0" fontId="3" fillId="0" borderId="0" xfId="0" applyFont="1" applyBorder="1" applyAlignment="1" applyProtection="1">
      <alignment horizontal="centerContinuous"/>
      <protection hidden="1"/>
    </xf>
    <xf numFmtId="0" fontId="1" fillId="0" borderId="4" xfId="0" applyFont="1" applyBorder="1" applyAlignment="1" applyProtection="1">
      <alignment horizontal="left"/>
      <protection hidden="1"/>
    </xf>
    <xf numFmtId="166" fontId="1" fillId="0" borderId="0" xfId="0" applyNumberFormat="1" applyFont="1" applyFill="1" applyBorder="1" applyAlignment="1" applyProtection="1">
      <alignment horizontal="center"/>
      <protection hidden="1"/>
    </xf>
    <xf numFmtId="0" fontId="3" fillId="0" borderId="59" xfId="0" applyFont="1" applyBorder="1" applyProtection="1">
      <protection hidden="1"/>
    </xf>
    <xf numFmtId="0" fontId="1" fillId="0" borderId="59" xfId="0" applyFont="1" applyBorder="1" applyProtection="1">
      <protection hidden="1"/>
    </xf>
    <xf numFmtId="0" fontId="1" fillId="0" borderId="0" xfId="0" applyFont="1" applyFill="1" applyAlignment="1" applyProtection="1">
      <alignment horizontal="right"/>
      <protection hidden="1"/>
    </xf>
    <xf numFmtId="3" fontId="1" fillId="0" borderId="0" xfId="0" applyNumberFormat="1" applyFont="1" applyFill="1" applyBorder="1" applyAlignment="1" applyProtection="1">
      <alignment horizontal="right"/>
      <protection locked="0" hidden="1"/>
    </xf>
    <xf numFmtId="3" fontId="1" fillId="0" borderId="60" xfId="0" applyNumberFormat="1" applyFont="1" applyFill="1" applyBorder="1" applyAlignment="1" applyProtection="1">
      <alignment horizontal="right"/>
      <protection hidden="1"/>
    </xf>
    <xf numFmtId="0" fontId="1" fillId="0" borderId="10" xfId="0" applyFont="1" applyBorder="1" applyAlignment="1" applyProtection="1">
      <alignment horizontal="left"/>
      <protection hidden="1"/>
    </xf>
    <xf numFmtId="10" fontId="3" fillId="0" borderId="0" xfId="11" applyNumberFormat="1" applyFont="1" applyFill="1" applyAlignment="1" applyProtection="1">
      <alignment horizontal="center"/>
      <protection locked="0" hidden="1"/>
    </xf>
    <xf numFmtId="3" fontId="1" fillId="0" borderId="0" xfId="0" applyNumberFormat="1" applyFont="1" applyFill="1" applyAlignment="1" applyProtection="1">
      <alignment horizontal="right"/>
      <protection hidden="1"/>
    </xf>
    <xf numFmtId="0" fontId="3" fillId="0" borderId="61" xfId="0" applyFont="1" applyBorder="1" applyProtection="1">
      <protection hidden="1"/>
    </xf>
    <xf numFmtId="0" fontId="1" fillId="0" borderId="61" xfId="0" applyFont="1" applyFill="1" applyBorder="1" applyProtection="1">
      <protection hidden="1"/>
    </xf>
    <xf numFmtId="1" fontId="1" fillId="0" borderId="0" xfId="12" applyNumberFormat="1" applyFont="1" applyFill="1" applyBorder="1" applyAlignment="1" applyProtection="1">
      <alignment horizontal="right"/>
      <protection locked="0" hidden="1"/>
    </xf>
    <xf numFmtId="10" fontId="3" fillId="0" borderId="0" xfId="11" applyNumberFormat="1" applyFont="1" applyFill="1" applyBorder="1" applyAlignment="1" applyProtection="1">
      <alignment horizontal="right"/>
      <protection locked="0" hidden="1"/>
    </xf>
    <xf numFmtId="10" fontId="28" fillId="0" borderId="0" xfId="11" applyNumberFormat="1" applyFont="1" applyFill="1" applyBorder="1" applyAlignment="1" applyProtection="1">
      <alignment horizontal="right"/>
      <protection locked="0" hidden="1"/>
    </xf>
    <xf numFmtId="3" fontId="1" fillId="0" borderId="0" xfId="0" applyNumberFormat="1" applyFont="1" applyProtection="1">
      <protection hidden="1"/>
    </xf>
    <xf numFmtId="0" fontId="1" fillId="0" borderId="11" xfId="0" applyFont="1" applyBorder="1" applyAlignment="1" applyProtection="1">
      <alignment horizontal="left"/>
      <protection hidden="1"/>
    </xf>
    <xf numFmtId="4" fontId="1" fillId="0" borderId="0" xfId="0" applyNumberFormat="1" applyFont="1" applyFill="1" applyProtection="1">
      <protection hidden="1"/>
    </xf>
    <xf numFmtId="3" fontId="4" fillId="0" borderId="0" xfId="0" applyNumberFormat="1" applyFont="1" applyFill="1" applyAlignment="1" applyProtection="1">
      <alignment horizontal="right"/>
      <protection hidden="1"/>
    </xf>
    <xf numFmtId="167" fontId="1" fillId="0" borderId="0" xfId="0" applyNumberFormat="1" applyFont="1" applyProtection="1">
      <protection hidden="1"/>
    </xf>
    <xf numFmtId="10" fontId="1" fillId="0" borderId="0" xfId="11" applyNumberFormat="1" applyFont="1" applyFill="1" applyBorder="1" applyProtection="1">
      <protection hidden="1"/>
    </xf>
    <xf numFmtId="0" fontId="22" fillId="0" borderId="0" xfId="0" applyFont="1" applyFill="1" applyProtection="1">
      <protection hidden="1"/>
    </xf>
    <xf numFmtId="0" fontId="1" fillId="0" borderId="0" xfId="0" applyFont="1" applyAlignment="1" applyProtection="1">
      <alignment horizontal="left"/>
      <protection hidden="1"/>
    </xf>
    <xf numFmtId="167" fontId="3" fillId="0" borderId="0" xfId="12" applyNumberFormat="1" applyFont="1" applyFill="1" applyBorder="1" applyAlignment="1" applyProtection="1">
      <alignment horizontal="center"/>
      <protection locked="0" hidden="1"/>
    </xf>
    <xf numFmtId="167" fontId="3" fillId="0" borderId="0" xfId="0" applyNumberFormat="1" applyFont="1" applyAlignment="1" applyProtection="1">
      <alignment horizontal="right"/>
      <protection hidden="1"/>
    </xf>
    <xf numFmtId="43" fontId="1" fillId="0" borderId="0" xfId="12" applyFont="1" applyFill="1" applyBorder="1" applyProtection="1">
      <protection hidden="1"/>
    </xf>
    <xf numFmtId="3" fontId="1" fillId="0" borderId="0" xfId="0" applyNumberFormat="1" applyFont="1" applyFill="1" applyAlignment="1" applyProtection="1">
      <alignment horizontal="right"/>
      <protection locked="0" hidden="1"/>
    </xf>
    <xf numFmtId="3" fontId="1" fillId="0" borderId="0" xfId="0" applyNumberFormat="1" applyFont="1" applyAlignment="1" applyProtection="1">
      <protection hidden="1"/>
    </xf>
    <xf numFmtId="3" fontId="1" fillId="0" borderId="0" xfId="0" applyNumberFormat="1" applyFont="1" applyBorder="1" applyProtection="1">
      <protection hidden="1"/>
    </xf>
    <xf numFmtId="0" fontId="4" fillId="0" borderId="0" xfId="0" applyFont="1" applyFill="1" applyProtection="1">
      <protection hidden="1"/>
    </xf>
    <xf numFmtId="3" fontId="16" fillId="20" borderId="0" xfId="0" applyNumberFormat="1" applyFont="1" applyFill="1" applyBorder="1" applyAlignment="1" applyProtection="1">
      <alignment horizontal="right"/>
      <protection hidden="1"/>
    </xf>
    <xf numFmtId="0" fontId="4" fillId="0" borderId="0" xfId="0" applyFont="1" applyFill="1" applyAlignment="1" applyProtection="1">
      <protection hidden="1"/>
    </xf>
    <xf numFmtId="3" fontId="1" fillId="0" borderId="0" xfId="0" applyNumberFormat="1" applyFont="1" applyFill="1" applyBorder="1" applyAlignment="1" applyProtection="1">
      <alignment horizontal="right"/>
      <protection hidden="1"/>
    </xf>
    <xf numFmtId="44" fontId="1" fillId="0" borderId="0" xfId="0" applyNumberFormat="1" applyFont="1" applyFill="1" applyProtection="1">
      <protection hidden="1"/>
    </xf>
    <xf numFmtId="3" fontId="3" fillId="0" borderId="0" xfId="0" applyNumberFormat="1" applyFont="1" applyFill="1" applyAlignment="1" applyProtection="1">
      <protection hidden="1"/>
    </xf>
    <xf numFmtId="43" fontId="1" fillId="0" borderId="0" xfId="12" applyFont="1" applyAlignment="1" applyProtection="1">
      <protection hidden="1"/>
    </xf>
    <xf numFmtId="43" fontId="1" fillId="0" borderId="0" xfId="12" applyFont="1" applyFill="1" applyBorder="1" applyAlignment="1" applyProtection="1">
      <protection hidden="1"/>
    </xf>
    <xf numFmtId="0" fontId="4" fillId="0" borderId="0" xfId="0" applyFont="1" applyFill="1" applyBorder="1" applyAlignment="1" applyProtection="1">
      <alignment horizontal="center" vertical="center" wrapText="1"/>
      <protection hidden="1"/>
    </xf>
    <xf numFmtId="3" fontId="4" fillId="0" borderId="0" xfId="0" applyNumberFormat="1" applyFont="1" applyFill="1" applyBorder="1" applyAlignment="1" applyProtection="1">
      <alignment horizontal="right" vertical="center"/>
      <protection hidden="1"/>
    </xf>
    <xf numFmtId="43" fontId="3" fillId="0" borderId="0" xfId="0" applyNumberFormat="1" applyFont="1" applyProtection="1">
      <protection hidden="1"/>
    </xf>
    <xf numFmtId="43" fontId="1" fillId="0" borderId="0" xfId="0" applyNumberFormat="1" applyFont="1" applyAlignment="1" applyProtection="1">
      <protection hidden="1"/>
    </xf>
    <xf numFmtId="0" fontId="3" fillId="0" borderId="3" xfId="0" applyFont="1" applyFill="1" applyBorder="1" applyAlignment="1" applyProtection="1">
      <protection hidden="1"/>
    </xf>
    <xf numFmtId="0" fontId="4" fillId="0" borderId="0" xfId="0" applyFont="1" applyFill="1" applyAlignment="1" applyProtection="1">
      <alignment horizontal="right"/>
      <protection hidden="1"/>
    </xf>
    <xf numFmtId="42" fontId="1" fillId="0" borderId="0" xfId="0" applyNumberFormat="1" applyFont="1" applyFill="1" applyAlignment="1" applyProtection="1">
      <alignment horizontal="left"/>
      <protection hidden="1"/>
    </xf>
    <xf numFmtId="3" fontId="1" fillId="0" borderId="0" xfId="0" applyNumberFormat="1" applyFont="1" applyFill="1" applyAlignment="1" applyProtection="1">
      <alignment wrapText="1"/>
      <protection hidden="1"/>
    </xf>
    <xf numFmtId="0" fontId="9" fillId="0" borderId="0" xfId="0" applyFont="1" applyFill="1" applyAlignment="1" applyProtection="1">
      <alignment wrapText="1"/>
      <protection hidden="1"/>
    </xf>
    <xf numFmtId="44" fontId="1" fillId="0" borderId="55" xfId="0" applyNumberFormat="1" applyFont="1" applyFill="1" applyBorder="1" applyProtection="1">
      <protection hidden="1"/>
    </xf>
    <xf numFmtId="0" fontId="3" fillId="0" borderId="0" xfId="0" applyFont="1" applyFill="1" applyAlignment="1" applyProtection="1">
      <alignment horizontal="left" vertical="center"/>
      <protection hidden="1"/>
    </xf>
    <xf numFmtId="0" fontId="3" fillId="0" borderId="0" xfId="0" applyFont="1" applyFill="1" applyAlignment="1" applyProtection="1">
      <alignment horizontal="centerContinuous"/>
      <protection hidden="1"/>
    </xf>
    <xf numFmtId="0" fontId="22" fillId="0" borderId="0" xfId="0" applyFont="1" applyFill="1" applyAlignment="1" applyProtection="1">
      <alignment horizontal="centerContinuous"/>
      <protection hidden="1"/>
    </xf>
    <xf numFmtId="0" fontId="2" fillId="2" borderId="3" xfId="0" applyFont="1" applyFill="1" applyBorder="1" applyAlignment="1" applyProtection="1">
      <alignment horizontal="center" vertical="center"/>
      <protection hidden="1"/>
    </xf>
    <xf numFmtId="0" fontId="2" fillId="2" borderId="3" xfId="0" applyFont="1" applyFill="1" applyBorder="1" applyAlignment="1" applyProtection="1">
      <alignment horizontal="center" vertical="center" wrapText="1"/>
      <protection hidden="1"/>
    </xf>
    <xf numFmtId="0" fontId="2" fillId="18" borderId="3" xfId="0" applyFont="1" applyFill="1" applyBorder="1" applyAlignment="1" applyProtection="1">
      <alignment horizontal="center" vertical="center"/>
      <protection hidden="1"/>
    </xf>
    <xf numFmtId="0" fontId="3" fillId="18" borderId="3" xfId="0" applyFont="1" applyFill="1" applyBorder="1" applyAlignment="1" applyProtection="1">
      <alignment horizontal="center" vertical="center" wrapText="1"/>
      <protection hidden="1"/>
    </xf>
    <xf numFmtId="0" fontId="6" fillId="0" borderId="16" xfId="0" applyFont="1" applyFill="1" applyBorder="1" applyAlignment="1" applyProtection="1">
      <alignment horizontal="center"/>
      <protection hidden="1"/>
    </xf>
    <xf numFmtId="4" fontId="22" fillId="0" borderId="0" xfId="0" applyNumberFormat="1" applyFont="1" applyFill="1" applyAlignment="1" applyProtection="1">
      <alignment horizontal="center"/>
      <protection hidden="1"/>
    </xf>
    <xf numFmtId="8" fontId="22" fillId="0" borderId="0" xfId="0" applyNumberFormat="1" applyFont="1" applyProtection="1">
      <protection hidden="1"/>
    </xf>
    <xf numFmtId="0" fontId="91" fillId="0" borderId="0" xfId="0" applyFont="1" applyFill="1" applyAlignment="1" applyProtection="1">
      <alignment horizontal="left" vertical="center"/>
      <protection hidden="1"/>
    </xf>
    <xf numFmtId="173" fontId="1" fillId="0" borderId="0" xfId="6" applyNumberFormat="1" applyFont="1" applyProtection="1">
      <protection hidden="1"/>
    </xf>
    <xf numFmtId="173" fontId="22" fillId="0" borderId="0" xfId="6" applyNumberFormat="1" applyFont="1"/>
    <xf numFmtId="0" fontId="4" fillId="42" borderId="1" xfId="0" applyFont="1" applyFill="1" applyBorder="1" applyAlignment="1" applyProtection="1">
      <alignment horizontal="center"/>
      <protection hidden="1"/>
    </xf>
    <xf numFmtId="0" fontId="4" fillId="0" borderId="1" xfId="0" applyFont="1" applyBorder="1" applyAlignment="1" applyProtection="1">
      <alignment horizontal="center"/>
      <protection hidden="1"/>
    </xf>
    <xf numFmtId="0" fontId="2" fillId="39" borderId="3" xfId="1" applyFont="1" applyFill="1" applyBorder="1" applyAlignment="1" applyProtection="1">
      <alignment horizontal="center" vertical="center" wrapText="1"/>
      <protection hidden="1"/>
    </xf>
    <xf numFmtId="0" fontId="18" fillId="39" borderId="3" xfId="1" applyFont="1" applyFill="1" applyBorder="1" applyAlignment="1" applyProtection="1">
      <alignment horizontal="center" vertical="center" wrapText="1"/>
      <protection hidden="1"/>
    </xf>
    <xf numFmtId="0" fontId="3" fillId="39" borderId="0" xfId="0" applyFont="1" applyFill="1" applyAlignment="1" applyProtection="1">
      <alignment horizontal="center" vertical="center" wrapText="1"/>
      <protection hidden="1"/>
    </xf>
    <xf numFmtId="0" fontId="42" fillId="39" borderId="0" xfId="0" applyFont="1" applyFill="1"/>
    <xf numFmtId="42" fontId="0" fillId="17" borderId="0" xfId="0" applyNumberFormat="1" applyFill="1"/>
    <xf numFmtId="1" fontId="0" fillId="17" borderId="0" xfId="0" applyNumberFormat="1" applyFill="1"/>
    <xf numFmtId="10" fontId="0" fillId="17" borderId="0" xfId="0" applyNumberFormat="1" applyFill="1"/>
    <xf numFmtId="4" fontId="0" fillId="17" borderId="0" xfId="0" applyNumberFormat="1" applyFill="1"/>
    <xf numFmtId="3" fontId="0" fillId="17" borderId="0" xfId="0" applyNumberFormat="1" applyFill="1"/>
    <xf numFmtId="44" fontId="0" fillId="17" borderId="0" xfId="0" applyNumberFormat="1" applyFill="1"/>
    <xf numFmtId="3" fontId="0" fillId="17" borderId="0" xfId="0" applyNumberFormat="1" applyFill="1" applyAlignment="1">
      <alignment horizontal="center"/>
    </xf>
    <xf numFmtId="4" fontId="0" fillId="0" borderId="0" xfId="0" applyNumberFormat="1" applyAlignment="1">
      <alignment horizontal="center"/>
    </xf>
    <xf numFmtId="9" fontId="28" fillId="0" borderId="0" xfId="6" applyFont="1" applyFill="1" applyBorder="1" applyProtection="1">
      <protection hidden="1"/>
    </xf>
    <xf numFmtId="9" fontId="28" fillId="0" borderId="0" xfId="6" applyFont="1" applyProtection="1">
      <protection hidden="1"/>
    </xf>
    <xf numFmtId="5" fontId="28" fillId="0" borderId="0" xfId="0" applyNumberFormat="1" applyFont="1" applyFill="1" applyBorder="1" applyProtection="1">
      <protection hidden="1"/>
    </xf>
    <xf numFmtId="168" fontId="28" fillId="0" borderId="0" xfId="6" applyNumberFormat="1" applyFont="1" applyFill="1" applyBorder="1" applyProtection="1">
      <protection hidden="1"/>
    </xf>
    <xf numFmtId="0" fontId="0" fillId="0" borderId="0" xfId="0"/>
    <xf numFmtId="168" fontId="84" fillId="0" borderId="0" xfId="11" applyNumberFormat="1" applyFont="1" applyFill="1" applyAlignment="1" applyProtection="1">
      <alignment horizontal="center"/>
      <protection hidden="1"/>
    </xf>
    <xf numFmtId="0" fontId="18" fillId="18" borderId="3" xfId="0" applyFont="1" applyFill="1" applyBorder="1" applyAlignment="1" applyProtection="1">
      <alignment horizontal="center" vertical="center" wrapText="1"/>
      <protection hidden="1"/>
    </xf>
    <xf numFmtId="0" fontId="12" fillId="0" borderId="1" xfId="0" applyFont="1" applyFill="1" applyBorder="1" applyAlignment="1" applyProtection="1">
      <alignment horizontal="center" vertical="top" wrapText="1"/>
      <protection hidden="1"/>
    </xf>
    <xf numFmtId="0" fontId="1" fillId="0" borderId="0" xfId="0" applyFont="1" applyFill="1" applyAlignment="1" applyProtection="1">
      <alignment horizontal="right"/>
      <protection locked="0" hidden="1"/>
    </xf>
    <xf numFmtId="43" fontId="3" fillId="0" borderId="0" xfId="12" applyFont="1" applyFill="1" applyProtection="1">
      <protection hidden="1"/>
    </xf>
    <xf numFmtId="4" fontId="2" fillId="0" borderId="34" xfId="0" applyNumberFormat="1" applyFont="1" applyFill="1" applyBorder="1" applyAlignment="1" applyProtection="1">
      <alignment horizontal="center"/>
      <protection hidden="1"/>
    </xf>
    <xf numFmtId="0" fontId="4" fillId="0" borderId="65" xfId="0" applyFont="1" applyFill="1" applyBorder="1" applyAlignment="1" applyProtection="1">
      <alignment horizontal="center"/>
      <protection locked="0" hidden="1"/>
    </xf>
    <xf numFmtId="3" fontId="1" fillId="0" borderId="64" xfId="0" applyNumberFormat="1" applyFont="1" applyFill="1" applyBorder="1" applyAlignment="1" applyProtection="1">
      <alignment horizontal="center"/>
      <protection hidden="1"/>
    </xf>
    <xf numFmtId="4" fontId="3" fillId="0" borderId="64" xfId="0" applyNumberFormat="1" applyFont="1" applyFill="1" applyBorder="1" applyAlignment="1" applyProtection="1">
      <alignment horizontal="center"/>
      <protection hidden="1"/>
    </xf>
    <xf numFmtId="4" fontId="4" fillId="0" borderId="64" xfId="0" applyNumberFormat="1" applyFont="1" applyFill="1" applyBorder="1" applyAlignment="1" applyProtection="1">
      <alignment horizontal="center"/>
      <protection locked="0" hidden="1"/>
    </xf>
    <xf numFmtId="4" fontId="1" fillId="0" borderId="64" xfId="0" applyNumberFormat="1" applyFont="1" applyFill="1" applyBorder="1" applyAlignment="1" applyProtection="1">
      <alignment horizontal="center"/>
      <protection hidden="1"/>
    </xf>
    <xf numFmtId="0" fontId="0" fillId="0" borderId="0" xfId="0" applyBorder="1" applyAlignment="1" applyProtection="1">
      <alignment horizontal="center"/>
      <protection hidden="1"/>
    </xf>
    <xf numFmtId="10" fontId="0" fillId="0" borderId="0" xfId="6" applyNumberFormat="1" applyFont="1" applyBorder="1" applyAlignment="1" applyProtection="1">
      <alignment horizontal="center"/>
      <protection hidden="1"/>
    </xf>
    <xf numFmtId="3" fontId="28" fillId="0" borderId="0" xfId="0" applyNumberFormat="1" applyFont="1" applyFill="1" applyBorder="1" applyAlignment="1" applyProtection="1">
      <alignment horizontal="center"/>
      <protection hidden="1"/>
    </xf>
    <xf numFmtId="3" fontId="25" fillId="0" borderId="0" xfId="0" applyNumberFormat="1" applyFont="1" applyBorder="1" applyAlignment="1" applyProtection="1">
      <alignment horizontal="center"/>
      <protection locked="0" hidden="1"/>
    </xf>
    <xf numFmtId="10" fontId="1" fillId="0" borderId="0" xfId="6" applyNumberFormat="1" applyFont="1" applyBorder="1" applyProtection="1">
      <protection hidden="1"/>
    </xf>
    <xf numFmtId="8" fontId="0" fillId="0" borderId="0" xfId="0" applyNumberFormat="1" applyBorder="1" applyProtection="1">
      <protection hidden="1"/>
    </xf>
    <xf numFmtId="10" fontId="28" fillId="0" borderId="0" xfId="6" applyNumberFormat="1" applyFont="1" applyFill="1" applyBorder="1" applyAlignment="1" applyProtection="1">
      <alignment horizontal="center"/>
      <protection hidden="1"/>
    </xf>
    <xf numFmtId="4" fontId="28" fillId="0" borderId="0" xfId="0" applyNumberFormat="1" applyFont="1" applyBorder="1" applyAlignment="1" applyProtection="1">
      <alignment horizontal="center"/>
      <protection hidden="1"/>
    </xf>
    <xf numFmtId="4" fontId="28" fillId="0" borderId="0" xfId="0" applyNumberFormat="1" applyFont="1" applyFill="1" applyBorder="1" applyAlignment="1" applyProtection="1">
      <alignment horizontal="center"/>
      <protection hidden="1"/>
    </xf>
    <xf numFmtId="0" fontId="25" fillId="0" borderId="0" xfId="0" applyFont="1" applyBorder="1" applyProtection="1">
      <protection locked="0" hidden="1"/>
    </xf>
    <xf numFmtId="43" fontId="28" fillId="0" borderId="0" xfId="0" applyNumberFormat="1" applyFont="1" applyBorder="1" applyProtection="1">
      <protection hidden="1"/>
    </xf>
    <xf numFmtId="43" fontId="28" fillId="0" borderId="0" xfId="5" applyNumberFormat="1" applyFont="1" applyBorder="1" applyProtection="1">
      <protection hidden="1"/>
    </xf>
    <xf numFmtId="173" fontId="25" fillId="0" borderId="0" xfId="6" applyNumberFormat="1" applyFont="1" applyBorder="1" applyProtection="1">
      <protection hidden="1"/>
    </xf>
    <xf numFmtId="170" fontId="1" fillId="0" borderId="0" xfId="6" applyNumberFormat="1" applyFont="1" applyBorder="1" applyProtection="1">
      <protection hidden="1"/>
    </xf>
    <xf numFmtId="0" fontId="29" fillId="0" borderId="34" xfId="0" applyFont="1" applyBorder="1" applyProtection="1">
      <protection hidden="1"/>
    </xf>
    <xf numFmtId="3" fontId="1" fillId="25" borderId="67" xfId="0" applyNumberFormat="1" applyFont="1" applyFill="1" applyBorder="1" applyAlignment="1" applyProtection="1">
      <alignment horizontal="center"/>
      <protection hidden="1"/>
    </xf>
    <xf numFmtId="4" fontId="1" fillId="25" borderId="67" xfId="0" applyNumberFormat="1" applyFont="1" applyFill="1" applyBorder="1" applyAlignment="1" applyProtection="1">
      <alignment horizontal="center"/>
      <protection hidden="1"/>
    </xf>
    <xf numFmtId="4" fontId="1" fillId="25" borderId="66" xfId="0" applyNumberFormat="1" applyFont="1" applyFill="1" applyBorder="1" applyAlignment="1" applyProtection="1">
      <alignment horizontal="center"/>
      <protection hidden="1"/>
    </xf>
    <xf numFmtId="0" fontId="94" fillId="0" borderId="0" xfId="0" applyFont="1" applyProtection="1">
      <protection hidden="1"/>
    </xf>
    <xf numFmtId="0" fontId="95" fillId="48" borderId="0" xfId="0" applyFont="1" applyFill="1" applyBorder="1" applyAlignment="1" applyProtection="1">
      <alignment horizontal="centerContinuous"/>
      <protection hidden="1"/>
    </xf>
    <xf numFmtId="0" fontId="29" fillId="0" borderId="0" xfId="0" applyFont="1" applyFill="1" applyBorder="1" applyAlignment="1" applyProtection="1">
      <alignment vertical="center"/>
      <protection hidden="1"/>
    </xf>
    <xf numFmtId="5" fontId="29" fillId="0" borderId="0" xfId="0" applyNumberFormat="1" applyFont="1" applyFill="1" applyBorder="1" applyAlignment="1" applyProtection="1">
      <alignment vertical="center"/>
      <protection hidden="1"/>
    </xf>
    <xf numFmtId="0" fontId="6" fillId="0" borderId="0" xfId="0" applyFont="1" applyFill="1" applyBorder="1" applyAlignment="1" applyProtection="1">
      <alignment horizontal="right" vertical="center"/>
      <protection hidden="1"/>
    </xf>
    <xf numFmtId="0" fontId="0" fillId="17" borderId="1" xfId="0" applyFill="1" applyBorder="1" applyAlignment="1">
      <alignment horizontal="center" wrapText="1"/>
    </xf>
    <xf numFmtId="9" fontId="0" fillId="0" borderId="3" xfId="0" applyNumberFormat="1" applyBorder="1" applyAlignment="1">
      <alignment horizontal="center"/>
    </xf>
    <xf numFmtId="0" fontId="28" fillId="0" borderId="1" xfId="0" applyFont="1" applyFill="1" applyBorder="1" applyProtection="1">
      <protection hidden="1"/>
    </xf>
    <xf numFmtId="0" fontId="28" fillId="0" borderId="11" xfId="0" applyFont="1" applyFill="1" applyBorder="1" applyProtection="1">
      <protection hidden="1"/>
    </xf>
    <xf numFmtId="0" fontId="16" fillId="0" borderId="0" xfId="0" applyFont="1" applyFill="1" applyBorder="1" applyAlignment="1" applyProtection="1">
      <alignment horizontal="center" vertical="center"/>
      <protection locked="0" hidden="1"/>
    </xf>
    <xf numFmtId="0" fontId="16" fillId="0" borderId="0" xfId="0" applyFont="1" applyFill="1" applyBorder="1" applyAlignment="1" applyProtection="1">
      <alignment vertical="center"/>
      <protection hidden="1"/>
    </xf>
    <xf numFmtId="6" fontId="1" fillId="0" borderId="0" xfId="0" applyNumberFormat="1" applyFont="1" applyFill="1" applyBorder="1" applyAlignment="1" applyProtection="1">
      <alignment horizontal="center"/>
      <protection hidden="1"/>
    </xf>
    <xf numFmtId="0" fontId="16" fillId="50" borderId="0" xfId="0" applyFont="1" applyFill="1" applyBorder="1" applyAlignment="1" applyProtection="1">
      <alignment vertical="center"/>
      <protection hidden="1"/>
    </xf>
    <xf numFmtId="9" fontId="28" fillId="0" borderId="0" xfId="6" applyFont="1" applyFill="1" applyBorder="1" applyAlignment="1" applyProtection="1">
      <alignment vertical="center"/>
      <protection hidden="1"/>
    </xf>
    <xf numFmtId="0" fontId="1" fillId="0" borderId="0" xfId="0" applyFont="1" applyAlignment="1" applyProtection="1">
      <alignment vertical="center"/>
      <protection hidden="1"/>
    </xf>
    <xf numFmtId="0" fontId="0" fillId="0" borderId="0" xfId="0" applyAlignment="1">
      <alignment vertical="center"/>
    </xf>
    <xf numFmtId="0" fontId="29" fillId="0" borderId="68" xfId="0" applyFont="1" applyFill="1" applyBorder="1" applyAlignment="1" applyProtection="1">
      <alignment vertical="center"/>
      <protection hidden="1"/>
    </xf>
    <xf numFmtId="6" fontId="61" fillId="0" borderId="0" xfId="0" applyNumberFormat="1" applyFont="1" applyBorder="1" applyAlignment="1" applyProtection="1">
      <alignment horizontal="center" vertical="center"/>
      <protection hidden="1"/>
    </xf>
    <xf numFmtId="167" fontId="29" fillId="0" borderId="0" xfId="0" applyNumberFormat="1" applyFont="1" applyBorder="1" applyAlignment="1" applyProtection="1">
      <alignment horizontal="center" vertical="center"/>
      <protection hidden="1"/>
    </xf>
    <xf numFmtId="0" fontId="14" fillId="25" borderId="0" xfId="0" applyFont="1" applyFill="1" applyAlignment="1" applyProtection="1">
      <alignment vertical="center"/>
      <protection hidden="1"/>
    </xf>
    <xf numFmtId="0" fontId="14" fillId="25" borderId="0" xfId="0" applyFont="1" applyFill="1" applyAlignment="1" applyProtection="1">
      <alignment horizontal="center" vertical="center"/>
      <protection hidden="1"/>
    </xf>
    <xf numFmtId="0" fontId="6" fillId="0" borderId="69" xfId="0" applyFont="1" applyFill="1" applyBorder="1" applyAlignment="1" applyProtection="1">
      <alignment horizontal="left" vertical="center"/>
      <protection hidden="1"/>
    </xf>
    <xf numFmtId="0" fontId="29" fillId="0" borderId="70" xfId="0" applyFont="1" applyFill="1" applyBorder="1" applyAlignment="1" applyProtection="1">
      <alignment vertical="center"/>
      <protection hidden="1"/>
    </xf>
    <xf numFmtId="0" fontId="29" fillId="0" borderId="71" xfId="0" applyFont="1" applyFill="1" applyBorder="1" applyAlignment="1" applyProtection="1">
      <alignment vertical="center"/>
      <protection hidden="1"/>
    </xf>
    <xf numFmtId="0" fontId="29" fillId="0" borderId="72" xfId="0" applyFont="1" applyFill="1" applyBorder="1" applyAlignment="1" applyProtection="1">
      <alignment vertical="center"/>
      <protection hidden="1"/>
    </xf>
    <xf numFmtId="0" fontId="29" fillId="0" borderId="73" xfId="0" applyFont="1" applyFill="1" applyBorder="1" applyAlignment="1" applyProtection="1">
      <alignment vertical="center"/>
      <protection hidden="1"/>
    </xf>
    <xf numFmtId="0" fontId="28" fillId="0" borderId="72" xfId="0" applyFont="1" applyBorder="1" applyProtection="1">
      <protection hidden="1"/>
    </xf>
    <xf numFmtId="0" fontId="29" fillId="0" borderId="74" xfId="0" applyFont="1" applyFill="1" applyBorder="1" applyAlignment="1" applyProtection="1">
      <alignment vertical="center"/>
      <protection hidden="1"/>
    </xf>
    <xf numFmtId="0" fontId="6" fillId="0" borderId="72" xfId="0" applyFont="1" applyFill="1" applyBorder="1" applyAlignment="1" applyProtection="1">
      <alignment horizontal="left"/>
      <protection hidden="1"/>
    </xf>
    <xf numFmtId="0" fontId="16" fillId="50" borderId="73" xfId="0" applyFont="1" applyFill="1" applyBorder="1" applyAlignment="1" applyProtection="1">
      <alignment vertical="center"/>
      <protection hidden="1"/>
    </xf>
    <xf numFmtId="0" fontId="71" fillId="50" borderId="72" xfId="0" applyFont="1" applyFill="1" applyBorder="1" applyAlignment="1" applyProtection="1">
      <alignment vertical="center"/>
      <protection hidden="1"/>
    </xf>
    <xf numFmtId="0" fontId="71" fillId="50" borderId="75" xfId="0" applyFont="1" applyFill="1" applyBorder="1" applyAlignment="1" applyProtection="1">
      <alignment vertical="center"/>
      <protection hidden="1"/>
    </xf>
    <xf numFmtId="0" fontId="29" fillId="50" borderId="2" xfId="0" applyFont="1" applyFill="1" applyBorder="1" applyAlignment="1" applyProtection="1">
      <alignment vertical="center"/>
      <protection hidden="1"/>
    </xf>
    <xf numFmtId="0" fontId="29" fillId="50" borderId="76" xfId="0" applyFont="1" applyFill="1" applyBorder="1" applyAlignment="1" applyProtection="1">
      <alignment vertical="center"/>
      <protection hidden="1"/>
    </xf>
    <xf numFmtId="0" fontId="0" fillId="0" borderId="0" xfId="0"/>
    <xf numFmtId="10" fontId="50" fillId="0" borderId="0" xfId="0" applyNumberFormat="1" applyFont="1" applyBorder="1" applyAlignment="1" applyProtection="1">
      <alignment horizontal="center"/>
      <protection hidden="1"/>
    </xf>
    <xf numFmtId="0" fontId="0" fillId="0" borderId="0" xfId="0"/>
    <xf numFmtId="0" fontId="29" fillId="0" borderId="0" xfId="0" applyFont="1" applyBorder="1" applyProtection="1">
      <protection hidden="1"/>
    </xf>
    <xf numFmtId="3" fontId="3" fillId="0" borderId="0" xfId="0" applyNumberFormat="1" applyFont="1" applyBorder="1" applyAlignment="1" applyProtection="1">
      <alignment horizontal="center"/>
      <protection hidden="1"/>
    </xf>
    <xf numFmtId="3" fontId="3" fillId="0" borderId="0" xfId="0" applyNumberFormat="1" applyFont="1" applyBorder="1" applyProtection="1">
      <protection hidden="1"/>
    </xf>
    <xf numFmtId="3" fontId="14" fillId="0" borderId="0" xfId="0" applyNumberFormat="1" applyFont="1" applyBorder="1" applyProtection="1">
      <protection hidden="1"/>
    </xf>
    <xf numFmtId="0" fontId="1" fillId="23" borderId="3" xfId="0" applyFont="1" applyFill="1" applyBorder="1" applyAlignment="1" applyProtection="1">
      <protection hidden="1"/>
    </xf>
    <xf numFmtId="2" fontId="1" fillId="0" borderId="3" xfId="0" applyNumberFormat="1" applyFont="1" applyBorder="1" applyAlignment="1" applyProtection="1">
      <protection hidden="1"/>
    </xf>
    <xf numFmtId="0" fontId="1" fillId="23" borderId="3" xfId="0" applyFont="1" applyFill="1" applyBorder="1" applyProtection="1">
      <protection hidden="1"/>
    </xf>
    <xf numFmtId="43" fontId="1" fillId="0" borderId="3" xfId="5" applyFont="1" applyBorder="1" applyAlignment="1" applyProtection="1">
      <protection hidden="1"/>
    </xf>
    <xf numFmtId="4" fontId="4" fillId="0" borderId="0" xfId="0" applyNumberFormat="1" applyFont="1" applyFill="1" applyAlignment="1" applyProtection="1">
      <protection hidden="1"/>
    </xf>
    <xf numFmtId="10" fontId="43" fillId="0" borderId="0" xfId="6" applyNumberFormat="1" applyFont="1" applyBorder="1" applyAlignment="1">
      <alignment horizontal="center"/>
    </xf>
    <xf numFmtId="10" fontId="43" fillId="0" borderId="2" xfId="6" applyNumberFormat="1" applyFont="1" applyBorder="1" applyAlignment="1">
      <alignment horizontal="center"/>
    </xf>
    <xf numFmtId="10" fontId="43" fillId="26" borderId="0" xfId="6" applyNumberFormat="1" applyFont="1" applyFill="1" applyBorder="1" applyAlignment="1">
      <alignment horizontal="center"/>
    </xf>
    <xf numFmtId="10" fontId="43" fillId="26" borderId="2" xfId="6" applyNumberFormat="1" applyFont="1" applyFill="1" applyBorder="1" applyAlignment="1">
      <alignment horizontal="center"/>
    </xf>
    <xf numFmtId="0" fontId="1" fillId="0" borderId="33" xfId="1" applyBorder="1" applyAlignment="1">
      <alignment horizontal="center"/>
    </xf>
    <xf numFmtId="0" fontId="3" fillId="0" borderId="16" xfId="0" applyFont="1" applyBorder="1" applyAlignment="1">
      <alignment horizontal="center" vertical="center"/>
    </xf>
    <xf numFmtId="0" fontId="1" fillId="0" borderId="16" xfId="1" applyBorder="1" applyAlignment="1">
      <alignment horizontal="center"/>
    </xf>
    <xf numFmtId="9" fontId="25" fillId="0" borderId="1" xfId="0" applyNumberFormat="1" applyFont="1" applyFill="1" applyBorder="1" applyAlignment="1" applyProtection="1">
      <alignment horizontal="center"/>
      <protection hidden="1"/>
    </xf>
    <xf numFmtId="0" fontId="1" fillId="0" borderId="9" xfId="1" applyBorder="1" applyAlignment="1">
      <alignment horizontal="center"/>
    </xf>
    <xf numFmtId="0" fontId="1" fillId="0" borderId="2" xfId="1" applyBorder="1" applyAlignment="1">
      <alignment horizontal="center"/>
    </xf>
    <xf numFmtId="0" fontId="6" fillId="0" borderId="2" xfId="0" applyFont="1" applyBorder="1" applyAlignment="1">
      <alignment horizontal="center"/>
    </xf>
    <xf numFmtId="0" fontId="6" fillId="0" borderId="36" xfId="0" applyFont="1" applyBorder="1" applyAlignment="1">
      <alignment horizontal="center"/>
    </xf>
    <xf numFmtId="1" fontId="3" fillId="0" borderId="5" xfId="0" applyNumberFormat="1" applyFont="1" applyFill="1" applyBorder="1"/>
    <xf numFmtId="1" fontId="3" fillId="0" borderId="5" xfId="0" applyNumberFormat="1" applyFont="1" applyBorder="1"/>
    <xf numFmtId="1" fontId="3" fillId="0" borderId="36" xfId="0" applyNumberFormat="1" applyFont="1" applyBorder="1"/>
    <xf numFmtId="0" fontId="0" fillId="0" borderId="0" xfId="0"/>
    <xf numFmtId="6" fontId="8" fillId="25" borderId="0" xfId="0" applyNumberFormat="1" applyFont="1" applyFill="1" applyBorder="1" applyAlignment="1" applyProtection="1">
      <alignment horizontal="center" vertical="center" wrapText="1"/>
      <protection hidden="1"/>
    </xf>
    <xf numFmtId="167" fontId="28" fillId="25" borderId="0" xfId="0" applyNumberFormat="1" applyFont="1" applyFill="1" applyBorder="1" applyAlignment="1" applyProtection="1">
      <alignment horizontal="center" vertical="center"/>
      <protection hidden="1"/>
    </xf>
    <xf numFmtId="0" fontId="28" fillId="25" borderId="0" xfId="0" applyFont="1" applyFill="1" applyAlignment="1" applyProtection="1">
      <alignment vertical="center"/>
      <protection hidden="1"/>
    </xf>
    <xf numFmtId="0" fontId="28" fillId="25" borderId="0" xfId="0" applyFont="1" applyFill="1" applyAlignment="1" applyProtection="1">
      <alignment horizontal="center" vertical="center"/>
      <protection hidden="1"/>
    </xf>
    <xf numFmtId="9" fontId="97" fillId="0" borderId="0" xfId="6" applyFont="1" applyFill="1" applyProtection="1">
      <protection hidden="1"/>
    </xf>
    <xf numFmtId="0" fontId="1" fillId="0" borderId="0" xfId="0" applyFont="1" applyFill="1" applyBorder="1" applyAlignment="1" applyProtection="1">
      <alignment vertical="top" wrapText="1"/>
      <protection hidden="1"/>
    </xf>
    <xf numFmtId="0" fontId="98" fillId="0" borderId="0" xfId="0" applyFont="1" applyFill="1" applyBorder="1" applyAlignment="1" applyProtection="1">
      <alignment vertical="top"/>
      <protection hidden="1"/>
    </xf>
    <xf numFmtId="164" fontId="99" fillId="0" borderId="0" xfId="5" applyNumberFormat="1" applyFont="1" applyAlignment="1" applyProtection="1">
      <protection hidden="1"/>
    </xf>
    <xf numFmtId="10" fontId="1" fillId="0" borderId="0" xfId="6" applyNumberFormat="1" applyFont="1" applyFill="1" applyBorder="1"/>
    <xf numFmtId="10" fontId="14" fillId="0" borderId="0" xfId="6" applyNumberFormat="1" applyFont="1" applyFill="1" applyAlignment="1" applyProtection="1">
      <alignment horizontal="center"/>
      <protection hidden="1"/>
    </xf>
    <xf numFmtId="10" fontId="0" fillId="0" borderId="9" xfId="6" applyNumberFormat="1" applyFont="1" applyBorder="1"/>
    <xf numFmtId="2" fontId="3" fillId="0" borderId="36" xfId="0" applyNumberFormat="1" applyFont="1" applyBorder="1"/>
    <xf numFmtId="176" fontId="1" fillId="0" borderId="23" xfId="6" applyNumberFormat="1" applyFont="1" applyBorder="1"/>
    <xf numFmtId="43" fontId="1" fillId="0" borderId="0" xfId="5" applyFont="1"/>
    <xf numFmtId="177" fontId="1" fillId="0" borderId="0" xfId="5" applyNumberFormat="1" applyFont="1"/>
    <xf numFmtId="0" fontId="62" fillId="0" borderId="1" xfId="0" applyFont="1" applyFill="1" applyBorder="1"/>
    <xf numFmtId="10" fontId="43" fillId="0" borderId="0" xfId="6" applyNumberFormat="1" applyFont="1" applyFill="1" applyBorder="1" applyAlignment="1">
      <alignment horizontal="center"/>
    </xf>
    <xf numFmtId="9" fontId="25" fillId="0" borderId="0" xfId="0" applyNumberFormat="1" applyFont="1" applyFill="1" applyBorder="1" applyAlignment="1" applyProtection="1">
      <alignment horizontal="center"/>
      <protection hidden="1"/>
    </xf>
    <xf numFmtId="0" fontId="6" fillId="0" borderId="0" xfId="0" applyFont="1" applyFill="1" applyBorder="1" applyAlignment="1">
      <alignment horizontal="center"/>
    </xf>
    <xf numFmtId="0" fontId="1" fillId="0" borderId="0" xfId="1" applyFill="1" applyBorder="1" applyAlignment="1">
      <alignment horizontal="center"/>
    </xf>
    <xf numFmtId="10" fontId="43" fillId="0" borderId="5" xfId="6" applyNumberFormat="1" applyFont="1" applyBorder="1" applyAlignment="1">
      <alignment horizontal="center"/>
    </xf>
    <xf numFmtId="10" fontId="43" fillId="0" borderId="36" xfId="6" applyNumberFormat="1" applyFont="1" applyBorder="1" applyAlignment="1">
      <alignment horizontal="center"/>
    </xf>
    <xf numFmtId="10" fontId="43" fillId="26" borderId="5" xfId="6" applyNumberFormat="1" applyFont="1" applyFill="1" applyBorder="1" applyAlignment="1">
      <alignment horizontal="center"/>
    </xf>
    <xf numFmtId="10" fontId="43" fillId="26" borderId="36" xfId="6" applyNumberFormat="1" applyFont="1" applyFill="1" applyBorder="1" applyAlignment="1">
      <alignment horizontal="center"/>
    </xf>
    <xf numFmtId="10" fontId="0" fillId="0" borderId="9" xfId="6" applyNumberFormat="1" applyFont="1" applyFill="1" applyBorder="1"/>
    <xf numFmtId="2" fontId="3" fillId="0" borderId="36" xfId="0" applyNumberFormat="1" applyFont="1" applyFill="1" applyBorder="1"/>
    <xf numFmtId="0" fontId="75" fillId="25" borderId="0" xfId="0" applyFont="1" applyFill="1" applyAlignment="1" applyProtection="1">
      <alignment horizontal="center" vertical="top"/>
      <protection hidden="1"/>
    </xf>
    <xf numFmtId="9" fontId="0" fillId="17" borderId="3" xfId="6" applyFont="1" applyFill="1" applyBorder="1" applyAlignment="1">
      <alignment horizontal="center"/>
    </xf>
    <xf numFmtId="43" fontId="22" fillId="0" borderId="0" xfId="0" applyNumberFormat="1" applyFont="1" applyFill="1" applyBorder="1"/>
    <xf numFmtId="8" fontId="22" fillId="0" borderId="0" xfId="0" applyNumberFormat="1" applyFont="1" applyFill="1" applyBorder="1"/>
    <xf numFmtId="164" fontId="22" fillId="17" borderId="3" xfId="5" applyNumberFormat="1" applyFont="1" applyFill="1" applyBorder="1"/>
    <xf numFmtId="10" fontId="22" fillId="0" borderId="0" xfId="6" applyNumberFormat="1" applyFont="1" applyAlignment="1">
      <alignment horizontal="center"/>
    </xf>
    <xf numFmtId="0" fontId="0" fillId="0" borderId="0" xfId="0"/>
    <xf numFmtId="0" fontId="100" fillId="25" borderId="0" xfId="0" applyFont="1" applyFill="1" applyBorder="1" applyProtection="1">
      <protection hidden="1"/>
    </xf>
    <xf numFmtId="0" fontId="101" fillId="0" borderId="0" xfId="0" applyFont="1" applyBorder="1"/>
    <xf numFmtId="164" fontId="22" fillId="0" borderId="0" xfId="0" applyNumberFormat="1" applyFont="1" applyFill="1" applyBorder="1"/>
    <xf numFmtId="164" fontId="102" fillId="0" borderId="3" xfId="5" applyNumberFormat="1" applyFont="1" applyBorder="1"/>
    <xf numFmtId="10" fontId="22" fillId="0" borderId="0" xfId="6" applyNumberFormat="1" applyFont="1"/>
    <xf numFmtId="10" fontId="22" fillId="17" borderId="15" xfId="6" applyNumberFormat="1" applyFont="1" applyFill="1" applyBorder="1"/>
    <xf numFmtId="164" fontId="22" fillId="17" borderId="30" xfId="0" applyNumberFormat="1" applyFont="1" applyFill="1" applyBorder="1"/>
    <xf numFmtId="170" fontId="22" fillId="0" borderId="0" xfId="0" applyNumberFormat="1" applyFont="1"/>
    <xf numFmtId="9" fontId="0" fillId="0" borderId="1" xfId="0" applyNumberFormat="1" applyFill="1" applyBorder="1"/>
    <xf numFmtId="0" fontId="3" fillId="51" borderId="0" xfId="0" applyFont="1" applyFill="1" applyBorder="1" applyAlignment="1">
      <alignment horizontal="center"/>
    </xf>
    <xf numFmtId="42" fontId="62" fillId="17" borderId="0" xfId="0" applyNumberFormat="1" applyFont="1" applyFill="1" applyAlignment="1">
      <alignment horizontal="center"/>
    </xf>
    <xf numFmtId="164" fontId="55" fillId="17" borderId="3" xfId="5" applyNumberFormat="1" applyFont="1" applyFill="1" applyBorder="1"/>
    <xf numFmtId="10" fontId="0" fillId="0" borderId="33" xfId="6" applyNumberFormat="1" applyFont="1" applyBorder="1"/>
    <xf numFmtId="2" fontId="3" fillId="0" borderId="12" xfId="0" applyNumberFormat="1" applyFont="1" applyBorder="1"/>
    <xf numFmtId="1" fontId="3" fillId="0" borderId="12" xfId="0" applyNumberFormat="1" applyFont="1" applyFill="1" applyBorder="1"/>
    <xf numFmtId="1" fontId="3" fillId="0" borderId="36" xfId="0" applyNumberFormat="1" applyFont="1" applyFill="1" applyBorder="1"/>
    <xf numFmtId="0" fontId="3" fillId="0" borderId="12" xfId="1" applyFont="1" applyFill="1" applyBorder="1"/>
    <xf numFmtId="0" fontId="3" fillId="0" borderId="36" xfId="1" applyFont="1" applyFill="1" applyBorder="1"/>
    <xf numFmtId="10" fontId="0" fillId="19" borderId="0" xfId="6" applyNumberFormat="1" applyFont="1" applyFill="1" applyBorder="1"/>
    <xf numFmtId="2" fontId="3" fillId="19" borderId="0" xfId="0" applyNumberFormat="1" applyFont="1" applyFill="1" applyBorder="1"/>
    <xf numFmtId="0" fontId="1" fillId="19" borderId="0" xfId="1" applyFill="1" applyBorder="1"/>
    <xf numFmtId="1" fontId="3" fillId="19" borderId="0" xfId="0" applyNumberFormat="1" applyFont="1" applyFill="1" applyBorder="1"/>
    <xf numFmtId="0" fontId="3" fillId="13" borderId="0" xfId="1" applyFont="1" applyFill="1" applyAlignment="1">
      <alignment horizontal="center" wrapText="1"/>
    </xf>
    <xf numFmtId="0" fontId="3" fillId="13" borderId="6" xfId="1" applyFont="1" applyFill="1" applyBorder="1" applyAlignment="1">
      <alignment horizontal="center" wrapText="1"/>
    </xf>
    <xf numFmtId="0" fontId="3" fillId="3" borderId="0" xfId="1" applyFont="1" applyFill="1" applyAlignment="1">
      <alignment horizontal="center" wrapText="1"/>
    </xf>
    <xf numFmtId="0" fontId="2" fillId="37" borderId="0" xfId="0" applyFont="1" applyFill="1" applyAlignment="1">
      <alignment horizontal="center" wrapText="1"/>
    </xf>
    <xf numFmtId="0" fontId="69" fillId="41" borderId="4" xfId="0" applyFont="1" applyFill="1" applyBorder="1" applyAlignment="1" applyProtection="1">
      <alignment horizontal="center"/>
      <protection locked="0"/>
    </xf>
    <xf numFmtId="0" fontId="69" fillId="41" borderId="0" xfId="0" applyFont="1" applyFill="1" applyBorder="1" applyAlignment="1" applyProtection="1">
      <alignment horizontal="center"/>
      <protection locked="0"/>
    </xf>
    <xf numFmtId="1" fontId="2" fillId="41" borderId="15" xfId="5" applyNumberFormat="1" applyFont="1" applyFill="1" applyBorder="1" applyAlignment="1" applyProtection="1">
      <alignment horizontal="center"/>
      <protection locked="0"/>
    </xf>
    <xf numFmtId="1" fontId="2" fillId="41" borderId="30" xfId="5" applyNumberFormat="1" applyFont="1" applyFill="1" applyBorder="1" applyAlignment="1" applyProtection="1">
      <alignment horizontal="center"/>
      <protection locked="0"/>
    </xf>
    <xf numFmtId="0" fontId="0" fillId="23" borderId="9" xfId="0" applyFill="1" applyBorder="1" applyAlignment="1">
      <alignment horizontal="center"/>
    </xf>
    <xf numFmtId="0" fontId="0" fillId="23" borderId="2" xfId="0" applyFill="1" applyBorder="1" applyAlignment="1">
      <alignment horizontal="center"/>
    </xf>
    <xf numFmtId="0" fontId="69" fillId="39" borderId="4" xfId="0" applyFont="1" applyFill="1" applyBorder="1" applyAlignment="1" applyProtection="1">
      <alignment horizontal="center"/>
      <protection locked="0"/>
    </xf>
    <xf numFmtId="0" fontId="69" fillId="39" borderId="0" xfId="0" applyFont="1" applyFill="1" applyBorder="1" applyAlignment="1" applyProtection="1">
      <alignment horizontal="center"/>
      <protection locked="0"/>
    </xf>
    <xf numFmtId="0" fontId="8" fillId="8" borderId="2" xfId="0" applyFont="1" applyFill="1" applyBorder="1" applyAlignment="1" applyProtection="1">
      <alignment horizontal="center" wrapText="1"/>
      <protection locked="0"/>
    </xf>
    <xf numFmtId="1" fontId="2" fillId="38" borderId="15" xfId="5" applyNumberFormat="1" applyFont="1" applyFill="1" applyBorder="1" applyAlignment="1" applyProtection="1">
      <alignment horizontal="center"/>
      <protection locked="0"/>
    </xf>
    <xf numFmtId="1" fontId="2" fillId="38" borderId="30" xfId="5" applyNumberFormat="1" applyFont="1" applyFill="1" applyBorder="1" applyAlignment="1" applyProtection="1">
      <alignment horizontal="center"/>
      <protection locked="0"/>
    </xf>
    <xf numFmtId="0" fontId="1" fillId="17" borderId="3" xfId="1" applyFill="1" applyBorder="1" applyAlignment="1">
      <alignment horizontal="center"/>
    </xf>
    <xf numFmtId="0" fontId="11" fillId="0" borderId="0" xfId="0" applyFont="1" applyBorder="1" applyAlignment="1" applyProtection="1">
      <alignment horizontal="justify" wrapText="1"/>
      <protection hidden="1"/>
    </xf>
    <xf numFmtId="0" fontId="10" fillId="0" borderId="0" xfId="0" applyFont="1" applyBorder="1" applyAlignment="1" applyProtection="1">
      <alignment horizontal="justify" wrapText="1"/>
      <protection hidden="1"/>
    </xf>
    <xf numFmtId="5" fontId="3" fillId="19" borderId="0" xfId="0" applyNumberFormat="1" applyFont="1" applyFill="1" applyBorder="1" applyAlignment="1" applyProtection="1">
      <alignment horizontal="center" vertical="center"/>
      <protection locked="0" hidden="1"/>
    </xf>
    <xf numFmtId="167" fontId="29" fillId="0" borderId="0" xfId="0" applyNumberFormat="1" applyFont="1" applyFill="1" applyAlignment="1" applyProtection="1">
      <alignment horizontal="center"/>
      <protection locked="0" hidden="1"/>
    </xf>
    <xf numFmtId="0" fontId="25" fillId="25" borderId="54" xfId="0" applyFont="1" applyFill="1" applyBorder="1" applyAlignment="1" applyProtection="1">
      <alignment horizontal="center" wrapText="1"/>
      <protection hidden="1"/>
    </xf>
    <xf numFmtId="0" fontId="25" fillId="25" borderId="26" xfId="0" applyFont="1" applyFill="1" applyBorder="1" applyAlignment="1" applyProtection="1">
      <alignment horizontal="center" wrapText="1"/>
      <protection hidden="1"/>
    </xf>
    <xf numFmtId="0" fontId="25" fillId="25" borderId="51" xfId="0" applyFont="1" applyFill="1" applyBorder="1" applyAlignment="1" applyProtection="1">
      <alignment horizontal="center" wrapText="1"/>
      <protection hidden="1"/>
    </xf>
    <xf numFmtId="0" fontId="3" fillId="25" borderId="53" xfId="0" applyFont="1" applyFill="1" applyBorder="1" applyAlignment="1" applyProtection="1">
      <alignment horizontal="left" vertical="top" wrapText="1"/>
      <protection hidden="1"/>
    </xf>
    <xf numFmtId="0" fontId="3" fillId="25" borderId="0" xfId="0" applyFont="1" applyFill="1" applyBorder="1" applyAlignment="1" applyProtection="1">
      <alignment horizontal="left" vertical="top" wrapText="1"/>
      <protection hidden="1"/>
    </xf>
    <xf numFmtId="0" fontId="29" fillId="0" borderId="19" xfId="0" applyFont="1" applyFill="1" applyBorder="1" applyAlignment="1" applyProtection="1">
      <alignment horizontal="center"/>
      <protection locked="0" hidden="1"/>
    </xf>
    <xf numFmtId="0" fontId="29" fillId="0" borderId="20" xfId="0" applyFont="1" applyFill="1" applyBorder="1" applyAlignment="1" applyProtection="1">
      <alignment horizontal="center"/>
      <protection locked="0" hidden="1"/>
    </xf>
    <xf numFmtId="3" fontId="29" fillId="0" borderId="0" xfId="0" applyNumberFormat="1" applyFont="1" applyFill="1" applyAlignment="1" applyProtection="1">
      <alignment horizontal="center"/>
      <protection locked="0" hidden="1"/>
    </xf>
    <xf numFmtId="0" fontId="25" fillId="0" borderId="0" xfId="0" applyFont="1" applyFill="1" applyAlignment="1" applyProtection="1">
      <alignment horizontal="center" wrapText="1"/>
      <protection hidden="1"/>
    </xf>
    <xf numFmtId="9" fontId="25" fillId="0" borderId="0" xfId="0" applyNumberFormat="1" applyFont="1" applyFill="1" applyBorder="1" applyAlignment="1" applyProtection="1">
      <alignment horizontal="center" vertical="center"/>
      <protection hidden="1"/>
    </xf>
    <xf numFmtId="0" fontId="29" fillId="19" borderId="0" xfId="0" applyFont="1" applyFill="1" applyBorder="1" applyAlignment="1" applyProtection="1">
      <alignment horizontal="center"/>
      <protection locked="0" hidden="1"/>
    </xf>
    <xf numFmtId="0" fontId="2" fillId="44" borderId="0" xfId="0" applyFont="1" applyFill="1" applyBorder="1" applyAlignment="1" applyProtection="1">
      <alignment horizontal="center"/>
      <protection hidden="1"/>
    </xf>
    <xf numFmtId="166" fontId="28" fillId="0" borderId="0" xfId="0" applyNumberFormat="1" applyFont="1" applyFill="1" applyAlignment="1" applyProtection="1">
      <alignment horizontal="center"/>
      <protection hidden="1"/>
    </xf>
    <xf numFmtId="0" fontId="1" fillId="0" borderId="19" xfId="0" applyFont="1" applyFill="1" applyBorder="1" applyAlignment="1" applyProtection="1">
      <alignment horizontal="left"/>
      <protection locked="0" hidden="1"/>
    </xf>
    <xf numFmtId="0" fontId="1" fillId="0" borderId="21" xfId="0" applyFont="1" applyFill="1" applyBorder="1" applyAlignment="1" applyProtection="1">
      <alignment horizontal="left"/>
      <protection locked="0" hidden="1"/>
    </xf>
    <xf numFmtId="0" fontId="1" fillId="0" borderId="20" xfId="0" applyFont="1" applyFill="1" applyBorder="1" applyAlignment="1" applyProtection="1">
      <alignment horizontal="left"/>
      <protection locked="0" hidden="1"/>
    </xf>
    <xf numFmtId="0" fontId="1" fillId="0" borderId="19" xfId="0" applyFont="1" applyFill="1" applyBorder="1" applyAlignment="1" applyProtection="1">
      <alignment horizontal="center"/>
      <protection locked="0" hidden="1"/>
    </xf>
    <xf numFmtId="0" fontId="1" fillId="0" borderId="20" xfId="0" applyFont="1" applyFill="1" applyBorder="1" applyAlignment="1" applyProtection="1">
      <alignment horizontal="center"/>
      <protection locked="0" hidden="1"/>
    </xf>
    <xf numFmtId="42" fontId="3" fillId="19" borderId="0" xfId="0" applyNumberFormat="1" applyFont="1" applyFill="1" applyBorder="1" applyAlignment="1" applyProtection="1">
      <alignment horizontal="left" vertical="center"/>
      <protection locked="0" hidden="1"/>
    </xf>
    <xf numFmtId="167" fontId="3" fillId="0" borderId="0" xfId="0" applyNumberFormat="1" applyFont="1" applyFill="1" applyBorder="1" applyAlignment="1" applyProtection="1">
      <alignment horizontal="center" vertical="center"/>
      <protection locked="0" hidden="1"/>
    </xf>
    <xf numFmtId="42" fontId="3" fillId="0" borderId="19" xfId="0" applyNumberFormat="1" applyFont="1" applyFill="1" applyBorder="1" applyAlignment="1" applyProtection="1">
      <alignment horizontal="center" vertical="center"/>
      <protection locked="0" hidden="1"/>
    </xf>
    <xf numFmtId="42" fontId="3" fillId="0" borderId="20" xfId="0" applyNumberFormat="1" applyFont="1" applyFill="1" applyBorder="1" applyAlignment="1" applyProtection="1">
      <alignment horizontal="center" vertical="center"/>
      <protection locked="0" hidden="1"/>
    </xf>
    <xf numFmtId="0" fontId="29" fillId="19" borderId="0" xfId="0" applyFont="1" applyFill="1" applyAlignment="1" applyProtection="1">
      <alignment horizontal="center"/>
      <protection locked="0" hidden="1"/>
    </xf>
    <xf numFmtId="10" fontId="3" fillId="19" borderId="0" xfId="6" applyNumberFormat="1" applyFont="1" applyFill="1" applyBorder="1" applyAlignment="1" applyProtection="1">
      <alignment horizontal="center" vertical="center"/>
      <protection locked="0" hidden="1"/>
    </xf>
    <xf numFmtId="0" fontId="11" fillId="0" borderId="0" xfId="0" applyFont="1" applyBorder="1" applyAlignment="1" applyProtection="1">
      <alignment horizontal="justify"/>
      <protection hidden="1"/>
    </xf>
    <xf numFmtId="3" fontId="29" fillId="0" borderId="0" xfId="0" applyNumberFormat="1" applyFont="1" applyFill="1" applyBorder="1" applyAlignment="1" applyProtection="1">
      <alignment horizontal="center" vertical="center"/>
      <protection hidden="1"/>
    </xf>
    <xf numFmtId="3" fontId="6" fillId="0" borderId="0" xfId="0" applyNumberFormat="1" applyFont="1" applyFill="1" applyBorder="1" applyAlignment="1" applyProtection="1">
      <alignment horizontal="center" vertical="center"/>
      <protection hidden="1"/>
    </xf>
    <xf numFmtId="0" fontId="96" fillId="25" borderId="53" xfId="1" applyFont="1" applyFill="1" applyBorder="1" applyAlignment="1" applyProtection="1">
      <alignment horizontal="left" wrapText="1"/>
      <protection hidden="1"/>
    </xf>
    <xf numFmtId="0" fontId="96" fillId="25" borderId="0" xfId="1" applyFont="1" applyFill="1" applyBorder="1" applyAlignment="1" applyProtection="1">
      <alignment horizontal="left" wrapText="1"/>
      <protection hidden="1"/>
    </xf>
    <xf numFmtId="5" fontId="6" fillId="0" borderId="0" xfId="0" applyNumberFormat="1" applyFont="1"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0" fillId="0" borderId="0" xfId="0" applyAlignment="1" applyProtection="1">
      <alignment horizontal="left" wrapText="1"/>
      <protection hidden="1"/>
    </xf>
    <xf numFmtId="0" fontId="43" fillId="0" borderId="0" xfId="0" applyFont="1" applyAlignment="1" applyProtection="1">
      <alignment horizontal="left" wrapText="1"/>
      <protection hidden="1"/>
    </xf>
    <xf numFmtId="0" fontId="44" fillId="0" borderId="0" xfId="0" applyFont="1" applyAlignment="1" applyProtection="1">
      <alignment horizontal="center" vertical="center"/>
      <protection hidden="1"/>
    </xf>
    <xf numFmtId="0" fontId="28" fillId="0" borderId="2" xfId="0" applyFont="1" applyBorder="1" applyAlignment="1" applyProtection="1">
      <alignment horizontal="center"/>
      <protection hidden="1"/>
    </xf>
    <xf numFmtId="0" fontId="1" fillId="0" borderId="2" xfId="0" applyFont="1" applyFill="1" applyBorder="1" applyAlignment="1" applyProtection="1">
      <alignment horizontal="center"/>
      <protection hidden="1"/>
    </xf>
    <xf numFmtId="0" fontId="1" fillId="0" borderId="0" xfId="0" applyFont="1" applyFill="1" applyBorder="1" applyAlignment="1" applyProtection="1">
      <alignment horizontal="left"/>
      <protection locked="0" hidden="1"/>
    </xf>
    <xf numFmtId="166" fontId="3" fillId="0" borderId="0" xfId="0" applyNumberFormat="1" applyFont="1" applyFill="1" applyBorder="1" applyAlignment="1" applyProtection="1">
      <alignment horizontal="center"/>
      <protection hidden="1"/>
    </xf>
    <xf numFmtId="0" fontId="2" fillId="2" borderId="56" xfId="0" applyFont="1" applyFill="1" applyBorder="1" applyAlignment="1" applyProtection="1">
      <alignment horizontal="center"/>
      <protection hidden="1"/>
    </xf>
    <xf numFmtId="0" fontId="2" fillId="2" borderId="57" xfId="0" applyFont="1" applyFill="1" applyBorder="1" applyAlignment="1" applyProtection="1">
      <alignment horizontal="center"/>
      <protection hidden="1"/>
    </xf>
    <xf numFmtId="0" fontId="2" fillId="2" borderId="58" xfId="0" applyFont="1" applyFill="1" applyBorder="1" applyAlignment="1" applyProtection="1">
      <alignment horizontal="center"/>
      <protection hidden="1"/>
    </xf>
    <xf numFmtId="4" fontId="6" fillId="0" borderId="0" xfId="0" applyNumberFormat="1" applyFont="1" applyFill="1" applyBorder="1" applyAlignment="1" applyProtection="1">
      <alignment horizontal="left"/>
      <protection locked="0" hidden="1"/>
    </xf>
    <xf numFmtId="0" fontId="1" fillId="0" borderId="0" xfId="0" applyFont="1" applyFill="1" applyBorder="1" applyAlignment="1" applyProtection="1">
      <alignment horizontal="left" wrapText="1"/>
      <protection hidden="1"/>
    </xf>
    <xf numFmtId="0" fontId="1" fillId="0" borderId="0" xfId="0" applyFont="1" applyFill="1" applyAlignment="1" applyProtection="1">
      <alignment horizontal="left" vertical="top"/>
      <protection hidden="1"/>
    </xf>
    <xf numFmtId="0" fontId="3" fillId="0" borderId="0" xfId="0" applyFont="1" applyAlignment="1" applyProtection="1">
      <alignment horizontal="center"/>
      <protection hidden="1"/>
    </xf>
    <xf numFmtId="0" fontId="1" fillId="16" borderId="0" xfId="0" applyFont="1" applyFill="1" applyBorder="1" applyAlignment="1" applyProtection="1">
      <alignment horizontal="left" vertical="top" wrapText="1"/>
      <protection hidden="1"/>
    </xf>
    <xf numFmtId="0" fontId="1" fillId="16" borderId="0" xfId="0" applyFont="1" applyFill="1" applyBorder="1" applyAlignment="1" applyProtection="1">
      <alignment horizontal="left" wrapText="1"/>
      <protection hidden="1"/>
    </xf>
    <xf numFmtId="0" fontId="1" fillId="0" borderId="0" xfId="0" applyFont="1" applyFill="1" applyBorder="1" applyAlignment="1" applyProtection="1">
      <alignment vertical="top" wrapText="1"/>
      <protection hidden="1"/>
    </xf>
    <xf numFmtId="0" fontId="83" fillId="0" borderId="0" xfId="9" applyFont="1" applyAlignment="1">
      <alignment horizontal="justify" wrapText="1"/>
    </xf>
    <xf numFmtId="0" fontId="84" fillId="0" borderId="0" xfId="9" applyFont="1" applyAlignment="1">
      <alignment horizontal="center"/>
    </xf>
    <xf numFmtId="0" fontId="85" fillId="0" borderId="0" xfId="9" applyFont="1" applyAlignment="1"/>
    <xf numFmtId="0" fontId="85" fillId="0" borderId="0" xfId="9" applyFont="1" applyAlignment="1">
      <alignment horizontal="justify" wrapText="1"/>
    </xf>
    <xf numFmtId="0" fontId="0" fillId="0" borderId="0" xfId="0"/>
    <xf numFmtId="0" fontId="85" fillId="0" borderId="0" xfId="9" applyFont="1" applyAlignment="1">
      <alignment horizontal="left"/>
    </xf>
    <xf numFmtId="0" fontId="86" fillId="0" borderId="0" xfId="10" applyAlignment="1" applyProtection="1">
      <alignment horizontal="left"/>
    </xf>
    <xf numFmtId="0" fontId="2" fillId="2" borderId="0" xfId="9" applyFont="1" applyFill="1" applyAlignment="1">
      <alignment horizontal="center"/>
    </xf>
    <xf numFmtId="0" fontId="83" fillId="0" borderId="0" xfId="9" applyFont="1" applyAlignment="1">
      <alignment horizontal="left" wrapText="1"/>
    </xf>
    <xf numFmtId="0" fontId="83" fillId="0" borderId="0" xfId="9" applyFont="1" applyAlignment="1">
      <alignment horizontal="justify" vertical="center" wrapText="1"/>
    </xf>
    <xf numFmtId="0" fontId="16" fillId="20" borderId="0" xfId="9" applyFont="1" applyFill="1" applyAlignment="1">
      <alignment horizontal="center" vertical="center" wrapText="1"/>
    </xf>
    <xf numFmtId="0" fontId="63" fillId="0" borderId="0" xfId="9" applyFont="1" applyAlignment="1">
      <alignment horizontal="justify" wrapText="1"/>
    </xf>
    <xf numFmtId="0" fontId="42" fillId="20" borderId="0" xfId="0" applyFont="1" applyFill="1" applyAlignment="1">
      <alignment horizontal="center"/>
    </xf>
    <xf numFmtId="0" fontId="42" fillId="39" borderId="0" xfId="0" applyFont="1" applyFill="1" applyAlignment="1">
      <alignment horizontal="center"/>
    </xf>
    <xf numFmtId="166" fontId="0" fillId="0" borderId="0" xfId="0" applyNumberFormat="1" applyAlignment="1">
      <alignment horizontal="center"/>
    </xf>
  </cellXfs>
  <cellStyles count="14">
    <cellStyle name="Euro" xfId="4"/>
    <cellStyle name="Hipervínculo" xfId="7" builtinId="8"/>
    <cellStyle name="Hipervínculo 2" xfId="10"/>
    <cellStyle name="Millares" xfId="5" builtinId="3"/>
    <cellStyle name="Millares 2" xfId="3"/>
    <cellStyle name="Millares 3" xfId="12"/>
    <cellStyle name="Millares_BHF-034 SIMULADOR UNICO V 1.49.RESPALDO" xfId="13"/>
    <cellStyle name="Millares_Tabla amortización" xfId="8"/>
    <cellStyle name="Normal" xfId="0" builtinId="0"/>
    <cellStyle name="Normal 2" xfId="1"/>
    <cellStyle name="Normal 3" xfId="9"/>
    <cellStyle name="Porcentaje 2" xfId="2"/>
    <cellStyle name="Porcentaje 3" xfId="11"/>
    <cellStyle name="Porcentual" xfId="6" builtinId="5"/>
  </cellStyles>
  <dxfs count="174">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ill>
        <patternFill>
          <bgColor theme="0" tint="-0.24994659260841701"/>
        </patternFill>
      </fill>
    </dxf>
    <dxf>
      <font>
        <b/>
        <i val="0"/>
        <color theme="0"/>
      </font>
      <fill>
        <patternFill>
          <bgColor rgb="FFFF0000"/>
        </patternFill>
      </fill>
    </dxf>
    <dxf>
      <font>
        <b/>
        <i val="0"/>
      </font>
      <fill>
        <patternFill>
          <bgColor theme="0" tint="-4.9989318521683403E-2"/>
        </patternFill>
      </fill>
      <border>
        <vertical/>
        <horizontal/>
      </border>
    </dxf>
    <dxf>
      <font>
        <b/>
        <i val="0"/>
      </font>
      <fill>
        <patternFill>
          <bgColor theme="0" tint="-4.9989318521683403E-2"/>
        </patternFill>
      </fill>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indexed="10"/>
        </patternFill>
      </fill>
    </dxf>
    <dxf>
      <fill>
        <patternFill>
          <bgColor indexed="10"/>
        </patternFill>
      </fill>
    </dxf>
    <dxf>
      <fill>
        <patternFill>
          <bgColor indexed="10"/>
        </patternFill>
      </fill>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rgb="FFFFFF00"/>
        </patternFill>
      </fill>
      <border>
        <left style="dashDotDot">
          <color auto="1"/>
        </left>
        <right style="dashDotDot">
          <color auto="1"/>
        </right>
        <top style="dashDotDot">
          <color auto="1"/>
        </top>
        <bottom style="dashDotDot">
          <color auto="1"/>
        </bottom>
        <vertical/>
        <horizontal/>
      </border>
    </dxf>
    <dxf>
      <fill>
        <patternFill>
          <bgColor theme="0" tint="-0.14996795556505021"/>
        </patternFill>
      </fill>
      <border>
        <left style="hair">
          <color theme="1" tint="0.499984740745262"/>
        </left>
        <right style="hair">
          <color theme="1" tint="0.499984740745262"/>
        </right>
        <top style="hair">
          <color theme="1" tint="0.499984740745262"/>
        </top>
        <bottom style="hair">
          <color theme="1" tint="0.499984740745262"/>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theme="1" tint="0.499984740745262"/>
        </left>
        <right style="hair">
          <color theme="1" tint="0.499984740745262"/>
        </right>
        <top style="hair">
          <color theme="1" tint="0.499984740745262"/>
        </top>
        <bottom style="hair">
          <color theme="1" tint="0.499984740745262"/>
        </bottom>
        <vertical/>
        <horizontal/>
      </border>
    </dxf>
    <dxf>
      <fill>
        <patternFill>
          <bgColor theme="0" tint="-0.14996795556505021"/>
        </patternFill>
      </fill>
      <border>
        <left style="hair">
          <color theme="1" tint="0.499984740745262"/>
        </left>
        <right style="hair">
          <color theme="1" tint="0.499984740745262"/>
        </right>
        <top style="hair">
          <color theme="1" tint="0.499984740745262"/>
        </top>
        <bottom style="hair">
          <color theme="1" tint="0.499984740745262"/>
        </bottom>
      </border>
    </dxf>
    <dxf>
      <fill>
        <patternFill>
          <bgColor rgb="FFFFFF00"/>
        </patternFill>
      </fill>
    </dxf>
    <dxf>
      <font>
        <condense val="0"/>
        <extend val="0"/>
        <color indexed="9"/>
      </font>
    </dxf>
    <dxf>
      <fill>
        <patternFill>
          <bgColor theme="0" tint="-0.24994659260841701"/>
        </patternFill>
      </fill>
      <border>
        <left style="thin">
          <color indexed="64"/>
        </left>
        <right style="thin">
          <color indexed="64"/>
        </right>
        <top style="thin">
          <color indexed="64"/>
        </top>
        <bottom style="thin">
          <color indexed="64"/>
        </bottom>
      </border>
    </dxf>
    <dxf>
      <border>
        <left/>
        <right/>
        <top style="thin">
          <color indexed="10"/>
        </top>
        <bottom style="thin">
          <color indexed="10"/>
        </bottom>
      </border>
    </dxf>
    <dxf>
      <fill>
        <patternFill>
          <bgColor indexed="22"/>
        </patternFill>
      </fill>
    </dxf>
    <dxf>
      <font>
        <condense val="0"/>
        <extend val="0"/>
        <color indexed="9"/>
      </font>
      <fill>
        <patternFill>
          <bgColor indexed="10"/>
        </patternFill>
      </fill>
    </dxf>
    <dxf>
      <fill>
        <patternFill>
          <bgColor indexed="10"/>
        </patternFill>
      </fill>
    </dxf>
    <dxf>
      <fill>
        <patternFill>
          <bgColor indexed="43"/>
        </patternFill>
      </fill>
    </dxf>
    <dxf>
      <border>
        <top style="thin">
          <color indexed="10"/>
        </top>
        <bottom style="thin">
          <color indexed="10"/>
        </bottom>
      </border>
    </dxf>
    <dxf>
      <fill>
        <patternFill>
          <bgColor indexed="22"/>
        </patternFill>
      </fill>
    </dxf>
    <dxf>
      <fill>
        <patternFill>
          <bgColor indexed="22"/>
        </patternFill>
      </fill>
      <border>
        <left style="hair">
          <color indexed="64"/>
        </left>
        <right style="hair">
          <color indexed="64"/>
        </right>
        <top style="hair">
          <color indexed="64"/>
        </top>
        <bottom style="hair">
          <color indexed="64"/>
        </bottom>
      </border>
    </dxf>
    <dxf>
      <border>
        <left/>
        <right/>
        <top style="thin">
          <color indexed="10"/>
        </top>
        <bottom style="thin">
          <color indexed="10"/>
        </bottom>
      </border>
    </dxf>
    <dxf>
      <fill>
        <patternFill>
          <bgColor indexed="22"/>
        </patternFill>
      </fill>
    </dxf>
    <dxf>
      <border>
        <left/>
        <right/>
        <top style="thin">
          <color indexed="10"/>
        </top>
        <bottom style="thin">
          <color indexed="10"/>
        </bottom>
      </border>
    </dxf>
    <dxf>
      <fill>
        <patternFill>
          <bgColor indexed="22"/>
        </patternFill>
      </fill>
    </dxf>
    <dxf>
      <fill>
        <patternFill>
          <bgColor indexed="10"/>
        </patternFill>
      </fill>
    </dxf>
    <dxf>
      <font>
        <condense val="0"/>
        <extend val="0"/>
        <color indexed="9"/>
      </font>
    </dxf>
    <dxf>
      <fill>
        <patternFill>
          <bgColor theme="0" tint="-0.1499679555650502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ont>
        <b/>
        <i val="0"/>
        <color theme="0"/>
      </font>
      <fill>
        <patternFill>
          <bgColor rgb="FFFF0000"/>
        </patternFill>
      </fill>
    </dxf>
    <dxf>
      <fill>
        <patternFill>
          <bgColor theme="0" tint="-4.9989318521683403E-2"/>
        </patternFill>
      </fill>
    </dxf>
    <dxf>
      <font>
        <b/>
        <i val="0"/>
        <color theme="0"/>
      </font>
      <fill>
        <patternFill>
          <bgColor rgb="FFFF0000"/>
        </patternFill>
      </fill>
    </dxf>
    <dxf>
      <fill>
        <patternFill>
          <bgColor theme="0" tint="-4.9989318521683403E-2"/>
        </patternFill>
      </fill>
    </dxf>
    <dxf>
      <font>
        <b/>
        <i val="0"/>
        <color theme="0"/>
      </font>
      <fill>
        <patternFill>
          <bgColor rgb="FFFF0000"/>
        </patternFill>
      </fill>
    </dxf>
    <dxf>
      <fill>
        <patternFill>
          <bgColor theme="0" tint="-4.9989318521683403E-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ont>
        <color auto="1"/>
      </font>
      <fill>
        <patternFill patternType="none">
          <bgColor auto="1"/>
        </patternFill>
      </fill>
      <border>
        <left style="hair">
          <color auto="1"/>
        </left>
        <right style="hair">
          <color auto="1"/>
        </right>
        <top style="hair">
          <color auto="1"/>
        </top>
        <bottom style="hair">
          <color auto="1"/>
        </bottom>
        <vertical/>
        <horizontal/>
      </border>
    </dxf>
    <dxf>
      <font>
        <color rgb="FFFF0000"/>
      </font>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ont>
        <color auto="1"/>
      </font>
      <fill>
        <patternFill patternType="none">
          <bgColor auto="1"/>
        </patternFill>
      </fill>
      <border>
        <left style="hair">
          <color auto="1"/>
        </left>
        <right style="hair">
          <color auto="1"/>
        </right>
        <top style="hair">
          <color auto="1"/>
        </top>
        <bottom style="hair">
          <color auto="1"/>
        </bottom>
        <vertical/>
        <horizontal/>
      </border>
    </dxf>
    <dxf>
      <font>
        <color rgb="FFFF0000"/>
      </font>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ont>
        <color auto="1"/>
      </font>
      <fill>
        <patternFill patternType="none">
          <bgColor auto="1"/>
        </patternFill>
      </fill>
      <border>
        <left style="hair">
          <color auto="1"/>
        </left>
        <right style="hair">
          <color auto="1"/>
        </right>
        <top style="hair">
          <color auto="1"/>
        </top>
        <bottom style="hair">
          <color auto="1"/>
        </bottom>
        <vertical/>
        <horizontal/>
      </border>
    </dxf>
    <dxf>
      <font>
        <color rgb="FFFF0000"/>
      </font>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border>
        <left style="dashDotDot">
          <color auto="1"/>
        </left>
        <right style="dashDotDot">
          <color auto="1"/>
        </right>
        <top style="dashDotDot">
          <color auto="1"/>
        </top>
        <bottom style="dashDotDot">
          <color auto="1"/>
        </bottom>
        <vertical/>
        <horizontal/>
      </border>
    </dxf>
    <dxf>
      <font>
        <color rgb="FFFF0000"/>
      </font>
      <fill>
        <patternFill>
          <bgColor rgb="FFFF0000"/>
        </patternFill>
      </fill>
    </dxf>
    <dxf>
      <fill>
        <patternFill>
          <bgColor theme="0" tint="-0.14996795556505021"/>
        </patternFill>
      </fill>
    </dxf>
    <dxf>
      <fill>
        <patternFill>
          <bgColor theme="0" tint="-4.9989318521683403E-2"/>
        </patternFill>
      </fill>
    </dxf>
    <dxf>
      <border>
        <left style="hair">
          <color auto="1"/>
        </left>
        <vertical/>
        <horizontal/>
      </border>
    </dxf>
    <dxf>
      <fill>
        <patternFill>
          <bgColor theme="0" tint="-4.9989318521683403E-2"/>
        </patternFill>
      </fill>
    </dxf>
    <dxf>
      <border>
        <left style="hair">
          <color auto="1"/>
        </left>
        <vertical/>
        <horizontal/>
      </border>
    </dxf>
    <dxf>
      <fill>
        <patternFill>
          <bgColor theme="0" tint="-4.9989318521683403E-2"/>
        </patternFill>
      </fill>
    </dxf>
    <dxf>
      <border>
        <left style="hair">
          <color auto="1"/>
        </left>
        <vertical/>
        <horizontal/>
      </border>
    </dxf>
    <dxf>
      <fill>
        <patternFill>
          <bgColor theme="0" tint="-4.9989318521683403E-2"/>
        </patternFill>
      </fill>
    </dxf>
    <dxf>
      <border>
        <left style="hair">
          <color auto="1"/>
        </left>
        <vertical/>
        <horizontal/>
      </border>
    </dxf>
    <dxf>
      <font>
        <b/>
        <i val="0"/>
        <color theme="0"/>
      </font>
      <fill>
        <patternFill>
          <bgColor theme="1" tint="0.499984740745262"/>
        </patternFill>
      </fill>
    </dxf>
    <dxf>
      <font>
        <b/>
        <i val="0"/>
        <color theme="0"/>
      </font>
      <fill>
        <patternFill>
          <bgColor rgb="FFFF0000"/>
        </patternFill>
      </fill>
    </dxf>
    <dxf>
      <font>
        <b/>
        <i val="0"/>
        <color theme="0"/>
      </font>
      <fill>
        <patternFill>
          <bgColor theme="1" tint="0.499984740745262"/>
        </patternFill>
      </fill>
    </dxf>
    <dxf>
      <fill>
        <patternFill>
          <bgColor theme="1" tint="0.499984740745262"/>
        </patternFill>
      </fill>
    </dxf>
    <dxf>
      <border>
        <bottom style="thin">
          <color rgb="FFFF0000"/>
        </bottom>
        <vertical/>
        <horizontal/>
      </border>
    </dxf>
    <dxf>
      <font>
        <color theme="0"/>
      </font>
      <fill>
        <patternFill>
          <bgColor rgb="FFFF0000"/>
        </patternFill>
      </fill>
    </dxf>
    <dxf>
      <fill>
        <patternFill>
          <bgColor rgb="FFFF0000"/>
        </patternFill>
      </fill>
    </dxf>
    <dxf>
      <font>
        <b/>
        <i val="0"/>
        <color theme="0"/>
      </font>
      <fill>
        <patternFill>
          <bgColor theme="1" tint="0.499984740745262"/>
        </patternFill>
      </fill>
    </dxf>
    <dxf>
      <font>
        <b/>
        <i val="0"/>
        <color theme="0"/>
      </font>
      <fill>
        <patternFill>
          <bgColor rgb="FFFF0000"/>
        </patternFill>
      </fill>
    </dxf>
    <dxf>
      <font>
        <b/>
        <i val="0"/>
        <color theme="0"/>
      </font>
      <fill>
        <patternFill>
          <bgColor theme="1" tint="0.499984740745262"/>
        </patternFill>
      </fill>
    </dxf>
    <dxf>
      <border>
        <bottom style="thin">
          <color rgb="FFFF0000"/>
        </bottom>
        <vertical/>
        <horizontal/>
      </border>
    </dxf>
    <dxf>
      <font>
        <color theme="0"/>
      </font>
      <fill>
        <patternFill>
          <bgColor rgb="FFFF0000"/>
        </patternFill>
      </fill>
    </dxf>
    <dxf>
      <font>
        <b/>
        <i val="0"/>
        <color theme="0"/>
      </font>
      <fill>
        <patternFill>
          <bgColor theme="1" tint="0.499984740745262"/>
        </patternFill>
      </fill>
    </dxf>
    <dxf>
      <fill>
        <patternFill>
          <bgColor theme="1" tint="0.499984740745262"/>
        </patternFill>
      </fill>
    </dxf>
    <dxf>
      <fill>
        <patternFill>
          <bgColor rgb="FFFF0000"/>
        </patternFill>
      </fill>
    </dxf>
    <dxf>
      <border>
        <bottom style="thin">
          <color rgb="FFFF0000"/>
        </bottom>
        <vertical/>
        <horizontal/>
      </border>
    </dxf>
    <dxf>
      <fill>
        <patternFill>
          <bgColor theme="1" tint="0.499984740745262"/>
        </patternFill>
      </fill>
    </dxf>
    <dxf>
      <font>
        <b/>
        <i val="0"/>
        <color theme="0"/>
      </font>
      <fill>
        <patternFill>
          <bgColor rgb="FFFF0000"/>
        </patternFill>
      </fill>
    </dxf>
    <dxf>
      <font>
        <b/>
        <i val="0"/>
        <color theme="0"/>
      </font>
      <fill>
        <patternFill>
          <bgColor theme="1" tint="0.499984740745262"/>
        </patternFill>
      </fill>
    </dxf>
    <dxf>
      <font>
        <color theme="0"/>
      </font>
      <fill>
        <patternFill>
          <bgColor rgb="FFFF0000"/>
        </patternFill>
      </fill>
    </dxf>
    <dxf>
      <font>
        <b/>
        <i val="0"/>
        <color rgb="FFFF0000"/>
      </font>
      <fill>
        <patternFill patternType="none">
          <bgColor auto="1"/>
        </patternFill>
      </fill>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bgColor rgb="FFFF0000"/>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rgb="FFFFFF00"/>
        </patternFill>
      </fill>
      <border>
        <left style="dashDotDot">
          <color auto="1"/>
        </left>
        <right style="dashDotDot">
          <color auto="1"/>
        </right>
        <top style="dashDotDot">
          <color auto="1"/>
        </top>
        <bottom style="dashDotDot">
          <color auto="1"/>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border>
        <bottom style="thin">
          <color rgb="FFFF0000"/>
        </bottom>
        <vertical/>
        <horizontal/>
      </border>
    </dxf>
    <dxf>
      <fill>
        <patternFill>
          <bgColor theme="1" tint="0.499984740745262"/>
        </patternFill>
      </fill>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ont>
        <b/>
        <i val="0"/>
        <color theme="0"/>
      </font>
      <fill>
        <patternFill>
          <bgColor rgb="FFFF0000"/>
        </patternFill>
      </fill>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b/>
        <i val="0"/>
        <color theme="0"/>
      </font>
      <fill>
        <patternFill>
          <bgColor rgb="FFFF0000"/>
        </patternFill>
      </fill>
    </dxf>
    <dxf>
      <fill>
        <patternFill>
          <bgColor rgb="FFFF0000"/>
        </patternFill>
      </fill>
    </dxf>
    <dxf>
      <font>
        <b/>
        <i val="0"/>
        <color theme="0"/>
      </font>
      <fill>
        <patternFill>
          <bgColor theme="1" tint="0.499984740745262"/>
        </patternFill>
      </fill>
    </dxf>
    <dxf>
      <font>
        <color theme="0"/>
      </font>
      <fill>
        <patternFill>
          <bgColor rgb="FFFF0000"/>
        </patternFill>
      </fill>
    </dxf>
    <dxf>
      <fill>
        <patternFill>
          <bgColor theme="0" tint="-0.24994659260841701"/>
        </patternFill>
      </fill>
    </dxf>
    <dxf>
      <fill>
        <patternFill>
          <bgColor rgb="FFFFFF00"/>
        </patternFill>
      </fill>
      <border>
        <left style="dashDotDot">
          <color auto="1"/>
        </left>
        <right style="dashDotDot">
          <color auto="1"/>
        </right>
        <top style="dashDotDot">
          <color auto="1"/>
        </top>
        <bottom style="dashDotDot">
          <color auto="1"/>
        </bottom>
        <vertical/>
        <horizontal/>
      </border>
    </dxf>
    <dxf>
      <font>
        <condense val="0"/>
        <extend val="0"/>
        <color indexed="9"/>
      </font>
    </dxf>
  </dxfs>
  <tableStyles count="0" defaultTableStyle="TableStyleMedium2" defaultPivotStyle="PivotStyleLight16"/>
  <colors>
    <mruColors>
      <color rgb="FFFF99FF"/>
      <color rgb="FFFF66FF"/>
      <color rgb="FFFFFFCC"/>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openxmlformats.org/officeDocument/2006/relationships/customXml" Target="../customXml/item1.xml"/><Relationship Id="rId15" Type="http://schemas.openxmlformats.org/officeDocument/2006/relationships/customXml" Target="../customXml/item2.xml"/><Relationship Id="rId16" Type="http://schemas.openxmlformats.org/officeDocument/2006/relationships/customXml" Target="../customXml/item3.xml"/><Relationship Id="rId17" Type="http://schemas.openxmlformats.org/officeDocument/2006/relationships/customXml" Target="../customXml/item4.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15</xdr:col>
      <xdr:colOff>465668</xdr:colOff>
      <xdr:row>3</xdr:row>
      <xdr:rowOff>13236</xdr:rowOff>
    </xdr:from>
    <xdr:to>
      <xdr:col>16</xdr:col>
      <xdr:colOff>941917</xdr:colOff>
      <xdr:row>5</xdr:row>
      <xdr:rowOff>39834</xdr:rowOff>
    </xdr:to>
    <xdr:sp macro="[0]!limpiar" textlink="">
      <xdr:nvSpPr>
        <xdr:cNvPr id="8" name="7 Bisel"/>
        <xdr:cNvSpPr/>
      </xdr:nvSpPr>
      <xdr:spPr>
        <a:xfrm>
          <a:off x="14869585" y="648236"/>
          <a:ext cx="1481665" cy="280598"/>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Limpiar</a:t>
          </a:r>
        </a:p>
      </xdr:txBody>
    </xdr:sp>
    <xdr:clientData/>
  </xdr:twoCellAnchor>
  <xdr:twoCellAnchor editAs="oneCell">
    <xdr:from>
      <xdr:col>15</xdr:col>
      <xdr:colOff>465668</xdr:colOff>
      <xdr:row>6</xdr:row>
      <xdr:rowOff>19851</xdr:rowOff>
    </xdr:from>
    <xdr:to>
      <xdr:col>16</xdr:col>
      <xdr:colOff>941918</xdr:colOff>
      <xdr:row>9</xdr:row>
      <xdr:rowOff>25282</xdr:rowOff>
    </xdr:to>
    <xdr:sp macro="[0]!IMPRIMIR" textlink="">
      <xdr:nvSpPr>
        <xdr:cNvPr id="5" name="4 Bisel"/>
        <xdr:cNvSpPr/>
      </xdr:nvSpPr>
      <xdr:spPr>
        <a:xfrm>
          <a:off x="14869585" y="1099351"/>
          <a:ext cx="1481666" cy="301764"/>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10</xdr:col>
      <xdr:colOff>246061</xdr:colOff>
      <xdr:row>0</xdr:row>
      <xdr:rowOff>38363</xdr:rowOff>
    </xdr:from>
    <xdr:to>
      <xdr:col>12</xdr:col>
      <xdr:colOff>585248</xdr:colOff>
      <xdr:row>2</xdr:row>
      <xdr:rowOff>164291</xdr:rowOff>
    </xdr:to>
    <xdr:pic>
      <xdr:nvPicPr>
        <xdr:cNvPr id="4" name="3 Imagen"/>
        <xdr:cNvPicPr>
          <a:picLocks noChangeAspect="1"/>
        </xdr:cNvPicPr>
      </xdr:nvPicPr>
      <xdr:blipFill>
        <a:blip xmlns:r="http://schemas.openxmlformats.org/officeDocument/2006/relationships" r:embed="rId1"/>
        <a:stretch>
          <a:fillRect/>
        </a:stretch>
      </xdr:blipFill>
      <xdr:spPr>
        <a:xfrm>
          <a:off x="8842374" y="38363"/>
          <a:ext cx="2625187" cy="573074"/>
        </a:xfrm>
        <a:prstGeom prst="rect">
          <a:avLst/>
        </a:prstGeom>
      </xdr:spPr>
    </xdr:pic>
    <xdr:clientData/>
  </xdr:twoCellAnchor>
  <xdr:twoCellAnchor editAs="oneCell">
    <xdr:from>
      <xdr:col>15</xdr:col>
      <xdr:colOff>338663</xdr:colOff>
      <xdr:row>106</xdr:row>
      <xdr:rowOff>0</xdr:rowOff>
    </xdr:from>
    <xdr:to>
      <xdr:col>16</xdr:col>
      <xdr:colOff>551373</xdr:colOff>
      <xdr:row>107</xdr:row>
      <xdr:rowOff>55702</xdr:rowOff>
    </xdr:to>
    <xdr:sp macro="[0]!limpiar" textlink="">
      <xdr:nvSpPr>
        <xdr:cNvPr id="6" name="5 Bisel"/>
        <xdr:cNvSpPr/>
      </xdr:nvSpPr>
      <xdr:spPr>
        <a:xfrm>
          <a:off x="14689663" y="13451417"/>
          <a:ext cx="1218127" cy="288535"/>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Limpiar</a:t>
          </a:r>
        </a:p>
      </xdr:txBody>
    </xdr:sp>
    <xdr:clientData/>
  </xdr:twoCellAnchor>
  <xdr:twoCellAnchor editAs="oneCell">
    <xdr:from>
      <xdr:col>15</xdr:col>
      <xdr:colOff>338663</xdr:colOff>
      <xdr:row>109</xdr:row>
      <xdr:rowOff>10579</xdr:rowOff>
    </xdr:from>
    <xdr:to>
      <xdr:col>16</xdr:col>
      <xdr:colOff>551373</xdr:colOff>
      <xdr:row>110</xdr:row>
      <xdr:rowOff>39822</xdr:rowOff>
    </xdr:to>
    <xdr:sp macro="[0]!IMPRIMIR" textlink="">
      <xdr:nvSpPr>
        <xdr:cNvPr id="7" name="6 Bisel"/>
        <xdr:cNvSpPr/>
      </xdr:nvSpPr>
      <xdr:spPr>
        <a:xfrm>
          <a:off x="14689663" y="14012329"/>
          <a:ext cx="1218127" cy="30441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15</xdr:col>
      <xdr:colOff>465668</xdr:colOff>
      <xdr:row>10</xdr:row>
      <xdr:rowOff>193418</xdr:rowOff>
    </xdr:from>
    <xdr:to>
      <xdr:col>16</xdr:col>
      <xdr:colOff>941918</xdr:colOff>
      <xdr:row>13</xdr:row>
      <xdr:rowOff>21578</xdr:rowOff>
    </xdr:to>
    <xdr:sp macro="[0]!pasos" textlink="">
      <xdr:nvSpPr>
        <xdr:cNvPr id="10" name="9 Bisel"/>
        <xdr:cNvSpPr/>
      </xdr:nvSpPr>
      <xdr:spPr>
        <a:xfrm>
          <a:off x="14869585" y="1611585"/>
          <a:ext cx="1481666" cy="30441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Próximos pasos</a:t>
          </a:r>
        </a:p>
      </xdr:txBody>
    </xdr:sp>
    <xdr:clientData/>
  </xdr:twoCellAnchor>
  <xdr:twoCellAnchor editAs="oneCell">
    <xdr:from>
      <xdr:col>15</xdr:col>
      <xdr:colOff>497418</xdr:colOff>
      <xdr:row>14</xdr:row>
      <xdr:rowOff>116671</xdr:rowOff>
    </xdr:from>
    <xdr:to>
      <xdr:col>17</xdr:col>
      <xdr:colOff>21168</xdr:colOff>
      <xdr:row>20</xdr:row>
      <xdr:rowOff>63499</xdr:rowOff>
    </xdr:to>
    <xdr:sp macro="[0]!capacidad" textlink="">
      <xdr:nvSpPr>
        <xdr:cNvPr id="11" name="10 Bisel"/>
        <xdr:cNvSpPr/>
      </xdr:nvSpPr>
      <xdr:spPr>
        <a:xfrm>
          <a:off x="14901335" y="2201588"/>
          <a:ext cx="1481666" cy="708828"/>
        </a:xfrm>
        <a:prstGeom prst="bevel">
          <a:avLst/>
        </a:prstGeom>
        <a:solidFill>
          <a:schemeClr val="bg1">
            <a:lumMod val="85000"/>
          </a:schemeClr>
        </a:solidFill>
        <a:ln w="127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Calcular la capacidad de Pago</a:t>
          </a:r>
        </a:p>
      </xdr:txBody>
    </xdr:sp>
    <xdr:clientData/>
  </xdr:twoCellAnchor>
  <xdr:twoCellAnchor editAs="oneCell">
    <xdr:from>
      <xdr:col>0</xdr:col>
      <xdr:colOff>0</xdr:colOff>
      <xdr:row>0</xdr:row>
      <xdr:rowOff>0</xdr:rowOff>
    </xdr:from>
    <xdr:to>
      <xdr:col>4</xdr:col>
      <xdr:colOff>413307</xdr:colOff>
      <xdr:row>2</xdr:row>
      <xdr:rowOff>82757</xdr:rowOff>
    </xdr:to>
    <xdr:pic>
      <xdr:nvPicPr>
        <xdr:cNvPr id="12" name="Picture 2" descr="santander_negativo_small"/>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2074890" cy="527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512236</xdr:colOff>
      <xdr:row>22</xdr:row>
      <xdr:rowOff>131489</xdr:rowOff>
    </xdr:from>
    <xdr:to>
      <xdr:col>17</xdr:col>
      <xdr:colOff>35986</xdr:colOff>
      <xdr:row>28</xdr:row>
      <xdr:rowOff>141817</xdr:rowOff>
    </xdr:to>
    <xdr:sp macro="[0]!resol" textlink="">
      <xdr:nvSpPr>
        <xdr:cNvPr id="13" name="10 Bisel"/>
        <xdr:cNvSpPr/>
      </xdr:nvSpPr>
      <xdr:spPr>
        <a:xfrm>
          <a:off x="14916153" y="3221822"/>
          <a:ext cx="1481666" cy="708828"/>
        </a:xfrm>
        <a:prstGeom prst="bevel">
          <a:avLst/>
        </a:prstGeom>
        <a:solidFill>
          <a:srgbClr val="FF0000"/>
        </a:solidFill>
        <a:ln w="127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chemeClr val="bg1"/>
              </a:solidFill>
              <a:effectLst/>
              <a:uLnTx/>
              <a:uFillTx/>
              <a:latin typeface="Calibri"/>
              <a:ea typeface="+mn-ea"/>
              <a:cs typeface="+mn-cs"/>
            </a:rPr>
            <a:t>Tabla con tasa de resolución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545042</xdr:colOff>
      <xdr:row>1</xdr:row>
      <xdr:rowOff>212990</xdr:rowOff>
    </xdr:from>
    <xdr:to>
      <xdr:col>14</xdr:col>
      <xdr:colOff>251074</xdr:colOff>
      <xdr:row>2</xdr:row>
      <xdr:rowOff>144337</xdr:rowOff>
    </xdr:to>
    <xdr:sp macro="[0]!captura" textlink="">
      <xdr:nvSpPr>
        <xdr:cNvPr id="2" name="1 Bisel"/>
        <xdr:cNvSpPr/>
      </xdr:nvSpPr>
      <xdr:spPr>
        <a:xfrm>
          <a:off x="13379980" y="415396"/>
          <a:ext cx="1230032"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Regresar</a:t>
          </a:r>
        </a:p>
      </xdr:txBody>
    </xdr:sp>
    <xdr:clientData/>
  </xdr:twoCellAnchor>
  <xdr:twoCellAnchor editAs="oneCell">
    <xdr:from>
      <xdr:col>2</xdr:col>
      <xdr:colOff>0</xdr:colOff>
      <xdr:row>0</xdr:row>
      <xdr:rowOff>0</xdr:rowOff>
    </xdr:from>
    <xdr:to>
      <xdr:col>3</xdr:col>
      <xdr:colOff>836640</xdr:colOff>
      <xdr:row>1</xdr:row>
      <xdr:rowOff>324851</xdr:rowOff>
    </xdr:to>
    <xdr:pic>
      <xdr:nvPicPr>
        <xdr:cNvPr id="4" name="Picture 2" descr="santander_negativo_smal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0" y="0"/>
          <a:ext cx="2074890" cy="5291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545042</xdr:colOff>
      <xdr:row>3</xdr:row>
      <xdr:rowOff>141552</xdr:rowOff>
    </xdr:from>
    <xdr:to>
      <xdr:col>14</xdr:col>
      <xdr:colOff>251074</xdr:colOff>
      <xdr:row>5</xdr:row>
      <xdr:rowOff>49087</xdr:rowOff>
    </xdr:to>
    <xdr:sp macro="[0]!IMPRIMIR" textlink="">
      <xdr:nvSpPr>
        <xdr:cNvPr id="5" name="4 Bisel"/>
        <xdr:cNvSpPr/>
      </xdr:nvSpPr>
      <xdr:spPr>
        <a:xfrm>
          <a:off x="13379980" y="891646"/>
          <a:ext cx="1230032"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1083468</xdr:colOff>
      <xdr:row>28</xdr:row>
      <xdr:rowOff>82153</xdr:rowOff>
    </xdr:from>
    <xdr:to>
      <xdr:col>9</xdr:col>
      <xdr:colOff>1081866</xdr:colOff>
      <xdr:row>30</xdr:row>
      <xdr:rowOff>17469</xdr:rowOff>
    </xdr:to>
    <xdr:sp macro="[0]!Inicio" textlink="">
      <xdr:nvSpPr>
        <xdr:cNvPr id="2" name="1 Bisel"/>
        <xdr:cNvSpPr/>
      </xdr:nvSpPr>
      <xdr:spPr>
        <a:xfrm>
          <a:off x="7727156" y="5547122"/>
          <a:ext cx="1224741" cy="30441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Inicio</a:t>
          </a:r>
        </a:p>
      </xdr:txBody>
    </xdr:sp>
    <xdr:clientData/>
  </xdr:twoCellAnchor>
  <xdr:twoCellAnchor editAs="oneCell">
    <xdr:from>
      <xdr:col>10</xdr:col>
      <xdr:colOff>19490</xdr:colOff>
      <xdr:row>28</xdr:row>
      <xdr:rowOff>83476</xdr:rowOff>
    </xdr:from>
    <xdr:to>
      <xdr:col>11</xdr:col>
      <xdr:colOff>154149</xdr:colOff>
      <xdr:row>30</xdr:row>
      <xdr:rowOff>16146</xdr:rowOff>
    </xdr:to>
    <xdr:sp macro="[0]!IMPRIMIR" textlink="">
      <xdr:nvSpPr>
        <xdr:cNvPr id="3" name="2 Bisel"/>
        <xdr:cNvSpPr/>
      </xdr:nvSpPr>
      <xdr:spPr>
        <a:xfrm>
          <a:off x="9282553" y="5548445"/>
          <a:ext cx="1218127" cy="301764"/>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11</xdr:col>
      <xdr:colOff>484805</xdr:colOff>
      <xdr:row>28</xdr:row>
      <xdr:rowOff>82153</xdr:rowOff>
    </xdr:from>
    <xdr:to>
      <xdr:col>12</xdr:col>
      <xdr:colOff>536119</xdr:colOff>
      <xdr:row>30</xdr:row>
      <xdr:rowOff>17469</xdr:rowOff>
    </xdr:to>
    <xdr:sp macro="[0]!pasos" textlink="">
      <xdr:nvSpPr>
        <xdr:cNvPr id="4" name="3 Bisel"/>
        <xdr:cNvSpPr/>
      </xdr:nvSpPr>
      <xdr:spPr>
        <a:xfrm>
          <a:off x="10831336" y="5547122"/>
          <a:ext cx="1218127" cy="30441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Próximos pasos</a:t>
          </a:r>
        </a:p>
      </xdr:txBody>
    </xdr:sp>
    <xdr:clientData/>
  </xdr:twoCellAnchor>
  <xdr:twoCellAnchor editAs="oneCell">
    <xdr:from>
      <xdr:col>12</xdr:col>
      <xdr:colOff>866774</xdr:colOff>
      <xdr:row>28</xdr:row>
      <xdr:rowOff>82153</xdr:rowOff>
    </xdr:from>
    <xdr:to>
      <xdr:col>13</xdr:col>
      <xdr:colOff>841359</xdr:colOff>
      <xdr:row>30</xdr:row>
      <xdr:rowOff>17469</xdr:rowOff>
    </xdr:to>
    <xdr:sp macro="[0]!limpiar2" textlink="">
      <xdr:nvSpPr>
        <xdr:cNvPr id="5" name="4 Bisel"/>
        <xdr:cNvSpPr/>
      </xdr:nvSpPr>
      <xdr:spPr>
        <a:xfrm>
          <a:off x="12380118" y="5547122"/>
          <a:ext cx="1224741" cy="30441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Limpiar</a:t>
          </a:r>
        </a:p>
      </xdr:txBody>
    </xdr:sp>
    <xdr:clientData/>
  </xdr:twoCellAnchor>
  <xdr:twoCellAnchor editAs="oneCell">
    <xdr:from>
      <xdr:col>0</xdr:col>
      <xdr:colOff>0</xdr:colOff>
      <xdr:row>0</xdr:row>
      <xdr:rowOff>0</xdr:rowOff>
    </xdr:from>
    <xdr:to>
      <xdr:col>4</xdr:col>
      <xdr:colOff>318057</xdr:colOff>
      <xdr:row>2</xdr:row>
      <xdr:rowOff>114507</xdr:rowOff>
    </xdr:to>
    <xdr:pic>
      <xdr:nvPicPr>
        <xdr:cNvPr id="6" name="Picture 2" descr="santander_negativo_smal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74890" cy="527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18</xdr:row>
          <xdr:rowOff>63500</xdr:rowOff>
        </xdr:from>
        <xdr:to>
          <xdr:col>1</xdr:col>
          <xdr:colOff>508000</xdr:colOff>
          <xdr:row>20</xdr:row>
          <xdr:rowOff>76200</xdr:rowOff>
        </xdr:to>
        <xdr:sp macro="" textlink="">
          <xdr:nvSpPr>
            <xdr:cNvPr id="7169" name="Check Box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19</xdr:row>
          <xdr:rowOff>152400</xdr:rowOff>
        </xdr:from>
        <xdr:to>
          <xdr:col>1</xdr:col>
          <xdr:colOff>508000</xdr:colOff>
          <xdr:row>21</xdr:row>
          <xdr:rowOff>38100</xdr:rowOff>
        </xdr:to>
        <xdr:sp macro="" textlink="">
          <xdr:nvSpPr>
            <xdr:cNvPr id="7170" name="Check Box 2"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20</xdr:row>
          <xdr:rowOff>165100</xdr:rowOff>
        </xdr:from>
        <xdr:to>
          <xdr:col>1</xdr:col>
          <xdr:colOff>508000</xdr:colOff>
          <xdr:row>22</xdr:row>
          <xdr:rowOff>50800</xdr:rowOff>
        </xdr:to>
        <xdr:sp macro="" textlink="">
          <xdr:nvSpPr>
            <xdr:cNvPr id="7171" name="Check Box 3"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21</xdr:row>
          <xdr:rowOff>177800</xdr:rowOff>
        </xdr:from>
        <xdr:to>
          <xdr:col>1</xdr:col>
          <xdr:colOff>508000</xdr:colOff>
          <xdr:row>23</xdr:row>
          <xdr:rowOff>63500</xdr:rowOff>
        </xdr:to>
        <xdr:sp macro="" textlink="">
          <xdr:nvSpPr>
            <xdr:cNvPr id="7172" name="Check Box 4" hidden="1">
              <a:extLst>
                <a:ext uri="{63B3BB69-23CF-44E3-9099-C40C66FF867C}">
                  <a14:compatExt spid="_x0000_s7172"/>
                </a:ext>
              </a:extLst>
            </xdr:cNvPr>
            <xdr:cNvSpPr/>
          </xdr:nvSpPr>
          <xdr:spPr>
            <a:xfrm>
              <a:off x="0" y="0"/>
              <a:ext cx="0" cy="0"/>
            </a:xfrm>
            <a:prstGeom prst="rect">
              <a:avLst/>
            </a:prstGeom>
          </xdr:spPr>
        </xdr:sp>
        <xdr:clientData/>
      </xdr:twoCellAnchor>
    </mc:Choice>
    <mc:Fallback/>
  </mc:AlternateContent>
  <xdr:twoCellAnchor>
    <xdr:from>
      <xdr:col>1</xdr:col>
      <xdr:colOff>83820</xdr:colOff>
      <xdr:row>0</xdr:row>
      <xdr:rowOff>0</xdr:rowOff>
    </xdr:from>
    <xdr:to>
      <xdr:col>3</xdr:col>
      <xdr:colOff>66675</xdr:colOff>
      <xdr:row>1</xdr:row>
      <xdr:rowOff>428625</xdr:rowOff>
    </xdr:to>
    <xdr:pic>
      <xdr:nvPicPr>
        <xdr:cNvPr id="6" name="Picture 7" descr="PLECA CRED HIPOTECARIO (112010)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8595" y="0"/>
          <a:ext cx="6536055"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5219700</xdr:colOff>
      <xdr:row>1</xdr:row>
      <xdr:rowOff>438150</xdr:rowOff>
    </xdr:from>
    <xdr:to>
      <xdr:col>2</xdr:col>
      <xdr:colOff>5667375</xdr:colOff>
      <xdr:row>3</xdr:row>
      <xdr:rowOff>9525</xdr:rowOff>
    </xdr:to>
    <xdr:pic macro="[0]!tabla">
      <xdr:nvPicPr>
        <xdr:cNvPr id="7"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34075" y="600075"/>
          <a:ext cx="4476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isharepoint.mx.corp/RESPALDO/UNIDAD%20D/Mis_Doc%20C180277/DPRODTOS/SIMULADORES/BHF-081%20Perfilador%20de%20Cr&#233;dito%20Hipotecario%20V%201.19%20RESPALD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isharepoint.mx.corp/Mis_Doc%20C180277/DPRODTOS/SIMULADORES/Actuales/SIMULADOR%20FOVISSTE%20BHF-062%20respaldo%20%20(Abril%20201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Bitácora de Cambios"/>
      <sheetName val="Cal"/>
      <sheetName val="Perfilador"/>
      <sheetName val="Próximos pasos"/>
      <sheetName val="Políticas"/>
      <sheetName val="Adm"/>
    </sheetNames>
    <sheetDataSet>
      <sheetData sheetId="0"/>
      <sheetData sheetId="1"/>
      <sheetData sheetId="2"/>
      <sheetData sheetId="3"/>
      <sheetData sheetId="4">
        <row r="2">
          <cell r="AG2" t="str">
            <v>Abono</v>
          </cell>
          <cell r="AK2" t="str">
            <v>Arraigo laboral</v>
          </cell>
        </row>
        <row r="3">
          <cell r="AG3" t="str">
            <v>Acreditado</v>
          </cell>
          <cell r="AK3" t="str">
            <v>Avance de obra</v>
          </cell>
        </row>
        <row r="4">
          <cell r="AG4" t="str">
            <v>Acreedor</v>
          </cell>
          <cell r="AK4" t="str">
            <v>Características de la vivienda</v>
          </cell>
        </row>
        <row r="5">
          <cell r="AG5" t="str">
            <v>Adhesión al Apoyo INFONAVIT</v>
          </cell>
          <cell r="AK5" t="str">
            <v>Cuenta de Cheques asociada</v>
          </cell>
        </row>
        <row r="6">
          <cell r="AG6" t="str">
            <v>Aforo</v>
          </cell>
          <cell r="AK6" t="str">
            <v>Disposición del crédito</v>
          </cell>
        </row>
        <row r="7">
          <cell r="AG7" t="str">
            <v>Amortización</v>
          </cell>
          <cell r="AK7" t="str">
            <v>Documentación requerida</v>
          </cell>
        </row>
        <row r="8">
          <cell r="AG8" t="str">
            <v>Apertura de crédito</v>
          </cell>
          <cell r="AK8" t="str">
            <v xml:space="preserve">Edad </v>
          </cell>
        </row>
        <row r="9">
          <cell r="AG9" t="str">
            <v>Aportaciones patronales</v>
          </cell>
          <cell r="AK9" t="str">
            <v>Ingresos</v>
          </cell>
        </row>
        <row r="10">
          <cell r="AG10" t="str">
            <v>Apoyo INFONAVIT</v>
          </cell>
          <cell r="AK10" t="str">
            <v>Instrumentación legal</v>
          </cell>
        </row>
        <row r="11">
          <cell r="AG11" t="str">
            <v>Asegurar</v>
          </cell>
          <cell r="AK11" t="str">
            <v>Moneda</v>
          </cell>
        </row>
        <row r="12">
          <cell r="AG12" t="str">
            <v>Avalúo</v>
          </cell>
          <cell r="AK12" t="str">
            <v>Nacionalidad</v>
          </cell>
        </row>
        <row r="13">
          <cell r="AG13" t="str">
            <v>BUC</v>
          </cell>
          <cell r="AK13" t="str">
            <v>Pago al vendedor y al notario</v>
          </cell>
        </row>
        <row r="14">
          <cell r="AG14" t="str">
            <v>Capacidad de Pago</v>
          </cell>
          <cell r="AK14" t="str">
            <v>Pagos Adelantados</v>
          </cell>
        </row>
        <row r="15">
          <cell r="AG15" t="str">
            <v>Capital</v>
          </cell>
          <cell r="AK15" t="str">
            <v>Pagos anticipados</v>
          </cell>
        </row>
        <row r="16">
          <cell r="AG16" t="str">
            <v>Cartera Vencida</v>
          </cell>
          <cell r="AK16" t="str">
            <v>Participación del Cónyuge</v>
          </cell>
        </row>
        <row r="17">
          <cell r="AG17" t="str">
            <v>Comisión de apertura</v>
          </cell>
          <cell r="AK17" t="str">
            <v>Plazo del crédito</v>
          </cell>
        </row>
        <row r="18">
          <cell r="AG18" t="str">
            <v>Coobligado</v>
          </cell>
          <cell r="AK18" t="str">
            <v>Salud</v>
          </cell>
        </row>
        <row r="19">
          <cell r="AG19" t="str">
            <v>Costo Anual Total (CAT)</v>
          </cell>
          <cell r="AK19" t="str">
            <v>Seguros</v>
          </cell>
        </row>
        <row r="20">
          <cell r="AG20" t="str">
            <v>Costo de Avalúo</v>
          </cell>
          <cell r="AK20" t="str">
            <v>Valor de la Vivienda</v>
          </cell>
        </row>
        <row r="21">
          <cell r="AG21" t="str">
            <v>Costo de Escrituración</v>
          </cell>
          <cell r="AK21" t="str">
            <v>Valuación del inmueble</v>
          </cell>
        </row>
        <row r="22">
          <cell r="AG22" t="str">
            <v>Crédito Hipotecario</v>
          </cell>
        </row>
        <row r="23">
          <cell r="AG23" t="str">
            <v>Derechohabiente</v>
          </cell>
        </row>
        <row r="24">
          <cell r="AG24" t="str">
            <v>Enganche</v>
          </cell>
        </row>
        <row r="25">
          <cell r="AG25" t="str">
            <v>Garante Hipotecario</v>
          </cell>
        </row>
        <row r="26">
          <cell r="AG26" t="str">
            <v>Gastos Notariales</v>
          </cell>
        </row>
        <row r="27">
          <cell r="AG27" t="str">
            <v>Gravamen</v>
          </cell>
        </row>
        <row r="28">
          <cell r="AG28" t="str">
            <v>Historial Crediticio</v>
          </cell>
        </row>
        <row r="29">
          <cell r="AG29" t="str">
            <v>Impuesto al Valor Agregado (IVA)</v>
          </cell>
        </row>
        <row r="30">
          <cell r="AG30" t="str">
            <v>Límite de Crédito</v>
          </cell>
        </row>
        <row r="31">
          <cell r="AG31" t="str">
            <v>Obligado Solidario</v>
          </cell>
        </row>
        <row r="32">
          <cell r="AG32" t="str">
            <v>Oferta Vinculante</v>
          </cell>
        </row>
        <row r="33">
          <cell r="AG33" t="str">
            <v>Pago por mil</v>
          </cell>
        </row>
        <row r="34">
          <cell r="AG34" t="str">
            <v>Plazo</v>
          </cell>
        </row>
        <row r="35">
          <cell r="AG35" t="str">
            <v>Prepago</v>
          </cell>
        </row>
        <row r="36">
          <cell r="AG36" t="str">
            <v>Prima de Seguro</v>
          </cell>
        </row>
        <row r="37">
          <cell r="AG37" t="str">
            <v>Registro Público de la Propiedad</v>
          </cell>
        </row>
        <row r="38">
          <cell r="AG38" t="str">
            <v>Saldo Insoluto</v>
          </cell>
        </row>
      </sheetData>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Bitácora de cambios"/>
      <sheetName val="Captura"/>
      <sheetName val="cal"/>
      <sheetName val="TABLA AMORTIZACION"/>
      <sheetName val="CAT"/>
      <sheetName val="MONTOS MAX CRED "/>
    </sheetNames>
    <sheetDataSet>
      <sheetData sheetId="0"/>
      <sheetData sheetId="1"/>
      <sheetData sheetId="2"/>
      <sheetData sheetId="3"/>
      <sheetData sheetId="4"/>
      <sheetData sheetId="5">
        <row r="3">
          <cell r="C3" t="str">
            <v>Sueldo básico de cotización</v>
          </cell>
          <cell r="E3" t="str">
            <v>Monto de crédito</v>
          </cell>
        </row>
        <row r="4">
          <cell r="C4" t="str">
            <v>Mayor o igual que</v>
          </cell>
          <cell r="D4" t="str">
            <v>Menor o igual que</v>
          </cell>
        </row>
        <row r="5">
          <cell r="C5">
            <v>1</v>
          </cell>
          <cell r="D5">
            <v>1.05</v>
          </cell>
          <cell r="E5">
            <v>10.6793</v>
          </cell>
        </row>
        <row r="6">
          <cell r="C6">
            <v>1.05</v>
          </cell>
          <cell r="D6">
            <v>1.1000000000000001</v>
          </cell>
          <cell r="E6">
            <v>11.5</v>
          </cell>
        </row>
        <row r="7">
          <cell r="C7">
            <v>1.1000000000000001</v>
          </cell>
          <cell r="D7">
            <v>1.1499999999999999</v>
          </cell>
          <cell r="E7">
            <v>11.747199999999999</v>
          </cell>
        </row>
        <row r="8">
          <cell r="C8">
            <v>1.1499999999999999</v>
          </cell>
          <cell r="D8">
            <v>1.2</v>
          </cell>
          <cell r="E8">
            <v>12.2811</v>
          </cell>
        </row>
        <row r="9">
          <cell r="C9">
            <v>1.2</v>
          </cell>
          <cell r="D9">
            <v>1.25</v>
          </cell>
          <cell r="E9">
            <v>12.815099999999999</v>
          </cell>
        </row>
        <row r="10">
          <cell r="C10">
            <v>1.25</v>
          </cell>
          <cell r="D10">
            <v>1.3</v>
          </cell>
          <cell r="E10">
            <v>13.3491</v>
          </cell>
        </row>
        <row r="11">
          <cell r="C11">
            <v>1.3</v>
          </cell>
          <cell r="D11">
            <v>1.35</v>
          </cell>
          <cell r="E11">
            <v>13.882999999999999</v>
          </cell>
        </row>
        <row r="12">
          <cell r="C12">
            <v>1.35</v>
          </cell>
          <cell r="D12">
            <v>1.4</v>
          </cell>
          <cell r="E12">
            <v>14.417</v>
          </cell>
        </row>
        <row r="13">
          <cell r="C13">
            <v>1.4</v>
          </cell>
          <cell r="D13">
            <v>1.45</v>
          </cell>
          <cell r="E13">
            <v>14.951000000000001</v>
          </cell>
        </row>
        <row r="14">
          <cell r="C14">
            <v>1.45</v>
          </cell>
          <cell r="D14">
            <v>1.5</v>
          </cell>
          <cell r="E14">
            <v>15.4849</v>
          </cell>
        </row>
        <row r="15">
          <cell r="C15">
            <v>1.5</v>
          </cell>
          <cell r="D15">
            <v>1.55</v>
          </cell>
          <cell r="E15">
            <v>16.018899999999999</v>
          </cell>
        </row>
        <row r="16">
          <cell r="C16">
            <v>1.55</v>
          </cell>
          <cell r="D16">
            <v>1.6</v>
          </cell>
          <cell r="E16">
            <v>16.552800000000001</v>
          </cell>
        </row>
        <row r="17">
          <cell r="C17">
            <v>1.6</v>
          </cell>
          <cell r="D17">
            <v>1.65</v>
          </cell>
          <cell r="E17">
            <v>17.0868</v>
          </cell>
        </row>
        <row r="18">
          <cell r="C18">
            <v>1.65</v>
          </cell>
          <cell r="D18">
            <v>1.7</v>
          </cell>
          <cell r="E18">
            <v>17.620799999999999</v>
          </cell>
        </row>
        <row r="19">
          <cell r="C19">
            <v>1.7</v>
          </cell>
          <cell r="D19">
            <v>1.75</v>
          </cell>
          <cell r="E19">
            <v>18.154699999999998</v>
          </cell>
        </row>
        <row r="20">
          <cell r="C20">
            <v>1.75</v>
          </cell>
          <cell r="D20">
            <v>1.8</v>
          </cell>
          <cell r="E20">
            <v>18.688700000000001</v>
          </cell>
        </row>
        <row r="21">
          <cell r="C21">
            <v>1.8</v>
          </cell>
          <cell r="D21">
            <v>1.85</v>
          </cell>
          <cell r="E21">
            <v>19.2227</v>
          </cell>
        </row>
        <row r="22">
          <cell r="C22">
            <v>1.85</v>
          </cell>
          <cell r="D22">
            <v>1.9</v>
          </cell>
          <cell r="E22">
            <v>19.756599999999999</v>
          </cell>
        </row>
        <row r="23">
          <cell r="C23">
            <v>1.9</v>
          </cell>
          <cell r="D23">
            <v>1.95</v>
          </cell>
          <cell r="E23">
            <v>20.290600000000001</v>
          </cell>
        </row>
        <row r="24">
          <cell r="C24">
            <v>1.95</v>
          </cell>
          <cell r="D24">
            <v>2</v>
          </cell>
          <cell r="E24">
            <v>20.8246</v>
          </cell>
        </row>
        <row r="25">
          <cell r="C25">
            <v>2</v>
          </cell>
          <cell r="D25">
            <v>2.0499999999999998</v>
          </cell>
          <cell r="E25">
            <v>21.358499999999999</v>
          </cell>
        </row>
        <row r="26">
          <cell r="C26">
            <v>2.0499999999999998</v>
          </cell>
          <cell r="D26">
            <v>2.1</v>
          </cell>
          <cell r="E26">
            <v>21.892499999999998</v>
          </cell>
        </row>
        <row r="27">
          <cell r="C27">
            <v>2.1</v>
          </cell>
          <cell r="D27">
            <v>2.15</v>
          </cell>
          <cell r="E27">
            <v>22.426400000000001</v>
          </cell>
        </row>
        <row r="28">
          <cell r="C28">
            <v>2.15</v>
          </cell>
          <cell r="D28">
            <v>2.2000000000000002</v>
          </cell>
          <cell r="E28">
            <v>22.9604</v>
          </cell>
        </row>
        <row r="29">
          <cell r="C29">
            <v>2.2000000000000002</v>
          </cell>
          <cell r="D29">
            <v>2.25</v>
          </cell>
          <cell r="E29">
            <v>23.494399999999999</v>
          </cell>
        </row>
        <row r="30">
          <cell r="C30">
            <v>2.25</v>
          </cell>
          <cell r="D30">
            <v>2.2999999999999998</v>
          </cell>
          <cell r="E30">
            <v>24.028300000000002</v>
          </cell>
        </row>
        <row r="31">
          <cell r="C31">
            <v>2.2999999999999998</v>
          </cell>
          <cell r="D31">
            <v>2.35</v>
          </cell>
          <cell r="E31">
            <v>24.5623</v>
          </cell>
        </row>
        <row r="32">
          <cell r="C32">
            <v>2.35</v>
          </cell>
          <cell r="D32">
            <v>2.4</v>
          </cell>
          <cell r="E32">
            <v>25.096299999999999</v>
          </cell>
        </row>
        <row r="33">
          <cell r="C33">
            <v>2.4</v>
          </cell>
          <cell r="D33">
            <v>2.4500000000000002</v>
          </cell>
          <cell r="E33">
            <v>25.630199999999999</v>
          </cell>
        </row>
        <row r="34">
          <cell r="C34">
            <v>2.4500000000000002</v>
          </cell>
          <cell r="D34">
            <v>2.5</v>
          </cell>
          <cell r="E34">
            <v>26.164200000000001</v>
          </cell>
        </row>
        <row r="35">
          <cell r="C35">
            <v>2.5</v>
          </cell>
          <cell r="D35">
            <v>2.5499999999999998</v>
          </cell>
          <cell r="E35">
            <v>26.6981</v>
          </cell>
        </row>
        <row r="36">
          <cell r="C36">
            <v>2.5499999999999998</v>
          </cell>
          <cell r="D36">
            <v>2.6</v>
          </cell>
          <cell r="E36">
            <v>26.7788</v>
          </cell>
        </row>
        <row r="37">
          <cell r="C37">
            <v>2.6</v>
          </cell>
          <cell r="D37">
            <v>2.65</v>
          </cell>
          <cell r="E37">
            <v>26.910900000000002</v>
          </cell>
        </row>
        <row r="38">
          <cell r="C38">
            <v>2.65</v>
          </cell>
          <cell r="D38">
            <v>2.7</v>
          </cell>
          <cell r="E38">
            <v>27.757100000000001</v>
          </cell>
        </row>
        <row r="39">
          <cell r="C39">
            <v>2.7</v>
          </cell>
          <cell r="D39">
            <v>2.75</v>
          </cell>
          <cell r="E39">
            <v>28.0291</v>
          </cell>
        </row>
        <row r="40">
          <cell r="C40">
            <v>2.75</v>
          </cell>
          <cell r="D40">
            <v>2.8</v>
          </cell>
          <cell r="E40">
            <v>28.180199999999999</v>
          </cell>
        </row>
        <row r="41">
          <cell r="C41">
            <v>2.8</v>
          </cell>
          <cell r="D41">
            <v>2.85</v>
          </cell>
          <cell r="E41">
            <v>28.260300000000001</v>
          </cell>
        </row>
        <row r="42">
          <cell r="C42">
            <v>2.85</v>
          </cell>
          <cell r="D42">
            <v>2.9</v>
          </cell>
          <cell r="E42">
            <v>28.764900000000001</v>
          </cell>
        </row>
        <row r="43">
          <cell r="C43">
            <v>2.9</v>
          </cell>
          <cell r="D43">
            <v>2.95</v>
          </cell>
          <cell r="E43">
            <v>29.269600000000001</v>
          </cell>
        </row>
        <row r="44">
          <cell r="C44">
            <v>2.95</v>
          </cell>
          <cell r="D44">
            <v>3</v>
          </cell>
          <cell r="E44">
            <v>29.7742</v>
          </cell>
        </row>
        <row r="45">
          <cell r="C45">
            <v>3</v>
          </cell>
          <cell r="D45">
            <v>3.05</v>
          </cell>
          <cell r="E45">
            <v>30.2789</v>
          </cell>
        </row>
        <row r="46">
          <cell r="C46">
            <v>3.05</v>
          </cell>
          <cell r="D46">
            <v>3.1</v>
          </cell>
          <cell r="E46">
            <v>30.7835</v>
          </cell>
        </row>
        <row r="47">
          <cell r="C47">
            <v>3.1</v>
          </cell>
          <cell r="D47">
            <v>3.15</v>
          </cell>
          <cell r="E47">
            <v>31.2881</v>
          </cell>
        </row>
        <row r="48">
          <cell r="C48">
            <v>3.15</v>
          </cell>
          <cell r="D48">
            <v>3.2</v>
          </cell>
          <cell r="E48">
            <v>31.7928</v>
          </cell>
        </row>
        <row r="49">
          <cell r="C49">
            <v>3.2</v>
          </cell>
          <cell r="D49">
            <v>3.25</v>
          </cell>
          <cell r="E49">
            <v>32.297400000000003</v>
          </cell>
        </row>
        <row r="50">
          <cell r="C50">
            <v>3.25</v>
          </cell>
          <cell r="D50">
            <v>3.3</v>
          </cell>
          <cell r="E50">
            <v>32.802100000000003</v>
          </cell>
        </row>
        <row r="51">
          <cell r="C51">
            <v>3.3</v>
          </cell>
          <cell r="D51">
            <v>3.35</v>
          </cell>
          <cell r="E51">
            <v>33.306699999999999</v>
          </cell>
        </row>
        <row r="52">
          <cell r="C52">
            <v>3.35</v>
          </cell>
          <cell r="D52">
            <v>3.4</v>
          </cell>
          <cell r="E52">
            <v>33.660299999999999</v>
          </cell>
        </row>
        <row r="53">
          <cell r="C53">
            <v>3.4</v>
          </cell>
          <cell r="D53">
            <v>3.45</v>
          </cell>
          <cell r="E53">
            <v>33.7104</v>
          </cell>
        </row>
        <row r="54">
          <cell r="C54">
            <v>3.45</v>
          </cell>
          <cell r="D54">
            <v>3.5</v>
          </cell>
          <cell r="E54">
            <v>33.770899999999997</v>
          </cell>
        </row>
        <row r="55">
          <cell r="C55">
            <v>3.5</v>
          </cell>
          <cell r="D55">
            <v>3.55</v>
          </cell>
          <cell r="E55">
            <v>33.838799999999999</v>
          </cell>
        </row>
        <row r="56">
          <cell r="C56">
            <v>3.55</v>
          </cell>
          <cell r="D56">
            <v>3.6</v>
          </cell>
          <cell r="E56">
            <v>33.914499999999997</v>
          </cell>
        </row>
        <row r="57">
          <cell r="C57">
            <v>3.6</v>
          </cell>
          <cell r="D57">
            <v>3.65</v>
          </cell>
          <cell r="E57">
            <v>34.392200000000003</v>
          </cell>
        </row>
        <row r="58">
          <cell r="C58">
            <v>3.65</v>
          </cell>
          <cell r="D58">
            <v>3.7</v>
          </cell>
          <cell r="E58">
            <v>34.526400000000002</v>
          </cell>
        </row>
        <row r="59">
          <cell r="C59">
            <v>3.7</v>
          </cell>
          <cell r="D59">
            <v>3.75</v>
          </cell>
          <cell r="E59">
            <v>34.586799999999997</v>
          </cell>
        </row>
        <row r="60">
          <cell r="C60">
            <v>3.75</v>
          </cell>
          <cell r="D60">
            <v>3.8</v>
          </cell>
          <cell r="E60">
            <v>34.647199999999998</v>
          </cell>
        </row>
        <row r="61">
          <cell r="C61">
            <v>3.8</v>
          </cell>
          <cell r="D61">
            <v>3.85</v>
          </cell>
          <cell r="E61">
            <v>34.692599999999999</v>
          </cell>
        </row>
        <row r="62">
          <cell r="C62">
            <v>3.85</v>
          </cell>
          <cell r="D62">
            <v>3.9</v>
          </cell>
          <cell r="E62">
            <v>34.866300000000003</v>
          </cell>
        </row>
        <row r="63">
          <cell r="C63">
            <v>3.9</v>
          </cell>
          <cell r="D63">
            <v>3.95</v>
          </cell>
          <cell r="E63">
            <v>35.319099999999999</v>
          </cell>
        </row>
        <row r="64">
          <cell r="C64">
            <v>3.95</v>
          </cell>
          <cell r="D64">
            <v>4</v>
          </cell>
          <cell r="E64">
            <v>35.771900000000002</v>
          </cell>
        </row>
        <row r="65">
          <cell r="C65">
            <v>4</v>
          </cell>
          <cell r="D65">
            <v>4.05</v>
          </cell>
          <cell r="E65">
            <v>36.224699999999999</v>
          </cell>
        </row>
        <row r="66">
          <cell r="C66">
            <v>4.05</v>
          </cell>
          <cell r="D66">
            <v>4.0999999999999996</v>
          </cell>
          <cell r="E66">
            <v>36.677500000000002</v>
          </cell>
        </row>
        <row r="67">
          <cell r="C67">
            <v>4.0999999999999996</v>
          </cell>
          <cell r="D67">
            <v>4.1500000000000004</v>
          </cell>
          <cell r="E67">
            <v>36.702199999999998</v>
          </cell>
        </row>
        <row r="68">
          <cell r="C68">
            <v>4.1500000000000004</v>
          </cell>
          <cell r="D68">
            <v>4.2</v>
          </cell>
          <cell r="E68">
            <v>36.717300000000002</v>
          </cell>
        </row>
        <row r="69">
          <cell r="C69">
            <v>4.2</v>
          </cell>
          <cell r="D69">
            <v>4.25</v>
          </cell>
          <cell r="E69">
            <v>37.064799999999998</v>
          </cell>
        </row>
        <row r="70">
          <cell r="C70">
            <v>4.25</v>
          </cell>
          <cell r="D70">
            <v>4.3</v>
          </cell>
          <cell r="E70">
            <v>37.110199999999999</v>
          </cell>
        </row>
        <row r="71">
          <cell r="C71">
            <v>4.3</v>
          </cell>
          <cell r="D71">
            <v>4.3499999999999996</v>
          </cell>
          <cell r="E71">
            <v>37.185699999999997</v>
          </cell>
        </row>
        <row r="72">
          <cell r="C72">
            <v>4.3499999999999996</v>
          </cell>
          <cell r="D72">
            <v>4.4000000000000004</v>
          </cell>
          <cell r="E72">
            <v>37.398899999999998</v>
          </cell>
        </row>
        <row r="73">
          <cell r="C73">
            <v>4.4000000000000004</v>
          </cell>
          <cell r="D73">
            <v>4.45</v>
          </cell>
          <cell r="E73">
            <v>37.828800000000001</v>
          </cell>
        </row>
        <row r="74">
          <cell r="C74">
            <v>4.45</v>
          </cell>
          <cell r="D74">
            <v>4.5</v>
          </cell>
          <cell r="E74">
            <v>38.258699999999997</v>
          </cell>
        </row>
        <row r="75">
          <cell r="C75">
            <v>4.5</v>
          </cell>
          <cell r="D75">
            <v>4.55</v>
          </cell>
          <cell r="E75">
            <v>38.688499999999998</v>
          </cell>
        </row>
        <row r="76">
          <cell r="C76">
            <v>4.55</v>
          </cell>
          <cell r="D76">
            <v>4.5999999999999996</v>
          </cell>
          <cell r="E76">
            <v>39.118400000000001</v>
          </cell>
        </row>
        <row r="77">
          <cell r="C77">
            <v>4.5999999999999996</v>
          </cell>
          <cell r="D77">
            <v>4.6500000000000004</v>
          </cell>
          <cell r="E77">
            <v>39.548299999999998</v>
          </cell>
        </row>
        <row r="78">
          <cell r="C78">
            <v>4.6500000000000004</v>
          </cell>
          <cell r="D78">
            <v>4.7</v>
          </cell>
          <cell r="E78">
            <v>39.978200000000001</v>
          </cell>
        </row>
        <row r="79">
          <cell r="C79">
            <v>4.7</v>
          </cell>
          <cell r="D79">
            <v>4.75</v>
          </cell>
          <cell r="E79">
            <v>40.408000000000001</v>
          </cell>
        </row>
        <row r="80">
          <cell r="C80">
            <v>4.75</v>
          </cell>
          <cell r="D80">
            <v>4.8</v>
          </cell>
          <cell r="E80">
            <v>40.837899999999998</v>
          </cell>
        </row>
        <row r="81">
          <cell r="C81">
            <v>4.8</v>
          </cell>
          <cell r="D81">
            <v>4.8499999999999996</v>
          </cell>
          <cell r="E81">
            <v>41.267800000000001</v>
          </cell>
        </row>
        <row r="82">
          <cell r="C82">
            <v>4.8499999999999996</v>
          </cell>
          <cell r="D82">
            <v>4.9000000000000004</v>
          </cell>
          <cell r="E82">
            <v>41.697600000000001</v>
          </cell>
        </row>
        <row r="83">
          <cell r="C83">
            <v>4.9000000000000004</v>
          </cell>
          <cell r="D83">
            <v>4.95</v>
          </cell>
          <cell r="E83">
            <v>42.127499999999998</v>
          </cell>
        </row>
        <row r="84">
          <cell r="C84">
            <v>4.95</v>
          </cell>
          <cell r="D84">
            <v>5</v>
          </cell>
          <cell r="E84">
            <v>42.557400000000001</v>
          </cell>
        </row>
        <row r="85">
          <cell r="C85">
            <v>5</v>
          </cell>
          <cell r="D85">
            <v>5.05</v>
          </cell>
          <cell r="E85">
            <v>42.987299999999998</v>
          </cell>
        </row>
        <row r="86">
          <cell r="C86">
            <v>5.05</v>
          </cell>
          <cell r="D86">
            <v>5.0999999999999996</v>
          </cell>
          <cell r="E86">
            <v>43.417099999999998</v>
          </cell>
        </row>
        <row r="87">
          <cell r="C87">
            <v>5.0999999999999996</v>
          </cell>
          <cell r="D87">
            <v>5.15</v>
          </cell>
          <cell r="E87">
            <v>43.847000000000001</v>
          </cell>
        </row>
        <row r="88">
          <cell r="C88">
            <v>5.15</v>
          </cell>
          <cell r="D88">
            <v>5.2</v>
          </cell>
          <cell r="E88">
            <v>44.276899999999998</v>
          </cell>
        </row>
        <row r="89">
          <cell r="C89">
            <v>5.2</v>
          </cell>
          <cell r="D89">
            <v>5.25</v>
          </cell>
          <cell r="E89">
            <v>44.706800000000001</v>
          </cell>
        </row>
        <row r="90">
          <cell r="C90">
            <v>5.25</v>
          </cell>
          <cell r="D90">
            <v>5.3</v>
          </cell>
          <cell r="E90">
            <v>45.136600000000001</v>
          </cell>
        </row>
        <row r="91">
          <cell r="C91">
            <v>5.3</v>
          </cell>
          <cell r="D91">
            <v>5.35</v>
          </cell>
          <cell r="E91">
            <v>45.566499999999998</v>
          </cell>
        </row>
        <row r="92">
          <cell r="C92">
            <v>5.35</v>
          </cell>
          <cell r="D92">
            <v>5.4</v>
          </cell>
          <cell r="E92">
            <v>45.996400000000001</v>
          </cell>
        </row>
        <row r="93">
          <cell r="C93">
            <v>5.4</v>
          </cell>
          <cell r="D93">
            <v>5.45</v>
          </cell>
          <cell r="E93">
            <v>46.426200000000001</v>
          </cell>
        </row>
        <row r="94">
          <cell r="C94">
            <v>5.45</v>
          </cell>
          <cell r="D94">
            <v>5.5</v>
          </cell>
          <cell r="E94">
            <v>46.856099999999998</v>
          </cell>
        </row>
        <row r="95">
          <cell r="C95">
            <v>5.5</v>
          </cell>
          <cell r="D95">
            <v>5.55</v>
          </cell>
          <cell r="E95">
            <v>47.286000000000001</v>
          </cell>
        </row>
        <row r="96">
          <cell r="C96">
            <v>5.55</v>
          </cell>
          <cell r="D96">
            <v>5.6</v>
          </cell>
          <cell r="E96">
            <v>47.715899999999998</v>
          </cell>
        </row>
        <row r="97">
          <cell r="C97">
            <v>5.6</v>
          </cell>
          <cell r="D97">
            <v>5.65</v>
          </cell>
          <cell r="E97">
            <v>48.145699999999998</v>
          </cell>
        </row>
        <row r="98">
          <cell r="C98">
            <v>5.65</v>
          </cell>
          <cell r="D98">
            <v>5.7</v>
          </cell>
          <cell r="E98">
            <v>48.575600000000001</v>
          </cell>
        </row>
        <row r="99">
          <cell r="C99">
            <v>5.7</v>
          </cell>
          <cell r="D99">
            <v>5.75</v>
          </cell>
          <cell r="E99">
            <v>49.005499999999998</v>
          </cell>
        </row>
        <row r="100">
          <cell r="C100">
            <v>5.75</v>
          </cell>
          <cell r="D100">
            <v>5.8</v>
          </cell>
          <cell r="E100">
            <v>49.435400000000001</v>
          </cell>
        </row>
        <row r="101">
          <cell r="C101">
            <v>5.8</v>
          </cell>
          <cell r="D101">
            <v>5.85</v>
          </cell>
          <cell r="E101">
            <v>49.865200000000002</v>
          </cell>
        </row>
        <row r="102">
          <cell r="C102">
            <v>5.85</v>
          </cell>
          <cell r="D102">
            <v>5.9</v>
          </cell>
          <cell r="E102">
            <v>50.295099999999998</v>
          </cell>
        </row>
        <row r="103">
          <cell r="C103">
            <v>5.9</v>
          </cell>
          <cell r="D103">
            <v>5.95</v>
          </cell>
          <cell r="E103">
            <v>50.725000000000001</v>
          </cell>
        </row>
        <row r="104">
          <cell r="C104">
            <v>5.95</v>
          </cell>
          <cell r="D104">
            <v>6</v>
          </cell>
          <cell r="E104">
            <v>51.154800000000002</v>
          </cell>
        </row>
        <row r="105">
          <cell r="C105">
            <v>6</v>
          </cell>
          <cell r="D105">
            <v>6.05</v>
          </cell>
          <cell r="E105">
            <v>51.584699999999998</v>
          </cell>
        </row>
        <row r="106">
          <cell r="C106">
            <v>6.05</v>
          </cell>
          <cell r="D106">
            <v>6.1</v>
          </cell>
          <cell r="E106">
            <v>52.014600000000002</v>
          </cell>
        </row>
        <row r="107">
          <cell r="C107">
            <v>6.1</v>
          </cell>
          <cell r="D107">
            <v>6.15</v>
          </cell>
          <cell r="E107">
            <v>52.444499999999998</v>
          </cell>
        </row>
        <row r="108">
          <cell r="C108">
            <v>6.15</v>
          </cell>
          <cell r="D108">
            <v>6.2</v>
          </cell>
          <cell r="E108">
            <v>52.874299999999998</v>
          </cell>
        </row>
        <row r="109">
          <cell r="C109">
            <v>6.2</v>
          </cell>
          <cell r="D109">
            <v>6.25</v>
          </cell>
          <cell r="E109">
            <v>53.304200000000002</v>
          </cell>
        </row>
        <row r="110">
          <cell r="C110">
            <v>6.25</v>
          </cell>
          <cell r="D110">
            <v>6.3</v>
          </cell>
          <cell r="E110">
            <v>53.734099999999998</v>
          </cell>
        </row>
        <row r="111">
          <cell r="C111">
            <v>6.3</v>
          </cell>
          <cell r="D111">
            <v>6.35</v>
          </cell>
          <cell r="E111">
            <v>54.164000000000001</v>
          </cell>
        </row>
        <row r="112">
          <cell r="C112">
            <v>6.35</v>
          </cell>
          <cell r="D112">
            <v>6.4</v>
          </cell>
          <cell r="E112">
            <v>54.593800000000002</v>
          </cell>
        </row>
        <row r="113">
          <cell r="C113">
            <v>6.4</v>
          </cell>
          <cell r="D113">
            <v>6.45</v>
          </cell>
          <cell r="E113">
            <v>55.023699999999998</v>
          </cell>
        </row>
        <row r="114">
          <cell r="C114">
            <v>6.45</v>
          </cell>
          <cell r="D114">
            <v>6.5</v>
          </cell>
          <cell r="E114">
            <v>55.453600000000002</v>
          </cell>
        </row>
        <row r="115">
          <cell r="C115">
            <v>6.5000000000000098</v>
          </cell>
          <cell r="D115">
            <v>6.5500000000000096</v>
          </cell>
          <cell r="E115">
            <v>55.883400000000002</v>
          </cell>
        </row>
        <row r="116">
          <cell r="C116">
            <v>6.5500000000000096</v>
          </cell>
          <cell r="D116">
            <v>6.6000000000000103</v>
          </cell>
          <cell r="E116">
            <v>56.313299999999998</v>
          </cell>
        </row>
        <row r="117">
          <cell r="C117">
            <v>6.6</v>
          </cell>
          <cell r="D117">
            <v>6.65</v>
          </cell>
          <cell r="E117">
            <v>56.743200000000002</v>
          </cell>
        </row>
        <row r="118">
          <cell r="C118">
            <v>6.65</v>
          </cell>
          <cell r="D118">
            <v>6.7</v>
          </cell>
          <cell r="E118">
            <v>57.173099999999998</v>
          </cell>
        </row>
        <row r="119">
          <cell r="C119">
            <v>6.7</v>
          </cell>
          <cell r="D119">
            <v>6.75</v>
          </cell>
          <cell r="E119">
            <v>57.602899999999998</v>
          </cell>
        </row>
        <row r="120">
          <cell r="C120">
            <v>6.7500000000000098</v>
          </cell>
          <cell r="D120">
            <v>6.8000000000000096</v>
          </cell>
          <cell r="E120">
            <v>58.032800000000002</v>
          </cell>
        </row>
        <row r="121">
          <cell r="C121">
            <v>6.8000000000000096</v>
          </cell>
          <cell r="D121">
            <v>6.8500000000000103</v>
          </cell>
          <cell r="E121">
            <v>58.462699999999998</v>
          </cell>
        </row>
        <row r="122">
          <cell r="C122">
            <v>6.85</v>
          </cell>
          <cell r="D122">
            <v>6.9</v>
          </cell>
          <cell r="E122">
            <v>58.892600000000002</v>
          </cell>
        </row>
        <row r="123">
          <cell r="C123">
            <v>6.9000000000000101</v>
          </cell>
          <cell r="D123">
            <v>6.9500000000000099</v>
          </cell>
          <cell r="E123">
            <v>59.322400000000002</v>
          </cell>
        </row>
        <row r="124">
          <cell r="C124">
            <v>6.9500000000000099</v>
          </cell>
          <cell r="D124">
            <v>7.0000000000000098</v>
          </cell>
          <cell r="E124">
            <v>59.752299999999998</v>
          </cell>
        </row>
        <row r="125">
          <cell r="C125">
            <v>7.0000000000000098</v>
          </cell>
          <cell r="D125">
            <v>7.0500000000000096</v>
          </cell>
          <cell r="E125">
            <v>59.835599999999999</v>
          </cell>
        </row>
        <row r="126">
          <cell r="C126">
            <v>7.0500000000000096</v>
          </cell>
          <cell r="D126">
            <v>7.1000000000000103</v>
          </cell>
          <cell r="E126">
            <v>59.911200000000001</v>
          </cell>
        </row>
        <row r="127">
          <cell r="C127">
            <v>7.1</v>
          </cell>
          <cell r="D127">
            <v>7.15</v>
          </cell>
          <cell r="E127">
            <v>59.926299999999998</v>
          </cell>
        </row>
        <row r="128">
          <cell r="C128">
            <v>7.1500000000000101</v>
          </cell>
          <cell r="D128">
            <v>7.2000000000000099</v>
          </cell>
          <cell r="E128">
            <v>59.986699999999999</v>
          </cell>
        </row>
        <row r="129">
          <cell r="C129">
            <v>7.2000000000000099</v>
          </cell>
          <cell r="D129">
            <v>7.2500000000000098</v>
          </cell>
          <cell r="E129">
            <v>60.089300000000001</v>
          </cell>
        </row>
        <row r="130">
          <cell r="C130">
            <v>7.2500000000000098</v>
          </cell>
          <cell r="D130">
            <v>7.3000000000000096</v>
          </cell>
          <cell r="E130">
            <v>60.506599999999999</v>
          </cell>
        </row>
        <row r="131">
          <cell r="C131">
            <v>7.3000000000000096</v>
          </cell>
          <cell r="D131">
            <v>7.3500000000000103</v>
          </cell>
          <cell r="E131">
            <v>60.923900000000003</v>
          </cell>
        </row>
        <row r="132">
          <cell r="C132">
            <v>7.3500000000000103</v>
          </cell>
          <cell r="D132">
            <v>7.4000000000000101</v>
          </cell>
          <cell r="E132">
            <v>61.341099999999997</v>
          </cell>
        </row>
        <row r="133">
          <cell r="C133">
            <v>7.4000000000000101</v>
          </cell>
          <cell r="D133">
            <v>7.4500000000000099</v>
          </cell>
          <cell r="E133">
            <v>61.758400000000002</v>
          </cell>
        </row>
        <row r="134">
          <cell r="C134">
            <v>7.4500000000000099</v>
          </cell>
          <cell r="D134">
            <v>7.5000000000000098</v>
          </cell>
          <cell r="E134">
            <v>62.175699999999999</v>
          </cell>
        </row>
        <row r="135">
          <cell r="C135">
            <v>7.5000000000000098</v>
          </cell>
          <cell r="D135">
            <v>7.5500000000000096</v>
          </cell>
          <cell r="E135">
            <v>62.593000000000004</v>
          </cell>
        </row>
        <row r="136">
          <cell r="C136">
            <v>7.5500000000000096</v>
          </cell>
          <cell r="D136">
            <v>7.6000000000000103</v>
          </cell>
          <cell r="E136">
            <v>63.010300000000001</v>
          </cell>
        </row>
        <row r="137">
          <cell r="C137">
            <v>7.6000000000000103</v>
          </cell>
          <cell r="D137">
            <v>7.6500000000000101</v>
          </cell>
          <cell r="E137">
            <v>63.427599999999998</v>
          </cell>
        </row>
        <row r="138">
          <cell r="C138">
            <v>7.6500000000000101</v>
          </cell>
          <cell r="D138">
            <v>7.7000000000000099</v>
          </cell>
          <cell r="E138">
            <v>63.844900000000003</v>
          </cell>
        </row>
        <row r="139">
          <cell r="C139">
            <v>7.7000000000000099</v>
          </cell>
          <cell r="D139">
            <v>7.7500000000000098</v>
          </cell>
          <cell r="E139">
            <v>64.262200000000007</v>
          </cell>
        </row>
        <row r="140">
          <cell r="C140">
            <v>7.7500000000000098</v>
          </cell>
          <cell r="D140">
            <v>7.8000000000000096</v>
          </cell>
          <cell r="E140">
            <v>64.679400000000001</v>
          </cell>
        </row>
        <row r="141">
          <cell r="C141">
            <v>7.8000000000000096</v>
          </cell>
          <cell r="D141">
            <v>7.8500000000000103</v>
          </cell>
          <cell r="E141">
            <v>65.096699999999998</v>
          </cell>
        </row>
        <row r="142">
          <cell r="C142">
            <v>7.8500000000000103</v>
          </cell>
          <cell r="D142">
            <v>7.9000000000000101</v>
          </cell>
          <cell r="E142">
            <v>65.513999999999996</v>
          </cell>
        </row>
        <row r="143">
          <cell r="C143">
            <v>7.9000000000000101</v>
          </cell>
          <cell r="D143">
            <v>7.9500000000000099</v>
          </cell>
          <cell r="E143">
            <v>65.931299999999993</v>
          </cell>
        </row>
        <row r="144">
          <cell r="C144">
            <v>7.9500000000000099</v>
          </cell>
          <cell r="D144">
            <v>8.0000000000000107</v>
          </cell>
          <cell r="E144">
            <v>66.348600000000005</v>
          </cell>
        </row>
        <row r="145">
          <cell r="C145">
            <v>8.0000000000000107</v>
          </cell>
          <cell r="D145">
            <v>10</v>
          </cell>
          <cell r="E145">
            <v>66.765900000000002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http://portal.infonavit.org.mx/wps/wcm/connect/infonavit/trabajadores/precalificacion_y_puntos/precalificacion_y_puntos" TargetMode="External"/><Relationship Id="rId4" Type="http://schemas.openxmlformats.org/officeDocument/2006/relationships/hyperlink" Target="https://servicios.santander.com.mx/formularios_hipotecario" TargetMode="External"/><Relationship Id="rId5" Type="http://schemas.openxmlformats.org/officeDocument/2006/relationships/drawing" Target="../drawings/drawing4.xml"/><Relationship Id="rId6" Type="http://schemas.openxmlformats.org/officeDocument/2006/relationships/vmlDrawing" Target="../drawings/vmlDrawing1.vml"/><Relationship Id="rId7" Type="http://schemas.openxmlformats.org/officeDocument/2006/relationships/ctrlProp" Target="../ctrlProps/ctrlProp1.xml"/><Relationship Id="rId8" Type="http://schemas.openxmlformats.org/officeDocument/2006/relationships/ctrlProp" Target="../ctrlProps/ctrlProp2.xml"/><Relationship Id="rId9" Type="http://schemas.openxmlformats.org/officeDocument/2006/relationships/ctrlProp" Target="../ctrlProps/ctrlProp3.xml"/><Relationship Id="rId10" Type="http://schemas.openxmlformats.org/officeDocument/2006/relationships/ctrlProp" Target="../ctrlProps/ctrlProp4.xml"/><Relationship Id="rId1" Type="http://schemas.openxmlformats.org/officeDocument/2006/relationships/hyperlink" Target="http://portal.infonavit.org.mx/wps/portal/TRABAJADORES/Menu%20de%20apoyo/Derechohabientes/slPrecaCofinavit" TargetMode="External"/><Relationship Id="rId2" Type="http://schemas.openxmlformats.org/officeDocument/2006/relationships/hyperlink" Target="http://www.fovissste.gob.mx/swb/FOVISSSTE/Simulador_de_Creditos_Alia2_Plus_y_Respalda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BQ61"/>
  <sheetViews>
    <sheetView showGridLines="0" topLeftCell="AM1" zoomScale="90" workbookViewId="0">
      <selection activeCell="AE4" sqref="AE4"/>
    </sheetView>
  </sheetViews>
  <sheetFormatPr baseColWidth="10" defaultColWidth="10.83203125" defaultRowHeight="14" x14ac:dyDescent="0"/>
  <cols>
    <col min="1" max="1" width="34.1640625" style="27" customWidth="1"/>
    <col min="2" max="2" width="37" style="27" customWidth="1"/>
    <col min="3" max="3" width="25.5" customWidth="1"/>
    <col min="4" max="4" width="36.6640625" style="27" bestFit="1" customWidth="1"/>
    <col min="5" max="5" width="17" style="235" customWidth="1"/>
    <col min="6" max="6" width="22.1640625" customWidth="1"/>
    <col min="7" max="7" width="27.83203125" style="27" customWidth="1"/>
    <col min="8" max="8" width="23.33203125" style="28" customWidth="1"/>
    <col min="9" max="9" width="22.1640625" customWidth="1"/>
    <col min="10" max="10" width="31.1640625" bestFit="1" customWidth="1"/>
    <col min="11" max="11" width="17.83203125" style="27" bestFit="1" customWidth="1"/>
    <col min="12" max="12" width="25.33203125" style="27" bestFit="1" customWidth="1"/>
    <col min="13" max="13" width="17.33203125" style="27" customWidth="1"/>
    <col min="14" max="14" width="16.5" style="27" customWidth="1"/>
    <col min="15" max="15" width="27.5" style="27" bestFit="1" customWidth="1"/>
    <col min="16" max="16" width="16" style="27" customWidth="1"/>
    <col min="17" max="17" width="21.83203125" customWidth="1"/>
    <col min="18" max="18" width="21.83203125" style="27" customWidth="1"/>
    <col min="19" max="19" width="19.5" style="27" customWidth="1"/>
    <col min="20" max="22" width="16.5" style="27" customWidth="1"/>
    <col min="23" max="23" width="19.6640625" style="27" customWidth="1"/>
    <col min="24" max="24" width="15.1640625" style="27" customWidth="1"/>
    <col min="25" max="25" width="15.33203125" style="27" customWidth="1"/>
    <col min="27" max="27" width="10.83203125" style="27"/>
    <col min="28" max="28" width="24.6640625" style="37" customWidth="1"/>
    <col min="29" max="29" width="28.1640625" style="27" customWidth="1"/>
    <col min="30" max="31" width="24.6640625" style="27" customWidth="1"/>
    <col min="32" max="32" width="40.5" style="27" bestFit="1" customWidth="1"/>
    <col min="33" max="33" width="38.83203125" style="27" bestFit="1" customWidth="1"/>
    <col min="34" max="34" width="24.6640625" style="27" customWidth="1"/>
    <col min="35" max="37" width="14.83203125" style="37" customWidth="1"/>
    <col min="38" max="38" width="10.83203125" style="37"/>
    <col min="39" max="39" width="15.5" style="37" customWidth="1"/>
    <col min="40" max="40" width="13" style="37" bestFit="1" customWidth="1"/>
    <col min="41" max="41" width="10.5" style="37" customWidth="1"/>
    <col min="42" max="45" width="12.1640625" style="37" bestFit="1" customWidth="1"/>
    <col min="46" max="46" width="26.5" style="37" customWidth="1"/>
    <col min="47" max="50" width="12.1640625" style="37" bestFit="1" customWidth="1"/>
    <col min="51" max="52" width="12.1640625" style="37" customWidth="1"/>
    <col min="53" max="53" width="12.1640625" style="37" bestFit="1" customWidth="1"/>
    <col min="54" max="54" width="10.83203125" style="37"/>
    <col min="55" max="55" width="10.5" style="37" customWidth="1"/>
    <col min="56" max="56" width="13.6640625" style="27" customWidth="1"/>
    <col min="57" max="57" width="13.83203125" style="27" customWidth="1"/>
    <col min="58" max="58" width="13.83203125" style="27" bestFit="1" customWidth="1"/>
    <col min="59" max="59" width="6.33203125" style="27" customWidth="1"/>
    <col min="60" max="60" width="10.83203125" style="28"/>
    <col min="61" max="61" width="8.5" style="28" customWidth="1"/>
    <col min="62" max="62" width="8.83203125" style="28" customWidth="1"/>
    <col min="63" max="63" width="10.5" style="28" customWidth="1"/>
    <col min="64" max="66" width="15.5" style="28" customWidth="1"/>
    <col min="67" max="67" width="10.5" style="28" customWidth="1"/>
    <col min="68" max="68" width="10.83203125" style="27"/>
    <col min="69" max="69" width="15.6640625" style="28" customWidth="1"/>
    <col min="70" max="16384" width="10.83203125" style="27"/>
  </cols>
  <sheetData>
    <row r="1" spans="1:69" s="13" customFormat="1" ht="18" customHeight="1" thickTop="1">
      <c r="A1" s="1" t="s">
        <v>0</v>
      </c>
      <c r="B1" s="2" t="s">
        <v>31</v>
      </c>
      <c r="C1" s="421" t="s">
        <v>206</v>
      </c>
      <c r="D1" s="211" t="s">
        <v>105</v>
      </c>
      <c r="E1" s="233" t="s">
        <v>187</v>
      </c>
      <c r="F1" s="216" t="s">
        <v>107</v>
      </c>
      <c r="G1" s="3" t="s">
        <v>1</v>
      </c>
      <c r="H1" s="4" t="s">
        <v>82</v>
      </c>
      <c r="I1" s="455" t="s">
        <v>269</v>
      </c>
      <c r="J1" s="239" t="s">
        <v>115</v>
      </c>
      <c r="K1" s="6" t="s">
        <v>2</v>
      </c>
      <c r="L1" s="4" t="s">
        <v>3</v>
      </c>
      <c r="M1" s="7" t="s">
        <v>4</v>
      </c>
      <c r="N1" s="8" t="s">
        <v>5</v>
      </c>
      <c r="O1" s="9" t="s">
        <v>6</v>
      </c>
      <c r="P1" s="5" t="s">
        <v>7</v>
      </c>
      <c r="Q1" s="211" t="s">
        <v>124</v>
      </c>
      <c r="R1" s="1083" t="s">
        <v>8</v>
      </c>
      <c r="S1" s="11" t="s">
        <v>10</v>
      </c>
      <c r="T1" s="12" t="s">
        <v>11</v>
      </c>
      <c r="U1" s="1086" t="s">
        <v>217</v>
      </c>
      <c r="V1" s="1086"/>
      <c r="W1" s="1085" t="s">
        <v>9</v>
      </c>
      <c r="X1" s="1085"/>
      <c r="Y1" s="1085"/>
      <c r="Z1" s="247"/>
      <c r="AA1" s="10"/>
      <c r="AB1" s="382" t="s">
        <v>194</v>
      </c>
      <c r="AC1" s="382" t="s">
        <v>126</v>
      </c>
      <c r="AD1" s="1091" t="s">
        <v>221</v>
      </c>
      <c r="AE1" s="1092"/>
      <c r="AF1" s="495" t="s">
        <v>234</v>
      </c>
      <c r="AG1" s="122" t="s">
        <v>224</v>
      </c>
      <c r="AH1" s="484" t="s">
        <v>226</v>
      </c>
      <c r="AI1" s="496" t="s">
        <v>235</v>
      </c>
      <c r="AJ1" s="1093" t="s">
        <v>236</v>
      </c>
      <c r="AK1" s="1094"/>
      <c r="AL1" s="1094"/>
      <c r="AM1" s="1094"/>
      <c r="AN1" s="1095" t="s">
        <v>94</v>
      </c>
      <c r="AO1" s="1095"/>
      <c r="AP1" s="1087" t="s">
        <v>240</v>
      </c>
      <c r="AQ1" s="1088"/>
      <c r="AR1" s="1088"/>
      <c r="AS1" s="1088"/>
      <c r="AT1" s="971" t="s">
        <v>389</v>
      </c>
      <c r="AU1" s="244"/>
      <c r="AV1" s="244"/>
      <c r="AW1" s="244"/>
      <c r="AX1" s="244"/>
      <c r="AY1" s="244"/>
      <c r="AZ1" s="244"/>
      <c r="BA1" s="244"/>
      <c r="BB1" s="244"/>
      <c r="BC1" s="522"/>
      <c r="BD1" s="523" t="s">
        <v>241</v>
      </c>
      <c r="BE1" s="1040">
        <f>I3</f>
        <v>0.58858151854031782</v>
      </c>
      <c r="BF1" s="542">
        <f>IF(BE1=0,0,IF(BE1&lt;=70%,1,IF(AND(BE1&gt;=70.00005%,BE1&lt;=80%),2,IF(BE1&gt;=80.0005%,3))))</f>
        <v>1</v>
      </c>
      <c r="BG1" s="524"/>
      <c r="BH1" s="1016"/>
      <c r="BI1" s="1017" t="s">
        <v>244</v>
      </c>
      <c r="BJ1" s="1018"/>
      <c r="BK1" s="1018"/>
      <c r="BL1" s="1019" t="s">
        <v>245</v>
      </c>
      <c r="BM1" s="1019" t="s">
        <v>246</v>
      </c>
      <c r="BN1" s="1019" t="s">
        <v>247</v>
      </c>
      <c r="BO1" s="1045"/>
      <c r="BP1" s="525"/>
    </row>
    <row r="2" spans="1:69" ht="17.25" customHeight="1" thickBot="1">
      <c r="A2" s="14"/>
      <c r="B2" s="2"/>
      <c r="C2" s="421"/>
      <c r="D2" s="212" t="s">
        <v>106</v>
      </c>
      <c r="E2" s="234"/>
      <c r="F2" s="217"/>
      <c r="G2" s="15" t="s">
        <v>12</v>
      </c>
      <c r="H2" s="16"/>
      <c r="I2" s="237"/>
      <c r="J2" s="240" t="s">
        <v>116</v>
      </c>
      <c r="K2" s="18"/>
      <c r="L2" s="19"/>
      <c r="M2" s="20"/>
      <c r="N2" s="21"/>
      <c r="O2" s="22"/>
      <c r="P2" s="23"/>
      <c r="Q2" s="246"/>
      <c r="R2" s="1084"/>
      <c r="S2" s="25" t="s">
        <v>16</v>
      </c>
      <c r="T2" s="26" t="s">
        <v>17</v>
      </c>
      <c r="U2" s="444" t="s">
        <v>218</v>
      </c>
      <c r="V2" s="444" t="s">
        <v>219</v>
      </c>
      <c r="W2" s="24" t="s">
        <v>13</v>
      </c>
      <c r="X2" s="24" t="s">
        <v>14</v>
      </c>
      <c r="Y2" s="24" t="s">
        <v>174</v>
      </c>
      <c r="Z2" s="248" t="s">
        <v>125</v>
      </c>
      <c r="AA2" s="24" t="s">
        <v>15</v>
      </c>
      <c r="AB2" s="385">
        <v>250000</v>
      </c>
      <c r="AC2" s="381">
        <v>100000</v>
      </c>
      <c r="AD2" s="487" t="s">
        <v>222</v>
      </c>
      <c r="AE2" s="487" t="s">
        <v>223</v>
      </c>
      <c r="AF2" s="495"/>
      <c r="AG2" s="122" t="s">
        <v>127</v>
      </c>
      <c r="AH2" s="485"/>
      <c r="AI2" s="550">
        <f>IF(C3=C4,AI4,AJ2)</f>
        <v>9.3213118783351803</v>
      </c>
      <c r="AJ2" s="551">
        <f>IF(G3=180,AJ3,IF(G3=240,AL3,0))</f>
        <v>8.73</v>
      </c>
      <c r="AM2" s="380"/>
      <c r="AN2" s="552">
        <f>IF(C3=C4,0,IF(G3=180,AN3,IF(G3=240,AO3,0)))</f>
        <v>0</v>
      </c>
      <c r="AO2" s="506"/>
      <c r="AT2" s="972">
        <v>0.4</v>
      </c>
      <c r="BC2" s="526"/>
      <c r="BD2" s="509" t="s">
        <v>242</v>
      </c>
      <c r="BE2" s="527">
        <f>IF(Captura!G15="",0,IF(Captura!G15=0,0,IF(Captura!G15&lt;=180,15,IF(Captura!G15=240,20))))</f>
        <v>20</v>
      </c>
      <c r="BF2" s="35"/>
      <c r="BG2" s="35"/>
      <c r="BH2" s="1020"/>
      <c r="BI2" s="1021"/>
      <c r="BJ2" s="1021"/>
      <c r="BK2" s="1021"/>
      <c r="BL2" s="1022">
        <v>1</v>
      </c>
      <c r="BM2" s="1022">
        <v>2</v>
      </c>
      <c r="BN2" s="1023">
        <v>3</v>
      </c>
      <c r="BO2" s="1046"/>
      <c r="BP2" s="528"/>
    </row>
    <row r="3" spans="1:69" s="32" customFormat="1" ht="26" thickBot="1">
      <c r="A3" s="119" t="s">
        <v>18</v>
      </c>
      <c r="B3" s="491" t="str">
        <f>Captura!G13</f>
        <v>Adquisición</v>
      </c>
      <c r="C3" s="488" t="str">
        <f>Captura!G25</f>
        <v>Fijos</v>
      </c>
      <c r="D3" s="371">
        <f>Captura!N31</f>
        <v>0</v>
      </c>
      <c r="E3" s="1043"/>
      <c r="F3" s="218" t="str">
        <f>IF(B3=B5,"si",IF(B3=B11,Captura!N33,F16))</f>
        <v/>
      </c>
      <c r="G3" s="108">
        <f>Captura!G15</f>
        <v>240</v>
      </c>
      <c r="H3" s="555">
        <f>IF(ISNA(VLOOKUP(B3,lista,5,0)),0,VLOOKUP(B3,lista,5,0))</f>
        <v>0.9</v>
      </c>
      <c r="I3" s="109">
        <f>IF(B3=B6,Cal!C25,IF(OR(B3=B7,B3=B8),Cal!C41,IF(B3=B11,Cal!B63,IF(B3=B9,Cal!F9,Cal!C9))))</f>
        <v>0.58858151854031782</v>
      </c>
      <c r="J3" s="241" t="s">
        <v>117</v>
      </c>
      <c r="K3" s="130">
        <v>0.01</v>
      </c>
      <c r="L3" s="423">
        <v>0.38500000000000001</v>
      </c>
      <c r="M3" s="460">
        <v>2.7499999999999998E-3</v>
      </c>
      <c r="N3" s="431">
        <f>IF(B3=B9,N5,IF(ISNA(VLOOKUP(B3,lista,8,0)),0,VLOOKUP(B3,lista,8,0)))</f>
        <v>0</v>
      </c>
      <c r="O3" s="245">
        <f>IF(ISNA(VLOOKUP(B3,lista,4,0)),0,VLOOKUP(B3,lista,4,0))</f>
        <v>250</v>
      </c>
      <c r="P3" s="434">
        <f>Captura!G21</f>
        <v>0.05</v>
      </c>
      <c r="Q3" s="479">
        <f>IF(B3=B11,Q4,0)</f>
        <v>0</v>
      </c>
      <c r="R3" s="29" t="str">
        <f>Captura!G17</f>
        <v>SI</v>
      </c>
      <c r="S3" s="451" t="str">
        <f>IF(B3=B9,S10,IF(W3&gt;0,S5,S6))</f>
        <v>Prima Unica</v>
      </c>
      <c r="T3" s="435">
        <f>Captura!G23</f>
        <v>1</v>
      </c>
      <c r="U3" s="435"/>
      <c r="V3" s="435"/>
      <c r="W3" s="30">
        <f>IF(B3=B11,0,IF(AND(B3=B9,S10=S13),0,IF(R3=R6,0,IF(T3=1,W4,IF(T3=2,W5,0)))))</f>
        <v>3.1539999999999999E-2</v>
      </c>
      <c r="X3" s="31">
        <f>IF(R3=R6,0,X4)</f>
        <v>4.2999999999999999E-4</v>
      </c>
      <c r="Y3" s="30">
        <f>IF(R3=R6,0,VLOOKUP(T3,T4:V7,3,0))</f>
        <v>7.3510000000000003E-4</v>
      </c>
      <c r="Z3" s="249">
        <f>IF(R4=R6,0,IF(B3=B11,Z4,0))</f>
        <v>0</v>
      </c>
      <c r="AA3" s="125">
        <f>IF(R4=R6,0,IF(B3=B12,0,AA4))</f>
        <v>3.3760000000000002E-4</v>
      </c>
      <c r="AB3" s="382" t="s">
        <v>190</v>
      </c>
      <c r="AC3" s="382" t="s">
        <v>193</v>
      </c>
      <c r="AD3" s="453">
        <v>70000</v>
      </c>
      <c r="AE3" s="453">
        <v>70001</v>
      </c>
      <c r="AF3" s="460">
        <f>Captura!N21</f>
        <v>0</v>
      </c>
      <c r="AG3" s="494">
        <f>Captura!N23</f>
        <v>0</v>
      </c>
      <c r="AH3" s="549">
        <f>Captura!G107</f>
        <v>9.5000000000000001E-2</v>
      </c>
      <c r="AI3" s="497" t="s">
        <v>237</v>
      </c>
      <c r="AJ3" s="1098">
        <f>IF(ISNA(VLOOKUP(AH3,AJ6:AK33,2,0)),0,VLOOKUP(AH3,AJ6:AK33,2,0))</f>
        <v>9.1199999999999992</v>
      </c>
      <c r="AK3" s="1098"/>
      <c r="AL3" s="1098">
        <f>IF(ISNA(VLOOKUP(AH3,AL6:AM33,2,0)),0,VLOOKUP(AH3,AL6:AM33,2,0))</f>
        <v>8.73</v>
      </c>
      <c r="AM3" s="1098"/>
      <c r="AN3" s="505">
        <v>2.5000000000000001E-2</v>
      </c>
      <c r="AO3" s="505">
        <v>0.01</v>
      </c>
      <c r="AP3" s="508">
        <f>IF(G3=180,VLOOKUP(AH3,AP6:AQ33,2,0),IF(G3=240,VLOOKUP(AH3,AR6:AS33,2,0),0))</f>
        <v>22</v>
      </c>
      <c r="AQ3" s="507"/>
      <c r="AR3" s="37"/>
      <c r="AS3" s="37"/>
      <c r="AT3" s="37"/>
      <c r="AU3" s="37"/>
      <c r="AV3" s="37"/>
      <c r="AW3" s="37"/>
      <c r="AX3" s="37"/>
      <c r="AY3" s="37"/>
      <c r="AZ3" s="37"/>
      <c r="BA3" s="37"/>
      <c r="BB3" s="37"/>
      <c r="BC3" s="526"/>
      <c r="BD3" s="534"/>
      <c r="BE3" s="510" t="s">
        <v>243</v>
      </c>
      <c r="BF3" s="35"/>
      <c r="BG3" s="35"/>
      <c r="BH3" s="512" t="s">
        <v>248</v>
      </c>
      <c r="BI3" s="370"/>
      <c r="BJ3" s="370">
        <v>15</v>
      </c>
      <c r="BK3" s="511" t="s">
        <v>249</v>
      </c>
      <c r="BL3" s="1012">
        <v>0.10349999999999999</v>
      </c>
      <c r="BM3" s="1012">
        <v>0.1089</v>
      </c>
      <c r="BN3" s="1048">
        <v>0.1129</v>
      </c>
      <c r="BO3" s="1044"/>
      <c r="BP3" s="529"/>
      <c r="BQ3" s="33"/>
    </row>
    <row r="4" spans="1:69" s="35" customFormat="1">
      <c r="A4" s="34"/>
      <c r="B4" s="205" t="s">
        <v>76</v>
      </c>
      <c r="C4" s="489" t="s">
        <v>207</v>
      </c>
      <c r="D4" s="372"/>
      <c r="E4" s="226" t="s">
        <v>188</v>
      </c>
      <c r="F4" s="186" t="s">
        <v>108</v>
      </c>
      <c r="G4" s="35" t="s">
        <v>281</v>
      </c>
      <c r="H4" s="454"/>
      <c r="I4" s="455" t="s">
        <v>113</v>
      </c>
      <c r="J4" s="242" t="s">
        <v>118</v>
      </c>
      <c r="K4" s="70"/>
      <c r="M4" s="40"/>
      <c r="N4" s="432" t="s">
        <v>211</v>
      </c>
      <c r="O4" s="433" t="s">
        <v>215</v>
      </c>
      <c r="Q4" s="480">
        <v>11500</v>
      </c>
      <c r="R4" s="478" t="str">
        <f>Captura!G19</f>
        <v>SI</v>
      </c>
      <c r="T4" s="39">
        <v>1</v>
      </c>
      <c r="U4" s="450">
        <v>4.2999999999999999E-4</v>
      </c>
      <c r="V4" s="450">
        <v>7.3510000000000003E-4</v>
      </c>
      <c r="W4" s="447">
        <f>31.54/1000</f>
        <v>3.1539999999999999E-2</v>
      </c>
      <c r="X4" s="450">
        <f>IF(S3=S5,VLOOKUP(T3,T4:U7,2),VLOOKUP(T3,T4:V7,3,0))</f>
        <v>4.2999999999999999E-4</v>
      </c>
      <c r="Z4" s="227">
        <f>0.2269/1000</f>
        <v>2.2689999999999999E-4</v>
      </c>
      <c r="AA4" s="44">
        <v>3.3760000000000002E-4</v>
      </c>
      <c r="AB4" s="386">
        <v>250000</v>
      </c>
      <c r="AC4" s="386">
        <v>700000</v>
      </c>
      <c r="AD4" s="452"/>
      <c r="AE4" s="452"/>
      <c r="AF4" s="378" t="str">
        <f>IF(B3=B9,"Financiamiento de gastos","")</f>
        <v/>
      </c>
      <c r="AG4" s="208" t="str">
        <f>IF(B3=B9,"Sustitución/ origen Adquisición","")</f>
        <v/>
      </c>
      <c r="AH4" s="484" t="s">
        <v>232</v>
      </c>
      <c r="AI4" s="498">
        <f>IF(B3=B11,PMT(AH3/12,G3-12,-1000),PMT(AH3/12,G3,-1000))</f>
        <v>9.3213118783351803</v>
      </c>
      <c r="AJ4" s="1096">
        <v>180</v>
      </c>
      <c r="AK4" s="1097"/>
      <c r="AL4" s="1096">
        <v>240</v>
      </c>
      <c r="AM4" s="1097"/>
      <c r="AN4" s="37"/>
      <c r="AO4" s="37"/>
      <c r="AP4" s="1089">
        <v>180</v>
      </c>
      <c r="AQ4" s="1090"/>
      <c r="AR4" s="1089">
        <v>240</v>
      </c>
      <c r="AS4" s="1090"/>
      <c r="AT4" s="37"/>
      <c r="AU4" s="37"/>
      <c r="AV4" s="37"/>
      <c r="AW4" s="37"/>
      <c r="AX4" s="37"/>
      <c r="AY4" s="37"/>
      <c r="AZ4" s="37"/>
      <c r="BA4" s="37"/>
      <c r="BB4" s="37"/>
      <c r="BC4" s="526"/>
      <c r="BD4" s="512" t="str">
        <f>CONCATENATE(BH9,BE2)</f>
        <v>Perfil 420</v>
      </c>
      <c r="BE4" s="543">
        <f>IF(B3=B12,B59,IF(B3=B13,B60,IF(B3=B14,B61,IF(ISNA(VLOOKUP(BD4,BK3:BN10,MATCH(BF1,BK2:BN2),0)),0,VLOOKUP(BD4,BK3:BN10,MATCH(BF1,BK2:BN2),0)))))</f>
        <v>9.5000000000000001E-2</v>
      </c>
      <c r="BH4" s="513" t="s">
        <v>248</v>
      </c>
      <c r="BI4" s="514"/>
      <c r="BJ4" s="514">
        <v>20</v>
      </c>
      <c r="BK4" s="515" t="s">
        <v>250</v>
      </c>
      <c r="BL4" s="1013">
        <v>0.1089</v>
      </c>
      <c r="BM4" s="1013">
        <v>0.1129</v>
      </c>
      <c r="BN4" s="1049">
        <v>0.11890000000000001</v>
      </c>
      <c r="BO4" s="1044"/>
      <c r="BP4" s="528"/>
      <c r="BQ4" s="36"/>
    </row>
    <row r="5" spans="1:69" s="35" customFormat="1" ht="15" thickBot="1">
      <c r="B5" s="228" t="s">
        <v>102</v>
      </c>
      <c r="C5" s="490" t="str">
        <f>IF(OR(B21="si",B23="si",B25="si",B31="si"),"",IF(G3&lt;180,"",IF(G3&gt;240,"",IF(AND(G3&gt;180,G3&lt;=239),"","Crecientes"))))</f>
        <v>Crecientes</v>
      </c>
      <c r="D5" s="213"/>
      <c r="E5" s="207" t="s">
        <v>189</v>
      </c>
      <c r="F5" s="220">
        <v>80.040000000000006</v>
      </c>
      <c r="G5" s="676">
        <f>IF(Adm!B3=Adm!B12,0,IF(Adm!B3=Adm!B13,0,IF(Adm!B3=Adm!B14,0,1)))</f>
        <v>1</v>
      </c>
      <c r="H5" s="36"/>
      <c r="I5" s="238" t="s">
        <v>114</v>
      </c>
      <c r="J5" s="456" t="s">
        <v>119</v>
      </c>
      <c r="K5" s="71"/>
      <c r="M5" s="424">
        <v>1413</v>
      </c>
      <c r="N5" s="461">
        <f>IF(OR(AG3=AG11,AG3=AG14),16%,0)</f>
        <v>0</v>
      </c>
      <c r="O5" s="460">
        <v>250</v>
      </c>
      <c r="R5" s="96" t="s">
        <v>19</v>
      </c>
      <c r="S5" s="481" t="s">
        <v>13</v>
      </c>
      <c r="T5" s="46">
        <v>2</v>
      </c>
      <c r="U5" s="450">
        <v>5.4000000000000001E-4</v>
      </c>
      <c r="V5" s="450">
        <v>1.1773E-3</v>
      </c>
      <c r="W5" s="447">
        <v>4.3860000000000003E-2</v>
      </c>
      <c r="X5" s="448" t="s">
        <v>220</v>
      </c>
      <c r="Y5" s="27"/>
      <c r="Z5" s="186"/>
      <c r="AB5" s="383"/>
      <c r="AC5" s="45"/>
      <c r="AD5" s="45"/>
      <c r="AE5" s="45"/>
      <c r="AF5" s="379" t="str">
        <f>IF(B3=B9,"Dinero adicional","")</f>
        <v/>
      </c>
      <c r="AG5" s="209" t="str">
        <f>IF(B3=B9,"Sustitución/ origen Liquidez","")</f>
        <v/>
      </c>
      <c r="AH5" s="486">
        <f>B60</f>
        <v>0</v>
      </c>
      <c r="AI5" s="496" t="s">
        <v>238</v>
      </c>
      <c r="AJ5" s="499" t="s">
        <v>239</v>
      </c>
      <c r="AK5" s="500"/>
      <c r="AL5" s="499" t="s">
        <v>239</v>
      </c>
      <c r="AM5" s="500"/>
      <c r="AN5" s="37"/>
      <c r="AO5" s="37"/>
      <c r="AP5" s="499" t="s">
        <v>239</v>
      </c>
      <c r="AQ5" s="500"/>
      <c r="AR5" s="499" t="s">
        <v>239</v>
      </c>
      <c r="AS5" s="500"/>
      <c r="AT5" s="37"/>
      <c r="AU5" s="37"/>
      <c r="AV5" s="37"/>
      <c r="AW5" s="37"/>
      <c r="AX5" s="37"/>
      <c r="AY5" s="37"/>
      <c r="AZ5" s="37"/>
      <c r="BA5" s="37"/>
      <c r="BB5" s="37"/>
      <c r="BC5" s="526"/>
      <c r="BD5" s="512" t="str">
        <f>CONCATENATE(BH7,BE2)</f>
        <v>Perfil 320</v>
      </c>
      <c r="BE5" s="543">
        <f>IF(B3=B12,0,IF(B3=B13,0,IF(B3=B14,0,IF(ISNA(VLOOKUP(BD5,BK3:BN10,MATCH(BF1,BK2:BN2),0)),0,VLOOKUP(BD5,BK3:BN10,MATCH(BF1,BK2:BN2),0)))))</f>
        <v>9.9400000000000002E-2</v>
      </c>
      <c r="BH5" s="517" t="s">
        <v>251</v>
      </c>
      <c r="BI5" s="518"/>
      <c r="BJ5" s="518">
        <v>15</v>
      </c>
      <c r="BK5" s="516" t="s">
        <v>252</v>
      </c>
      <c r="BL5" s="1014">
        <v>9.9900000000000003E-2</v>
      </c>
      <c r="BM5" s="1014">
        <v>0.10349999999999999</v>
      </c>
      <c r="BN5" s="1050">
        <v>0.1089</v>
      </c>
      <c r="BO5" s="1044"/>
      <c r="BP5" s="528"/>
      <c r="BQ5" s="36"/>
    </row>
    <row r="6" spans="1:69" ht="26" thickBot="1">
      <c r="A6" s="38"/>
      <c r="B6" s="43" t="s">
        <v>112</v>
      </c>
      <c r="C6" s="492" t="s">
        <v>208</v>
      </c>
      <c r="D6" s="214" t="str">
        <f>IF(B3=B11,"Construcción en Terreno Propio","")</f>
        <v/>
      </c>
      <c r="F6" s="221">
        <f>F5*30.4</f>
        <v>2433.2159999999999</v>
      </c>
      <c r="G6" s="39">
        <v>60</v>
      </c>
      <c r="H6" s="36"/>
      <c r="I6" s="592">
        <f>Cal!C41</f>
        <v>0.58858151854031782</v>
      </c>
      <c r="J6" s="456" t="s">
        <v>120</v>
      </c>
      <c r="M6" s="425">
        <v>18000</v>
      </c>
      <c r="N6" s="432" t="s">
        <v>212</v>
      </c>
      <c r="O6" s="35"/>
      <c r="P6" s="35"/>
      <c r="Q6" s="186"/>
      <c r="R6" s="483" t="s">
        <v>20</v>
      </c>
      <c r="S6" s="482" t="s">
        <v>21</v>
      </c>
      <c r="T6" s="46">
        <v>3</v>
      </c>
      <c r="U6" s="450">
        <v>1.1437000000000001E-3</v>
      </c>
      <c r="V6" s="450">
        <v>1.4469000000000001E-3</v>
      </c>
      <c r="X6" s="449" t="b">
        <f>IF(AND(B3=B9,R3=R5,S10=S13),0.0005725)</f>
        <v>0</v>
      </c>
      <c r="Z6" s="186"/>
      <c r="AB6" s="382" t="s">
        <v>191</v>
      </c>
      <c r="AC6" s="45"/>
      <c r="AD6" s="45"/>
      <c r="AE6" s="45"/>
      <c r="AF6" s="380" t="str">
        <f>IF(B3=B9,"Dinero adicional Plus","")</f>
        <v/>
      </c>
      <c r="AG6" s="206" t="str">
        <f>IF(B3=B9,"Sustitución/ Cofinanciamiento","")</f>
        <v/>
      </c>
      <c r="AH6" s="484" t="s">
        <v>233</v>
      </c>
      <c r="AI6" s="498">
        <f>IF(AF3=AF6,PMT(AH7/12,G3,-1000),AI2)</f>
        <v>9.3213118783351803</v>
      </c>
      <c r="AJ6" s="503">
        <v>0.10349999999999999</v>
      </c>
      <c r="AK6" s="504">
        <v>9.6199999999999992</v>
      </c>
      <c r="AL6" s="503">
        <v>0.1089</v>
      </c>
      <c r="AM6" s="504">
        <v>9.6300000000000008</v>
      </c>
      <c r="AN6" s="1036"/>
      <c r="AP6" s="503">
        <v>0.10349999999999999</v>
      </c>
      <c r="AQ6" s="1024">
        <v>1</v>
      </c>
      <c r="AR6" s="503">
        <v>0.1089</v>
      </c>
      <c r="AS6" s="1025">
        <v>13</v>
      </c>
      <c r="BC6" s="526"/>
      <c r="BD6" s="512" t="str">
        <f>IF(B3=B9,0,CONCATENATE(BH5,BE2))</f>
        <v>Perfil 220</v>
      </c>
      <c r="BE6" s="544">
        <f>IF(B3=B12,0,IF(B3=B13,0,IF(B3=B14,0,IF(ISNA(VLOOKUP(BD6,BK3:BN10,MATCH(BF1,BK2:BN2),0)),0,VLOOKUP(BD6,BK3:BN10,MATCH(BF1,BK2:BN2),0)))))</f>
        <v>0.10349999999999999</v>
      </c>
      <c r="BF6" s="35"/>
      <c r="BG6" s="35"/>
      <c r="BH6" s="519" t="s">
        <v>251</v>
      </c>
      <c r="BI6" s="520"/>
      <c r="BJ6" s="520">
        <v>20</v>
      </c>
      <c r="BK6" s="521" t="s">
        <v>253</v>
      </c>
      <c r="BL6" s="1015">
        <v>0.10349999999999999</v>
      </c>
      <c r="BM6" s="1015">
        <v>0.1089</v>
      </c>
      <c r="BN6" s="1051">
        <v>0.1139</v>
      </c>
      <c r="BO6" s="1044"/>
      <c r="BP6" s="528"/>
    </row>
    <row r="7" spans="1:69">
      <c r="A7" s="35"/>
      <c r="B7" s="43" t="s">
        <v>199</v>
      </c>
      <c r="C7" s="493" t="str">
        <f>IF(AF3=AF6,C4,C3)</f>
        <v>Fijos</v>
      </c>
      <c r="D7" s="215" t="str">
        <f>IF(B3=B11,"Adquisición de Terreno y Construcción","")</f>
        <v/>
      </c>
      <c r="E7" s="213"/>
      <c r="F7" s="373" t="s">
        <v>109</v>
      </c>
      <c r="G7" s="41">
        <v>84</v>
      </c>
      <c r="H7" s="36"/>
      <c r="J7" s="456" t="s">
        <v>121</v>
      </c>
      <c r="M7" s="230" t="s">
        <v>209</v>
      </c>
      <c r="N7" s="462">
        <v>0.16</v>
      </c>
      <c r="O7" s="35"/>
      <c r="P7" s="35"/>
      <c r="Q7" s="186"/>
      <c r="R7" s="35"/>
      <c r="S7" s="35"/>
      <c r="T7" s="42">
        <v>4</v>
      </c>
      <c r="U7" s="450">
        <v>1.3376E-3</v>
      </c>
      <c r="V7" s="450">
        <v>1.8494E-3</v>
      </c>
      <c r="W7" s="35"/>
      <c r="AA7" s="35"/>
      <c r="AB7" s="386">
        <v>1000000</v>
      </c>
      <c r="AC7" s="45"/>
      <c r="AD7" s="45"/>
      <c r="AE7" s="45"/>
      <c r="AG7" s="206" t="str">
        <f>IF(B3=B9,"Mejora /Origen Adquisición","")</f>
        <v/>
      </c>
      <c r="AH7" s="573">
        <f>IF(AF3=AF6,13.34%,AH3)</f>
        <v>9.5000000000000001E-2</v>
      </c>
      <c r="AJ7" s="501">
        <v>0.1089</v>
      </c>
      <c r="AK7" s="502">
        <v>9.93</v>
      </c>
      <c r="AL7" s="501">
        <v>0.1129</v>
      </c>
      <c r="AM7" s="502">
        <v>9.9</v>
      </c>
      <c r="AN7" s="1036"/>
      <c r="AP7" s="501">
        <v>0.1089</v>
      </c>
      <c r="AQ7" s="1024">
        <v>2</v>
      </c>
      <c r="AR7" s="501">
        <v>0.1129</v>
      </c>
      <c r="AS7" s="1025">
        <v>14</v>
      </c>
      <c r="BC7" s="526"/>
      <c r="BD7" s="513" t="str">
        <f>IF(B3=B9,0,CONCATENATE(BH3,BE2))</f>
        <v>Perfil 120</v>
      </c>
      <c r="BE7" s="545">
        <f>IF(B3=B12,0,IF(B3=B13,0,IF(B3=B14,0,IF(ISNA(VLOOKUP(BD7,BK3:BN10,MATCH(BF1,BK2:BN2),0)),0,VLOOKUP(BD7,BK3:BN10,MATCH(BF1,BK2:BN2),0)))))</f>
        <v>0.1089</v>
      </c>
      <c r="BF7" s="35"/>
      <c r="BG7" s="35"/>
      <c r="BH7" s="512" t="s">
        <v>254</v>
      </c>
      <c r="BI7" s="370"/>
      <c r="BJ7" s="370">
        <v>15</v>
      </c>
      <c r="BK7" s="511" t="s">
        <v>255</v>
      </c>
      <c r="BL7" s="1012">
        <v>9.5000000000000001E-2</v>
      </c>
      <c r="BM7" s="1012">
        <v>9.9400000000000002E-2</v>
      </c>
      <c r="BN7" s="1048">
        <v>0.10299999999999999</v>
      </c>
      <c r="BO7" s="1044"/>
      <c r="BP7" s="528"/>
    </row>
    <row r="8" spans="1:69" ht="26" thickBot="1">
      <c r="A8" s="35"/>
      <c r="B8" s="43" t="s">
        <v>200</v>
      </c>
      <c r="C8" s="186"/>
      <c r="D8" s="419"/>
      <c r="E8" s="213"/>
      <c r="F8" s="374">
        <f>F6*25</f>
        <v>60830.399999999994</v>
      </c>
      <c r="G8" s="41">
        <v>120</v>
      </c>
      <c r="H8" s="36"/>
      <c r="I8" s="458" t="s">
        <v>268</v>
      </c>
      <c r="J8" s="456" t="s">
        <v>122</v>
      </c>
      <c r="M8" s="427">
        <v>2000</v>
      </c>
      <c r="O8" s="35"/>
      <c r="P8" s="35"/>
      <c r="Q8" s="186"/>
      <c r="R8" s="96" t="str">
        <f>IF(B3=B12,"","SI")</f>
        <v>SI</v>
      </c>
      <c r="S8" s="436"/>
      <c r="W8" s="47"/>
      <c r="X8" s="48"/>
      <c r="Y8" s="47"/>
      <c r="AA8" s="35"/>
      <c r="AB8" s="384"/>
      <c r="AC8" s="45"/>
      <c r="AD8" s="45"/>
      <c r="AE8" s="45"/>
      <c r="AG8" s="207" t="str">
        <f>IF(B3=B9,"Mejora /Origen Liquidez","")</f>
        <v/>
      </c>
      <c r="AH8" s="45"/>
      <c r="AJ8" s="501">
        <v>0.1129</v>
      </c>
      <c r="AK8" s="502">
        <v>10.16</v>
      </c>
      <c r="AL8" s="501">
        <v>0.11890000000000001</v>
      </c>
      <c r="AM8" s="502">
        <v>10.3</v>
      </c>
      <c r="AN8" s="1036"/>
      <c r="AP8" s="501">
        <v>0.1129</v>
      </c>
      <c r="AQ8" s="1024">
        <v>3</v>
      </c>
      <c r="AR8" s="501">
        <v>0.11890000000000001</v>
      </c>
      <c r="AS8" s="1025">
        <v>15</v>
      </c>
      <c r="BC8" s="526"/>
      <c r="BD8" s="35"/>
      <c r="BE8" s="35"/>
      <c r="BF8" s="35"/>
      <c r="BG8" s="35"/>
      <c r="BH8" s="513" t="s">
        <v>254</v>
      </c>
      <c r="BI8" s="514"/>
      <c r="BJ8" s="514">
        <v>20</v>
      </c>
      <c r="BK8" s="515" t="s">
        <v>256</v>
      </c>
      <c r="BL8" s="1013">
        <v>9.9400000000000002E-2</v>
      </c>
      <c r="BM8" s="1013">
        <v>0.10299999999999999</v>
      </c>
      <c r="BN8" s="1049">
        <v>0.1094</v>
      </c>
      <c r="BO8" s="1044"/>
      <c r="BP8" s="528"/>
    </row>
    <row r="9" spans="1:69" ht="25">
      <c r="B9" s="228" t="s">
        <v>404</v>
      </c>
      <c r="C9" s="186"/>
      <c r="E9" s="213"/>
      <c r="G9" s="46">
        <v>240</v>
      </c>
      <c r="H9" s="36"/>
      <c r="I9" s="593">
        <f>Cal!C25</f>
        <v>0.58858151854031782</v>
      </c>
      <c r="J9" s="457" t="s">
        <v>123</v>
      </c>
      <c r="M9" s="426" t="s">
        <v>210</v>
      </c>
      <c r="O9" s="35"/>
      <c r="P9" s="35"/>
      <c r="Q9" s="186"/>
      <c r="R9" s="483" t="str">
        <f>IF(B3=B12,"","NO")</f>
        <v>NO</v>
      </c>
      <c r="S9" s="437" t="s">
        <v>209</v>
      </c>
      <c r="T9" s="186"/>
      <c r="U9" s="232"/>
      <c r="V9" s="232"/>
      <c r="W9" s="445"/>
      <c r="X9" s="446"/>
      <c r="Y9" s="47"/>
      <c r="AA9" s="35"/>
      <c r="AB9" s="382" t="s">
        <v>192</v>
      </c>
      <c r="AC9" s="45"/>
      <c r="AD9" s="45"/>
      <c r="AE9" s="45"/>
      <c r="AH9" s="45"/>
      <c r="AJ9" s="501">
        <v>9.9900000000000003E-2</v>
      </c>
      <c r="AK9" s="502">
        <v>9.4</v>
      </c>
      <c r="AL9" s="501">
        <v>0.10349999999999999</v>
      </c>
      <c r="AM9" s="502">
        <v>9.2799999999999994</v>
      </c>
      <c r="AN9" s="1036"/>
      <c r="AP9" s="501">
        <v>9.9900000000000003E-2</v>
      </c>
      <c r="AQ9" s="1024">
        <v>4</v>
      </c>
      <c r="AR9" s="501">
        <v>0.10349999999999999</v>
      </c>
      <c r="AS9" s="1025">
        <v>16</v>
      </c>
      <c r="BC9" s="526"/>
      <c r="BD9" s="370"/>
      <c r="BE9" s="559"/>
      <c r="BF9" s="37"/>
      <c r="BG9" s="35"/>
      <c r="BH9" s="517" t="s">
        <v>257</v>
      </c>
      <c r="BI9" s="518"/>
      <c r="BJ9" s="518">
        <v>15</v>
      </c>
      <c r="BK9" s="516" t="s">
        <v>258</v>
      </c>
      <c r="BL9" s="1014">
        <v>9.1499999999999998E-2</v>
      </c>
      <c r="BM9" s="1014">
        <v>9.5000000000000001E-2</v>
      </c>
      <c r="BN9" s="1050">
        <v>9.8900000000000002E-2</v>
      </c>
      <c r="BO9" s="1044"/>
      <c r="BP9" s="528"/>
    </row>
    <row r="10" spans="1:69">
      <c r="B10" s="229" t="s">
        <v>103</v>
      </c>
      <c r="C10" s="186"/>
      <c r="E10" s="213"/>
      <c r="F10" s="222" t="s">
        <v>110</v>
      </c>
      <c r="G10" s="46"/>
      <c r="H10" s="36"/>
      <c r="I10" s="1070" t="s">
        <v>408</v>
      </c>
      <c r="M10" s="428">
        <v>2586.21</v>
      </c>
      <c r="O10" s="35"/>
      <c r="P10" s="35"/>
      <c r="Q10" s="186"/>
      <c r="R10" s="35"/>
      <c r="S10" s="440" t="str">
        <f>IF(B3=B9,Captura!M25,S11)</f>
        <v>Prima Unica</v>
      </c>
      <c r="T10" s="186"/>
      <c r="U10" s="232"/>
      <c r="V10" s="232"/>
      <c r="W10" s="37"/>
      <c r="X10" s="37"/>
      <c r="AA10" s="35"/>
      <c r="AB10" s="385">
        <v>999999999999</v>
      </c>
      <c r="AC10" s="45"/>
      <c r="AD10" s="45"/>
      <c r="AE10" s="45"/>
      <c r="AG10" s="429" t="s">
        <v>213</v>
      </c>
      <c r="AH10" s="328" t="s">
        <v>171</v>
      </c>
      <c r="AI10" s="329">
        <v>0.11990000000000001</v>
      </c>
      <c r="AJ10" s="501">
        <v>0.10349999999999999</v>
      </c>
      <c r="AK10" s="502">
        <v>9.6199999999999992</v>
      </c>
      <c r="AL10" s="503">
        <v>0.1089</v>
      </c>
      <c r="AM10" s="504">
        <v>9.6300000000000008</v>
      </c>
      <c r="AN10" s="1036"/>
      <c r="AP10" s="501">
        <v>0.10349999999999999</v>
      </c>
      <c r="AQ10" s="1025">
        <v>5</v>
      </c>
      <c r="AR10" s="503">
        <v>0.1089</v>
      </c>
      <c r="AS10" s="1025">
        <v>17</v>
      </c>
      <c r="BC10" s="526"/>
      <c r="BD10" s="37"/>
      <c r="BE10" s="559"/>
      <c r="BF10" s="560"/>
      <c r="BG10" s="35"/>
      <c r="BH10" s="519" t="s">
        <v>257</v>
      </c>
      <c r="BI10" s="520"/>
      <c r="BJ10" s="520">
        <v>20</v>
      </c>
      <c r="BK10" s="521" t="s">
        <v>259</v>
      </c>
      <c r="BL10" s="1015">
        <v>9.5000000000000001E-2</v>
      </c>
      <c r="BM10" s="1015">
        <v>9.74E-2</v>
      </c>
      <c r="BN10" s="1051">
        <v>0.10199999999999999</v>
      </c>
      <c r="BO10" s="1044"/>
      <c r="BP10" s="528"/>
    </row>
    <row r="11" spans="1:69" ht="15" thickBot="1">
      <c r="B11" s="336" t="s">
        <v>104</v>
      </c>
      <c r="C11" s="186"/>
      <c r="E11" s="213"/>
      <c r="F11" s="223"/>
      <c r="G11" s="46"/>
      <c r="H11" s="36"/>
      <c r="I11" s="1071">
        <f>Captura!N13</f>
        <v>0</v>
      </c>
      <c r="M11" s="35"/>
      <c r="O11" s="35"/>
      <c r="P11" s="35"/>
      <c r="Q11" s="186"/>
      <c r="R11" s="35"/>
      <c r="S11" s="438" t="s">
        <v>13</v>
      </c>
      <c r="T11" s="186"/>
      <c r="U11" s="232"/>
      <c r="V11" s="232"/>
      <c r="W11" s="37"/>
      <c r="X11" s="37"/>
      <c r="AA11" s="35"/>
      <c r="AG11" s="430" t="s">
        <v>176</v>
      </c>
      <c r="AJ11" s="503">
        <v>0.1089</v>
      </c>
      <c r="AK11" s="504">
        <v>9.93</v>
      </c>
      <c r="AL11" s="503">
        <v>0.1139</v>
      </c>
      <c r="AM11" s="504">
        <v>9.9600000000000009</v>
      </c>
      <c r="AN11" s="1036"/>
      <c r="AP11" s="503">
        <v>0.1089</v>
      </c>
      <c r="AQ11" s="1025">
        <v>6</v>
      </c>
      <c r="AR11" s="503">
        <v>0.1139</v>
      </c>
      <c r="AS11" s="1025">
        <v>18</v>
      </c>
      <c r="BC11" s="526"/>
      <c r="BD11" s="535"/>
      <c r="BE11" s="552"/>
      <c r="BF11" s="37"/>
      <c r="BG11" s="35"/>
      <c r="BO11" s="1047"/>
      <c r="BP11" s="528"/>
    </row>
    <row r="12" spans="1:69" ht="15" thickBot="1">
      <c r="B12" s="231" t="s">
        <v>181</v>
      </c>
      <c r="C12" s="186"/>
      <c r="E12" s="213"/>
      <c r="F12" s="224">
        <f>F6*11</f>
        <v>26765.376</v>
      </c>
      <c r="G12" s="46"/>
      <c r="H12" s="36"/>
      <c r="I12" s="1069" t="str">
        <f>IF(B3=B6,"SI","")</f>
        <v/>
      </c>
      <c r="J12" s="243"/>
      <c r="M12" s="35"/>
      <c r="O12" s="35"/>
      <c r="P12" s="35"/>
      <c r="Q12" s="186"/>
      <c r="R12" s="35"/>
      <c r="S12" s="439" t="s">
        <v>21</v>
      </c>
      <c r="T12" s="186"/>
      <c r="U12" s="232"/>
      <c r="V12" s="232"/>
      <c r="W12" s="37"/>
      <c r="X12" s="37"/>
      <c r="AA12" s="35"/>
      <c r="AB12" s="382" t="s">
        <v>54</v>
      </c>
      <c r="AG12" s="206" t="s">
        <v>214</v>
      </c>
      <c r="AJ12" s="503">
        <v>9.5000000000000001E-2</v>
      </c>
      <c r="AK12" s="504">
        <v>9.1199999999999992</v>
      </c>
      <c r="AL12" s="501">
        <v>9.9400000000000002E-2</v>
      </c>
      <c r="AM12" s="502">
        <v>9.01</v>
      </c>
      <c r="AN12" s="1036"/>
      <c r="AP12" s="503">
        <v>9.5000000000000001E-2</v>
      </c>
      <c r="AQ12" s="1025">
        <v>7</v>
      </c>
      <c r="AR12" s="501">
        <v>9.9400000000000002E-2</v>
      </c>
      <c r="AS12" s="1025">
        <v>19</v>
      </c>
      <c r="BC12" s="526"/>
      <c r="BD12" s="535"/>
      <c r="BE12" s="552"/>
      <c r="BF12" s="37"/>
      <c r="BG12" s="35"/>
      <c r="BP12" s="528"/>
    </row>
    <row r="13" spans="1:69">
      <c r="B13" s="231" t="s">
        <v>88</v>
      </c>
      <c r="C13" s="186"/>
      <c r="E13" s="213"/>
      <c r="F13" s="409"/>
      <c r="G13" s="46"/>
      <c r="H13" s="36"/>
      <c r="I13" s="227" t="str">
        <f>IF(B3=B6,"NO","")</f>
        <v/>
      </c>
      <c r="J13" s="243"/>
      <c r="M13" s="35"/>
      <c r="O13" s="35"/>
      <c r="Q13" s="186"/>
      <c r="R13" s="35"/>
      <c r="S13" s="207" t="s">
        <v>216</v>
      </c>
      <c r="T13" s="328">
        <f>Captura!O25</f>
        <v>0</v>
      </c>
      <c r="U13" s="232"/>
      <c r="V13" s="232"/>
      <c r="W13" s="37"/>
      <c r="X13" s="37"/>
      <c r="AA13" s="35"/>
      <c r="AB13" s="387">
        <f>IF(B3=B11,Captura!G27+Captura!G29,Captura!G27)</f>
        <v>1699000</v>
      </c>
      <c r="AG13" s="206" t="s">
        <v>283</v>
      </c>
      <c r="AJ13" s="503">
        <v>9.9400000000000002E-2</v>
      </c>
      <c r="AK13" s="504">
        <v>9.3800000000000008</v>
      </c>
      <c r="AL13" s="503">
        <v>0.10299999999999999</v>
      </c>
      <c r="AM13" s="504">
        <v>9.25</v>
      </c>
      <c r="AN13" s="1036"/>
      <c r="AP13" s="503">
        <v>9.9400000000000002E-2</v>
      </c>
      <c r="AQ13" s="1025">
        <v>8</v>
      </c>
      <c r="AR13" s="503">
        <v>0.10299999999999999</v>
      </c>
      <c r="AS13" s="1025">
        <v>20</v>
      </c>
      <c r="BC13" s="526"/>
      <c r="BD13" s="535"/>
      <c r="BE13" s="552"/>
      <c r="BF13" s="37"/>
      <c r="BG13" s="35"/>
      <c r="BP13" s="528"/>
    </row>
    <row r="14" spans="1:69" ht="25">
      <c r="A14" s="35"/>
      <c r="B14" s="207" t="s">
        <v>182</v>
      </c>
      <c r="C14" s="186"/>
      <c r="E14" s="213"/>
      <c r="F14" s="216" t="s">
        <v>266</v>
      </c>
      <c r="G14" s="42"/>
      <c r="H14" s="36"/>
      <c r="M14" s="35"/>
      <c r="Q14" s="186"/>
      <c r="U14" s="37"/>
      <c r="V14" s="37"/>
      <c r="W14" s="37"/>
      <c r="X14" s="37"/>
      <c r="AG14" s="207" t="s">
        <v>284</v>
      </c>
      <c r="AJ14" s="503">
        <v>0.10299999999999999</v>
      </c>
      <c r="AK14" s="504">
        <v>9.6</v>
      </c>
      <c r="AL14" s="503">
        <v>0.1094</v>
      </c>
      <c r="AM14" s="504">
        <v>9.67</v>
      </c>
      <c r="AN14" s="1036"/>
      <c r="AP14" s="503">
        <v>0.10299999999999999</v>
      </c>
      <c r="AQ14" s="1025">
        <v>9</v>
      </c>
      <c r="AR14" s="503">
        <v>0.1094</v>
      </c>
      <c r="AS14" s="1025">
        <v>21</v>
      </c>
      <c r="BC14" s="526"/>
      <c r="BD14" s="535"/>
      <c r="BE14" s="552"/>
      <c r="BF14" s="37"/>
      <c r="BG14" s="35"/>
      <c r="BP14" s="528"/>
    </row>
    <row r="15" spans="1:69">
      <c r="A15" s="35"/>
      <c r="B15" s="411"/>
      <c r="C15" s="186"/>
      <c r="E15" s="213"/>
      <c r="F15" s="226" t="str">
        <f>IF(B3=B11,"SI","")</f>
        <v/>
      </c>
      <c r="G15" s="36"/>
      <c r="H15" s="36"/>
      <c r="M15" s="35"/>
      <c r="U15" s="37"/>
      <c r="V15" s="37"/>
      <c r="W15" s="37"/>
      <c r="X15" s="37"/>
      <c r="AI15" s="45"/>
      <c r="AJ15" s="503">
        <v>9.1499999999999998E-2</v>
      </c>
      <c r="AK15" s="504">
        <v>8.93</v>
      </c>
      <c r="AL15" s="501">
        <v>9.5000000000000001E-2</v>
      </c>
      <c r="AM15" s="502">
        <v>8.73</v>
      </c>
      <c r="AN15" s="1036"/>
      <c r="AP15" s="503">
        <v>9.1499999999999998E-2</v>
      </c>
      <c r="AQ15" s="1025">
        <v>10</v>
      </c>
      <c r="AR15" s="501">
        <v>9.5000000000000001E-2</v>
      </c>
      <c r="AS15" s="1025">
        <v>22</v>
      </c>
      <c r="BC15" s="526"/>
      <c r="BD15" s="37"/>
      <c r="BE15" s="37"/>
      <c r="BF15" s="37"/>
      <c r="BG15" s="35"/>
      <c r="BH15" s="535"/>
      <c r="BI15" s="370"/>
      <c r="BJ15" s="370"/>
      <c r="BK15" s="511"/>
      <c r="BL15" s="1044"/>
      <c r="BM15" s="1044"/>
      <c r="BN15" s="1044"/>
      <c r="BO15" s="1044"/>
      <c r="BP15" s="528"/>
    </row>
    <row r="16" spans="1:69">
      <c r="A16" s="35"/>
      <c r="B16" s="411"/>
      <c r="C16" s="186"/>
      <c r="E16" s="213"/>
      <c r="F16" s="227" t="str">
        <f>IF(B3=B11,"NO","")</f>
        <v/>
      </c>
      <c r="G16" s="36"/>
      <c r="H16" s="36"/>
      <c r="M16" s="35"/>
      <c r="U16" s="37"/>
      <c r="V16" s="37"/>
      <c r="W16" s="37"/>
      <c r="X16" s="37"/>
      <c r="AJ16" s="501">
        <v>9.5000000000000001E-2</v>
      </c>
      <c r="AK16" s="502">
        <v>9.1199999999999992</v>
      </c>
      <c r="AL16" s="503">
        <v>9.74E-2</v>
      </c>
      <c r="AM16" s="504">
        <v>8.8800000000000008</v>
      </c>
      <c r="AN16" s="1036"/>
      <c r="AP16" s="501">
        <v>9.5000000000000001E-2</v>
      </c>
      <c r="AQ16" s="1025">
        <v>11</v>
      </c>
      <c r="AR16" s="503">
        <v>9.74E-2</v>
      </c>
      <c r="AS16" s="1025">
        <v>23</v>
      </c>
      <c r="BC16" s="526"/>
      <c r="BD16" s="370"/>
      <c r="BE16" s="559"/>
      <c r="BF16" s="37"/>
      <c r="BG16" s="35"/>
      <c r="BH16" s="535"/>
      <c r="BI16" s="370"/>
      <c r="BJ16" s="370"/>
      <c r="BK16" s="511"/>
      <c r="BL16" s="1044"/>
      <c r="BM16" s="1044"/>
      <c r="BN16" s="1044"/>
      <c r="BO16" s="1044"/>
      <c r="BP16" s="528"/>
    </row>
    <row r="17" spans="1:69">
      <c r="A17" s="35"/>
      <c r="B17" s="411"/>
      <c r="C17" s="186"/>
      <c r="E17" s="213"/>
      <c r="H17" s="36"/>
      <c r="J17" s="186"/>
      <c r="M17" s="35"/>
      <c r="AJ17" s="1038">
        <v>9.8900000000000002E-2</v>
      </c>
      <c r="AK17" s="1039">
        <v>9.34</v>
      </c>
      <c r="AL17" s="1052">
        <v>0.10199999999999999</v>
      </c>
      <c r="AM17" s="1053">
        <v>9.18</v>
      </c>
      <c r="AN17" s="1036"/>
      <c r="AP17" s="1038">
        <v>9.8900000000000002E-2</v>
      </c>
      <c r="AQ17" s="1026">
        <v>12</v>
      </c>
      <c r="AR17" s="1052">
        <v>0.10199999999999999</v>
      </c>
      <c r="AS17" s="1026">
        <v>24</v>
      </c>
      <c r="BC17" s="526"/>
      <c r="BD17" s="37"/>
      <c r="BE17" s="559"/>
      <c r="BF17" s="560"/>
      <c r="BG17" s="35"/>
      <c r="BH17" s="535"/>
      <c r="BI17" s="370"/>
      <c r="BJ17" s="370"/>
      <c r="BK17" s="511"/>
      <c r="BL17" s="1044"/>
      <c r="BM17" s="1044"/>
      <c r="BN17" s="1044"/>
      <c r="BO17" s="1044"/>
      <c r="BP17" s="528"/>
    </row>
    <row r="18" spans="1:69">
      <c r="A18" s="35"/>
      <c r="B18" s="410" t="s">
        <v>183</v>
      </c>
      <c r="C18" s="186"/>
      <c r="E18" s="213"/>
      <c r="G18" s="36"/>
      <c r="H18" s="36"/>
      <c r="J18" s="422"/>
      <c r="M18" s="35"/>
      <c r="AJ18" s="1073">
        <v>9.74E-2</v>
      </c>
      <c r="AK18" s="1074">
        <v>9.26</v>
      </c>
      <c r="AL18" s="1073">
        <v>9.1499999999999998E-2</v>
      </c>
      <c r="AM18" s="1074">
        <v>8.51</v>
      </c>
      <c r="AN18" s="1036"/>
      <c r="AP18" s="1073">
        <v>9.74E-2</v>
      </c>
      <c r="AQ18" s="1077">
        <v>25</v>
      </c>
      <c r="AR18" s="1073">
        <v>9.1499999999999998E-2</v>
      </c>
      <c r="AS18" s="1075">
        <v>27</v>
      </c>
      <c r="BC18" s="526"/>
      <c r="BD18" s="535"/>
      <c r="BE18" s="552"/>
      <c r="BF18" s="37"/>
      <c r="BG18" s="35"/>
      <c r="BH18" s="535"/>
      <c r="BI18" s="370"/>
      <c r="BJ18" s="370"/>
      <c r="BK18" s="511"/>
      <c r="BL18" s="1044"/>
      <c r="BM18" s="1044"/>
      <c r="BN18" s="1044"/>
      <c r="BO18" s="1044"/>
      <c r="BP18" s="528"/>
    </row>
    <row r="19" spans="1:69">
      <c r="A19" s="35"/>
      <c r="B19" s="368" t="str">
        <f>IF(B3=B5,"si","no")</f>
        <v>no</v>
      </c>
      <c r="H19" s="36"/>
      <c r="J19" s="422"/>
      <c r="AJ19" s="1038">
        <v>0.1094</v>
      </c>
      <c r="AK19" s="1039">
        <v>9.9600000000000009</v>
      </c>
      <c r="AL19" s="1038">
        <v>9.8900000000000002E-2</v>
      </c>
      <c r="AM19" s="1039">
        <v>8.98</v>
      </c>
      <c r="AN19" s="1036"/>
      <c r="AP19" s="1038">
        <v>0.1094</v>
      </c>
      <c r="AQ19" s="1078">
        <v>26</v>
      </c>
      <c r="AR19" s="1038">
        <v>9.8900000000000002E-2</v>
      </c>
      <c r="AS19" s="1076">
        <v>28</v>
      </c>
      <c r="BC19" s="526"/>
      <c r="BD19" s="535"/>
      <c r="BE19" s="552"/>
      <c r="BF19" s="37"/>
      <c r="BG19" s="35"/>
      <c r="BH19" s="535"/>
      <c r="BI19" s="370"/>
      <c r="BJ19" s="370"/>
      <c r="BK19" s="511"/>
      <c r="BL19" s="1044"/>
      <c r="BM19" s="1044"/>
      <c r="BN19" s="1044"/>
      <c r="BO19" s="1044"/>
      <c r="BP19" s="528"/>
    </row>
    <row r="20" spans="1:69">
      <c r="A20" s="35"/>
      <c r="B20" s="367" t="s">
        <v>104</v>
      </c>
      <c r="H20" s="36"/>
      <c r="J20" s="186"/>
      <c r="M20" s="35"/>
      <c r="N20" s="35"/>
      <c r="AJ20" s="1079"/>
      <c r="AK20" s="1080"/>
      <c r="AL20" s="1079"/>
      <c r="AM20" s="1080"/>
      <c r="AN20" s="1036"/>
      <c r="AP20" s="1079"/>
      <c r="AQ20" s="1081"/>
      <c r="AR20" s="1079"/>
      <c r="AS20" s="1082"/>
      <c r="BC20" s="526"/>
      <c r="BD20" s="535"/>
      <c r="BE20" s="552"/>
      <c r="BF20" s="37"/>
      <c r="BG20" s="35"/>
      <c r="BH20" s="535"/>
      <c r="BI20" s="370"/>
      <c r="BJ20" s="370"/>
      <c r="BK20" s="511"/>
      <c r="BL20" s="1044"/>
      <c r="BM20" s="1044"/>
      <c r="BN20" s="1044"/>
      <c r="BO20" s="1044"/>
      <c r="BP20" s="528"/>
    </row>
    <row r="21" spans="1:69" ht="12.75" customHeight="1">
      <c r="B21" s="369" t="str">
        <f>IF(B3=B11,"si","no")</f>
        <v>no</v>
      </c>
      <c r="F21" s="186"/>
      <c r="H21" s="36"/>
      <c r="J21" s="186"/>
      <c r="M21" s="35"/>
      <c r="N21" s="35"/>
      <c r="AJ21" s="1079"/>
      <c r="AK21" s="1080"/>
      <c r="AL21" s="1079"/>
      <c r="AM21" s="1080"/>
      <c r="AN21" s="1036"/>
      <c r="AP21" s="1079"/>
      <c r="AQ21" s="1081"/>
      <c r="AR21" s="1079"/>
      <c r="AS21" s="1082"/>
      <c r="BC21" s="526"/>
      <c r="BD21" s="535"/>
      <c r="BE21" s="552"/>
      <c r="BF21" s="37"/>
      <c r="BG21" s="35"/>
      <c r="BH21" s="535"/>
      <c r="BI21" s="370"/>
      <c r="BJ21" s="370"/>
      <c r="BK21" s="511"/>
      <c r="BL21" s="1044"/>
      <c r="BM21" s="1044"/>
      <c r="BN21" s="1044"/>
      <c r="BO21" s="1044"/>
      <c r="BP21" s="528"/>
    </row>
    <row r="22" spans="1:69">
      <c r="B22" s="367" t="s">
        <v>181</v>
      </c>
      <c r="F22" s="186"/>
      <c r="G22" s="28"/>
      <c r="J22" s="186"/>
      <c r="M22" s="35"/>
      <c r="N22" s="35"/>
      <c r="AJ22" s="1079"/>
      <c r="AK22" s="1080"/>
      <c r="AL22" s="1079"/>
      <c r="AM22" s="1080"/>
      <c r="AN22" s="1036"/>
      <c r="AP22" s="1079"/>
      <c r="AQ22" s="1081"/>
      <c r="AR22" s="1079"/>
      <c r="AS22" s="1082"/>
      <c r="BC22" s="526"/>
      <c r="BD22" s="37"/>
      <c r="BE22" s="37"/>
      <c r="BF22" s="37"/>
      <c r="BG22" s="35"/>
      <c r="BH22" s="535"/>
      <c r="BI22" s="370"/>
      <c r="BJ22" s="370"/>
      <c r="BK22" s="511"/>
      <c r="BL22" s="1044"/>
      <c r="BM22" s="1044"/>
      <c r="BN22" s="1044"/>
      <c r="BO22" s="1044"/>
      <c r="BP22" s="528"/>
    </row>
    <row r="23" spans="1:69">
      <c r="B23" s="369" t="str">
        <f>IF(B3=B12,"si","no")</f>
        <v>no</v>
      </c>
      <c r="F23" s="186"/>
      <c r="G23" s="28"/>
      <c r="J23" s="186"/>
      <c r="AJ23" s="1079"/>
      <c r="AK23" s="1080"/>
      <c r="AL23" s="1079"/>
      <c r="AM23" s="1080"/>
      <c r="AN23" s="1036"/>
      <c r="AP23" s="1079"/>
      <c r="AQ23" s="1081"/>
      <c r="AR23" s="1079"/>
      <c r="AS23" s="1082"/>
      <c r="BC23" s="526"/>
      <c r="BD23" s="35"/>
      <c r="BE23" s="35"/>
      <c r="BF23" s="35"/>
      <c r="BG23" s="35"/>
      <c r="BH23" s="535"/>
      <c r="BI23" s="370"/>
      <c r="BJ23" s="370"/>
      <c r="BK23" s="511"/>
      <c r="BL23" s="1044"/>
      <c r="BM23" s="1044"/>
      <c r="BN23" s="1044"/>
      <c r="BO23" s="1044"/>
      <c r="BP23" s="528"/>
    </row>
    <row r="24" spans="1:69">
      <c r="B24" s="367" t="s">
        <v>88</v>
      </c>
      <c r="W24" s="17"/>
      <c r="AJ24" s="1079"/>
      <c r="AK24" s="1080"/>
      <c r="AL24" s="1079"/>
      <c r="AM24" s="1080"/>
      <c r="AN24" s="1036"/>
      <c r="AP24" s="1079"/>
      <c r="AQ24" s="1081"/>
      <c r="AR24" s="1079"/>
      <c r="AS24" s="1082"/>
      <c r="BC24" s="526"/>
      <c r="BD24" s="35"/>
      <c r="BE24" s="35"/>
      <c r="BF24" s="35"/>
      <c r="BG24" s="35"/>
      <c r="BH24" s="36"/>
      <c r="BI24" s="36"/>
      <c r="BJ24" s="36"/>
      <c r="BK24" s="36"/>
      <c r="BL24" s="36"/>
      <c r="BM24" s="36"/>
      <c r="BN24" s="36"/>
      <c r="BO24" s="36"/>
      <c r="BP24" s="528"/>
    </row>
    <row r="25" spans="1:69" s="32" customFormat="1" ht="15" thickBot="1">
      <c r="B25" s="369" t="str">
        <f>IF(B3=B13,"si","no")</f>
        <v>no</v>
      </c>
      <c r="C25" s="225"/>
      <c r="E25" s="236"/>
      <c r="F25" s="225"/>
      <c r="H25" s="33"/>
      <c r="I25" s="225"/>
      <c r="J25" s="225"/>
      <c r="Q25" s="225"/>
      <c r="W25" s="49"/>
      <c r="X25" s="37"/>
      <c r="Y25" s="37"/>
      <c r="Z25" s="225"/>
      <c r="AB25" s="37"/>
      <c r="AI25" s="37"/>
      <c r="AJ25" s="1079"/>
      <c r="AK25" s="1080"/>
      <c r="AL25" s="1079"/>
      <c r="AM25" s="1080"/>
      <c r="AN25" s="1036"/>
      <c r="AO25" s="37"/>
      <c r="AP25" s="1079"/>
      <c r="AQ25" s="1081"/>
      <c r="AR25" s="1079"/>
      <c r="AS25" s="1082"/>
      <c r="AT25" s="37"/>
      <c r="AU25" s="37"/>
      <c r="AV25" s="37"/>
      <c r="AW25" s="37"/>
      <c r="AX25" s="37"/>
      <c r="AY25" s="37"/>
      <c r="AZ25" s="37"/>
      <c r="BA25" s="37"/>
      <c r="BB25" s="37"/>
      <c r="BC25" s="530"/>
      <c r="BD25" s="531"/>
      <c r="BE25" s="531"/>
      <c r="BF25" s="531"/>
      <c r="BG25" s="531"/>
      <c r="BH25" s="532"/>
      <c r="BI25" s="532"/>
      <c r="BJ25" s="532"/>
      <c r="BK25" s="532"/>
      <c r="BL25" s="532"/>
      <c r="BM25" s="532"/>
      <c r="BN25" s="532"/>
      <c r="BO25" s="532"/>
      <c r="BP25" s="533"/>
      <c r="BQ25" s="33"/>
    </row>
    <row r="26" spans="1:69">
      <c r="B26" s="367" t="s">
        <v>184</v>
      </c>
      <c r="W26" s="49"/>
      <c r="X26" s="37"/>
      <c r="Y26" s="37"/>
      <c r="AJ26" s="1079"/>
      <c r="AK26" s="1080"/>
      <c r="AL26" s="1079"/>
      <c r="AM26" s="1080"/>
      <c r="AN26" s="1036"/>
      <c r="AP26" s="1079"/>
      <c r="AQ26" s="1081"/>
      <c r="AR26" s="1079"/>
      <c r="AS26" s="1082"/>
    </row>
    <row r="27" spans="1:69">
      <c r="B27" s="369" t="str">
        <f>IF(B3=B10,"si","no")</f>
        <v>no</v>
      </c>
      <c r="W27" s="49"/>
      <c r="X27" s="37"/>
      <c r="Y27" s="37"/>
      <c r="AJ27" s="1079"/>
      <c r="AK27" s="1080"/>
      <c r="AL27" s="1079"/>
      <c r="AM27" s="1080"/>
      <c r="AN27" s="1036"/>
      <c r="AP27" s="1079"/>
      <c r="AQ27" s="1081"/>
      <c r="AR27" s="1079"/>
      <c r="AS27" s="1082"/>
    </row>
    <row r="28" spans="1:69">
      <c r="B28" s="367" t="s">
        <v>185</v>
      </c>
      <c r="W28" s="49"/>
      <c r="X28" s="37"/>
      <c r="Y28" s="37"/>
      <c r="AJ28" s="1079"/>
      <c r="AK28" s="1080"/>
      <c r="AL28" s="1079"/>
      <c r="AM28" s="1080"/>
      <c r="AN28" s="1036"/>
      <c r="AP28" s="1079"/>
      <c r="AQ28" s="1081"/>
      <c r="AR28" s="1079"/>
      <c r="AS28" s="1082"/>
    </row>
    <row r="29" spans="1:69">
      <c r="B29" s="369" t="str">
        <f>IF(B3=B6,"si","no")</f>
        <v>no</v>
      </c>
      <c r="W29" s="49"/>
      <c r="X29" s="37"/>
      <c r="Y29" s="37"/>
      <c r="AJ29" s="1079"/>
      <c r="AK29" s="1080"/>
      <c r="AL29" s="1079"/>
      <c r="AM29" s="1080"/>
      <c r="AN29" s="1036"/>
      <c r="AP29" s="1079"/>
      <c r="AQ29" s="1081"/>
      <c r="AR29" s="1079"/>
      <c r="AS29" s="1082"/>
    </row>
    <row r="30" spans="1:69">
      <c r="B30" s="367" t="s">
        <v>182</v>
      </c>
      <c r="W30" s="49"/>
      <c r="X30" s="37"/>
      <c r="Y30" s="37"/>
      <c r="AJ30" s="1079"/>
      <c r="AK30" s="1080"/>
      <c r="AL30" s="1079"/>
      <c r="AM30" s="1080"/>
      <c r="AN30" s="1036"/>
      <c r="AP30" s="1079"/>
      <c r="AQ30" s="1082"/>
      <c r="AR30" s="1079"/>
      <c r="AS30" s="1082"/>
    </row>
    <row r="31" spans="1:69">
      <c r="B31" s="369" t="str">
        <f>IF(B3=B14,"si","no")</f>
        <v>no</v>
      </c>
      <c r="W31" s="49"/>
      <c r="X31" s="37"/>
      <c r="Y31" s="37"/>
      <c r="AJ31" s="1079"/>
      <c r="AK31" s="1080"/>
      <c r="AL31" s="1079"/>
      <c r="AM31" s="1080"/>
      <c r="AN31" s="1036"/>
      <c r="AP31" s="1079"/>
      <c r="AQ31" s="1082"/>
      <c r="AR31" s="1079"/>
      <c r="AS31" s="1082"/>
    </row>
    <row r="32" spans="1:69">
      <c r="A32" s="35"/>
      <c r="B32" s="367" t="s">
        <v>209</v>
      </c>
      <c r="X32" s="37"/>
      <c r="Y32" s="37"/>
      <c r="AJ32" s="1079"/>
      <c r="AK32" s="1080"/>
      <c r="AL32" s="1079"/>
      <c r="AM32" s="1080"/>
      <c r="AN32" s="1036"/>
      <c r="AP32" s="1079"/>
      <c r="AQ32" s="1082"/>
      <c r="AR32" s="1079"/>
      <c r="AS32" s="1082"/>
    </row>
    <row r="33" spans="1:45">
      <c r="A33" s="35"/>
      <c r="B33" s="369" t="str">
        <f>IF(AND(B3=B9,OR(AG3=AG10,AG3=AG11,AG3=AG12)),"si","no")</f>
        <v>no</v>
      </c>
      <c r="X33" s="37"/>
      <c r="Y33" s="37"/>
      <c r="AJ33" s="1079"/>
      <c r="AK33" s="1080"/>
      <c r="AL33" s="1079"/>
      <c r="AM33" s="1080"/>
      <c r="AN33" s="1036"/>
      <c r="AP33" s="1079"/>
      <c r="AQ33" s="1082"/>
      <c r="AR33" s="1079"/>
      <c r="AS33" s="1082"/>
    </row>
    <row r="34" spans="1:45" ht="11.25" customHeight="1">
      <c r="A34" s="35"/>
      <c r="B34" s="367" t="s">
        <v>210</v>
      </c>
      <c r="X34" s="37"/>
      <c r="Y34" s="37"/>
    </row>
    <row r="35" spans="1:45">
      <c r="A35" s="35"/>
      <c r="B35" s="369" t="str">
        <f>IF(AND(B3=B9,OR(AG3=AG13,AG3=AG14)),"si","no")</f>
        <v>no</v>
      </c>
      <c r="X35" s="37"/>
      <c r="Y35" s="37"/>
    </row>
    <row r="36" spans="1:45">
      <c r="X36" s="37"/>
      <c r="Y36" s="50"/>
    </row>
    <row r="37" spans="1:45">
      <c r="X37" s="37"/>
      <c r="Y37" s="50"/>
    </row>
    <row r="38" spans="1:45">
      <c r="X38" s="37"/>
      <c r="Y38" s="50"/>
    </row>
    <row r="39" spans="1:45">
      <c r="X39" s="37"/>
      <c r="Y39" s="50"/>
    </row>
    <row r="40" spans="1:45">
      <c r="X40" s="37"/>
      <c r="Y40" s="50"/>
    </row>
    <row r="41" spans="1:45">
      <c r="X41" s="37"/>
      <c r="Y41" s="50"/>
    </row>
    <row r="42" spans="1:45">
      <c r="X42" s="37"/>
      <c r="Y42" s="50"/>
    </row>
    <row r="43" spans="1:45">
      <c r="X43" s="37"/>
      <c r="Y43" s="50"/>
    </row>
    <row r="44" spans="1:45">
      <c r="X44" s="37"/>
      <c r="Y44" s="50"/>
    </row>
    <row r="45" spans="1:45">
      <c r="X45" s="37"/>
      <c r="Y45" s="50"/>
    </row>
    <row r="48" spans="1:45" ht="12">
      <c r="A48" s="465">
        <v>1</v>
      </c>
      <c r="B48" s="465">
        <v>2</v>
      </c>
      <c r="C48" s="465">
        <v>3</v>
      </c>
      <c r="D48" s="465">
        <v>4</v>
      </c>
      <c r="E48" s="465">
        <v>5</v>
      </c>
      <c r="F48" s="465">
        <v>6</v>
      </c>
      <c r="G48" s="465">
        <v>7</v>
      </c>
      <c r="H48" s="465">
        <v>8</v>
      </c>
      <c r="I48" s="465">
        <v>9</v>
      </c>
      <c r="J48" s="465"/>
      <c r="K48" s="465"/>
      <c r="L48" s="465"/>
      <c r="M48" s="465"/>
      <c r="N48" s="465"/>
      <c r="O48" s="465"/>
      <c r="P48" s="465"/>
      <c r="Q48" s="465"/>
      <c r="R48" s="465"/>
      <c r="S48" s="465"/>
      <c r="T48" s="465"/>
      <c r="U48" s="465"/>
      <c r="V48" s="465"/>
      <c r="W48" s="465"/>
      <c r="X48" s="465"/>
      <c r="Y48" s="465"/>
      <c r="Z48" s="465"/>
      <c r="AA48" s="465"/>
      <c r="AB48" s="465"/>
      <c r="AC48" s="465"/>
      <c r="AD48" s="465"/>
      <c r="AE48" s="465"/>
      <c r="AF48" s="465"/>
      <c r="AG48" s="463"/>
      <c r="AH48" s="465"/>
      <c r="AI48" s="464"/>
      <c r="AJ48" s="464"/>
      <c r="AK48" s="464"/>
      <c r="AL48" s="464"/>
      <c r="AM48" s="464"/>
      <c r="AN48" s="464"/>
    </row>
    <row r="49" spans="1:58" ht="21">
      <c r="B49" s="477" t="s">
        <v>226</v>
      </c>
      <c r="C49" s="466" t="s">
        <v>227</v>
      </c>
      <c r="D49" s="467" t="s">
        <v>228</v>
      </c>
      <c r="E49" s="468" t="s">
        <v>229</v>
      </c>
      <c r="F49" s="468" t="s">
        <v>230</v>
      </c>
      <c r="G49" s="468" t="s">
        <v>231</v>
      </c>
      <c r="H49" s="469" t="s">
        <v>5</v>
      </c>
    </row>
    <row r="50" spans="1:58">
      <c r="A50" s="472" t="s">
        <v>225</v>
      </c>
      <c r="B50" s="470">
        <f>Captura!G15</f>
        <v>240</v>
      </c>
      <c r="BF50" s="1041"/>
    </row>
    <row r="51" spans="1:58">
      <c r="A51" s="44" t="str">
        <f>B4</f>
        <v>Adquisición</v>
      </c>
      <c r="B51" s="473">
        <f>Captura!$G$107</f>
        <v>9.5000000000000001E-2</v>
      </c>
      <c r="C51" s="471">
        <v>0.01</v>
      </c>
      <c r="D51" s="474">
        <v>250</v>
      </c>
      <c r="E51" s="586">
        <v>0.9</v>
      </c>
      <c r="F51" s="459"/>
      <c r="G51" s="44"/>
      <c r="H51" s="474"/>
      <c r="BF51" s="1042"/>
    </row>
    <row r="52" spans="1:58">
      <c r="A52" s="44" t="str">
        <f t="shared" ref="A52:A61" si="0">B5</f>
        <v>Adquisición con Apoyo INFONAVIT</v>
      </c>
      <c r="B52" s="473">
        <f>Captura!$G$107</f>
        <v>9.5000000000000001E-2</v>
      </c>
      <c r="C52" s="471">
        <v>0.01</v>
      </c>
      <c r="D52" s="474">
        <v>250</v>
      </c>
      <c r="E52" s="471">
        <v>0.95</v>
      </c>
      <c r="F52" s="459"/>
      <c r="G52" s="44"/>
      <c r="H52" s="474"/>
    </row>
    <row r="53" spans="1:58">
      <c r="A53" s="44" t="str">
        <f t="shared" si="0"/>
        <v xml:space="preserve">Cofinavit </v>
      </c>
      <c r="B53" s="473">
        <f>Captura!$G$107</f>
        <v>9.5000000000000001E-2</v>
      </c>
      <c r="C53" s="471">
        <v>0.01</v>
      </c>
      <c r="D53" s="474">
        <v>250</v>
      </c>
      <c r="E53" s="1055">
        <f>IF(I11="si",105%,100%)</f>
        <v>1</v>
      </c>
      <c r="F53" s="1055">
        <f>IF(I11="si",105%,100%)</f>
        <v>1</v>
      </c>
      <c r="G53" s="475">
        <v>9.99</v>
      </c>
      <c r="H53" s="474"/>
    </row>
    <row r="54" spans="1:58">
      <c r="A54" s="44" t="str">
        <f t="shared" si="0"/>
        <v>Fovissste Alia2</v>
      </c>
      <c r="B54" s="473">
        <f>Captura!$G$107</f>
        <v>9.5000000000000001E-2</v>
      </c>
      <c r="C54" s="471">
        <v>0.01</v>
      </c>
      <c r="D54" s="474">
        <v>250</v>
      </c>
      <c r="E54" s="471">
        <v>0.95</v>
      </c>
      <c r="F54" s="471">
        <v>1</v>
      </c>
      <c r="G54" s="475">
        <v>1</v>
      </c>
      <c r="H54" s="474"/>
    </row>
    <row r="55" spans="1:58">
      <c r="A55" s="44" t="str">
        <f t="shared" si="0"/>
        <v>Fovissste Respalda2</v>
      </c>
      <c r="B55" s="473">
        <f>Captura!$G$107</f>
        <v>9.5000000000000001E-2</v>
      </c>
      <c r="C55" s="471">
        <v>0.01</v>
      </c>
      <c r="D55" s="474">
        <v>250</v>
      </c>
      <c r="E55" s="471">
        <v>0.95</v>
      </c>
      <c r="F55" s="471">
        <v>1</v>
      </c>
      <c r="G55" s="475">
        <v>1</v>
      </c>
      <c r="H55" s="474"/>
    </row>
    <row r="56" spans="1:58">
      <c r="A56" s="44" t="str">
        <f t="shared" si="0"/>
        <v>Sustitución/ Mejora de Condiciones</v>
      </c>
      <c r="B56" s="473">
        <f>Captura!$G$107</f>
        <v>9.5000000000000001E-2</v>
      </c>
      <c r="C56" s="471">
        <v>0.01</v>
      </c>
      <c r="D56" s="474">
        <v>250</v>
      </c>
      <c r="E56" s="471">
        <v>0.9</v>
      </c>
      <c r="F56" s="459"/>
      <c r="G56" s="44"/>
      <c r="H56" s="474"/>
    </row>
    <row r="57" spans="1:58">
      <c r="A57" s="44" t="str">
        <f t="shared" si="0"/>
        <v>Terminación de Obra y Remodelación</v>
      </c>
      <c r="B57" s="473">
        <f>Captura!$G$107</f>
        <v>9.5000000000000001E-2</v>
      </c>
      <c r="C57" s="471">
        <v>0.01</v>
      </c>
      <c r="D57" s="474">
        <v>250</v>
      </c>
      <c r="E57" s="471">
        <v>0.5</v>
      </c>
      <c r="F57" s="459"/>
      <c r="G57" s="44"/>
      <c r="H57" s="474"/>
    </row>
    <row r="58" spans="1:58">
      <c r="A58" s="44" t="str">
        <f t="shared" si="0"/>
        <v>Construcción</v>
      </c>
      <c r="B58" s="473">
        <f>Captura!$G$107</f>
        <v>9.5000000000000001E-2</v>
      </c>
      <c r="C58" s="471">
        <v>0.01</v>
      </c>
      <c r="D58" s="474">
        <v>250</v>
      </c>
      <c r="E58" s="471">
        <v>0.75</v>
      </c>
      <c r="F58" s="459"/>
      <c r="G58" s="44"/>
      <c r="H58" s="474"/>
    </row>
    <row r="59" spans="1:58">
      <c r="A59" s="44" t="str">
        <f t="shared" si="0"/>
        <v>Terreno</v>
      </c>
      <c r="B59" s="473">
        <v>0.13339999999999999</v>
      </c>
      <c r="C59" s="471">
        <v>0.01</v>
      </c>
      <c r="D59" s="474">
        <v>250</v>
      </c>
      <c r="E59" s="586">
        <f>IF(Captura!G27&lt;=Adm!AB7,50%,70%)</f>
        <v>0.7</v>
      </c>
      <c r="F59" s="459"/>
      <c r="G59" s="44"/>
      <c r="H59" s="476">
        <v>0.16</v>
      </c>
    </row>
    <row r="60" spans="1:58">
      <c r="A60" s="44" t="str">
        <f t="shared" si="0"/>
        <v>Liquidez</v>
      </c>
      <c r="B60" s="590">
        <f>IF(AND(G3=60,Captura!G33&lt;=AD3),13.34%,IF(AND(G3=60,Captura!G33&gt;AD3),12.34%,IF(AND(G3=120,Captura!G33&lt;=AD3),14.34%,IF(AND(G3=120,Captura!G33&gt;AD3),13.34%,0))))</f>
        <v>0</v>
      </c>
      <c r="C60" s="471">
        <v>0.01</v>
      </c>
      <c r="D60" s="474">
        <v>250</v>
      </c>
      <c r="E60" s="586">
        <f>IF(AND(G3=60,Captura!G33&lt;=AD3),50%,IF(AND(G3=60,Captura!G33&gt;AD3),70%,IF(AND(G3=120,Captura!G33&lt;=AD3),50%,IF(AND(G3=120,Captura!G33&gt;AD3),70%,0))))</f>
        <v>0</v>
      </c>
      <c r="F60" s="459"/>
      <c r="G60" s="44"/>
      <c r="H60" s="476">
        <v>0.16</v>
      </c>
    </row>
    <row r="61" spans="1:58">
      <c r="A61" s="44" t="str">
        <f t="shared" si="0"/>
        <v>Hipoteca Red Salud</v>
      </c>
      <c r="B61" s="473">
        <v>0.13339999999999999</v>
      </c>
      <c r="C61" s="471">
        <v>0.01</v>
      </c>
      <c r="D61" s="474">
        <v>250</v>
      </c>
      <c r="E61" s="471">
        <v>0.7</v>
      </c>
      <c r="F61" s="459"/>
      <c r="G61" s="44"/>
      <c r="H61" s="476">
        <v>0.16</v>
      </c>
    </row>
  </sheetData>
  <sortState ref="AL6:AM33">
    <sortCondition ref="AL6:AL33"/>
  </sortState>
  <mergeCells count="13">
    <mergeCell ref="R1:R2"/>
    <mergeCell ref="W1:Y1"/>
    <mergeCell ref="U1:V1"/>
    <mergeCell ref="AP1:AS1"/>
    <mergeCell ref="AP4:AQ4"/>
    <mergeCell ref="AR4:AS4"/>
    <mergeCell ref="AD1:AE1"/>
    <mergeCell ref="AJ1:AM1"/>
    <mergeCell ref="AN1:AO1"/>
    <mergeCell ref="AJ4:AK4"/>
    <mergeCell ref="AL4:AM4"/>
    <mergeCell ref="AJ3:AK3"/>
    <mergeCell ref="AL3:AM3"/>
  </mergeCells>
  <pageMargins left="0.75" right="0.75" top="1" bottom="1" header="0" footer="0"/>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1:O111"/>
  <sheetViews>
    <sheetView showGridLines="0" topLeftCell="A7" workbookViewId="0">
      <selection activeCell="AE4" sqref="AE4"/>
    </sheetView>
  </sheetViews>
  <sheetFormatPr baseColWidth="10" defaultColWidth="10.83203125" defaultRowHeight="14" x14ac:dyDescent="0"/>
  <cols>
    <col min="1" max="1" width="42.6640625" style="53" customWidth="1"/>
    <col min="2" max="2" width="27.5" style="53" customWidth="1"/>
    <col min="3" max="3" width="20.33203125" style="53" customWidth="1"/>
    <col min="4" max="4" width="17.1640625" style="53" customWidth="1"/>
    <col min="5" max="5" width="24.5" style="53" customWidth="1"/>
    <col min="6" max="6" width="21" style="53" customWidth="1"/>
    <col min="7" max="7" width="1.5" style="53" customWidth="1"/>
    <col min="8" max="9" width="16.33203125" style="53" customWidth="1"/>
    <col min="10" max="10" width="1.5" style="53" customWidth="1"/>
    <col min="11" max="11" width="16.5" style="53" customWidth="1"/>
    <col min="12" max="12" width="13.1640625" style="53" customWidth="1"/>
    <col min="13" max="13" width="1.5" style="53" customWidth="1"/>
    <col min="14" max="14" width="13.6640625" style="53" customWidth="1"/>
    <col min="15" max="15" width="14.5" style="53" customWidth="1"/>
    <col min="16" max="16384" width="10.83203125" style="53"/>
  </cols>
  <sheetData>
    <row r="1" spans="1:11">
      <c r="A1" s="60" t="s">
        <v>58</v>
      </c>
      <c r="B1" s="61"/>
      <c r="C1" s="61"/>
      <c r="E1" s="146" t="s">
        <v>88</v>
      </c>
    </row>
    <row r="2" spans="1:11" ht="25">
      <c r="E2" s="319" t="s">
        <v>111</v>
      </c>
    </row>
    <row r="3" spans="1:11" ht="15" thickBot="1">
      <c r="C3" s="55" t="s">
        <v>265</v>
      </c>
      <c r="E3" s="322" t="s">
        <v>168</v>
      </c>
      <c r="F3" s="324">
        <f>(B7+B7*7%)/B4</f>
        <v>0.62978222483814006</v>
      </c>
      <c r="H3" s="323">
        <f>IF(Adm!AF3=0,0,IF(OR(Adm!AF3=Adm!AF5,Adm!AF3=Adm!AF6),0,IF(B7*7%&lt;=0,0,IF(AND(Adm!S10=Adm!S11,B7*7%+B7&lt;=B4*0.97),B7*7%+(B7*Adm!W3),IF(AND(OR(Adm!S10=Adm!S12,Adm!S10=Adm!S13),B7*7%+B7&lt;=B4*0.97),B7*7%,0)))))</f>
        <v>0</v>
      </c>
      <c r="K3" s="585"/>
    </row>
    <row r="4" spans="1:11" ht="15" thickBot="1">
      <c r="A4" s="54" t="s">
        <v>54</v>
      </c>
      <c r="B4" s="251">
        <f>Captura!G27</f>
        <v>1699000</v>
      </c>
      <c r="C4" s="64">
        <f>B4</f>
        <v>1699000</v>
      </c>
      <c r="E4" s="325" t="s">
        <v>169</v>
      </c>
      <c r="H4" s="326">
        <f>IF(Adm!AF3=0,0,IF(OR(Adm!AF3=Adm!AF4,Adm!AF3=Adm!AF6),0,IF(B4*0.7-B7&lt;0,0,IF(B4*0.7-B7&lt;=B7*0.6,B4*0.7-B7,B7*0.6))))</f>
        <v>0</v>
      </c>
    </row>
    <row r="5" spans="1:11">
      <c r="B5" s="141" t="s">
        <v>55</v>
      </c>
      <c r="C5" s="65">
        <f>Adm!H3</f>
        <v>0.9</v>
      </c>
      <c r="E5" s="327" t="s">
        <v>170</v>
      </c>
      <c r="H5" s="326">
        <f>IF(Adm!AF3=0,0,IF(OR(Adm!AF3=Adm!AF4,Adm!AF3=Adm!AF5),0,IF(B4*0.5-B7&lt;0,0,B4*0.5-B7)))</f>
        <v>0</v>
      </c>
    </row>
    <row r="6" spans="1:11" ht="15" thickBot="1">
      <c r="B6" s="62" t="s">
        <v>57</v>
      </c>
      <c r="C6" s="66">
        <f>C4*C5</f>
        <v>1529100</v>
      </c>
    </row>
    <row r="7" spans="1:11" ht="15" thickBot="1">
      <c r="A7" s="54" t="s">
        <v>128</v>
      </c>
      <c r="B7" s="251">
        <f>Captura!G29</f>
        <v>1000000</v>
      </c>
      <c r="C7" s="252">
        <f>IF(B7&lt;C6,B7,C6)</f>
        <v>1000000</v>
      </c>
      <c r="E7" s="594" t="s">
        <v>282</v>
      </c>
      <c r="F7" s="597">
        <f>Captura!G109</f>
        <v>0</v>
      </c>
      <c r="G7" s="595"/>
      <c r="H7" s="596">
        <f>IF(AND(Captura!G109&gt;0,Captura!G109&lt;=MAX(H3:H5)),Captura!G109,MAX(H3:H5))</f>
        <v>0</v>
      </c>
    </row>
    <row r="8" spans="1:11">
      <c r="B8" s="54" t="s">
        <v>56</v>
      </c>
      <c r="C8" s="142">
        <f>IF(C7&lt;Adm!AC2,0,C7)</f>
        <v>1000000</v>
      </c>
      <c r="E8" s="145"/>
      <c r="F8" s="564"/>
    </row>
    <row r="9" spans="1:11">
      <c r="B9" s="53" t="s">
        <v>186</v>
      </c>
      <c r="C9" s="539">
        <f>IF(B7/B4&gt;C5,C5,B7/B4)</f>
        <v>0.58858151854031782</v>
      </c>
      <c r="D9" s="145"/>
      <c r="E9" s="53" t="s">
        <v>186</v>
      </c>
      <c r="F9" s="591">
        <f>IF(Adm!AF3=Adm!AF4,F3,(C8+H7)/B4)</f>
        <v>0.58858151854031782</v>
      </c>
    </row>
    <row r="10" spans="1:11">
      <c r="A10" s="376"/>
      <c r="B10" s="143"/>
      <c r="C10" s="144"/>
      <c r="D10" s="145"/>
      <c r="E10" s="320"/>
    </row>
    <row r="11" spans="1:11">
      <c r="B11" s="265" t="s">
        <v>130</v>
      </c>
      <c r="C11" s="64">
        <f>IF(Adm!S3=Adm!S11,C8*Adm!W3,0)</f>
        <v>31540</v>
      </c>
      <c r="E11" s="321"/>
    </row>
    <row r="12" spans="1:11">
      <c r="B12" s="265" t="s">
        <v>130</v>
      </c>
      <c r="C12" s="266">
        <f>IF(((C8+C11)/C4)&lt;100%,C11,0)</f>
        <v>31540</v>
      </c>
      <c r="E12" s="145"/>
    </row>
    <row r="13" spans="1:11">
      <c r="B13" s="546"/>
      <c r="C13" s="547"/>
      <c r="E13" s="145"/>
    </row>
    <row r="14" spans="1:11">
      <c r="B14" s="63"/>
      <c r="E14" s="145"/>
    </row>
    <row r="15" spans="1:11" ht="15">
      <c r="A15" s="254" t="s">
        <v>131</v>
      </c>
      <c r="B15" s="254" t="s">
        <v>131</v>
      </c>
      <c r="C15" s="254" t="s">
        <v>131</v>
      </c>
      <c r="D15" s="254" t="s">
        <v>131</v>
      </c>
      <c r="E15" s="318"/>
    </row>
    <row r="16" spans="1:11">
      <c r="B16" s="63"/>
      <c r="E16" s="145"/>
    </row>
    <row r="17" spans="1:6">
      <c r="A17" s="553" t="s">
        <v>134</v>
      </c>
      <c r="B17" s="261">
        <f>B4</f>
        <v>1699000</v>
      </c>
      <c r="C17" s="53" t="s">
        <v>409</v>
      </c>
      <c r="D17" s="67">
        <f>IF(Adm!I11="si",1.05,1)</f>
        <v>1</v>
      </c>
      <c r="E17" s="145"/>
    </row>
    <row r="18" spans="1:6">
      <c r="A18" s="255" t="s">
        <v>132</v>
      </c>
      <c r="B18" s="83">
        <f>IF(Adm!B3=Adm!B6,Captura!N15,0)</f>
        <v>0</v>
      </c>
      <c r="E18" s="145"/>
    </row>
    <row r="19" spans="1:6">
      <c r="A19" s="255" t="s">
        <v>133</v>
      </c>
      <c r="B19" s="83">
        <f>IF(Adm!B3=Adm!B6,Captura!N17,0)</f>
        <v>0</v>
      </c>
      <c r="E19" s="145"/>
    </row>
    <row r="20" spans="1:6">
      <c r="B20" s="63"/>
      <c r="E20" s="145"/>
    </row>
    <row r="21" spans="1:6">
      <c r="B21" s="63"/>
      <c r="C21" s="55" t="s">
        <v>265</v>
      </c>
      <c r="E21" s="1057"/>
    </row>
    <row r="22" spans="1:6">
      <c r="A22" s="256" t="s">
        <v>135</v>
      </c>
      <c r="B22" s="232"/>
      <c r="C22" s="262">
        <v>1</v>
      </c>
      <c r="D22" s="262">
        <f>IF(Adm!I11="si",105%,100%)</f>
        <v>1</v>
      </c>
      <c r="E22" s="1056"/>
    </row>
    <row r="23" spans="1:6">
      <c r="B23" s="257" t="s">
        <v>136</v>
      </c>
      <c r="C23" s="1058">
        <f>IF(B7+B18&lt;=B17,B7,B17-B18)</f>
        <v>1000000</v>
      </c>
      <c r="E23" s="145"/>
    </row>
    <row r="24" spans="1:6">
      <c r="B24" s="54" t="s">
        <v>56</v>
      </c>
      <c r="C24" s="264">
        <f>IF(C23&lt;Adm!AC2,0,C23)</f>
        <v>1000000</v>
      </c>
      <c r="E24" s="145"/>
    </row>
    <row r="25" spans="1:6">
      <c r="A25" s="186"/>
      <c r="B25" s="536" t="s">
        <v>267</v>
      </c>
      <c r="C25" s="1059">
        <f>C24/B17</f>
        <v>0.58858151854031782</v>
      </c>
      <c r="D25" s="1068"/>
      <c r="E25" s="145"/>
    </row>
    <row r="26" spans="1:6">
      <c r="A26" s="1062" t="s">
        <v>405</v>
      </c>
      <c r="B26" s="258"/>
      <c r="C26" s="1064">
        <f>IF(Adm!I11="no",0,IF(((C24*5%)+C24+B18)/B17&lt;=D22*D17,C24*5%,0))</f>
        <v>50000</v>
      </c>
      <c r="D26" s="591"/>
      <c r="E26" s="1063"/>
      <c r="F26" s="1065"/>
    </row>
    <row r="27" spans="1:6">
      <c r="A27" s="259" t="s">
        <v>137</v>
      </c>
      <c r="B27" s="186"/>
      <c r="C27" s="64">
        <f>C24*Adm!W3</f>
        <v>31540</v>
      </c>
      <c r="D27" s="591"/>
      <c r="E27" s="1063"/>
    </row>
    <row r="28" spans="1:6">
      <c r="A28" s="260" t="s">
        <v>138</v>
      </c>
      <c r="C28" s="1072">
        <f>IF(((C24+C27+B18+C26)/B17)&lt;=D22,C27,0)</f>
        <v>31540</v>
      </c>
      <c r="D28" s="1065">
        <f>(C24+C27+B18+C26)/B17</f>
        <v>0.63657445556209535</v>
      </c>
      <c r="E28" s="1057"/>
    </row>
    <row r="29" spans="1:6">
      <c r="B29" s="63"/>
      <c r="D29" s="1066">
        <f>(C26+C28+C24+B18)/B17</f>
        <v>0.63657445556209535</v>
      </c>
      <c r="E29" s="1067" t="s">
        <v>407</v>
      </c>
      <c r="F29" s="591"/>
    </row>
    <row r="30" spans="1:6">
      <c r="B30" s="63"/>
      <c r="E30" s="145"/>
    </row>
    <row r="31" spans="1:6" ht="15">
      <c r="A31" s="254" t="s">
        <v>261</v>
      </c>
      <c r="B31" s="254" t="s">
        <v>261</v>
      </c>
      <c r="C31" s="254" t="s">
        <v>261</v>
      </c>
      <c r="D31" s="254" t="s">
        <v>261</v>
      </c>
      <c r="E31" s="145"/>
    </row>
    <row r="32" spans="1:6">
      <c r="B32" s="63"/>
      <c r="E32" s="145"/>
    </row>
    <row r="33" spans="1:5">
      <c r="A33" s="553" t="s">
        <v>134</v>
      </c>
      <c r="B33" s="261">
        <f>B4</f>
        <v>1699000</v>
      </c>
      <c r="E33" s="145"/>
    </row>
    <row r="34" spans="1:5">
      <c r="A34" s="415" t="s">
        <v>262</v>
      </c>
      <c r="B34" s="83">
        <f>IF(Adm!B3=Adm!B7,Captura!N15,IF(Adm!B3=Adm!B8,0,0))</f>
        <v>0</v>
      </c>
      <c r="E34" s="145"/>
    </row>
    <row r="35" spans="1:5">
      <c r="A35" s="415" t="s">
        <v>204</v>
      </c>
      <c r="B35" s="83">
        <f>IF(OR(Adm!B3=Adm!B7,Adm!B3=Adm!B8),Captura!N17,0)</f>
        <v>0</v>
      </c>
      <c r="E35" s="145"/>
    </row>
    <row r="36" spans="1:5">
      <c r="A36" s="541"/>
      <c r="B36" s="277"/>
      <c r="E36" s="145"/>
    </row>
    <row r="37" spans="1:5">
      <c r="B37" s="63"/>
      <c r="C37" s="55" t="s">
        <v>265</v>
      </c>
      <c r="E37" s="145"/>
    </row>
    <row r="38" spans="1:5">
      <c r="A38" s="256" t="s">
        <v>135</v>
      </c>
      <c r="C38" s="262">
        <v>1</v>
      </c>
      <c r="E38" s="145"/>
    </row>
    <row r="39" spans="1:5">
      <c r="B39" s="257" t="s">
        <v>136</v>
      </c>
      <c r="C39" s="263">
        <f>IF(B33-B34-B35&lt;=B7,B33-$B$34-$B$35,IF(B33-$B$34-$B$35&gt;B7,B7,0))</f>
        <v>1000000</v>
      </c>
      <c r="E39" s="145"/>
    </row>
    <row r="40" spans="1:5">
      <c r="B40" s="54" t="s">
        <v>56</v>
      </c>
      <c r="C40" s="264">
        <f>IF(C39&lt;Adm!AC2,0,C39)</f>
        <v>1000000</v>
      </c>
      <c r="E40" s="145"/>
    </row>
    <row r="41" spans="1:5">
      <c r="B41" s="536" t="s">
        <v>267</v>
      </c>
      <c r="C41" s="537">
        <f>C40/B33</f>
        <v>0.58858151854031782</v>
      </c>
      <c r="E41" s="145"/>
    </row>
    <row r="42" spans="1:5">
      <c r="E42" s="145"/>
    </row>
    <row r="43" spans="1:5">
      <c r="A43" s="259" t="s">
        <v>263</v>
      </c>
      <c r="C43" s="253">
        <f>C40*Adm!W3</f>
        <v>31540</v>
      </c>
      <c r="E43" s="145"/>
    </row>
    <row r="44" spans="1:5">
      <c r="A44" s="540" t="s">
        <v>264</v>
      </c>
      <c r="C44" s="69">
        <f>(B34+B35+C40+C43)/B33</f>
        <v>0.60714537963507942</v>
      </c>
      <c r="E44" s="145"/>
    </row>
    <row r="45" spans="1:5">
      <c r="A45" s="260" t="s">
        <v>138</v>
      </c>
      <c r="C45" s="556">
        <f>IF(C44&lt;100%,C43,0)</f>
        <v>31540</v>
      </c>
      <c r="E45" s="145"/>
    </row>
    <row r="46" spans="1:5">
      <c r="B46" s="63"/>
      <c r="E46" s="145"/>
    </row>
    <row r="47" spans="1:5">
      <c r="B47" s="63"/>
      <c r="E47" s="145"/>
    </row>
    <row r="48" spans="1:5">
      <c r="B48" s="63"/>
      <c r="E48" s="145"/>
    </row>
    <row r="49" spans="1:5">
      <c r="B49" s="63"/>
      <c r="E49" s="145"/>
    </row>
    <row r="50" spans="1:5">
      <c r="B50" s="63"/>
      <c r="E50" s="145"/>
    </row>
    <row r="51" spans="1:5" ht="15">
      <c r="A51" s="254" t="s">
        <v>139</v>
      </c>
      <c r="B51" s="254" t="s">
        <v>139</v>
      </c>
      <c r="C51" s="254" t="s">
        <v>139</v>
      </c>
      <c r="D51" s="254" t="s">
        <v>139</v>
      </c>
      <c r="E51" s="318"/>
    </row>
    <row r="52" spans="1:5">
      <c r="B52" s="63"/>
      <c r="E52" s="145"/>
    </row>
    <row r="53" spans="1:5">
      <c r="A53" s="267" t="s">
        <v>140</v>
      </c>
      <c r="B53" s="83" t="str">
        <f>IF(Adm!B3=Adm!B11,Captura!N31,"")</f>
        <v/>
      </c>
    </row>
    <row r="54" spans="1:5">
      <c r="B54" s="63"/>
    </row>
    <row r="55" spans="1:5">
      <c r="A55" s="268" t="s">
        <v>141</v>
      </c>
      <c r="B55" s="83">
        <f>IF(Adm!B3=Adm!B11,B4,0)</f>
        <v>0</v>
      </c>
    </row>
    <row r="56" spans="1:5">
      <c r="A56" s="269" t="s">
        <v>142</v>
      </c>
      <c r="B56" s="83">
        <f>IF(Adm!B3=Adm!B11,B7,0)</f>
        <v>0</v>
      </c>
    </row>
    <row r="57" spans="1:5">
      <c r="A57" s="270" t="s">
        <v>143</v>
      </c>
      <c r="B57" s="265">
        <f>B55+B56</f>
        <v>0</v>
      </c>
    </row>
    <row r="58" spans="1:5">
      <c r="A58" s="219"/>
      <c r="B58" s="277"/>
    </row>
    <row r="59" spans="1:5">
      <c r="A59" s="220" t="s">
        <v>151</v>
      </c>
    </row>
    <row r="60" spans="1:5">
      <c r="A60" s="278" t="s">
        <v>152</v>
      </c>
      <c r="B60" s="69">
        <f>IF(B57=0,0,B56/B57)</f>
        <v>0</v>
      </c>
    </row>
    <row r="61" spans="1:5">
      <c r="A61" s="279" t="s">
        <v>153</v>
      </c>
      <c r="B61" s="69">
        <f>IF(B53=Adm!D7,75%,IF(B60&lt;=75%,100%,75%))</f>
        <v>0.75</v>
      </c>
    </row>
    <row r="62" spans="1:5">
      <c r="A62" s="279" t="s">
        <v>154</v>
      </c>
      <c r="B62" s="83">
        <f>IF(B53=Adm!D7,B57*B61,IF(B61=100%,B56,B57*B61))</f>
        <v>0</v>
      </c>
    </row>
    <row r="63" spans="1:5">
      <c r="A63" s="258" t="s">
        <v>267</v>
      </c>
      <c r="B63" s="554">
        <f>IF(AND(B55&lt;=0,B56&lt;=0),0,B62/B57)</f>
        <v>0</v>
      </c>
    </row>
    <row r="64" spans="1:5">
      <c r="B64" s="63"/>
    </row>
    <row r="65" spans="1:3">
      <c r="B65" s="63"/>
      <c r="C65" s="55" t="s">
        <v>265</v>
      </c>
    </row>
    <row r="66" spans="1:3">
      <c r="A66" s="271" t="s">
        <v>155</v>
      </c>
      <c r="B66" s="63"/>
      <c r="C66" s="280">
        <f>IF(Captura!N37&gt;0,Captura!N37,B62)</f>
        <v>0</v>
      </c>
    </row>
    <row r="67" spans="1:3">
      <c r="A67" s="271"/>
      <c r="B67" s="63"/>
    </row>
    <row r="68" spans="1:3">
      <c r="A68" s="272" t="s">
        <v>144</v>
      </c>
      <c r="B68" s="63"/>
    </row>
    <row r="69" spans="1:3">
      <c r="A69" s="273" t="s">
        <v>145</v>
      </c>
      <c r="B69" s="63"/>
    </row>
    <row r="70" spans="1:3">
      <c r="A70" s="274"/>
      <c r="B70" s="63"/>
      <c r="C70" s="282">
        <f>IF(B53=Adm!D6,0,IF(C66*0.25&lt;=(B55/2),C66*0.25,B55/2))</f>
        <v>0</v>
      </c>
    </row>
    <row r="71" spans="1:3">
      <c r="A71" s="274"/>
      <c r="B71" s="63"/>
      <c r="C71" s="282">
        <f>IF(B53=Adm!D6,0,(C66-C70)/4)</f>
        <v>0</v>
      </c>
    </row>
    <row r="72" spans="1:3">
      <c r="A72" s="225"/>
      <c r="B72" s="63"/>
      <c r="C72" s="281"/>
    </row>
    <row r="73" spans="1:3">
      <c r="A73" s="275" t="s">
        <v>146</v>
      </c>
      <c r="B73" s="63"/>
      <c r="C73" s="280">
        <f>IF($B$53=Adm!$D$6,C66*0.25,C70)</f>
        <v>0</v>
      </c>
    </row>
    <row r="74" spans="1:3">
      <c r="A74" s="275" t="s">
        <v>147</v>
      </c>
      <c r="B74" s="63"/>
      <c r="C74" s="280">
        <f>IF($B$53=Adm!$D$6,C66*0.2,C71)</f>
        <v>0</v>
      </c>
    </row>
    <row r="75" spans="1:3">
      <c r="A75" s="275" t="s">
        <v>148</v>
      </c>
      <c r="B75" s="63"/>
      <c r="C75" s="280">
        <f>IF($B$53=Adm!$D$6,C66*0.2,C74)</f>
        <v>0</v>
      </c>
    </row>
    <row r="76" spans="1:3">
      <c r="A76" s="275" t="s">
        <v>149</v>
      </c>
      <c r="C76" s="280">
        <f>IF($B$53=Adm!$D$6,C66*0.2,C75)</f>
        <v>0</v>
      </c>
    </row>
    <row r="77" spans="1:3">
      <c r="A77" s="275" t="s">
        <v>150</v>
      </c>
      <c r="C77" s="280">
        <f>IF($B$53=Adm!$D$6,C66*0.15,C76)</f>
        <v>0</v>
      </c>
    </row>
    <row r="78" spans="1:3">
      <c r="A78" s="276"/>
    </row>
    <row r="79" spans="1:3" ht="16.5" customHeight="1">
      <c r="A79" s="271"/>
      <c r="C79" s="538"/>
    </row>
    <row r="80" spans="1:3">
      <c r="A80" s="276"/>
    </row>
    <row r="81" spans="1:15">
      <c r="H81" s="585"/>
    </row>
    <row r="82" spans="1:15" ht="23">
      <c r="A82" s="74" t="s">
        <v>59</v>
      </c>
      <c r="B82" s="73"/>
      <c r="C82" s="73"/>
      <c r="D82" s="73"/>
      <c r="E82" s="73"/>
    </row>
    <row r="84" spans="1:15" ht="15">
      <c r="A84" s="75" t="str">
        <f>Adm!B3</f>
        <v>Adquisición</v>
      </c>
      <c r="F84" s="548"/>
    </row>
    <row r="85" spans="1:15">
      <c r="A85"/>
      <c r="B85" s="76">
        <v>1</v>
      </c>
      <c r="E85" s="55" t="s">
        <v>260</v>
      </c>
      <c r="F85" s="561" t="str">
        <f>IF(AND(Adm!B3=Adm!B9,H7&gt;0),"Liquidez","")</f>
        <v/>
      </c>
      <c r="H85" s="55" t="str">
        <f>IF(OR(Adm!$B$3=Adm!$B$12,Adm!$B$3=Adm!$B$13,Adm!$B$3=Adm!$B$14),"","Perfil 5")</f>
        <v>Perfil 5</v>
      </c>
      <c r="I85" s="561" t="str">
        <f>IF(AND(Adm!B3=Adm!B9,H7&gt;0),"Liquidez","")</f>
        <v/>
      </c>
      <c r="K85" s="55" t="str">
        <f>IF(OR(Adm!$B$3=Adm!$B$9,Adm!$B$3=Adm!$B$12,Adm!$B$3=Adm!$B$13,Adm!$B$3=Adm!$B$14),"","Perfil 4")</f>
        <v>Perfil 4</v>
      </c>
      <c r="L85" s="561"/>
      <c r="N85" s="55" t="str">
        <f>IF(OR(Adm!$B$3=Adm!$B$9,Adm!$B$3=Adm!$B$12,Adm!$B$3=Adm!$B$13,Adm!$B$3=Adm!$B$14),"","Perfil 2")</f>
        <v>Perfil 2</v>
      </c>
      <c r="O85" s="561"/>
    </row>
    <row r="86" spans="1:15">
      <c r="A86" s="77" t="s">
        <v>60</v>
      </c>
      <c r="B86" s="78">
        <v>2</v>
      </c>
      <c r="C86" s="67"/>
      <c r="D86" s="67"/>
      <c r="E86" s="82">
        <f>Adm!BE4</f>
        <v>9.5000000000000001E-2</v>
      </c>
      <c r="F86" s="82">
        <f>IF(F85="",0,IF(H5&gt;0,Adm!AH7,E86))</f>
        <v>0</v>
      </c>
      <c r="H86" s="82">
        <f>Adm!BE5</f>
        <v>9.9400000000000002E-2</v>
      </c>
      <c r="I86" s="82">
        <f>IF(F85="",0,IF(H5&gt;0,Adm!AH7,H86))</f>
        <v>0</v>
      </c>
      <c r="K86" s="82">
        <f>Adm!BE6</f>
        <v>0.10349999999999999</v>
      </c>
      <c r="L86" s="82">
        <f>IF(F85="",0,IF(H5&gt;0,Adm!AH7,K86))</f>
        <v>0</v>
      </c>
      <c r="N86" s="82">
        <f>Adm!BE7</f>
        <v>0.1089</v>
      </c>
      <c r="O86" s="82">
        <f>IF(F85="",0,IF(H5&gt;0,Adm!AH7,N86))</f>
        <v>0</v>
      </c>
    </row>
    <row r="87" spans="1:15">
      <c r="A87" s="77" t="s">
        <v>22</v>
      </c>
      <c r="B87" s="78">
        <v>3</v>
      </c>
      <c r="C87" s="67"/>
      <c r="D87" s="67"/>
      <c r="E87" s="253">
        <f>IF(Adm!B3=Adm!B11,PMT(E86/12,Adm!G3-12,-1000),IF(AND(Adm!G3=180,Adm!C3=Adm!C5),VLOOKUP(E86,Adm!AJ6:AK33,2,0),IF(AND(Adm!G3=240,Adm!C3=Adm!C5),VLOOKUP(E86,Adm!AL6:AM33,2,0),PMT(E86/12,Adm!G3,-1000))))</f>
        <v>9.3213118783351803</v>
      </c>
      <c r="F87" s="83">
        <f>IF(H5&gt;0,PMT(F86/12,Adm!G3,-1000),E87)</f>
        <v>9.3213118783351803</v>
      </c>
      <c r="H87" s="253">
        <f>IF(Adm!B3=Adm!B11,PMT(H86/12,Adm!G3-12,-1000),IF(AND(Adm!G3=180,Adm!C3=Adm!C5),VLOOKUP(H86,Adm!AJ6:AK33,2,0),IF(AND(Adm!G3=240,Adm!C3=Adm!C5),VLOOKUP(H86,Adm!AL6:AM33,2,0),PMT(H86/12,Adm!G3,-1000))))</f>
        <v>9.6104974634921518</v>
      </c>
      <c r="I87" s="83">
        <f>IF(H5&gt;0,PMT(I86/12,Adm!G3,-1000),H87)</f>
        <v>9.6104974634921518</v>
      </c>
      <c r="K87" s="253">
        <f>IF(Adm!B3=Adm!B11,PMT(K86/12,Adm!G3-12,-1000),IF(AND(Adm!G3=180,Adm!C3=Adm!C5),VLOOKUP(K86,Adm!AJ6:AK33,2,0),IF(AND(Adm!G3=240,Adm!C3=Adm!C5),VLOOKUP(K86,Adm!AL6:AM33,2,0),PMT(K86/12,Adm!G3,-1000))))</f>
        <v>9.8832433873005954</v>
      </c>
      <c r="L87" s="83">
        <f>IF(H5&gt;0,PMT(L86/12,Adm!G3,-1000),K87)</f>
        <v>9.8832433873005954</v>
      </c>
      <c r="N87" s="253">
        <f>IF(Adm!B3=Adm!B11,PMT(N86/12,Adm!G3-12,-1000),IF(AND(Adm!G3=180,Adm!C3=Adm!C5),VLOOKUP(N86,Adm!AJ6:AK33,2,0),IF(AND(Adm!G3=240,Adm!C3=Adm!C5),VLOOKUP(N86,Adm!AL6:AM33,2,0),PMT(N86/12,Adm!G3,-1000))))</f>
        <v>10.247127814472984</v>
      </c>
      <c r="O87" s="83">
        <f>IF(H5&gt;0,PMT(O86/12,Adm!G3,-1000),N87)</f>
        <v>10.247127814472984</v>
      </c>
    </row>
    <row r="88" spans="1:15">
      <c r="A88" s="77" t="s">
        <v>23</v>
      </c>
      <c r="B88" s="78">
        <v>4</v>
      </c>
      <c r="C88" s="67"/>
      <c r="D88" s="67"/>
      <c r="E88" s="69">
        <f>Adm!I3</f>
        <v>0.58858151854031782</v>
      </c>
      <c r="F88" s="330"/>
      <c r="H88" s="69">
        <f>Adm!I3</f>
        <v>0.58858151854031782</v>
      </c>
      <c r="I88" s="330"/>
      <c r="K88" s="69">
        <f>Adm!I3</f>
        <v>0.58858151854031782</v>
      </c>
      <c r="L88" s="330"/>
      <c r="N88" s="69">
        <f>Adm!I3</f>
        <v>0.58858151854031782</v>
      </c>
      <c r="O88" s="330"/>
    </row>
    <row r="89" spans="1:15">
      <c r="A89" s="79" t="s">
        <v>61</v>
      </c>
      <c r="B89" s="78">
        <v>5</v>
      </c>
      <c r="C89" s="67"/>
      <c r="D89" s="67"/>
      <c r="E89" s="127">
        <f>IF(Adm!B3=Adm!B11,B57,C4)</f>
        <v>1699000</v>
      </c>
      <c r="F89" s="330"/>
      <c r="H89" s="127">
        <f>IF(Adm!B3=Adm!B11,B57,C4)</f>
        <v>1699000</v>
      </c>
      <c r="I89" s="330"/>
      <c r="K89" s="127">
        <f>IF(Adm!B3=Adm!B11,B57,C4)</f>
        <v>1699000</v>
      </c>
      <c r="L89" s="330"/>
      <c r="N89" s="127">
        <f>IF(Adm!B3=Adm!B11,B57,C4)</f>
        <v>1699000</v>
      </c>
      <c r="O89" s="330"/>
    </row>
    <row r="90" spans="1:15">
      <c r="A90" s="557" t="s">
        <v>37</v>
      </c>
      <c r="B90" s="78">
        <v>6</v>
      </c>
      <c r="C90" s="67"/>
      <c r="D90" s="67"/>
      <c r="E90" s="127">
        <f>IF(Adm!B3=Adm!B11,C66,IF(Adm!B3=Adm!B6,C24,IF(OR(Adm!B3=Adm!B7,Adm!B3=Adm!B8),C40,C8)))</f>
        <v>1000000</v>
      </c>
      <c r="F90" s="64">
        <f>F92-F91</f>
        <v>964.35581751555583</v>
      </c>
      <c r="H90" s="127">
        <f>IF(Adm!B3=Adm!B11,C66,IF(Adm!B3=Adm!B6,C24,IF(OR(Adm!B3=Adm!B7,Adm!B3=Adm!B8),C40,C8)))</f>
        <v>1000000</v>
      </c>
      <c r="I90" s="64">
        <f>I92-I91</f>
        <v>964.35581751555583</v>
      </c>
      <c r="K90" s="127">
        <f>IF(Adm!B3=Adm!B11,C66,IF(Adm!B3=Adm!B6,C24,IF(OR(Adm!B3=Adm!B7,Adm!B3=Adm!B8),C40,C8)))</f>
        <v>1000000</v>
      </c>
      <c r="L90" s="64">
        <f>L92-L91</f>
        <v>964.35581751555583</v>
      </c>
      <c r="N90" s="127">
        <f>IF(Adm!B3=Adm!B11,C66,IF(Adm!B3=Adm!B6,C24,IF(OR(Adm!B3=Adm!B7,Adm!B3=Adm!B8),C40,C8)))</f>
        <v>1000000</v>
      </c>
      <c r="O90" s="64">
        <f>O92-O91</f>
        <v>964.35581751555583</v>
      </c>
    </row>
    <row r="91" spans="1:15">
      <c r="A91" s="80" t="s">
        <v>13</v>
      </c>
      <c r="B91" s="78">
        <v>7</v>
      </c>
      <c r="C91" s="67"/>
      <c r="D91" s="67"/>
      <c r="E91" s="64">
        <f>IF(Adm!B3=Adm!B11,0,IF(Adm!B3=Adm!B6,C28,IF(OR(Adm!B3=Adm!B7,Adm!B3=Adm!B8),C45,C12)))</f>
        <v>31540</v>
      </c>
      <c r="F91" s="263">
        <f>IF(OR(Adm!S10=Adm!S12,Adm!S10=Adm!S13),0,(-(F92-($B$7*Adm!$W$3))/(1+Adm!$W$3)+(F92-($B$7*Adm!$W$3))))</f>
        <v>-964.35581751555583</v>
      </c>
      <c r="H91" s="64">
        <f>IF(Adm!B3=Adm!B11,0,IF(Adm!B3=Adm!B6,C28,IF(OR(Adm!B3=Adm!B7,Adm!B3=Adm!B8),C45,C12)))</f>
        <v>31540</v>
      </c>
      <c r="I91" s="263">
        <f>IF(OR(Adm!S10=Adm!S12,Adm!S10=Adm!S13),0,(-(I92-($B$7*Adm!$W$3))/(1+Adm!$W$3)+(I92-($B$7*Adm!$W$3))))</f>
        <v>-964.35581751555583</v>
      </c>
      <c r="K91" s="64">
        <f>IF(Adm!B3=Adm!B11,0,IF(Adm!B3=Adm!B6,C28,IF(OR(Adm!B3=Adm!B7,Adm!B3=Adm!B8),C45,C12)))</f>
        <v>31540</v>
      </c>
      <c r="L91" s="263">
        <f>IF(OR(Adm!S10=Adm!S12,Adm!S10=Adm!S13),0,(-(L92-($B$7*Adm!$W$3))/(1+Adm!$W$3)+(F92-($B$7*Adm!$W$3))))</f>
        <v>-964.35581751555583</v>
      </c>
      <c r="N91" s="64">
        <f>IF(Adm!B3=Adm!B11,0,IF(Adm!B3=Adm!B6,C28,IF(OR(Adm!B3=Adm!B7,Adm!B3=Adm!B8),C45,C12)))</f>
        <v>31540</v>
      </c>
      <c r="O91" s="263">
        <f>IF(OR(Adm!S10=Adm!S12,Adm!S10=Adm!S13),0,(-(O92-($B$7*Adm!$W$3))/(1+Adm!$W$3)+(O92-($B$7*Adm!$W$3))))</f>
        <v>-964.35581751555583</v>
      </c>
    </row>
    <row r="92" spans="1:15">
      <c r="A92" s="81" t="s">
        <v>62</v>
      </c>
      <c r="B92" s="78">
        <v>8</v>
      </c>
      <c r="C92" s="67"/>
      <c r="D92" s="67"/>
      <c r="E92" s="68">
        <f>IF(Adm!B3=Adm!B9,E90,E90+E91+E111)</f>
        <v>1031540</v>
      </c>
      <c r="F92" s="68">
        <f>H7</f>
        <v>0</v>
      </c>
      <c r="H92" s="68">
        <f>IF(Adm!B3=Adm!B9,H90,H90+H91+H111)</f>
        <v>1031540</v>
      </c>
      <c r="I92" s="68">
        <f>H7</f>
        <v>0</v>
      </c>
      <c r="K92" s="68">
        <f>IF(Adm!B3=Adm!B9,K90,K90+K91+K111)</f>
        <v>1031540</v>
      </c>
      <c r="L92" s="68">
        <f>H7</f>
        <v>0</v>
      </c>
      <c r="N92" s="68">
        <f>IF(Adm!B3=Adm!B9,N90,N90+N91+N111)</f>
        <v>1031540</v>
      </c>
      <c r="O92" s="68">
        <f>H7</f>
        <v>0</v>
      </c>
    </row>
    <row r="93" spans="1:15">
      <c r="A93" s="80" t="s">
        <v>63</v>
      </c>
      <c r="B93" s="78">
        <v>9</v>
      </c>
      <c r="C93" s="67"/>
      <c r="D93" s="67"/>
      <c r="E93" s="64">
        <f>IF(Adm!$B$3=Adm!$B$11,E104*E86/12,E92*E87/1000)</f>
        <v>9615.3060549778711</v>
      </c>
      <c r="F93" s="64">
        <f>F92*F87/1000</f>
        <v>0</v>
      </c>
      <c r="H93" s="64">
        <f>IF(Adm!$B$3=Adm!$B$11,H104*H86/12,H92*H87/1000)</f>
        <v>9913.6125534906951</v>
      </c>
      <c r="I93" s="64">
        <f>I92*I87/1000</f>
        <v>0</v>
      </c>
      <c r="K93" s="64">
        <f>IF(Adm!$B$3=Adm!$B$11,K104*K86/12,K92*K87/1000)</f>
        <v>10194.960883736056</v>
      </c>
      <c r="L93" s="64">
        <f>L92*L87/1000</f>
        <v>0</v>
      </c>
      <c r="N93" s="64">
        <f>IF(Adm!$B$3=Adm!$B$11,N104*N86/12,N92*N87/1000)</f>
        <v>10570.322225741464</v>
      </c>
      <c r="O93" s="64">
        <f>O92*O87/1000</f>
        <v>0</v>
      </c>
    </row>
    <row r="94" spans="1:15">
      <c r="A94" s="80" t="s">
        <v>50</v>
      </c>
      <c r="B94" s="78">
        <v>10</v>
      </c>
      <c r="C94" s="67"/>
      <c r="D94" s="67"/>
      <c r="E94" s="64">
        <f>IF(Adm!$R$3=Adm!$R$6,0,IF(AND(Adm!B3=Adm!B9,Adm!S10=Adm!S13),Adm!T13,IF(E91&gt;0,0,IF(Adm!B3=Adm!B11,C73*Adm!Y3,E92*Adm!$Y$3))))</f>
        <v>0</v>
      </c>
      <c r="F94" s="64">
        <f>IF(Adm!S10=Adm!S11,0,IF(Adm!S10=Adm!S13,F92*Adm!X6,IF(Adm!S10=Adm!S12,F92*Adm!$Y$3)))</f>
        <v>0</v>
      </c>
      <c r="H94" s="64">
        <f>IF(Adm!$R$3=Adm!$R$6,0,IF(AND(Adm!B3=Adm!B9,Adm!S10=Adm!S13),Adm!T13,IF(E91&gt;0,0,IF(Adm!B3=Adm!B11,C73*Adm!Y3,E92*Adm!$Y$3))))</f>
        <v>0</v>
      </c>
      <c r="I94" s="64">
        <f>IF(Adm!S10=Adm!S11,0,IF(Adm!S10=Adm!S13,I92*Adm!X6,IF(Adm!S10=Adm!S12,I92*Adm!$Y$3)))</f>
        <v>0</v>
      </c>
      <c r="K94" s="64">
        <f>IF(Adm!$R$3=Adm!$R$6,0,IF(AND(Adm!B3=Adm!B9,Adm!S10=Adm!S13),Adm!T13,IF(E91&gt;0,0,IF(Adm!B3=Adm!B11,C73*Adm!Y3,E92*Adm!$Y$3))))</f>
        <v>0</v>
      </c>
      <c r="L94" s="64">
        <f>IF(Adm!S10=Adm!S11,0,IF(Adm!S10=Adm!S13,L92*Adm!X6,IF(Adm!S10=Adm!S12,L92*Adm!$Y$3)))</f>
        <v>0</v>
      </c>
      <c r="N94" s="64">
        <f>IF(Adm!$R$3=Adm!$R$6,0,IF(AND(Adm!B3=Adm!B9,Adm!S10=Adm!S13),Adm!T13,IF(E91&gt;0,0,IF(Adm!B3=Adm!B11,C73*Adm!Y3,E92*Adm!$Y$3))))</f>
        <v>0</v>
      </c>
      <c r="O94" s="64">
        <f>IF(Adm!S10=Adm!S11,0,IF(Adm!S10=Adm!S13,O92*Adm!X6,IF(Adm!S10=Adm!S12,O92*Adm!$Y$3)))</f>
        <v>0</v>
      </c>
    </row>
    <row r="95" spans="1:15">
      <c r="A95" s="80" t="s">
        <v>270</v>
      </c>
      <c r="B95" s="78">
        <v>11</v>
      </c>
      <c r="C95" s="67"/>
      <c r="D95" s="67"/>
      <c r="E95" s="64">
        <f>IF(Adm!$R$4=Adm!$R$6,0,IF(Adm!$B$3=Adm!$B$11,E89*Adm!Z3,IF(Adm!B3=Adm!B12,0,E89*Adm!$AA$3)))</f>
        <v>573.58240000000001</v>
      </c>
      <c r="F95" s="66"/>
      <c r="H95" s="64">
        <f>IF(Adm!$R$4=Adm!$R$6,0,IF(Adm!$B$3=Adm!$B$11,E89*Adm!Z3,E89*Adm!$AA$3))</f>
        <v>573.58240000000001</v>
      </c>
      <c r="I95" s="66"/>
      <c r="K95" s="64">
        <f>IF(Adm!$R$4=Adm!$R$6,0,IF(Adm!$B$3=Adm!$B$11,E89*Adm!Z3,E89*Adm!$AA$3))</f>
        <v>573.58240000000001</v>
      </c>
      <c r="L95" s="66"/>
      <c r="N95" s="64">
        <f>IF(Adm!$R$4=Adm!$R$6,0,IF(Adm!$B$3=Adm!$B$11,E89*Adm!Z3,E89*Adm!$AA$3))</f>
        <v>573.58240000000001</v>
      </c>
      <c r="O95" s="66"/>
    </row>
    <row r="96" spans="1:15">
      <c r="A96" s="80" t="s">
        <v>64</v>
      </c>
      <c r="B96" s="78">
        <v>12</v>
      </c>
      <c r="C96" s="67"/>
      <c r="D96" s="67"/>
      <c r="E96" s="64">
        <f>Adm!O3*1.16</f>
        <v>290</v>
      </c>
      <c r="F96" s="66"/>
      <c r="H96" s="64">
        <f>Adm!O3*1.16</f>
        <v>290</v>
      </c>
      <c r="I96" s="66"/>
      <c r="K96" s="64">
        <f>Adm!O3*1.16</f>
        <v>290</v>
      </c>
      <c r="L96" s="66"/>
      <c r="N96" s="64">
        <f>Adm!O3*1.16</f>
        <v>290</v>
      </c>
      <c r="O96" s="66"/>
    </row>
    <row r="97" spans="1:15">
      <c r="A97" s="80" t="s">
        <v>65</v>
      </c>
      <c r="B97" s="78">
        <v>13</v>
      </c>
      <c r="C97" s="67"/>
      <c r="D97" s="67"/>
      <c r="E97" s="82">
        <f>Adm!AN2</f>
        <v>0</v>
      </c>
      <c r="F97" s="331"/>
      <c r="H97" s="82">
        <f>Adm!AN2</f>
        <v>0</v>
      </c>
      <c r="I97" s="331"/>
      <c r="K97" s="82">
        <f>Adm!AN2</f>
        <v>0</v>
      </c>
      <c r="L97" s="331"/>
      <c r="N97" s="82">
        <f>Adm!AN2</f>
        <v>0</v>
      </c>
      <c r="O97" s="331"/>
    </row>
    <row r="98" spans="1:15">
      <c r="A98" s="80" t="s">
        <v>66</v>
      </c>
      <c r="B98" s="78">
        <v>14</v>
      </c>
      <c r="C98" s="67"/>
      <c r="D98" s="67"/>
      <c r="E98" s="127">
        <f>IF(Adm!B3=Adm!B13,Captura!G33,E90*E87/Adm!L3/1000)</f>
        <v>24211.199683987481</v>
      </c>
      <c r="F98" s="66"/>
      <c r="H98" s="127">
        <f>IF(Adm!B3=Adm!B13,Captura!G33,E90*H87/Adm!L3/1000)</f>
        <v>24962.331074005589</v>
      </c>
      <c r="I98" s="66"/>
      <c r="K98" s="127">
        <f>IF(Adm!B3=Adm!B13,Captura!G33,E90*K87/Adm!L3/1000)</f>
        <v>25670.762044936611</v>
      </c>
      <c r="L98" s="66"/>
      <c r="N98" s="127">
        <f>IF(Adm!B3=Adm!B13,Captura!G33,E90*N87/Adm!L3/1000)</f>
        <v>26615.916401228533</v>
      </c>
      <c r="O98" s="66"/>
    </row>
    <row r="99" spans="1:15">
      <c r="A99" s="80" t="s">
        <v>67</v>
      </c>
      <c r="B99" s="78">
        <v>15</v>
      </c>
      <c r="C99" s="67"/>
      <c r="D99" s="67"/>
      <c r="E99" s="128">
        <f>IF(OR(Adm!B3=Adm!B12,Adm!B3=Adm!B13,Adm!B3=Adm!B14),(E92*Adm!$K$3)*1.16,IF(AND(Adm!B3=Adm!B9,OR(Adm!AG3=Adm!AG11,Adm!AG3=Adm!AG14)),(E92*Adm!$K$3)*1.16,E92*Adm!$K$3))</f>
        <v>10315.4</v>
      </c>
      <c r="F99" s="128">
        <f>IF(F5&gt;0,F92*Adm!K4*1.16,F92*Adm!$K$3*1.16)</f>
        <v>0</v>
      </c>
      <c r="H99" s="128">
        <f>IF(AND(Adm!B3=Adm!B9,OR(Adm!AG3=Adm!AG11,Adm!AG3=Adm!AG14)),(H92*Adm!$K$3)*1.16,H92*Adm!$K$3)</f>
        <v>10315.4</v>
      </c>
      <c r="I99" s="128">
        <f>IF(I5&gt;0,I92*Adm!K4*1.16,I92*Adm!$K$3*1.16)</f>
        <v>0</v>
      </c>
      <c r="K99" s="128">
        <f>IF(AND(Adm!B3=Adm!B9,OR(Adm!AG3=Adm!AG11,Adm!AG3=Adm!AG14)),(K92*Adm!$K$3)*1.16,K92*Adm!$K$3)</f>
        <v>10315.4</v>
      </c>
      <c r="L99" s="128">
        <f>IF(L5&gt;0,DH2*Adm!K4*1.16,L92*Adm!$K$3*1.16)</f>
        <v>0</v>
      </c>
      <c r="N99" s="128">
        <f>IF(AND(Adm!B3=Adm!B9,OR(Adm!AG3=Adm!AG11,Adm!AG3=Adm!AG14)),(N92*Adm!$K$3)*1.16,N92*Adm!$K$3)</f>
        <v>10315.4</v>
      </c>
      <c r="O99" s="128">
        <f>IF(O5&gt;0,O92*Adm!K4*1.16,O92*Adm!$K$3*1.16)</f>
        <v>0</v>
      </c>
    </row>
    <row r="100" spans="1:15">
      <c r="A100" s="80" t="s">
        <v>4</v>
      </c>
      <c r="B100" s="78">
        <v>16</v>
      </c>
      <c r="C100" s="67"/>
      <c r="D100" s="67"/>
      <c r="E100" s="64">
        <f>IF(AND(Adm!B3=Adm!B9,OR(Adm!AG3=Adm!AG13,Adm!AG3=Adm!AG14)),Adm!M10*1.16,IF(Adm!B3=Adm!B9,Adm!M8*1.16,IF(E89*Adm!$M$3&lt;Adm!$M$5,Adm!$M$5,IF(E89*Adm!$M$3&gt;Adm!$M$6,Adm!$M$6,E89*Adm!$M$3))))</f>
        <v>4672.25</v>
      </c>
      <c r="F100" s="66"/>
      <c r="H100" s="64">
        <f>IF(AND(Adm!B3=Adm!B9,OR(Adm!AG3=Adm!AG13,Adm!AG3=Adm!AG14)),Adm!M10*1.16,IF(Adm!B3=Adm!B9,Adm!M8*1.16,IF(E89*Adm!$M$3&lt;Adm!$M$5,Adm!$M$5,IF(E89*Adm!$M$3&gt;Adm!$M$6,Adm!$M$6,E89*Adm!$M$3))))</f>
        <v>4672.25</v>
      </c>
      <c r="I100" s="66"/>
      <c r="K100" s="64">
        <f>IF(AND(Adm!B3=Adm!B9,OR(Adm!AG3=Adm!AG13,Adm!AG3=Adm!AG14)),Adm!M10*1.16,IF(Adm!B3=Adm!B9,Adm!M8*1.16,IF(E89*Adm!$M$3&lt;Adm!$M$5,Adm!$M$5,IF(E89*Adm!$M$3&gt;Adm!$M$6,Adm!$M$6,E89*Adm!$M$3))))</f>
        <v>4672.25</v>
      </c>
      <c r="L100" s="66"/>
      <c r="N100" s="64">
        <f>IF(AND(Adm!B3=Adm!B9,OR(Adm!AG3=Adm!AG13,Adm!AG3=Adm!AG14)),Adm!M10*1.16,IF(Adm!B3=Adm!B9,Adm!M8*1.16,IF(E89*Adm!$M$3&lt;Adm!$M$5,Adm!$M$5,IF(E89*Adm!$M$3&gt;Adm!$M$6,Adm!$M$6,E89*Adm!$M$3))))</f>
        <v>4672.25</v>
      </c>
      <c r="O100" s="66"/>
    </row>
    <row r="101" spans="1:15">
      <c r="A101" s="80" t="s">
        <v>68</v>
      </c>
      <c r="B101" s="78">
        <v>17</v>
      </c>
      <c r="C101" s="67"/>
      <c r="D101" s="67"/>
      <c r="E101" s="64">
        <f>E89*Captura!$G$21</f>
        <v>84950</v>
      </c>
      <c r="F101" s="66"/>
      <c r="H101" s="64">
        <f>H89*Captura!$G$21</f>
        <v>84950</v>
      </c>
      <c r="I101" s="66"/>
      <c r="K101" s="64">
        <f>K89*Captura!$G$21</f>
        <v>84950</v>
      </c>
      <c r="L101" s="66"/>
      <c r="N101" s="64">
        <f>N89*Captura!$G$21</f>
        <v>84950</v>
      </c>
      <c r="O101" s="66"/>
    </row>
    <row r="102" spans="1:15">
      <c r="A102" s="80" t="s">
        <v>100</v>
      </c>
      <c r="B102" s="78">
        <v>18</v>
      </c>
      <c r="C102" s="67"/>
      <c r="D102" s="67"/>
      <c r="E102" s="64">
        <f>IF(AND(Adm!B3=Adm!B9,OR(Adm!AG3=Adm!AG11,Adm!AG3=Adm!AG14)),(E92*E86/12)*0.16,IF(OR(Adm!B3=Adm!B12,Adm!B3=Adm!B13,Adm!B3=Adm!B14),(E92*E86/12)*0.16,0))</f>
        <v>0</v>
      </c>
      <c r="F102" s="64">
        <f>(F92*F86/12)*0.16</f>
        <v>0</v>
      </c>
      <c r="H102" s="64">
        <f>IF(AND(Adm!B3=Adm!B9,OR(Adm!AG3=Adm!AG11,Adm!AG3=Adm!AG14)),(H92*H86/12)*0.16,0)</f>
        <v>0</v>
      </c>
      <c r="I102" s="64">
        <f>(I92*I86/12)*0.16</f>
        <v>0</v>
      </c>
      <c r="K102" s="64">
        <f>IF(AND(Adm!B3=Adm!B9,OR(Adm!AG3=Adm!AG11,Adm!AG3=Adm!AG14)),(K92*K86/12)*0.16,0)</f>
        <v>0</v>
      </c>
      <c r="L102" s="64">
        <f>(L92*L86/12)*0.16</f>
        <v>0</v>
      </c>
      <c r="N102" s="64">
        <f>IF(AND(Adm!B3=Adm!B9,OR(Adm!AG3=Adm!AG11,Adm!AG3=Adm!AG14)),(N92*N86/12)*0.16,0)</f>
        <v>0</v>
      </c>
      <c r="O102" s="64">
        <f>(O92*O86/12)*0.16</f>
        <v>0</v>
      </c>
    </row>
    <row r="103" spans="1:15">
      <c r="A103" s="80" t="s">
        <v>159</v>
      </c>
      <c r="B103" s="78">
        <v>19</v>
      </c>
      <c r="C103" s="67"/>
      <c r="D103" s="67"/>
      <c r="E103" s="286">
        <f>IF(Adm!B3=Adm!B11,Adm!Q3*1.16,0)</f>
        <v>0</v>
      </c>
      <c r="F103" s="330"/>
      <c r="H103" s="286">
        <f>IF(Adm!B3=Adm!B11,Adm!Q3*1.16,0)</f>
        <v>0</v>
      </c>
      <c r="I103" s="330"/>
      <c r="K103" s="286">
        <f>IF(Adm!B3=Adm!B11,Adm!Q3*1.16,0)</f>
        <v>0</v>
      </c>
      <c r="L103" s="330"/>
      <c r="N103" s="286">
        <f>IF(Adm!B3=Adm!B11,Adm!Q3*1.16,0)</f>
        <v>0</v>
      </c>
      <c r="O103" s="330"/>
    </row>
    <row r="104" spans="1:15">
      <c r="A104" s="80" t="s">
        <v>157</v>
      </c>
      <c r="B104" s="78">
        <v>20</v>
      </c>
      <c r="C104" s="67"/>
      <c r="D104" s="67"/>
      <c r="E104" s="287">
        <f>IF(Adm!B3=Adm!B11,C73,0)</f>
        <v>0</v>
      </c>
      <c r="F104" s="330"/>
      <c r="H104" s="287">
        <f>IF(Adm!B3=Adm!B11,C73,0)</f>
        <v>0</v>
      </c>
      <c r="I104" s="330"/>
      <c r="K104" s="287">
        <f>IF(Adm!B3=Adm!B11,C73,0)</f>
        <v>0</v>
      </c>
      <c r="L104" s="330"/>
      <c r="N104" s="287">
        <f>IF(Adm!B3=Adm!B11,C73,0)</f>
        <v>0</v>
      </c>
      <c r="O104" s="330"/>
    </row>
    <row r="105" spans="1:15">
      <c r="A105" s="80" t="s">
        <v>158</v>
      </c>
      <c r="B105" s="78">
        <v>21</v>
      </c>
      <c r="C105" s="67"/>
      <c r="D105" s="67"/>
      <c r="E105" s="287">
        <f>IF(Adm!B3=Adm!B11,C74,0)</f>
        <v>0</v>
      </c>
      <c r="F105" s="330"/>
      <c r="H105" s="287">
        <f>IF(Adm!B3=Adm!B11,C74,0)</f>
        <v>0</v>
      </c>
      <c r="I105" s="330"/>
      <c r="K105" s="287">
        <f>IF(Adm!B3=Adm!B11,C74,0)</f>
        <v>0</v>
      </c>
      <c r="L105" s="330"/>
      <c r="N105" s="287">
        <f>IF(Adm!B3=Adm!B11,C74,0)</f>
        <v>0</v>
      </c>
      <c r="O105" s="330"/>
    </row>
    <row r="106" spans="1:15">
      <c r="A106" s="80" t="s">
        <v>160</v>
      </c>
      <c r="B106" s="78">
        <v>22</v>
      </c>
      <c r="C106" s="67"/>
      <c r="D106" s="67"/>
      <c r="E106" s="287">
        <f>IF(Adm!B3=Adm!B11,C77,0)</f>
        <v>0</v>
      </c>
      <c r="F106" s="332"/>
      <c r="H106" s="287">
        <f>IF(Adm!B3=Adm!B11,C77,0)</f>
        <v>0</v>
      </c>
      <c r="I106" s="332"/>
      <c r="K106" s="287">
        <f>IF(Adm!B3=Adm!B11,C77,0)</f>
        <v>0</v>
      </c>
      <c r="L106" s="332"/>
      <c r="N106" s="287">
        <f>IF(Adm!B3=Adm!B11,C77,0)</f>
        <v>0</v>
      </c>
      <c r="O106" s="332"/>
    </row>
    <row r="107" spans="1:15">
      <c r="A107" s="80" t="s">
        <v>272</v>
      </c>
      <c r="B107" s="78">
        <v>23</v>
      </c>
      <c r="C107" s="67"/>
      <c r="D107" s="67"/>
      <c r="E107" s="67">
        <f>IF(Adm!B3=Adm!B6,B18,IF(OR(Adm!B3=Adm!B7,Adm!B3=Adm!B8),B34,0))</f>
        <v>0</v>
      </c>
      <c r="F107" s="67"/>
      <c r="H107" s="558">
        <f>IF(Adm!B3=Adm!B6,B18,IF(OR(Adm!B3=Adm!B7,Adm!B3=Adm!B8),B34,0))</f>
        <v>0</v>
      </c>
      <c r="I107" s="67"/>
      <c r="K107" s="67">
        <f>IF(Adm!B3=Adm!B6,B18,IF(OR(Adm!B3=Adm!B7,Adm!B3=Adm!B8),B34,0))</f>
        <v>0</v>
      </c>
      <c r="L107" s="67"/>
      <c r="N107" s="67">
        <f>IF(Adm!B3=Adm!B6,B18,IF(OR(Adm!B3=Adm!B7,Adm!B3=Adm!B8),B34,0))</f>
        <v>0</v>
      </c>
      <c r="O107" s="67"/>
    </row>
    <row r="108" spans="1:15">
      <c r="A108" s="80" t="s">
        <v>273</v>
      </c>
      <c r="B108" s="78">
        <v>24</v>
      </c>
      <c r="C108" s="67"/>
      <c r="D108" s="67"/>
      <c r="E108" s="67">
        <f>IF(Adm!B3=Adm!B6,B19,IF(OR(Adm!B3=Adm!B7,Adm!B3=Adm!B8),B35,0))</f>
        <v>0</v>
      </c>
      <c r="F108" s="67"/>
      <c r="H108" s="67">
        <f>IF(Adm!B3=Adm!B6,B19,IF(OR(Adm!B3=Adm!B7,Adm!B3=Adm!B8),B35,0))</f>
        <v>0</v>
      </c>
      <c r="I108" s="67"/>
      <c r="K108" s="67">
        <f>IF(Adm!B3=Adm!B6,B19,IF(OR(Adm!B3=Adm!B7,Adm!B3=Adm!B8),B35,0))</f>
        <v>0</v>
      </c>
      <c r="L108" s="67"/>
      <c r="N108" s="67">
        <f>IF(Adm!B3=Adm!B6,B19,IF(OR(Adm!B3=Adm!B7,Adm!B3=Adm!B8),B35,0))</f>
        <v>0</v>
      </c>
      <c r="O108" s="67"/>
    </row>
    <row r="109" spans="1:15">
      <c r="A109" s="67" t="s">
        <v>271</v>
      </c>
      <c r="B109" s="78">
        <v>25</v>
      </c>
      <c r="C109" s="67"/>
      <c r="D109" s="67"/>
      <c r="E109" s="67">
        <f>IF(Adm!B3=Adm!B6,E107*5%,0)</f>
        <v>0</v>
      </c>
      <c r="F109" s="67"/>
      <c r="H109" s="67">
        <f>IF(Adm!B3=Adm!B6,H107*5%,0)</f>
        <v>0</v>
      </c>
      <c r="I109" s="67"/>
      <c r="K109" s="67">
        <f>IF(Adm!B3=Adm!B6,K107*5%,0)</f>
        <v>0</v>
      </c>
      <c r="L109" s="67"/>
      <c r="N109" s="67">
        <f>IF(Adm!B3=Adm!B6,N107*5%,0)</f>
        <v>0</v>
      </c>
      <c r="O109" s="67"/>
    </row>
    <row r="110" spans="1:15">
      <c r="A110" s="67" t="s">
        <v>278</v>
      </c>
      <c r="B110" s="78">
        <v>26</v>
      </c>
      <c r="C110" s="67"/>
      <c r="D110" s="67"/>
      <c r="E110" s="67">
        <f>IF(Adm!$B$3=Adm!$B$9,0,IF(Adm!$B$3=Adm!$B$10,0,IF(Adm!$B$3=Adm!$B$11,0,IF(Adm!$B$3=Adm!$B$13,0,IF(Adm!$B$3=Adm!$B$6,E89+E99+E100+E101+E109-E90-E107-E108,IF(OR(Adm!$B$3=Adm!$B$7,Adm!$B$3=Adm!$B$8),E89-E90-E107-E108,E89-E90))))))</f>
        <v>699000</v>
      </c>
      <c r="F110" s="67"/>
      <c r="H110" s="67">
        <f>IF(Adm!$B$3=Adm!$B$9,0,IF(Adm!$B$3=Adm!$B$10,0,IF(Adm!$B$3=Adm!$B$11,0,IF(Adm!$B$3=Adm!$B$13,0,IF(Adm!$B$3=Adm!$B$6,H89+H99+H100+H101+H109-H90-H107-H108,IF(OR(Adm!$B$3=Adm!$B$7,Adm!$B$3=Adm!$B$8),H89-H90-H107-H108,H89-H90))))))</f>
        <v>699000</v>
      </c>
      <c r="I110" s="67"/>
      <c r="K110" s="67">
        <f>IF(Adm!$B$3=Adm!$B$9,0,IF(Adm!$B$3=Adm!$B$10,0,IF(Adm!$B$3=Adm!$B$11,0,IF(Adm!$B$3=Adm!$B$13,0,IF(Adm!$B$3=Adm!$B$6,K89+K99+K100+K101+K109-K90-K107-K108,IF(OR(Adm!$B$3=Adm!$B$7,Adm!$B$3=Adm!$B$8),K89-K90-K107-K108,K89-K90))))))</f>
        <v>699000</v>
      </c>
      <c r="L110" s="67"/>
      <c r="N110" s="67">
        <f>IF(Adm!$B$3=Adm!$B$9,0,IF(Adm!$B$3=Adm!$B$10,0,IF(Adm!$B$3=Adm!$B$11,0,IF(Adm!$B$3=Adm!$B$13,0,IF(Adm!$B$3=Adm!$B$6,N89+N99+N100+N101+N109-N90-N107-N108,IF(OR(Adm!$B$3=Adm!$B$7,Adm!$B$3=Adm!$B$8),N89-N90-N107-N108,N89-N90))))))</f>
        <v>699000</v>
      </c>
      <c r="O110" s="67"/>
    </row>
    <row r="111" spans="1:15">
      <c r="A111" s="67" t="s">
        <v>406</v>
      </c>
      <c r="B111" s="67">
        <v>27</v>
      </c>
      <c r="C111" s="67"/>
      <c r="D111" s="67"/>
      <c r="E111" s="263">
        <f>IF(Adm!B3=Adm!B6,C26,0)</f>
        <v>0</v>
      </c>
      <c r="F111" s="67"/>
      <c r="H111" s="263">
        <f>IF(Adm!B3=Adm!B6,C26,0)</f>
        <v>0</v>
      </c>
      <c r="I111" s="67"/>
      <c r="K111" s="263">
        <f>IF(Adm!B3=Adm!B6,C26,0)</f>
        <v>0</v>
      </c>
      <c r="L111" s="67"/>
      <c r="N111" s="263">
        <f>IF(Adm!B3=Adm!B6,C26,0)</f>
        <v>0</v>
      </c>
      <c r="O111" s="67"/>
    </row>
  </sheetData>
  <pageMargins left="0.7" right="0.7" top="0.75" bottom="0.75" header="0.3" footer="0.3"/>
  <pageSetup orientation="portrait" horizontalDpi="4294967294" verticalDpi="429496729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DS370"/>
  <sheetViews>
    <sheetView showGridLines="0" showRowColHeaders="0" showZeros="0" tabSelected="1" topLeftCell="C138" zoomScale="73" zoomScaleNormal="73" zoomScalePageLayoutView="73" workbookViewId="0">
      <selection activeCell="G107" sqref="G107"/>
    </sheetView>
  </sheetViews>
  <sheetFormatPr baseColWidth="10" defaultColWidth="10.83203125" defaultRowHeight="14" x14ac:dyDescent="0"/>
  <cols>
    <col min="1" max="1" width="10" style="114" hidden="1" customWidth="1"/>
    <col min="2" max="2" width="12.33203125" style="87" hidden="1" customWidth="1"/>
    <col min="3" max="3" width="8.5" style="87" customWidth="1"/>
    <col min="4" max="4" width="16.33203125" style="87" customWidth="1"/>
    <col min="5" max="5" width="17.5" style="87" customWidth="1"/>
    <col min="6" max="6" width="17" style="87" customWidth="1"/>
    <col min="7" max="7" width="17.33203125" style="87" customWidth="1"/>
    <col min="8" max="8" width="17.5" style="87" customWidth="1"/>
    <col min="9" max="9" width="16.6640625" style="87" customWidth="1"/>
    <col min="10" max="10" width="17.6640625" style="87" customWidth="1"/>
    <col min="11" max="11" width="17.5" style="87" customWidth="1"/>
    <col min="12" max="12" width="16.6640625" style="87" customWidth="1"/>
    <col min="13" max="13" width="15.33203125" style="87" customWidth="1"/>
    <col min="14" max="15" width="18.83203125" style="87" customWidth="1"/>
    <col min="16" max="16" width="15.1640625" style="87" bestFit="1" customWidth="1"/>
    <col min="17" max="18" width="14.33203125" style="87" customWidth="1"/>
    <col min="19" max="20" width="14.33203125" style="87" hidden="1" customWidth="1"/>
    <col min="21" max="21" width="11.5" style="87" hidden="1" customWidth="1"/>
    <col min="22" max="22" width="12.33203125" style="87" hidden="1" customWidth="1"/>
    <col min="23" max="23" width="16.83203125" style="87" hidden="1" customWidth="1"/>
    <col min="24" max="24" width="11.5" style="87" hidden="1" customWidth="1"/>
    <col min="25" max="25" width="13.6640625" style="87" hidden="1" customWidth="1"/>
    <col min="26" max="26" width="13.83203125" style="87" hidden="1" customWidth="1"/>
    <col min="27" max="27" width="11.5" style="87" hidden="1" customWidth="1"/>
    <col min="28" max="28" width="12.33203125" style="87" hidden="1" customWidth="1"/>
    <col min="29" max="29" width="11.5" style="87" hidden="1" customWidth="1"/>
    <col min="30" max="30" width="17.6640625" style="87" hidden="1" customWidth="1"/>
    <col min="31" max="31" width="18.5" style="87" hidden="1" customWidth="1"/>
    <col min="32" max="32" width="19.1640625" style="87" hidden="1" customWidth="1"/>
    <col min="33" max="33" width="22" style="87" hidden="1" customWidth="1"/>
    <col min="34" max="34" width="11.5" style="87" hidden="1" customWidth="1"/>
    <col min="35" max="36" width="14.1640625" style="562" hidden="1" customWidth="1"/>
    <col min="37" max="37" width="14.6640625" style="562" hidden="1" customWidth="1"/>
    <col min="38" max="38" width="18.5" style="562" hidden="1" customWidth="1"/>
    <col min="39" max="45" width="14.1640625" style="562" hidden="1" customWidth="1"/>
    <col min="46" max="56" width="11.5" hidden="1" customWidth="1"/>
    <col min="57" max="90" width="14.1640625" style="562" hidden="1" customWidth="1"/>
    <col min="91" max="123" width="11.5" style="87" hidden="1" customWidth="1"/>
    <col min="124" max="143" width="11.5" style="87" customWidth="1"/>
    <col min="144" max="16384" width="10.83203125" style="87"/>
  </cols>
  <sheetData>
    <row r="1" spans="3:40" ht="18.75" customHeight="1">
      <c r="C1" s="91"/>
      <c r="D1" s="91"/>
      <c r="E1" s="91"/>
      <c r="F1" s="91"/>
      <c r="G1" s="91"/>
      <c r="H1" s="91"/>
      <c r="I1" s="91"/>
      <c r="M1" s="102" t="s">
        <v>79</v>
      </c>
      <c r="N1" s="1115">
        <f ca="1">TODAY()</f>
        <v>43060</v>
      </c>
      <c r="O1" s="1115"/>
      <c r="S1" s="87" t="str">
        <f>""</f>
        <v/>
      </c>
      <c r="T1" s="117"/>
      <c r="W1" s="93" t="str">
        <f>IF(AND(Adm!G5=1,OR(G15&lt;Adm!G7,G15&gt;Adm!G9)),"Corrige Plazo",IF(AND(Adm!B3=Adm!B13,G15&lt;Adm!G6),"Plazos unicos 60 y 120 meses",IF(AND(Adm!B3=Adm!B13,AND(G15&gt;Adm!G6,G15&lt;Adm!G8)),"Plazos unicos 60 y 120 meses",IF(AND(Adm!B3=Adm!B13,G15&gt;Adm!G8),"Plazos unicos 60 y 120 meses",IF(AND(G13&gt;"",G27=0),"Captura importes",IF(AND(G13&gt;"",G23=0),"Captura intervinientes",IF(AND(G15&gt;0,G25=""),"Indica esquema de pago",IF(AND(G15&gt;0,G25="Crecientes",Adm!C5=""),"Corrige esquema de pago",IF(AND(Adm!B3=Adm!B5,G27=0),"Captura valor de vivienda",IF(AND(Adm!B3=Adm!B11,Cal!B62&gt;0,N37&gt;Cal!B62),"No podemos darle más crédito que el ofrecido. Corrige importe",IF(AND(Adm!B3=Adm!B11,G27&lt;Adm!AB4),"El valor mínimo del Terreno es de $250,000",IF(AND(Adm!B3=Adm!B11,G29&lt;Adm!AC4),"El valor mínimo del proyecto es de $700,000",IF(AND(G13&gt;"",Adm!B3=Adm!B12,G27&lt;250000),"El valor mínimo del terreno son $250,000",IF(AND(G13&gt;"",G27&lt;250000),"El valor mínimo de la vivienda son $250,000",IF(AND(G13&gt;"",G29&lt;100000),"El monto mínimo de crédito son $100,000",IF(AND(Adm!AF3=Adm!AF5,Cal!H4=0),"Con las condiciones capturadas no califica para el programa de Liquidez. Corrige selección",IF(AND(Adm!AF3=Adm!AF6,Cal!H5=0),"Con las condiciones capturadas no califica para el programa de Liquidez. Corrige selección",IF(AND(Adm!B3=Adm!B11,G25="crecientes"),"Sólo pagos fijos. Corrige esquema",IF(AND(Adm!B3=Adm!B12,G15&lt;&gt;120),"El unico plazo es 120 meses. Corrige Plazo",IF(AND(Adm!B3=Adm!B14,G15&lt;&gt;120),"El unico plazo es 120 meses. Corrige Plazo",IF(AND(Adm!B3=Adm!B13,G33=0),"Captura los ingresos",IF(AND(Adm!B3=Adm!B11,Adm!D3=Adm!D6,(G27/(Captura!G27+Captura!G29))&lt;25%),"El valor del Terreno debe ser mayor al 25% del valor del inmueble",IF(AND(Adm!B3=Adm!B9,M25=""),"Indica el esquema para el seguro de vida",IF(AND(Adm!B3=Adm!B9,N23=""),"Indica origen del crédito",""))))))))))))))))))))))))</f>
        <v/>
      </c>
    </row>
    <row r="2" spans="3:40" ht="15.75" customHeight="1">
      <c r="C2" s="91"/>
      <c r="D2" s="91"/>
      <c r="E2" s="100" t="s">
        <v>279</v>
      </c>
      <c r="F2" s="101"/>
      <c r="G2" s="101"/>
      <c r="H2" s="101"/>
      <c r="I2" s="101"/>
      <c r="J2" s="101"/>
      <c r="K2" s="101"/>
      <c r="L2" s="88"/>
      <c r="M2" s="88"/>
      <c r="N2" s="152" t="s">
        <v>25</v>
      </c>
      <c r="O2" s="153" t="str">
        <f ca="1">TEXT(N1,N2)</f>
        <v>21 nov 2017</v>
      </c>
    </row>
    <row r="3" spans="3:40">
      <c r="C3" s="91"/>
      <c r="D3" s="91"/>
      <c r="E3" s="91"/>
      <c r="F3" s="91"/>
      <c r="G3" s="91"/>
      <c r="H3" s="91"/>
      <c r="I3" s="91"/>
      <c r="J3" s="91"/>
      <c r="K3" s="91"/>
      <c r="L3" s="91"/>
      <c r="M3" s="91"/>
      <c r="Q3" s="91"/>
      <c r="W3" s="674">
        <f>G15</f>
        <v>240</v>
      </c>
      <c r="Z3" s="87" t="str">
        <f>IF(AND(OR(Adm!B3=Adm!B3,Adm!B3=Adm!B4,Adm!B3=Adm!B5,Adm!B3=Adm!B6,Adm!B3=Adm!B7),OR(G15&gt;=121,G15&lt;=131)),"No existe ese plazo. Corrige","")</f>
        <v>No existe ese plazo. Corrige</v>
      </c>
      <c r="AK3" s="609"/>
      <c r="AL3" s="610"/>
      <c r="AM3" s="611"/>
      <c r="AN3" s="612"/>
    </row>
    <row r="4" spans="3:40" ht="15">
      <c r="C4" s="653" t="s">
        <v>80</v>
      </c>
      <c r="D4" s="107"/>
      <c r="E4" s="97"/>
      <c r="F4" s="98"/>
      <c r="G4" s="98"/>
      <c r="H4" s="98"/>
      <c r="I4" s="98"/>
      <c r="J4" s="98"/>
      <c r="K4" s="99"/>
      <c r="L4" s="99"/>
      <c r="M4" s="99"/>
      <c r="N4" s="99"/>
      <c r="O4" s="99"/>
      <c r="W4" s="674">
        <f>INT(W3/12)</f>
        <v>20</v>
      </c>
      <c r="Y4" s="933"/>
    </row>
    <row r="5" spans="3:40" ht="5" customHeight="1">
      <c r="C5" s="56"/>
      <c r="D5" s="56"/>
      <c r="E5" s="57"/>
      <c r="F5" s="57"/>
      <c r="G5" s="57"/>
      <c r="H5" s="57"/>
      <c r="I5" s="57"/>
      <c r="J5" s="57"/>
      <c r="K5" s="94"/>
      <c r="L5" s="94"/>
      <c r="M5" s="94"/>
      <c r="N5" s="94"/>
      <c r="O5" s="91"/>
    </row>
    <row r="6" spans="3:40">
      <c r="C6" s="52" t="s">
        <v>51</v>
      </c>
      <c r="D6" s="52"/>
      <c r="F6" s="1116"/>
      <c r="G6" s="1117"/>
      <c r="H6" s="1117"/>
      <c r="I6" s="1118"/>
      <c r="J6" s="85"/>
      <c r="K6" s="85"/>
      <c r="L6" s="85"/>
      <c r="M6" s="85"/>
      <c r="N6" s="85"/>
      <c r="W6" s="459">
        <f>W3-(W4*12)</f>
        <v>0</v>
      </c>
    </row>
    <row r="7" spans="3:40" ht="5" customHeight="1">
      <c r="C7" s="57"/>
      <c r="D7" s="57"/>
      <c r="F7" s="57"/>
      <c r="G7" s="57"/>
      <c r="H7" s="57"/>
      <c r="I7" s="57"/>
      <c r="J7" s="57"/>
      <c r="K7" s="94"/>
      <c r="L7" s="94"/>
      <c r="M7" s="94"/>
      <c r="N7" s="94"/>
    </row>
    <row r="8" spans="3:40">
      <c r="C8" s="59" t="s">
        <v>52</v>
      </c>
      <c r="D8" s="59"/>
      <c r="F8" s="1116"/>
      <c r="G8" s="1117"/>
      <c r="H8" s="1117"/>
      <c r="I8" s="1118"/>
      <c r="K8" s="84" t="s">
        <v>26</v>
      </c>
      <c r="N8" s="1119"/>
      <c r="O8" s="1120"/>
    </row>
    <row r="9" spans="3:40" ht="4.5" customHeight="1">
      <c r="C9" s="56"/>
      <c r="D9" s="56"/>
      <c r="E9" s="57"/>
      <c r="F9" s="58"/>
      <c r="G9" s="58"/>
      <c r="H9" s="58"/>
      <c r="I9" s="58"/>
      <c r="J9" s="58"/>
      <c r="K9" s="58"/>
      <c r="L9" s="58"/>
      <c r="M9" s="58"/>
      <c r="N9" s="94"/>
    </row>
    <row r="10" spans="3:40" ht="3" customHeight="1" thickBot="1">
      <c r="C10" s="56"/>
      <c r="D10" s="56"/>
      <c r="E10" s="57"/>
      <c r="F10" s="58"/>
      <c r="G10" s="58"/>
      <c r="H10" s="58"/>
      <c r="I10" s="58"/>
      <c r="J10" s="58"/>
      <c r="K10" s="58"/>
      <c r="L10" s="58"/>
      <c r="M10" s="58"/>
    </row>
    <row r="11" spans="3:40" ht="16" thickBot="1">
      <c r="C11" s="652" t="s">
        <v>83</v>
      </c>
      <c r="D11" s="441"/>
      <c r="E11" s="103"/>
      <c r="F11" s="104"/>
      <c r="G11" s="104"/>
      <c r="H11" s="104"/>
      <c r="I11" s="104"/>
      <c r="J11" s="103"/>
      <c r="K11" s="105"/>
      <c r="L11" s="105"/>
      <c r="M11" s="105"/>
      <c r="N11" s="105"/>
      <c r="O11" s="105"/>
    </row>
    <row r="12" spans="3:40" ht="6" customHeight="1">
      <c r="C12" s="59"/>
      <c r="D12" s="59"/>
      <c r="L12" s="121"/>
      <c r="M12" s="121"/>
      <c r="N12" s="121"/>
      <c r="O12" s="121"/>
      <c r="T12" s="117"/>
      <c r="U12" s="117"/>
      <c r="Z12" s="117"/>
      <c r="AA12" s="117"/>
    </row>
    <row r="13" spans="3:40">
      <c r="C13" s="59" t="s">
        <v>31</v>
      </c>
      <c r="D13" s="59"/>
      <c r="G13" s="1121" t="s">
        <v>76</v>
      </c>
      <c r="H13" s="1121"/>
      <c r="K13" s="580" t="str">
        <f>IF(Adm!B3=Adm!B6,"¿Desea financiamiento de ecotecnologías?","")</f>
        <v/>
      </c>
      <c r="L13" s="377"/>
      <c r="M13" s="377"/>
      <c r="N13" s="1122"/>
      <c r="O13" s="1122"/>
      <c r="T13" s="117"/>
      <c r="U13" s="117"/>
      <c r="Z13" s="117"/>
      <c r="AA13" s="117"/>
    </row>
    <row r="14" spans="3:40">
      <c r="K14" s="581" t="str">
        <f>IF(OR(Adm!B3=Adm!B6,Adm!B3=Adm!B7,Adm!B3=Adm!B8),"Datos del cofinanciamiento","")</f>
        <v/>
      </c>
      <c r="L14" s="377"/>
      <c r="M14" s="377"/>
      <c r="N14" s="377"/>
      <c r="O14" s="377"/>
      <c r="T14" s="117"/>
      <c r="U14" s="117"/>
      <c r="W14" s="412" t="s">
        <v>112</v>
      </c>
      <c r="X14" s="412" t="s">
        <v>199</v>
      </c>
      <c r="Y14" s="413" t="s">
        <v>200</v>
      </c>
      <c r="Z14" s="117"/>
      <c r="AA14" s="117"/>
    </row>
    <row r="15" spans="3:40">
      <c r="C15" s="90" t="str">
        <f>IF(Adm!B3=Adm!B12,"Plazo único 120 meses",IF(Adm!B3=Adm!B13,"Plazos únicos 60 y 120 meses",IF(Adm!B3=Adm!B14,"Plazo único 120 meses","Plazo en meses (mínimo 84 y máximo 240)")))</f>
        <v>Plazo en meses (mínimo 84 y máximo 240)</v>
      </c>
      <c r="D15" s="90"/>
      <c r="G15" s="1125">
        <v>240</v>
      </c>
      <c r="H15" s="1125"/>
      <c r="I15" s="675" t="str">
        <f>IF(G15=0,"",IF(C38&lt;&gt;"","",IF(W6=0,CONCATENATE(W4," ","años"),CONCATENATE(W4," ","años"," ",W6," ","meses"))))</f>
        <v>20 años</v>
      </c>
      <c r="K15" s="580">
        <f>IF(ISNA(HLOOKUP(G13,W14:Y17,2,0)),0,HLOOKUP(G13,W14:Y17,2,0))</f>
        <v>0</v>
      </c>
      <c r="L15" s="377"/>
      <c r="M15" s="377"/>
      <c r="N15" s="1122"/>
      <c r="O15" s="1122"/>
      <c r="T15" s="117"/>
      <c r="U15" s="117"/>
      <c r="W15" s="414" t="s">
        <v>201</v>
      </c>
      <c r="X15" s="415" t="s">
        <v>202</v>
      </c>
      <c r="Y15" s="416"/>
      <c r="Z15" s="117"/>
      <c r="AA15" s="117"/>
    </row>
    <row r="16" spans="3:40" ht="6.75" customHeight="1">
      <c r="K16" s="210"/>
      <c r="L16" s="377"/>
      <c r="M16" s="377"/>
      <c r="N16" s="377"/>
      <c r="O16" s="377"/>
      <c r="T16" s="117"/>
      <c r="U16" s="117"/>
      <c r="W16" s="417"/>
      <c r="X16" s="417"/>
      <c r="Y16" s="416"/>
      <c r="Z16" s="117"/>
      <c r="AA16" s="117"/>
    </row>
    <row r="17" spans="3:27" ht="15" customHeight="1">
      <c r="C17" s="110" t="s">
        <v>78</v>
      </c>
      <c r="D17" s="110"/>
      <c r="G17" s="1123" t="s">
        <v>19</v>
      </c>
      <c r="H17" s="1124"/>
      <c r="J17" s="91"/>
      <c r="K17" s="580">
        <f>IF(ISNA(HLOOKUP(G13,W14:Y17,4,0)),0,HLOOKUP(G13,W14:Y17,4,0))</f>
        <v>0</v>
      </c>
      <c r="L17" s="91"/>
      <c r="M17" s="91"/>
      <c r="N17" s="1102"/>
      <c r="O17" s="1102"/>
      <c r="T17" s="111"/>
      <c r="U17" s="111"/>
      <c r="W17" s="414" t="s">
        <v>203</v>
      </c>
      <c r="X17" s="415" t="s">
        <v>204</v>
      </c>
      <c r="Y17" s="418" t="s">
        <v>204</v>
      </c>
      <c r="Z17" s="111"/>
      <c r="AA17" s="111"/>
    </row>
    <row r="18" spans="3:27" ht="5" customHeight="1">
      <c r="C18" s="155"/>
      <c r="D18" s="155"/>
      <c r="J18" s="91"/>
      <c r="K18" s="91"/>
      <c r="L18" s="91"/>
      <c r="M18" s="91"/>
      <c r="N18" s="91"/>
      <c r="O18" s="91"/>
      <c r="Q18" s="111"/>
      <c r="R18" s="111"/>
      <c r="S18" s="111"/>
      <c r="T18" s="111"/>
      <c r="U18" s="111"/>
      <c r="W18" s="91"/>
      <c r="X18" s="111"/>
      <c r="Y18" s="111"/>
      <c r="Z18" s="111"/>
      <c r="AA18" s="111"/>
    </row>
    <row r="19" spans="3:27">
      <c r="C19" s="110" t="str">
        <f>IF(G13=Adm!B12,"","¿Desea contratar el seguro de Daños con el Banco?")</f>
        <v>¿Desea contratar el seguro de Daños con el Banco?</v>
      </c>
      <c r="D19" s="110"/>
      <c r="G19" s="1123" t="s">
        <v>19</v>
      </c>
      <c r="H19" s="1124"/>
      <c r="I19" s="124"/>
      <c r="J19" s="91"/>
      <c r="K19" s="443" t="str">
        <f>IF(Adm!B3=Adm!B6,"* Para créditos Conyugales deberás capturar la suma de los dos créditos","")</f>
        <v/>
      </c>
      <c r="L19" s="91"/>
      <c r="M19" s="91"/>
      <c r="N19" s="91"/>
      <c r="O19" s="91"/>
      <c r="Q19" s="85"/>
      <c r="R19" s="85"/>
      <c r="S19" s="85"/>
      <c r="T19" s="85"/>
      <c r="U19" s="118"/>
      <c r="V19" s="118"/>
      <c r="W19" s="118"/>
      <c r="X19" s="118"/>
      <c r="Y19" s="118"/>
      <c r="Z19" s="118"/>
      <c r="AA19" s="118"/>
    </row>
    <row r="20" spans="3:27" ht="5" customHeight="1">
      <c r="J20" s="91"/>
      <c r="K20" s="91"/>
      <c r="L20" s="91"/>
      <c r="M20" s="91"/>
      <c r="N20" s="91"/>
      <c r="O20" s="91"/>
      <c r="Q20" s="117"/>
      <c r="R20" s="117"/>
      <c r="S20" s="117"/>
      <c r="T20" s="117"/>
      <c r="U20" s="117"/>
      <c r="V20" s="117"/>
      <c r="W20" s="117"/>
      <c r="X20" s="117"/>
      <c r="Y20" s="117"/>
      <c r="Z20" s="117"/>
      <c r="AA20" s="117"/>
    </row>
    <row r="21" spans="3:27">
      <c r="C21" s="72" t="s">
        <v>53</v>
      </c>
      <c r="D21" s="72"/>
      <c r="G21" s="1126">
        <v>0.05</v>
      </c>
      <c r="H21" s="1126"/>
      <c r="I21" s="124"/>
      <c r="J21" s="443" t="str">
        <f>IF(Adm!B3=Adm!B9,"SUSTITUCION","")</f>
        <v/>
      </c>
      <c r="K21" s="580" t="str">
        <f>IF(Adm!B3=Adm!B9,"¿Financiamiento de Gastos? Indique Programa","")</f>
        <v/>
      </c>
      <c r="L21" s="91"/>
      <c r="M21" s="91"/>
      <c r="N21" s="1110"/>
      <c r="O21" s="1110"/>
      <c r="R21" s="598"/>
      <c r="W21" s="91"/>
    </row>
    <row r="22" spans="3:27" ht="5" customHeight="1">
      <c r="C22" s="155"/>
      <c r="D22" s="155"/>
      <c r="J22" s="91"/>
      <c r="K22" s="91"/>
      <c r="L22" s="91"/>
      <c r="M22" s="91"/>
      <c r="N22" s="91"/>
      <c r="O22" s="91"/>
    </row>
    <row r="23" spans="3:27">
      <c r="C23" s="120" t="s">
        <v>84</v>
      </c>
      <c r="D23" s="120"/>
      <c r="G23" s="1108">
        <v>1</v>
      </c>
      <c r="H23" s="1109"/>
      <c r="J23" s="91"/>
      <c r="K23" s="580" t="str">
        <f>IF(Adm!B3=Adm!B9,"Origen del crédito","")</f>
        <v/>
      </c>
      <c r="L23" s="52"/>
      <c r="M23" s="52"/>
      <c r="N23" s="1110"/>
      <c r="O23" s="1110"/>
    </row>
    <row r="24" spans="3:27" ht="5" customHeight="1">
      <c r="C24" s="155"/>
      <c r="D24" s="155"/>
      <c r="J24" s="91"/>
      <c r="K24" s="250"/>
      <c r="L24" s="250"/>
      <c r="M24" s="250"/>
      <c r="N24" s="250"/>
      <c r="O24" s="250"/>
    </row>
    <row r="25" spans="3:27" ht="12.75" customHeight="1">
      <c r="C25" s="90" t="s">
        <v>205</v>
      </c>
      <c r="D25" s="90"/>
      <c r="G25" s="1113" t="s">
        <v>207</v>
      </c>
      <c r="H25" s="1113"/>
      <c r="J25" s="91"/>
      <c r="K25" s="90" t="str">
        <f>IF(Adm!B3=Adm!B9,"Esquema seguro de Vida","")</f>
        <v/>
      </c>
      <c r="M25" s="1110"/>
      <c r="N25" s="1110"/>
      <c r="O25" s="578"/>
    </row>
    <row r="26" spans="3:27" ht="5" customHeight="1">
      <c r="C26" s="52"/>
      <c r="D26" s="52"/>
      <c r="G26" s="116"/>
      <c r="H26" s="116"/>
      <c r="J26" s="250"/>
      <c r="Q26" s="117"/>
      <c r="R26" s="117"/>
      <c r="S26" s="117"/>
      <c r="T26" s="117"/>
      <c r="U26" s="117"/>
      <c r="V26" s="117"/>
      <c r="W26" s="117"/>
      <c r="X26" s="117"/>
      <c r="Y26" s="117"/>
      <c r="Z26" s="117"/>
      <c r="AA26" s="117"/>
    </row>
    <row r="27" spans="3:27">
      <c r="C27" s="52" t="str">
        <f>IF(Adm!B3=Adm!B11,"Valor del Terreno",IF(Adm!B3=Adm!B12,"Valor del Terreno","Valor de la vivienda"))</f>
        <v>Valor de la vivienda</v>
      </c>
      <c r="D27" s="52"/>
      <c r="G27" s="1101">
        <v>1699000</v>
      </c>
      <c r="H27" s="1101"/>
      <c r="K27" s="1111" t="str">
        <f>IF(Adm!B3=Adm!B9,"Le financiamos los gastos para evitarle desembolsos.","")</f>
        <v/>
      </c>
      <c r="L27" s="1111"/>
      <c r="M27" s="1111"/>
      <c r="N27" s="1111"/>
      <c r="O27" s="1111"/>
      <c r="Q27" s="117"/>
      <c r="R27" s="117"/>
      <c r="S27" s="117"/>
      <c r="T27" s="117"/>
      <c r="U27" s="117"/>
      <c r="V27" s="117"/>
      <c r="W27" s="117"/>
      <c r="X27" s="117"/>
      <c r="Y27" s="117"/>
      <c r="Z27" s="117"/>
      <c r="AA27" s="117"/>
    </row>
    <row r="28" spans="3:27" ht="5" customHeight="1">
      <c r="J28" s="91"/>
      <c r="Q28" s="117"/>
      <c r="R28" s="117"/>
      <c r="S28" s="117"/>
      <c r="T28" s="117"/>
      <c r="U28" s="117"/>
      <c r="V28" s="117"/>
      <c r="W28" s="117"/>
      <c r="X28" s="117"/>
      <c r="Y28" s="117"/>
      <c r="Z28" s="117"/>
      <c r="AA28" s="117"/>
    </row>
    <row r="29" spans="3:27">
      <c r="C29" s="52" t="str">
        <f>IF(AND(Adm!B3=Adm!B9,Adm!AG3=Adm!AG12),"Saldo crédito actual + crédito INFONAVIT",IF(Adm!B3=Adm!B9,"Saldo crédito actual",IF(Adm!B3=Adm!B11,"Valor del Proyecto","Monto de Crédito")))</f>
        <v>Monto de Crédito</v>
      </c>
      <c r="D29" s="52"/>
      <c r="E29" s="126"/>
      <c r="G29" s="1101">
        <v>1000000</v>
      </c>
      <c r="H29" s="1101"/>
      <c r="I29" s="933"/>
      <c r="K29" s="1111" t="str">
        <f>IF(AND(Adm!B3=Adm!B9,Adm!AF3=Adm!AF6),"El crédito de Liquidez tendrá una tasa diferente del crédito principal y será en Pagos Fijos.",IF(AND(Adm!B3=Adm!B9,OR(Adm!AF3=Adm!AF4,Adm!AF3=Adm!AF5)),"Al crédito de Liquidez le aplicarán las mismas condiciones que elija para su crédito principal.",""))</f>
        <v/>
      </c>
      <c r="L29" s="1111"/>
      <c r="M29" s="1111"/>
      <c r="N29" s="1111"/>
      <c r="O29" s="1111"/>
      <c r="Q29" s="934"/>
      <c r="R29" s="117"/>
      <c r="S29" s="117"/>
      <c r="T29" s="117"/>
      <c r="U29" s="117"/>
      <c r="V29" s="117"/>
      <c r="W29" s="117"/>
      <c r="X29" s="117"/>
      <c r="Y29" s="117"/>
      <c r="Z29" s="117"/>
      <c r="AA29" s="117"/>
    </row>
    <row r="30" spans="3:27" ht="5" customHeight="1">
      <c r="J30" s="91"/>
      <c r="K30" s="91"/>
      <c r="L30" s="91"/>
      <c r="M30" s="91"/>
      <c r="N30" s="91"/>
      <c r="O30" s="91"/>
      <c r="P30" s="91"/>
      <c r="R30" s="117"/>
      <c r="S30" s="117"/>
      <c r="T30" s="117"/>
      <c r="U30" s="117"/>
      <c r="V30" s="117"/>
      <c r="W30" s="117"/>
      <c r="X30" s="117"/>
      <c r="Y30" s="117"/>
      <c r="Z30" s="117"/>
      <c r="AA30" s="117"/>
    </row>
    <row r="31" spans="3:27">
      <c r="F31" s="375" t="s">
        <v>152</v>
      </c>
      <c r="G31" s="1112">
        <f>IF(AND(G27=0,G29=0),"",IF(Adm!B3=Adm!B11,G29/(Captura!G27+Captura!G29),G29/G27))</f>
        <v>0.58858151854031782</v>
      </c>
      <c r="H31" s="1112"/>
      <c r="J31" s="582" t="str">
        <f>IF(Adm!B3=Adm!B11,"CONSTRUCCION","")</f>
        <v/>
      </c>
      <c r="K31" s="580" t="str">
        <f>IF(Adm!B3=Adm!B11,"Selecciona Esquema","")</f>
        <v/>
      </c>
      <c r="L31" s="91"/>
      <c r="M31" s="91"/>
      <c r="N31" s="1110"/>
      <c r="O31" s="1110"/>
      <c r="Q31" s="935"/>
      <c r="R31" s="117"/>
      <c r="S31" s="117"/>
      <c r="T31" s="117"/>
      <c r="U31" s="117"/>
      <c r="V31" s="117"/>
      <c r="W31" s="117"/>
      <c r="X31" s="117"/>
      <c r="Y31" s="117"/>
      <c r="Z31" s="117"/>
      <c r="AA31" s="117"/>
    </row>
    <row r="32" spans="3:27" ht="5" customHeight="1">
      <c r="C32" s="52"/>
      <c r="D32" s="52"/>
      <c r="G32" s="116"/>
      <c r="H32" s="116"/>
      <c r="J32" s="91"/>
      <c r="K32" s="91"/>
      <c r="L32" s="91"/>
      <c r="M32" s="91"/>
      <c r="N32" s="91"/>
      <c r="O32" s="91"/>
      <c r="Q32" s="117"/>
      <c r="R32" s="117"/>
      <c r="S32" s="117"/>
      <c r="T32" s="117"/>
      <c r="U32" s="117"/>
      <c r="V32" s="117"/>
      <c r="W32" s="117"/>
      <c r="X32" s="117"/>
      <c r="Y32" s="117"/>
      <c r="Z32" s="117"/>
      <c r="AA32" s="117"/>
    </row>
    <row r="33" spans="1:27">
      <c r="C33" s="52" t="str">
        <f>IF(Adm!B3=Adm!B13,"Captura los ingresos","")</f>
        <v/>
      </c>
      <c r="D33" s="52"/>
      <c r="G33" s="1110"/>
      <c r="H33" s="1110"/>
      <c r="I33" s="91"/>
      <c r="K33" s="52" t="str">
        <f>IF(Adm!B3=Adm!B11,"Desea Apoyo INFONAVIT?","")</f>
        <v/>
      </c>
      <c r="L33" s="91"/>
      <c r="M33" s="91"/>
      <c r="N33" s="1110"/>
      <c r="O33" s="1110"/>
      <c r="Q33" s="117"/>
      <c r="R33" s="117"/>
      <c r="S33" s="117"/>
      <c r="T33" s="117"/>
      <c r="U33" s="117"/>
      <c r="V33" s="117"/>
      <c r="W33" s="117"/>
      <c r="X33" s="117"/>
      <c r="Y33" s="117"/>
      <c r="Z33" s="117"/>
      <c r="AA33" s="117"/>
    </row>
    <row r="34" spans="1:27" ht="5" customHeight="1">
      <c r="C34" s="52"/>
      <c r="D34" s="52"/>
      <c r="G34" s="116"/>
      <c r="H34" s="116"/>
      <c r="J34" s="91"/>
      <c r="K34" s="91"/>
      <c r="L34" s="91"/>
      <c r="M34" s="91"/>
      <c r="N34" s="91"/>
      <c r="O34" s="91"/>
      <c r="Q34" s="117"/>
      <c r="R34" s="117"/>
      <c r="S34" s="117"/>
      <c r="T34" s="117"/>
      <c r="U34" s="117"/>
      <c r="V34" s="117"/>
      <c r="W34" s="117"/>
      <c r="X34" s="117"/>
      <c r="Y34" s="117"/>
      <c r="Z34" s="117"/>
      <c r="AA34" s="117"/>
    </row>
    <row r="35" spans="1:27">
      <c r="J35" s="91"/>
      <c r="K35" s="420" t="str">
        <f>IF(AND(Adm!B3=Adm!B11,G27&gt;0,G29&gt;0),CONCATENATE("El monto del crédito a otorgar es de "," ",DOLLAR(Cal!B62)),"")</f>
        <v/>
      </c>
      <c r="Q35" s="117"/>
      <c r="R35" s="117"/>
      <c r="S35" s="117"/>
      <c r="T35" s="117"/>
      <c r="U35" s="117"/>
      <c r="V35" s="117"/>
      <c r="W35" s="117"/>
      <c r="X35" s="117"/>
      <c r="Y35" s="117"/>
      <c r="Z35" s="117"/>
      <c r="AA35" s="117"/>
    </row>
    <row r="36" spans="1:27" ht="5" customHeight="1">
      <c r="C36" s="52"/>
      <c r="D36" s="52"/>
      <c r="G36" s="116"/>
      <c r="H36" s="116"/>
      <c r="J36" s="91"/>
      <c r="K36" s="91"/>
      <c r="L36" s="91"/>
      <c r="M36" s="91"/>
      <c r="N36" s="91"/>
      <c r="O36" s="91"/>
      <c r="Q36" s="117"/>
      <c r="R36" s="117"/>
      <c r="S36" s="117"/>
      <c r="T36" s="117"/>
      <c r="U36" s="117"/>
      <c r="V36" s="117"/>
      <c r="W36" s="117"/>
      <c r="X36" s="117"/>
      <c r="Y36" s="117"/>
      <c r="Z36" s="117"/>
      <c r="AA36" s="117"/>
    </row>
    <row r="37" spans="1:27">
      <c r="C37" s="52"/>
      <c r="D37" s="52"/>
      <c r="G37" s="116"/>
      <c r="H37" s="116"/>
      <c r="J37" s="91"/>
      <c r="K37" s="580" t="str">
        <f>IF(AND(Adm!B3=Adm!B11,K35&lt;&gt;""),"Si desea un monto menor capture nuevo Importe $","")</f>
        <v/>
      </c>
      <c r="L37" s="91"/>
      <c r="M37" s="91"/>
      <c r="N37" s="1102"/>
      <c r="O37" s="1102"/>
      <c r="Q37" s="117"/>
      <c r="R37" s="117"/>
      <c r="S37" s="117"/>
      <c r="T37" s="117"/>
      <c r="U37" s="117"/>
      <c r="V37" s="117"/>
      <c r="W37" s="117"/>
      <c r="X37" s="117"/>
      <c r="Y37" s="117"/>
      <c r="Z37" s="117"/>
      <c r="AA37" s="117"/>
    </row>
    <row r="38" spans="1:27" ht="15" thickBot="1">
      <c r="C38" s="579" t="str">
        <f>IF(Adm!B3=0,"",W1)</f>
        <v/>
      </c>
      <c r="D38" s="364"/>
      <c r="E38" s="364"/>
      <c r="F38" s="364"/>
      <c r="G38" s="364"/>
      <c r="H38" s="364"/>
      <c r="I38" s="364"/>
      <c r="J38" s="364"/>
      <c r="K38" s="364"/>
      <c r="L38" s="364"/>
      <c r="M38" s="364"/>
      <c r="N38" s="364"/>
      <c r="O38" s="364"/>
      <c r="Q38" s="932"/>
      <c r="R38" s="117"/>
      <c r="S38" s="117"/>
      <c r="T38" s="117"/>
      <c r="U38" s="117"/>
      <c r="V38" s="117"/>
      <c r="W38" s="117"/>
      <c r="X38" s="117"/>
      <c r="Y38" s="117"/>
      <c r="Z38" s="117"/>
      <c r="AA38" s="117"/>
    </row>
    <row r="39" spans="1:27" s="135" customFormat="1" ht="14.25" customHeight="1">
      <c r="A39" s="298"/>
      <c r="C39" s="651" t="s">
        <v>195</v>
      </c>
      <c r="D39" s="442"/>
      <c r="E39" s="388"/>
      <c r="F39" s="389"/>
      <c r="G39" s="389"/>
      <c r="H39" s="389"/>
      <c r="I39" s="389"/>
      <c r="J39" s="388"/>
      <c r="K39" s="390"/>
      <c r="L39" s="390"/>
      <c r="M39" s="390"/>
      <c r="N39" s="390"/>
      <c r="O39" s="390"/>
    </row>
    <row r="40" spans="1:27" ht="26.25" customHeight="1">
      <c r="C40" s="850" t="str">
        <f>IF(OR(Adm!$B$3=Adm!$B$12,Adm!$B$3=Adm!$B$13,Adm!$B$3=Adm!$B$14),"El aforo final estará en función de la Evaluación de Crédito","Te mostramos las tasas a las que podrías acceder de acuerdo al aforo y plazo seleccionado. La tasa y el aforo final estarán en función de la Evaluación de Crédito")</f>
        <v>Te mostramos las tasas a las que podrías acceder de acuerdo al aforo y plazo seleccionado. La tasa y el aforo final estarán en función de la Evaluación de Crédito</v>
      </c>
      <c r="D40" s="391"/>
      <c r="E40" s="391"/>
      <c r="F40" s="391"/>
      <c r="G40" s="391"/>
      <c r="H40" s="391"/>
      <c r="I40" s="391"/>
      <c r="J40" s="391"/>
      <c r="K40" s="391"/>
      <c r="L40" s="391"/>
      <c r="M40" s="391"/>
      <c r="N40" s="391"/>
      <c r="O40" s="392"/>
    </row>
    <row r="41" spans="1:27" ht="9" customHeight="1">
      <c r="C41" s="686"/>
      <c r="D41" s="148"/>
      <c r="E41" s="148"/>
      <c r="F41" s="148"/>
      <c r="G41" s="148"/>
      <c r="H41" s="148"/>
      <c r="I41" s="148"/>
      <c r="J41" s="148"/>
      <c r="K41" s="149"/>
      <c r="L41" s="149"/>
      <c r="M41" s="149"/>
      <c r="N41" s="148"/>
      <c r="O41" s="677"/>
    </row>
    <row r="42" spans="1:27" s="587" customFormat="1" ht="30" customHeight="1">
      <c r="C42" s="687"/>
      <c r="D42" s="588"/>
      <c r="E42" s="1054" t="str">
        <f>IF(Adm!$B$3=0,"",IF($C$38&lt;&gt;"","",IF(Cal!E85="","",IF(OR(Adm!$B$3=Adm!$B$12,Adm!$B$3=Adm!$B$13,Adm!$B$3=Adm!$B$14),"","Tasa baja"))))</f>
        <v>Tasa baja</v>
      </c>
      <c r="F42" s="589"/>
      <c r="G42" s="588"/>
      <c r="H42" s="589" t="str">
        <f>IF(Adm!$B$3=0,"",IF($C$38&lt;&gt;"","",IF(Cal!H85="","","Tasa media 1")))</f>
        <v>Tasa media 1</v>
      </c>
      <c r="I42" s="589"/>
      <c r="J42" s="588"/>
      <c r="K42" s="589" t="str">
        <f>IF(Adm!$B$3=0,"",IF($C$38&lt;&gt;"","",IF(Cal!K85="","","Tasa media 2")))</f>
        <v>Tasa media 2</v>
      </c>
      <c r="L42" s="589"/>
      <c r="M42" s="588"/>
      <c r="N42" s="1054" t="str">
        <f>IF(Adm!$B$3=0,"",IF($C$38&lt;&gt;"","",IF(Cal!N85="","","Tasa alta")))</f>
        <v>Tasa alta</v>
      </c>
      <c r="O42" s="678"/>
    </row>
    <row r="43" spans="1:27">
      <c r="C43" s="688"/>
      <c r="D43" s="161"/>
      <c r="E43" s="847" t="str">
        <f>IF(Adm!$B$3=0,"",IF($C$38&lt;&gt;"","",IF(Cal!E85="","","Crédito Principal")))</f>
        <v>Crédito Principal</v>
      </c>
      <c r="F43" s="848" t="str">
        <f>IF(Adm!$B$3=0,"",IF($C$38&lt;&gt;"","",IF(Cal!F85="","","Crédito Liquidez")))</f>
        <v/>
      </c>
      <c r="G43" s="148"/>
      <c r="H43" s="847" t="str">
        <f>IF(Adm!$B$3=0,"",IF($C$38&lt;&gt;"","",IF(Cal!H85="","","Crédito Principal")))</f>
        <v>Crédito Principal</v>
      </c>
      <c r="I43" s="848" t="str">
        <f>IF(Adm!$B$3=0,"",IF($C$38&lt;&gt;"","",IF(Cal!I85="","","Crédito Liquidez")))</f>
        <v/>
      </c>
      <c r="J43" s="123"/>
      <c r="K43" s="847" t="str">
        <f>IF(Adm!$B$3=0,"",IF($C$38&lt;&gt;"","",IF(Cal!K85="","","Crédito Principal")))</f>
        <v>Crédito Principal</v>
      </c>
      <c r="L43" s="848" t="str">
        <f>IF(Adm!$B$3=0,"",IF($C$38&lt;&gt;"","",IF(Cal!L85="","","Crédito Liquidez")))</f>
        <v/>
      </c>
      <c r="M43" s="148"/>
      <c r="N43" s="847" t="str">
        <f>IF(Adm!$B$3=0,"",IF($C$38&lt;&gt;"","",IF(Cal!N85="","","Crédito Principal")))</f>
        <v>Crédito Principal</v>
      </c>
      <c r="O43" s="849" t="str">
        <f>IF(Adm!$B$3=0,"",IF($C$38&lt;&gt;"","",IF(Cal!O85="","","Crédito Liquidez")))</f>
        <v/>
      </c>
    </row>
    <row r="44" spans="1:27">
      <c r="C44" s="688" t="s">
        <v>81</v>
      </c>
      <c r="D44" s="161"/>
      <c r="E44" s="204">
        <f>IF($E$43="",0,Adm!G3)</f>
        <v>240</v>
      </c>
      <c r="F44" s="204">
        <f>IF(F43="",0,Adm!G3)</f>
        <v>0</v>
      </c>
      <c r="G44" s="148"/>
      <c r="H44" s="204">
        <f>IF($H$43="",0,Adm!G3)</f>
        <v>240</v>
      </c>
      <c r="I44" s="204">
        <f>IF(I43="",0,Adm!G3)</f>
        <v>0</v>
      </c>
      <c r="J44" s="147"/>
      <c r="K44" s="204">
        <f>IF($K$43="",0,Adm!G3)</f>
        <v>240</v>
      </c>
      <c r="L44" s="204">
        <f>IF(L43="",0,Adm!G3)</f>
        <v>0</v>
      </c>
      <c r="M44" s="148"/>
      <c r="N44" s="204">
        <f>IF($N$43="",0,Adm!G3)</f>
        <v>240</v>
      </c>
      <c r="O44" s="679">
        <f>IF(O43="",0,Adm!G3)</f>
        <v>0</v>
      </c>
    </row>
    <row r="45" spans="1:27">
      <c r="C45" s="688" t="s">
        <v>280</v>
      </c>
      <c r="D45" s="161"/>
      <c r="E45" s="400">
        <f>IF($E$43="",0,Cal!E89)</f>
        <v>1699000</v>
      </c>
      <c r="F45" s="204"/>
      <c r="G45" s="148"/>
      <c r="H45" s="400">
        <f>IF($H$43="",0,Cal!H89)</f>
        <v>1699000</v>
      </c>
      <c r="I45" s="204"/>
      <c r="J45" s="147"/>
      <c r="K45" s="400">
        <f>IF($K$43="",0,Cal!K89)</f>
        <v>1699000</v>
      </c>
      <c r="L45" s="204"/>
      <c r="M45" s="148"/>
      <c r="N45" s="400">
        <f>IF($N$43="",0,Cal!N89)</f>
        <v>1699000</v>
      </c>
      <c r="O45" s="679"/>
    </row>
    <row r="46" spans="1:27">
      <c r="C46" s="688" t="str">
        <f>IF(Adm!B3=Adm!B11,"","Financiamiento máximo")</f>
        <v>Financiamiento máximo</v>
      </c>
      <c r="D46" s="161"/>
      <c r="E46" s="401">
        <f>IF($E$43="",0,Cal!E88)</f>
        <v>0.58858151854031782</v>
      </c>
      <c r="F46" s="204"/>
      <c r="G46" s="148"/>
      <c r="H46" s="401">
        <f>IF($H$43="",0,Cal!H88)</f>
        <v>0.58858151854031782</v>
      </c>
      <c r="I46" s="204"/>
      <c r="J46" s="147"/>
      <c r="K46" s="401">
        <f>IF($K$43="",0,Cal!K88)</f>
        <v>0.58858151854031782</v>
      </c>
      <c r="L46" s="204"/>
      <c r="M46" s="148"/>
      <c r="N46" s="401">
        <f>IF($N$43="",0,Cal!N88)</f>
        <v>0.58858151854031782</v>
      </c>
      <c r="O46" s="679"/>
    </row>
    <row r="47" spans="1:27" ht="15">
      <c r="C47" s="688" t="s">
        <v>156</v>
      </c>
      <c r="D47" s="161"/>
      <c r="E47" s="1001">
        <f>IF($E$43="",0,Cal!E86)</f>
        <v>9.5000000000000001E-2</v>
      </c>
      <c r="F47" s="402">
        <f>IF(F43="",0,Cal!F86)</f>
        <v>0</v>
      </c>
      <c r="G47" s="148"/>
      <c r="H47" s="1001">
        <f>IF($H$43="",0,Cal!H86)</f>
        <v>9.9400000000000002E-2</v>
      </c>
      <c r="I47" s="402">
        <f>IF(I43="",0,Cal!I86)</f>
        <v>0</v>
      </c>
      <c r="J47" s="147"/>
      <c r="K47" s="1001">
        <f>IF($K$43="",0,Cal!K86)</f>
        <v>0.10349999999999999</v>
      </c>
      <c r="L47" s="402">
        <f>IF(L43="",0,Cal!L86)</f>
        <v>0</v>
      </c>
      <c r="M47" s="148"/>
      <c r="N47" s="1001">
        <f>IF($N$43="",0,Cal!N86)</f>
        <v>0.1089</v>
      </c>
      <c r="O47" s="680">
        <f>IF(O43="",0,Cal!O86)</f>
        <v>0</v>
      </c>
    </row>
    <row r="48" spans="1:27">
      <c r="C48" s="688"/>
      <c r="D48" s="161"/>
      <c r="E48" s="403"/>
      <c r="F48" s="403"/>
      <c r="G48" s="148"/>
      <c r="H48" s="403"/>
      <c r="I48" s="403"/>
      <c r="J48" s="147"/>
      <c r="K48" s="403"/>
      <c r="L48" s="403"/>
      <c r="M48" s="148"/>
      <c r="N48" s="403"/>
      <c r="O48" s="681"/>
    </row>
    <row r="49" spans="1:56">
      <c r="C49" s="688" t="s">
        <v>129</v>
      </c>
      <c r="D49" s="161"/>
      <c r="E49" s="404">
        <f>IF($E$43="",0,Cal!E90)</f>
        <v>1000000</v>
      </c>
      <c r="F49" s="400" t="str">
        <f>IF($F$43="","",Cal!F90)</f>
        <v/>
      </c>
      <c r="G49" s="148"/>
      <c r="H49" s="404">
        <f>IF($H$43="",0,Cal!H90)</f>
        <v>1000000</v>
      </c>
      <c r="I49" s="400" t="str">
        <f>IF($I$43="","",Cal!I90)</f>
        <v/>
      </c>
      <c r="J49" s="147"/>
      <c r="K49" s="404">
        <f>IF($K$43="",0,Cal!K90)</f>
        <v>1000000</v>
      </c>
      <c r="L49" s="400" t="str">
        <f>IF($L$43="","",Cal!L90)</f>
        <v/>
      </c>
      <c r="M49" s="148"/>
      <c r="N49" s="404">
        <f>IF($N$43="",0,Cal!N90)</f>
        <v>1000000</v>
      </c>
      <c r="O49" s="682" t="str">
        <f>IF($O$43="","",Cal!O90)</f>
        <v/>
      </c>
    </row>
    <row r="50" spans="1:56">
      <c r="C50" s="688"/>
      <c r="D50" s="1061" t="str">
        <f>IF(AND(Adm!B3=Adm!B6,Adm!I11="si"),"Ecotecnologías","")</f>
        <v/>
      </c>
      <c r="E50" s="400">
        <f>IF($E$43="",0,IF(Adm!B3=Adm!B6,Cal!E111,0))</f>
        <v>0</v>
      </c>
      <c r="F50" s="400"/>
      <c r="G50" s="148"/>
      <c r="H50" s="400">
        <f>IF($H$43="",0,IF(Adm!B3=Adm!B6,Cal!H111,0))</f>
        <v>0</v>
      </c>
      <c r="I50" s="400"/>
      <c r="J50" s="147"/>
      <c r="K50" s="400">
        <f>IF($K$43="",0,IF(Adm!B3=Adm!B6,Cal!K111,0))</f>
        <v>0</v>
      </c>
      <c r="L50" s="400"/>
      <c r="M50" s="148"/>
      <c r="N50" s="400">
        <f>IF($N$43="",0,IF(Adm!B3=Adm!B6,Cal!N111,0))</f>
        <v>0</v>
      </c>
      <c r="O50" s="682"/>
      <c r="AT50" s="1060"/>
      <c r="AU50" s="1060"/>
      <c r="AV50" s="1060"/>
      <c r="AW50" s="1060"/>
      <c r="AX50" s="1060"/>
      <c r="AY50" s="1060"/>
      <c r="AZ50" s="1060"/>
      <c r="BA50" s="1060"/>
      <c r="BB50" s="1060"/>
      <c r="BC50" s="1060"/>
      <c r="BD50" s="1060"/>
    </row>
    <row r="51" spans="1:56">
      <c r="C51" s="688"/>
      <c r="D51" s="284" t="str">
        <f>IF(Adm!B3=Adm!B11,"",IF(AND(Adm!B3=Adm!B9,Adm!AF3=0),"",IF(Cal!E91=0,"","Prima Unica")))</f>
        <v>Prima Unica</v>
      </c>
      <c r="E51" s="400">
        <f>IF($E$43="",0,IF(Adm!B3=Adm!B9,0,Cal!E91))</f>
        <v>31540</v>
      </c>
      <c r="F51" s="400" t="str">
        <f>IF($F$43="","",Cal!F91)</f>
        <v/>
      </c>
      <c r="G51" s="148"/>
      <c r="H51" s="400">
        <f>IF($H$43="",0,IF(Adm!B3=Adm!B9,0,Cal!H91))</f>
        <v>31540</v>
      </c>
      <c r="I51" s="400" t="str">
        <f>IF($I$43="","",Cal!I91)</f>
        <v/>
      </c>
      <c r="J51" s="147"/>
      <c r="K51" s="400">
        <f>IF($K$43="",0,IF(Adm!B3=Adm!B9,0,Cal!K91))</f>
        <v>31540</v>
      </c>
      <c r="L51" s="400" t="str">
        <f>IF($L$43="","",Cal!L91)</f>
        <v/>
      </c>
      <c r="M51" s="148"/>
      <c r="N51" s="400">
        <f>IF($N$43="",0,IF(Adm!B3=Adm!B9,0,Cal!N91))</f>
        <v>31540</v>
      </c>
      <c r="O51" s="682" t="str">
        <f>IF($O$43="","",Cal!O91)</f>
        <v/>
      </c>
    </row>
    <row r="52" spans="1:56">
      <c r="C52" s="689" t="s">
        <v>69</v>
      </c>
      <c r="D52" s="283"/>
      <c r="E52" s="404">
        <f>IF($E$43="",0,Cal!E92)</f>
        <v>1031540</v>
      </c>
      <c r="F52" s="406">
        <f>IF($F$43="",0,Cal!F92)</f>
        <v>0</v>
      </c>
      <c r="G52" s="148"/>
      <c r="H52" s="404">
        <f>IF($H$43="",0,Cal!H92)</f>
        <v>1031540</v>
      </c>
      <c r="I52" s="406">
        <f>IF($I$43="",0,Cal!I92)</f>
        <v>0</v>
      </c>
      <c r="J52" s="147"/>
      <c r="K52" s="404">
        <f>IF($K$43="",0,Cal!K92)</f>
        <v>1031540</v>
      </c>
      <c r="L52" s="406">
        <f>IF($L$43="",0,Cal!L92)</f>
        <v>0</v>
      </c>
      <c r="M52" s="148"/>
      <c r="N52" s="404">
        <f>IF($N$43="",0,Cal!N92)</f>
        <v>1031540</v>
      </c>
      <c r="O52" s="683">
        <f>IF($O$43="",0,Cal!O92)</f>
        <v>0</v>
      </c>
    </row>
    <row r="53" spans="1:56">
      <c r="C53" s="688" t="str">
        <f>IF(Adm!B3=Adm!B11,"Primer Disposición","")</f>
        <v/>
      </c>
      <c r="D53" s="161"/>
      <c r="E53" s="400">
        <f>IF($E$43="",0,Cal!E104)</f>
        <v>0</v>
      </c>
      <c r="F53" s="406"/>
      <c r="G53" s="148"/>
      <c r="H53" s="400">
        <f>IF($H$43="",0,Cal!H104)</f>
        <v>0</v>
      </c>
      <c r="I53" s="406"/>
      <c r="J53" s="147"/>
      <c r="K53" s="400">
        <f>IF($K$43="",0,Cal!K104)</f>
        <v>0</v>
      </c>
      <c r="L53" s="406"/>
      <c r="M53" s="148"/>
      <c r="N53" s="400">
        <f>IF($N$43="",0,Cal!N104)</f>
        <v>0</v>
      </c>
      <c r="O53" s="683"/>
    </row>
    <row r="54" spans="1:56">
      <c r="C54" s="688" t="str">
        <f>IF(Adm!B3=Adm!B11,"3 disposiciones de","")</f>
        <v/>
      </c>
      <c r="D54" s="161"/>
      <c r="E54" s="400">
        <f>IF($E$43="",0,Cal!E105)</f>
        <v>0</v>
      </c>
      <c r="F54" s="406"/>
      <c r="G54" s="148"/>
      <c r="H54" s="400">
        <f>IF($H$43="",0,Cal!H105)</f>
        <v>0</v>
      </c>
      <c r="I54" s="406"/>
      <c r="J54" s="147"/>
      <c r="K54" s="400">
        <f>IF($K$43="",0,Cal!K105)</f>
        <v>0</v>
      </c>
      <c r="L54" s="406"/>
      <c r="M54" s="148"/>
      <c r="N54" s="400">
        <f>IF($N$43="",0,Cal!N105)</f>
        <v>0</v>
      </c>
      <c r="O54" s="683"/>
    </row>
    <row r="55" spans="1:56">
      <c r="C55" s="688" t="str">
        <f>IF(Adm!B3=Adm!B11,"Ultima disposición de","")</f>
        <v/>
      </c>
      <c r="D55" s="161"/>
      <c r="E55" s="400">
        <f>IF($E$43="",0,Cal!E106)</f>
        <v>0</v>
      </c>
      <c r="F55" s="406"/>
      <c r="G55" s="148"/>
      <c r="H55" s="400">
        <f>IF($H$43="",0,Cal!H106)</f>
        <v>0</v>
      </c>
      <c r="I55" s="406"/>
      <c r="J55" s="147"/>
      <c r="K55" s="400">
        <f>IF($K$43="",0,Cal!K106)</f>
        <v>0</v>
      </c>
      <c r="L55" s="406"/>
      <c r="M55" s="148"/>
      <c r="N55" s="400">
        <f>IF($N$43="",0,Cal!N106)</f>
        <v>0</v>
      </c>
      <c r="O55" s="683"/>
    </row>
    <row r="56" spans="1:56" s="153" customFormat="1" ht="23.25" customHeight="1">
      <c r="A56" s="152"/>
      <c r="C56" s="1130" t="s">
        <v>398</v>
      </c>
      <c r="D56" s="1131"/>
      <c r="E56" s="983">
        <f>IF($E$43="",0,IF(Adm!B3=Adm!B9,0,Cal!E98))</f>
        <v>24211.199683987481</v>
      </c>
      <c r="F56" s="984"/>
      <c r="G56" s="985"/>
      <c r="H56" s="983">
        <f>IF($H$43="",0,IF(Adm!B3=Adm!B9,0,Cal!H98))</f>
        <v>24962.331074005589</v>
      </c>
      <c r="I56" s="984"/>
      <c r="J56" s="986"/>
      <c r="K56" s="983">
        <f>IF($K$43="",0,IF(Adm!B3=Adm!B9,0,Cal!K98))</f>
        <v>25670.762044936611</v>
      </c>
      <c r="L56" s="984"/>
      <c r="M56" s="985"/>
      <c r="N56" s="983">
        <f>IF($N$43="",0,IF(Adm!B3=Adm!B9,0,Cal!N98))</f>
        <v>26615.916401228533</v>
      </c>
      <c r="O56" s="683"/>
    </row>
    <row r="57" spans="1:56">
      <c r="C57" s="690"/>
      <c r="D57" s="285"/>
      <c r="E57" s="204"/>
      <c r="F57" s="407"/>
      <c r="G57" s="148"/>
      <c r="H57" s="204"/>
      <c r="I57" s="407"/>
      <c r="J57" s="147"/>
      <c r="K57" s="204"/>
      <c r="L57" s="407"/>
      <c r="M57" s="148"/>
      <c r="N57" s="204"/>
      <c r="O57" s="684"/>
    </row>
    <row r="58" spans="1:56">
      <c r="C58" s="691" t="s">
        <v>70</v>
      </c>
      <c r="D58" s="162"/>
      <c r="E58" s="204"/>
      <c r="F58" s="407"/>
      <c r="G58" s="148"/>
      <c r="H58" s="204"/>
      <c r="I58" s="407"/>
      <c r="J58" s="147"/>
      <c r="K58" s="204"/>
      <c r="L58" s="407"/>
      <c r="M58" s="148"/>
      <c r="N58" s="204"/>
      <c r="O58" s="684"/>
    </row>
    <row r="59" spans="1:56">
      <c r="C59" s="692" t="str">
        <f>IF(Adm!B3=Adm!B11,"Pago Inicial sólo intereses","Pago Mensual inicial (k+ i)")</f>
        <v>Pago Mensual inicial (k+ i)</v>
      </c>
      <c r="D59" s="148"/>
      <c r="E59" s="400">
        <f>IF($E$43="",0,Cal!E93)</f>
        <v>9615.3060549778711</v>
      </c>
      <c r="F59" s="407">
        <f>IF($F$43="",0,Cal!F93)</f>
        <v>0</v>
      </c>
      <c r="G59" s="148"/>
      <c r="H59" s="400">
        <f>IF($H$43="",0,Cal!H93)</f>
        <v>9913.6125534906951</v>
      </c>
      <c r="I59" s="407">
        <f>IF($I$43="",0,Cal!I93)</f>
        <v>0</v>
      </c>
      <c r="J59" s="147"/>
      <c r="K59" s="400">
        <f>IF($K$43="",0,Cal!K93)</f>
        <v>10194.960883736056</v>
      </c>
      <c r="L59" s="407">
        <f>IF($L$43="",0,Cal!L93)</f>
        <v>0</v>
      </c>
      <c r="M59" s="148"/>
      <c r="N59" s="400">
        <f>IF($N$43="",0,Cal!N93)</f>
        <v>10570.322225741464</v>
      </c>
      <c r="O59" s="684">
        <f>IF($O$43="",0,Cal!O93)</f>
        <v>0</v>
      </c>
    </row>
    <row r="60" spans="1:56">
      <c r="C60" s="692" t="s">
        <v>50</v>
      </c>
      <c r="D60" s="148"/>
      <c r="E60" s="400">
        <f>IF($E$43="",0,Cal!E94)</f>
        <v>0</v>
      </c>
      <c r="F60" s="407">
        <f>IF($F$43="",0,Cal!F94)</f>
        <v>0</v>
      </c>
      <c r="G60" s="148"/>
      <c r="H60" s="400">
        <f>IF($H$43="",0,Cal!H94)</f>
        <v>0</v>
      </c>
      <c r="I60" s="407">
        <f>IF($I$43="",0,Cal!I94)</f>
        <v>0</v>
      </c>
      <c r="J60" s="147"/>
      <c r="K60" s="400">
        <f>IF($K$43="",0,Cal!K94)</f>
        <v>0</v>
      </c>
      <c r="L60" s="407">
        <f>IF($L$43="",0,Cal!L94)</f>
        <v>0</v>
      </c>
      <c r="M60" s="148"/>
      <c r="N60" s="400">
        <f>IF($N$43="",0,Cal!N94)</f>
        <v>0</v>
      </c>
      <c r="O60" s="684">
        <f>IF($O$43="",0,Cal!O94)</f>
        <v>0</v>
      </c>
    </row>
    <row r="61" spans="1:56">
      <c r="C61" s="692" t="str">
        <f>IF(Adm!B3=Adm!B12,"",IF(Adm!B3=Adm!B11,"Seguro de Obra","Seguro de Daños"))</f>
        <v>Seguro de Daños</v>
      </c>
      <c r="D61" s="148"/>
      <c r="E61" s="400">
        <f>IF($E$43="",0,Cal!E95)</f>
        <v>573.58240000000001</v>
      </c>
      <c r="F61" s="407"/>
      <c r="G61" s="148"/>
      <c r="H61" s="400">
        <f>IF($H$43="",0,Cal!H95)</f>
        <v>573.58240000000001</v>
      </c>
      <c r="I61" s="407"/>
      <c r="J61" s="147"/>
      <c r="K61" s="400">
        <f>IF($K$43="",0,Cal!K95)</f>
        <v>573.58240000000001</v>
      </c>
      <c r="L61" s="407"/>
      <c r="M61" s="148"/>
      <c r="N61" s="400">
        <f>IF($N$43="",0,Cal!N95)</f>
        <v>573.58240000000001</v>
      </c>
      <c r="O61" s="684"/>
    </row>
    <row r="62" spans="1:56">
      <c r="C62" s="690" t="s">
        <v>85</v>
      </c>
      <c r="D62" s="163"/>
      <c r="E62" s="400">
        <f>IF($E$43="",0,Cal!E96)</f>
        <v>290</v>
      </c>
      <c r="F62" s="407"/>
      <c r="G62" s="148"/>
      <c r="H62" s="400">
        <f>IF($H$43="",0,Cal!H96)</f>
        <v>290</v>
      </c>
      <c r="I62" s="407"/>
      <c r="J62" s="147"/>
      <c r="K62" s="400">
        <f>IF($K$43="",0,Cal!K96)</f>
        <v>290</v>
      </c>
      <c r="L62" s="407"/>
      <c r="M62" s="148"/>
      <c r="N62" s="400">
        <f>IF($N$43="",0,Cal!N96)</f>
        <v>290</v>
      </c>
      <c r="O62" s="684"/>
    </row>
    <row r="63" spans="1:56">
      <c r="C63" s="690" t="str">
        <f>IF(Adm!B3=Adm!B9,"IVA de Intereses",IF(OR(Adm!B3=Adm!B12,Adm!B3=Adm!B13,Adm!B3=Adm!B14),"IVA de Intereses",""))</f>
        <v/>
      </c>
      <c r="D63" s="163"/>
      <c r="E63" s="400">
        <f>IF($E$43="",0,Cal!E102)</f>
        <v>0</v>
      </c>
      <c r="F63" s="407">
        <f>IF($F$43="",0,Cal!F102)</f>
        <v>0</v>
      </c>
      <c r="G63" s="148"/>
      <c r="H63" s="400">
        <f>IF($H$43="",0,Cal!H102)</f>
        <v>0</v>
      </c>
      <c r="I63" s="407">
        <f>IF($I$43="",0,Cal!I102)</f>
        <v>0</v>
      </c>
      <c r="J63" s="147"/>
      <c r="K63" s="400">
        <f>IF($K$43="",0,Cal!K102)</f>
        <v>0</v>
      </c>
      <c r="L63" s="407">
        <f>IF($L$43="",0,Cal!L102)</f>
        <v>0</v>
      </c>
      <c r="M63" s="148"/>
      <c r="N63" s="400">
        <f>IF($N$43="",0,Cal!N102)</f>
        <v>0</v>
      </c>
      <c r="O63" s="684">
        <f>IF($O$43="",0,Cal!O102)</f>
        <v>0</v>
      </c>
    </row>
    <row r="64" spans="1:56">
      <c r="C64" s="689" t="s">
        <v>86</v>
      </c>
      <c r="D64" s="200"/>
      <c r="E64" s="405">
        <f>IF($E$43="",0,SUM(E59:E63))</f>
        <v>10478.88845497787</v>
      </c>
      <c r="F64" s="408">
        <f>IF($F$43="",0,SUM(F59:F63))</f>
        <v>0</v>
      </c>
      <c r="G64" s="148"/>
      <c r="H64" s="405">
        <f>IF($H$43="",0,SUM(H59:H63))</f>
        <v>10777.194953490694</v>
      </c>
      <c r="I64" s="408">
        <f>IF($I$43="",0,SUM(I59:I63))</f>
        <v>0</v>
      </c>
      <c r="J64" s="147"/>
      <c r="K64" s="405">
        <f>IF($K$43="",0,SUM(K59:K63))</f>
        <v>11058.543283736055</v>
      </c>
      <c r="L64" s="408">
        <f>IF($L$43="",0,SUM(L59:L63))</f>
        <v>0</v>
      </c>
      <c r="M64" s="148"/>
      <c r="N64" s="405">
        <f>IF($N$43="",0,SUM(N59:N63))</f>
        <v>11433.904625741463</v>
      </c>
      <c r="O64" s="685">
        <f>IF($O$43="",0,SUM(O59:O63))</f>
        <v>0</v>
      </c>
    </row>
    <row r="65" spans="1:90">
      <c r="C65" s="693" t="str">
        <f>IF(Adm!C3=Adm!C5,"Incremento anual en el pago","")</f>
        <v/>
      </c>
      <c r="D65" s="164"/>
      <c r="E65" s="583">
        <f>IF($E$43="",0,Cal!E97)</f>
        <v>0</v>
      </c>
      <c r="F65" s="407"/>
      <c r="G65" s="148"/>
      <c r="H65" s="583">
        <f>IF($H$43="",0,Cal!H97)</f>
        <v>0</v>
      </c>
      <c r="I65" s="407"/>
      <c r="J65" s="147"/>
      <c r="K65" s="583">
        <f>IF($K$43="",0,Cal!K97)</f>
        <v>0</v>
      </c>
      <c r="L65" s="407"/>
      <c r="M65" s="148"/>
      <c r="N65" s="583">
        <f>IF($N$43="",0,Cal!N97)</f>
        <v>0</v>
      </c>
      <c r="O65" s="684"/>
    </row>
    <row r="66" spans="1:90" ht="24.75" customHeight="1">
      <c r="C66" s="691" t="s">
        <v>28</v>
      </c>
      <c r="D66" s="162"/>
      <c r="E66" s="400"/>
      <c r="F66" s="407"/>
      <c r="G66" s="148"/>
      <c r="H66" s="400"/>
      <c r="I66" s="407"/>
      <c r="J66" s="147"/>
      <c r="K66" s="400"/>
      <c r="L66" s="407"/>
      <c r="M66" s="148"/>
      <c r="N66" s="400"/>
      <c r="O66" s="684"/>
    </row>
    <row r="67" spans="1:90">
      <c r="C67" s="690" t="str">
        <f>IF(Adm!B3=Adm!B9,"Prima Unica",IF(Adm!B3=Adm!B11,"",IF(Cal!E91=0,"","Prima Unica")))</f>
        <v>Prima Unica</v>
      </c>
      <c r="D67" s="163"/>
      <c r="E67" s="400">
        <f>IF($E$43="",0,Cal!E91)</f>
        <v>31540</v>
      </c>
      <c r="F67" s="407" t="str">
        <f>IF($F$43="","",Cal!F91)</f>
        <v/>
      </c>
      <c r="G67" s="148"/>
      <c r="H67" s="400">
        <f>IF($H$43="",0,Cal!H91)</f>
        <v>31540</v>
      </c>
      <c r="I67" s="407" t="str">
        <f>IF($I$43="","",Cal!I91)</f>
        <v/>
      </c>
      <c r="J67" s="147"/>
      <c r="K67" s="400">
        <f>IF($K$43="",0,Cal!K91)</f>
        <v>31540</v>
      </c>
      <c r="L67" s="407" t="str">
        <f>IF($L$43="","",Cal!L91)</f>
        <v/>
      </c>
      <c r="M67" s="148"/>
      <c r="N67" s="400">
        <f>IF($N$43="",0,Cal!N91)</f>
        <v>31540</v>
      </c>
      <c r="O67" s="684" t="str">
        <f>IF($O$43="","",Cal!O91)</f>
        <v/>
      </c>
    </row>
    <row r="68" spans="1:90">
      <c r="B68" s="92"/>
      <c r="C68" s="690" t="s">
        <v>99</v>
      </c>
      <c r="D68" s="163"/>
      <c r="E68" s="400">
        <f>IF($E$43="",0,Cal!E99)</f>
        <v>10315.4</v>
      </c>
      <c r="F68" s="407">
        <f>IF($F$43="",0,Cal!F99)</f>
        <v>0</v>
      </c>
      <c r="G68" s="148"/>
      <c r="H68" s="400">
        <f>IF($H$43="",0,Cal!H99)</f>
        <v>10315.4</v>
      </c>
      <c r="I68" s="407">
        <f>IF($I$43="",0,Cal!I99)</f>
        <v>0</v>
      </c>
      <c r="J68" s="147"/>
      <c r="K68" s="400">
        <f>IF($K$43="",0,Cal!K99)</f>
        <v>10315.4</v>
      </c>
      <c r="L68" s="407">
        <f>IF($L$43="",0,Cal!L99)</f>
        <v>0</v>
      </c>
      <c r="M68" s="148"/>
      <c r="N68" s="400">
        <f>IF($N$43="",0,Cal!N99)</f>
        <v>10315.4</v>
      </c>
      <c r="O68" s="684">
        <f>IF($O$43="",0,Cal!O99)</f>
        <v>0</v>
      </c>
      <c r="Y68" s="308" t="s">
        <v>165</v>
      </c>
    </row>
    <row r="69" spans="1:90">
      <c r="B69" s="92"/>
      <c r="C69" s="690" t="s">
        <v>4</v>
      </c>
      <c r="D69" s="163"/>
      <c r="E69" s="400">
        <f>IF($E$43="",0,Cal!E100)</f>
        <v>4672.25</v>
      </c>
      <c r="F69" s="407"/>
      <c r="G69" s="148"/>
      <c r="H69" s="400">
        <f>IF($H$43="",0,Cal!H100)</f>
        <v>4672.25</v>
      </c>
      <c r="I69" s="407"/>
      <c r="J69" s="147"/>
      <c r="K69" s="400">
        <f>IF($K$43="",0,Cal!K100)</f>
        <v>4672.25</v>
      </c>
      <c r="L69" s="407"/>
      <c r="M69" s="148"/>
      <c r="N69" s="400">
        <f>IF($N$43="",0,Cal!N100)</f>
        <v>4672.25</v>
      </c>
      <c r="O69" s="684"/>
      <c r="Y69" s="309">
        <f ca="1">MAXA(C48:C354)</f>
        <v>186</v>
      </c>
    </row>
    <row r="70" spans="1:90">
      <c r="B70" s="92"/>
      <c r="C70" s="690" t="s">
        <v>68</v>
      </c>
      <c r="D70" s="163"/>
      <c r="E70" s="400">
        <f>IF($E$43="",0,Cal!E101)</f>
        <v>84950</v>
      </c>
      <c r="F70" s="407"/>
      <c r="G70" s="148"/>
      <c r="H70" s="400">
        <f>IF($H$43="",0,Cal!H101)</f>
        <v>84950</v>
      </c>
      <c r="I70" s="407"/>
      <c r="J70" s="147"/>
      <c r="K70" s="400">
        <f>IF($K$43="",0,Cal!K101)</f>
        <v>84950</v>
      </c>
      <c r="L70" s="407"/>
      <c r="M70" s="148"/>
      <c r="N70" s="400">
        <f>IF($N$43="",0,Cal!N101)</f>
        <v>84950</v>
      </c>
      <c r="O70" s="684"/>
      <c r="Y70" s="310">
        <f ca="1">Y69/12</f>
        <v>15.5</v>
      </c>
    </row>
    <row r="71" spans="1:90">
      <c r="B71" s="92"/>
      <c r="C71" s="690" t="str">
        <f>IF(Adm!B3=Adm!B11,"Inspección, Seguimiento Obra","")</f>
        <v/>
      </c>
      <c r="D71" s="163"/>
      <c r="E71" s="400">
        <f>IF($E$43="",0,Cal!E103)</f>
        <v>0</v>
      </c>
      <c r="F71" s="407"/>
      <c r="G71" s="148"/>
      <c r="H71" s="400">
        <f>IF($H$43="",0,Cal!H103)</f>
        <v>0</v>
      </c>
      <c r="I71" s="407"/>
      <c r="J71" s="147"/>
      <c r="K71" s="400">
        <f>IF($K$43="",0,Cal!K103)</f>
        <v>0</v>
      </c>
      <c r="L71" s="407"/>
      <c r="M71" s="148"/>
      <c r="N71" s="400">
        <f>IF($N$43="",0,Cal!N103)</f>
        <v>0</v>
      </c>
      <c r="O71" s="684"/>
    </row>
    <row r="72" spans="1:90">
      <c r="B72" s="92"/>
      <c r="C72" s="690" t="str">
        <f>IF(Adm!B3=Adm!B6,"Gastos INFONAVIT","")</f>
        <v/>
      </c>
      <c r="D72" s="163"/>
      <c r="E72" s="400">
        <f>IF($E$43="",0,Cal!E109)</f>
        <v>0</v>
      </c>
      <c r="F72" s="407"/>
      <c r="G72" s="148"/>
      <c r="H72" s="400">
        <f>IF($H$43="",0,Cal!H109)</f>
        <v>0</v>
      </c>
      <c r="I72" s="407"/>
      <c r="J72" s="147"/>
      <c r="K72" s="400">
        <f>IF($K$43="",0,Cal!K109)</f>
        <v>0</v>
      </c>
      <c r="L72" s="407"/>
      <c r="M72" s="148"/>
      <c r="N72" s="400">
        <f>IF($N$43="",0,Cal!N109)</f>
        <v>0</v>
      </c>
      <c r="O72" s="684"/>
    </row>
    <row r="73" spans="1:90">
      <c r="B73" s="92"/>
      <c r="C73" s="694"/>
      <c r="D73" s="200" t="s">
        <v>87</v>
      </c>
      <c r="E73" s="405">
        <f>IF($E$43="",0,SUM(E67:E72))</f>
        <v>131477.65</v>
      </c>
      <c r="F73" s="408">
        <f>IF($F$43="",0,SUM(F67:F71))</f>
        <v>0</v>
      </c>
      <c r="G73" s="148"/>
      <c r="H73" s="405">
        <f>IF($H$43="",0,SUM(H67:H72))</f>
        <v>131477.65</v>
      </c>
      <c r="I73" s="408">
        <f>IF($I$43="",0,SUM(I67:I71))</f>
        <v>0</v>
      </c>
      <c r="J73" s="147"/>
      <c r="K73" s="405">
        <f>IF($K$43="",0,SUM(K67:K72))</f>
        <v>131477.65</v>
      </c>
      <c r="L73" s="408">
        <f>IF($L$43="",0,SUM(L67:L71))</f>
        <v>0</v>
      </c>
      <c r="M73" s="148"/>
      <c r="N73" s="405">
        <f>IF($N$43="",0,SUM(N67:N72))</f>
        <v>131477.65</v>
      </c>
      <c r="O73" s="685">
        <f>IF($O$43="",0,SUM(O67:O71))</f>
        <v>0</v>
      </c>
    </row>
    <row r="74" spans="1:90">
      <c r="B74" s="92"/>
      <c r="C74" s="695"/>
      <c r="D74" s="165"/>
      <c r="E74" s="405"/>
      <c r="F74" s="407"/>
      <c r="G74" s="148"/>
      <c r="H74" s="405"/>
      <c r="I74" s="407"/>
      <c r="J74" s="147"/>
      <c r="K74" s="405"/>
      <c r="L74" s="407"/>
      <c r="M74" s="148"/>
      <c r="N74" s="405"/>
      <c r="O74" s="684"/>
    </row>
    <row r="75" spans="1:90">
      <c r="B75" s="92"/>
      <c r="C75" s="1106" t="str">
        <f>IF(Adm!$B$3=Adm!$B$9,0,IF(Adm!$B$3=Adm!$B$11,0,IF(AND(Adm!$B$3=Adm!$B$6,E75&lt;0),"Contará con dinero a favor ",IF(AND(Adm!$B$3=Adm!$B$6,E75=0),"No tiene que efectuar ningún desembolso",IF(AND(Adm!$B$3=Adm!$B$6,E75&gt;0),"Desembolso Inicial del cliente","Enganche")))))</f>
        <v>Enganche</v>
      </c>
      <c r="D75" s="1107"/>
      <c r="E75" s="584">
        <f>IF($E$43="",0,Cal!E110)</f>
        <v>699000</v>
      </c>
      <c r="F75" s="407"/>
      <c r="G75" s="148"/>
      <c r="H75" s="584">
        <f>IF($H$43="",0,Cal!H110)</f>
        <v>699000</v>
      </c>
      <c r="I75" s="407"/>
      <c r="J75" s="147"/>
      <c r="K75" s="584">
        <f>IF($H$43="",0,Cal!K110)</f>
        <v>699000</v>
      </c>
      <c r="L75" s="407"/>
      <c r="M75" s="148"/>
      <c r="N75" s="584">
        <f>IF($H$43="",0,Cal!N110)</f>
        <v>699000</v>
      </c>
      <c r="O75" s="684"/>
    </row>
    <row r="76" spans="1:90" ht="18.75" customHeight="1">
      <c r="B76" s="92"/>
      <c r="C76" s="1106"/>
      <c r="D76" s="1107"/>
      <c r="E76" s="1028"/>
      <c r="F76" s="1029"/>
      <c r="G76" s="1030"/>
      <c r="H76" s="1028"/>
      <c r="I76" s="1029"/>
      <c r="J76" s="1031"/>
      <c r="K76" s="1028"/>
      <c r="L76" s="1029"/>
      <c r="M76" s="1030"/>
      <c r="N76" s="1028"/>
      <c r="O76" s="684"/>
      <c r="AT76" s="1027"/>
      <c r="AU76" s="1027"/>
      <c r="AV76" s="1027"/>
      <c r="AW76" s="1027"/>
      <c r="AX76" s="1027"/>
      <c r="AY76" s="1027"/>
      <c r="AZ76" s="1027"/>
      <c r="BA76" s="1027"/>
      <c r="BB76" s="1027"/>
      <c r="BC76" s="1027"/>
      <c r="BD76" s="1027"/>
    </row>
    <row r="77" spans="1:90" ht="30.75" hidden="1" customHeight="1" thickBot="1">
      <c r="C77" s="1103" t="str">
        <f>IF(Adm!B3=Adm!B6,CONCATENATE("Si vas a comprar en alguno de estos municipios:"," ",Adm!J3,",",Adm!J4,",",Adm!J5,",",Adm!J6,",",Adm!J7,""," o",Adm!J8," ",", el INFONAVIT te solicita un enganche obligatorio del 10% que no está incluido en este cálculo."),"")</f>
        <v/>
      </c>
      <c r="D77" s="1104"/>
      <c r="E77" s="1104"/>
      <c r="F77" s="1104"/>
      <c r="G77" s="1104"/>
      <c r="H77" s="1104"/>
      <c r="I77" s="1104"/>
      <c r="J77" s="1104"/>
      <c r="K77" s="1104"/>
      <c r="L77" s="1104"/>
      <c r="M77" s="1104"/>
      <c r="N77" s="1104"/>
      <c r="O77" s="1105"/>
    </row>
    <row r="78" spans="1:90" ht="8.25" hidden="1" customHeight="1" thickBot="1">
      <c r="C78" s="118"/>
      <c r="D78" s="118"/>
      <c r="E78" s="118"/>
      <c r="F78" s="118"/>
      <c r="G78" s="977"/>
      <c r="H78" s="151"/>
      <c r="I78" s="151"/>
      <c r="J78" s="151"/>
      <c r="K78" s="151"/>
      <c r="L78" s="151"/>
      <c r="M78" s="151"/>
      <c r="N78" s="151"/>
      <c r="O78" s="118"/>
      <c r="AT78" s="936"/>
      <c r="AU78" s="936"/>
      <c r="AV78" s="936"/>
      <c r="AW78" s="936"/>
      <c r="AX78" s="936"/>
      <c r="AY78" s="936"/>
      <c r="AZ78" s="936"/>
      <c r="BA78" s="936"/>
      <c r="BB78" s="936"/>
      <c r="BC78" s="936"/>
      <c r="BD78" s="936"/>
    </row>
    <row r="79" spans="1:90" s="135" customFormat="1" ht="32.25" hidden="1" customHeight="1" thickTop="1">
      <c r="A79" s="298"/>
      <c r="C79" s="987" t="s">
        <v>394</v>
      </c>
      <c r="D79" s="988"/>
      <c r="E79" s="988"/>
      <c r="F79" s="988"/>
      <c r="G79" s="988"/>
      <c r="H79" s="988"/>
      <c r="I79" s="988"/>
      <c r="J79" s="988"/>
      <c r="K79" s="988"/>
      <c r="L79" s="988"/>
      <c r="M79" s="988"/>
      <c r="N79" s="988"/>
      <c r="O79" s="989"/>
      <c r="Q79" s="979"/>
      <c r="R79" s="661"/>
      <c r="S79" s="661"/>
      <c r="T79" s="661"/>
      <c r="U79" s="661"/>
      <c r="V79" s="661"/>
      <c r="W79" s="661"/>
      <c r="X79" s="661"/>
      <c r="Y79" s="661"/>
      <c r="Z79" s="661"/>
      <c r="AA79" s="661"/>
      <c r="AI79" s="980"/>
      <c r="AJ79" s="980"/>
      <c r="AK79" s="980"/>
      <c r="AL79" s="980"/>
      <c r="AM79" s="980"/>
      <c r="AN79" s="980"/>
      <c r="AO79" s="980"/>
      <c r="AP79" s="980"/>
      <c r="AQ79" s="980"/>
      <c r="AR79" s="980"/>
      <c r="AS79" s="980"/>
      <c r="AT79" s="981"/>
      <c r="AU79" s="981"/>
      <c r="AV79" s="981"/>
      <c r="AW79" s="981"/>
      <c r="AX79" s="981"/>
      <c r="AY79" s="981"/>
      <c r="AZ79" s="981"/>
      <c r="BA79" s="981"/>
      <c r="BB79" s="981"/>
      <c r="BC79" s="981"/>
      <c r="BD79" s="981"/>
      <c r="BE79" s="980"/>
      <c r="BF79" s="980"/>
      <c r="BG79" s="980"/>
      <c r="BH79" s="980"/>
      <c r="BI79" s="980"/>
      <c r="BJ79" s="980"/>
      <c r="BK79" s="980"/>
      <c r="BL79" s="980"/>
      <c r="BM79" s="980"/>
      <c r="BN79" s="980"/>
      <c r="BO79" s="980"/>
      <c r="BP79" s="980"/>
      <c r="BQ79" s="980"/>
      <c r="BR79" s="980"/>
      <c r="BS79" s="980"/>
      <c r="BT79" s="980"/>
      <c r="BU79" s="980"/>
      <c r="BV79" s="980"/>
      <c r="BW79" s="980"/>
      <c r="BX79" s="980"/>
      <c r="BY79" s="980"/>
      <c r="BZ79" s="980"/>
      <c r="CA79" s="980"/>
      <c r="CB79" s="980"/>
      <c r="CC79" s="980"/>
      <c r="CD79" s="980"/>
      <c r="CE79" s="980"/>
      <c r="CF79" s="980"/>
      <c r="CG79" s="980"/>
      <c r="CH79" s="980"/>
      <c r="CI79" s="980"/>
      <c r="CJ79" s="980"/>
      <c r="CK79" s="980"/>
      <c r="CL79" s="980"/>
    </row>
    <row r="80" spans="1:90" hidden="1">
      <c r="C80" s="990" t="s">
        <v>382</v>
      </c>
      <c r="D80" s="968"/>
      <c r="E80" s="968"/>
      <c r="F80" s="968"/>
      <c r="G80" s="1101"/>
      <c r="H80" s="1101"/>
      <c r="I80" s="968"/>
      <c r="J80" s="968"/>
      <c r="K80" s="968"/>
      <c r="L80" s="968"/>
      <c r="M80" s="968"/>
      <c r="N80" s="968"/>
      <c r="O80" s="991"/>
      <c r="Q80" s="932"/>
      <c r="R80" s="117"/>
      <c r="S80" s="117"/>
      <c r="T80" s="117"/>
      <c r="U80" s="117"/>
      <c r="V80" s="117"/>
      <c r="W80" s="117"/>
      <c r="X80" s="117"/>
      <c r="Y80" s="117"/>
      <c r="Z80" s="117"/>
      <c r="AA80" s="117"/>
      <c r="AT80" s="936"/>
      <c r="AU80" s="936"/>
      <c r="AV80" s="936"/>
      <c r="AW80" s="936"/>
      <c r="AX80" s="936"/>
      <c r="AY80" s="936"/>
      <c r="AZ80" s="936"/>
      <c r="BA80" s="936"/>
      <c r="BB80" s="936"/>
      <c r="BC80" s="936"/>
      <c r="BD80" s="936"/>
    </row>
    <row r="81" spans="3:56" hidden="1">
      <c r="C81" s="990"/>
      <c r="D81" s="968"/>
      <c r="E81" s="968"/>
      <c r="F81" s="968"/>
      <c r="G81" s="968"/>
      <c r="H81" s="968"/>
      <c r="I81" s="968"/>
      <c r="J81" s="968"/>
      <c r="K81" s="968"/>
      <c r="L81" s="968"/>
      <c r="M81" s="968"/>
      <c r="N81" s="968"/>
      <c r="O81" s="991"/>
      <c r="Q81" s="932"/>
      <c r="R81" s="117"/>
      <c r="S81" s="117"/>
      <c r="T81" s="117"/>
      <c r="U81" s="117"/>
      <c r="V81" s="117"/>
      <c r="W81" s="117"/>
      <c r="X81" s="117"/>
      <c r="Y81" s="117"/>
      <c r="Z81" s="117"/>
      <c r="AA81" s="117"/>
      <c r="AT81" s="936"/>
      <c r="AU81" s="936"/>
      <c r="AV81" s="936"/>
      <c r="AW81" s="936"/>
      <c r="AX81" s="936"/>
      <c r="AY81" s="936"/>
      <c r="AZ81" s="936"/>
      <c r="BA81" s="936"/>
      <c r="BB81" s="936"/>
      <c r="BC81" s="936"/>
      <c r="BD81" s="936"/>
    </row>
    <row r="82" spans="3:56" hidden="1">
      <c r="C82" s="990" t="s">
        <v>383</v>
      </c>
      <c r="D82" s="968"/>
      <c r="E82" s="968"/>
      <c r="F82" s="968"/>
      <c r="G82" s="1101"/>
      <c r="H82" s="1101"/>
      <c r="I82" s="968"/>
      <c r="J82" s="968" t="s">
        <v>387</v>
      </c>
      <c r="K82" s="968"/>
      <c r="L82" s="969">
        <f>G82*6%</f>
        <v>0</v>
      </c>
      <c r="M82" s="968"/>
      <c r="N82" s="968"/>
      <c r="O82" s="991"/>
      <c r="Q82" s="932"/>
      <c r="R82" s="117"/>
      <c r="S82" s="117"/>
      <c r="T82" s="117"/>
      <c r="U82" s="117"/>
      <c r="V82" s="117"/>
      <c r="W82" s="117"/>
      <c r="X82" s="117"/>
      <c r="Y82" s="117"/>
      <c r="Z82" s="117"/>
      <c r="AA82" s="117"/>
      <c r="AT82" s="936"/>
      <c r="AU82" s="936"/>
      <c r="AV82" s="936"/>
      <c r="AW82" s="936"/>
      <c r="AX82" s="936"/>
      <c r="AY82" s="936"/>
      <c r="AZ82" s="936"/>
      <c r="BA82" s="936"/>
      <c r="BB82" s="936"/>
      <c r="BC82" s="936"/>
      <c r="BD82" s="936"/>
    </row>
    <row r="83" spans="3:56" hidden="1">
      <c r="C83" s="990"/>
      <c r="D83" s="968"/>
      <c r="E83" s="968"/>
      <c r="F83" s="968"/>
      <c r="G83" s="968"/>
      <c r="H83" s="968"/>
      <c r="I83" s="968"/>
      <c r="J83" s="968"/>
      <c r="K83" s="968"/>
      <c r="L83" s="968"/>
      <c r="M83" s="968"/>
      <c r="N83" s="968"/>
      <c r="O83" s="991"/>
      <c r="Q83" s="932"/>
      <c r="R83" s="117"/>
      <c r="S83" s="117"/>
      <c r="T83" s="117"/>
      <c r="U83" s="117"/>
      <c r="V83" s="117"/>
      <c r="W83" s="117"/>
      <c r="X83" s="117"/>
      <c r="Y83" s="117"/>
      <c r="Z83" s="117"/>
      <c r="AA83" s="117"/>
      <c r="AT83" s="936"/>
      <c r="AU83" s="936"/>
      <c r="AV83" s="936"/>
      <c r="AW83" s="936"/>
      <c r="AX83" s="936"/>
      <c r="AY83" s="936"/>
      <c r="AZ83" s="936"/>
      <c r="BA83" s="936"/>
      <c r="BB83" s="936"/>
      <c r="BC83" s="936"/>
      <c r="BD83" s="936"/>
    </row>
    <row r="84" spans="3:56" hidden="1">
      <c r="C84" s="990" t="s">
        <v>384</v>
      </c>
      <c r="D84" s="968"/>
      <c r="E84" s="968"/>
      <c r="F84" s="968"/>
      <c r="G84" s="1101"/>
      <c r="H84" s="1101"/>
      <c r="I84" s="968"/>
      <c r="J84" s="968" t="s">
        <v>388</v>
      </c>
      <c r="K84" s="968"/>
      <c r="L84" s="1101"/>
      <c r="M84" s="1101"/>
      <c r="N84" s="968"/>
      <c r="O84" s="991"/>
      <c r="Q84" s="932"/>
      <c r="R84" s="117"/>
      <c r="S84" s="117"/>
      <c r="T84" s="117"/>
      <c r="U84" s="117"/>
      <c r="V84" s="117"/>
      <c r="W84" s="117"/>
      <c r="X84" s="117"/>
      <c r="Y84" s="117"/>
      <c r="Z84" s="117"/>
      <c r="AA84" s="117"/>
      <c r="AT84" s="936"/>
      <c r="AU84" s="936"/>
      <c r="AV84" s="936"/>
      <c r="AW84" s="936"/>
      <c r="AX84" s="936"/>
      <c r="AY84" s="936"/>
      <c r="AZ84" s="936"/>
      <c r="BA84" s="936"/>
      <c r="BB84" s="936"/>
      <c r="BC84" s="936"/>
      <c r="BD84" s="936"/>
    </row>
    <row r="85" spans="3:56" hidden="1">
      <c r="C85" s="990"/>
      <c r="D85" s="968"/>
      <c r="E85" s="968"/>
      <c r="F85" s="968"/>
      <c r="G85" s="968"/>
      <c r="H85" s="968"/>
      <c r="I85" s="968"/>
      <c r="J85" s="968"/>
      <c r="K85" s="968"/>
      <c r="L85" s="968"/>
      <c r="M85" s="968"/>
      <c r="N85" s="968"/>
      <c r="O85" s="991"/>
      <c r="Q85" s="932"/>
      <c r="R85" s="117"/>
      <c r="S85" s="117"/>
      <c r="T85" s="117"/>
      <c r="U85" s="117"/>
      <c r="V85" s="117"/>
      <c r="W85" s="117"/>
      <c r="X85" s="117"/>
      <c r="Y85" s="117"/>
      <c r="Z85" s="117"/>
      <c r="AA85" s="117"/>
      <c r="AT85" s="936"/>
      <c r="AU85" s="936"/>
      <c r="AV85" s="936"/>
      <c r="AW85" s="936"/>
      <c r="AX85" s="936"/>
      <c r="AY85" s="936"/>
      <c r="AZ85" s="936"/>
      <c r="BA85" s="936"/>
      <c r="BB85" s="936"/>
      <c r="BC85" s="936"/>
      <c r="BD85" s="936"/>
    </row>
    <row r="86" spans="3:56" hidden="1">
      <c r="C86" s="990" t="s">
        <v>385</v>
      </c>
      <c r="D86" s="968"/>
      <c r="E86" s="968"/>
      <c r="F86" s="968"/>
      <c r="G86" s="1101"/>
      <c r="H86" s="1101"/>
      <c r="I86" s="968"/>
      <c r="J86" s="968" t="s">
        <v>388</v>
      </c>
      <c r="K86" s="968"/>
      <c r="L86" s="1101"/>
      <c r="M86" s="1101"/>
      <c r="N86" s="968"/>
      <c r="O86" s="991"/>
      <c r="Q86" s="932"/>
      <c r="R86" s="117"/>
      <c r="S86" s="117"/>
      <c r="T86" s="117"/>
      <c r="U86" s="117"/>
      <c r="V86" s="117"/>
      <c r="W86" s="117"/>
      <c r="X86" s="117"/>
      <c r="Y86" s="117"/>
      <c r="Z86" s="117"/>
      <c r="AA86" s="117"/>
      <c r="AT86" s="936"/>
      <c r="AU86" s="936"/>
      <c r="AV86" s="936"/>
      <c r="AW86" s="936"/>
      <c r="AX86" s="936"/>
      <c r="AY86" s="936"/>
      <c r="AZ86" s="936"/>
      <c r="BA86" s="936"/>
      <c r="BB86" s="936"/>
      <c r="BC86" s="936"/>
      <c r="BD86" s="936"/>
    </row>
    <row r="87" spans="3:56" hidden="1">
      <c r="C87" s="990"/>
      <c r="D87" s="968"/>
      <c r="E87" s="968"/>
      <c r="F87" s="968"/>
      <c r="G87" s="968"/>
      <c r="H87" s="968"/>
      <c r="I87" s="968"/>
      <c r="J87" s="968"/>
      <c r="K87" s="968"/>
      <c r="L87" s="968"/>
      <c r="M87" s="968"/>
      <c r="N87" s="968"/>
      <c r="O87" s="991"/>
      <c r="Q87" s="932"/>
      <c r="R87" s="117"/>
      <c r="S87" s="117"/>
      <c r="T87" s="117"/>
      <c r="U87" s="117"/>
      <c r="V87" s="117"/>
      <c r="W87" s="117"/>
      <c r="X87" s="117"/>
      <c r="Y87" s="117"/>
      <c r="Z87" s="117"/>
      <c r="AA87" s="117"/>
      <c r="AT87" s="936"/>
      <c r="AU87" s="936"/>
      <c r="AV87" s="936"/>
      <c r="AW87" s="936"/>
      <c r="AX87" s="936"/>
      <c r="AY87" s="936"/>
      <c r="AZ87" s="936"/>
      <c r="BA87" s="936"/>
      <c r="BB87" s="936"/>
      <c r="BC87" s="936"/>
      <c r="BD87" s="936"/>
    </row>
    <row r="88" spans="3:56" hidden="1">
      <c r="C88" s="990" t="s">
        <v>386</v>
      </c>
      <c r="D88" s="968"/>
      <c r="E88" s="968"/>
      <c r="F88" s="968"/>
      <c r="G88" s="1101"/>
      <c r="H88" s="1101"/>
      <c r="I88" s="968"/>
      <c r="J88" s="968" t="s">
        <v>388</v>
      </c>
      <c r="K88" s="968"/>
      <c r="L88" s="1101"/>
      <c r="M88" s="1101"/>
      <c r="N88" s="968"/>
      <c r="O88" s="991"/>
      <c r="Q88" s="932"/>
      <c r="R88" s="117"/>
      <c r="S88" s="117"/>
      <c r="T88" s="117"/>
      <c r="U88" s="117"/>
      <c r="V88" s="117"/>
      <c r="W88" s="117"/>
      <c r="X88" s="117"/>
      <c r="Y88" s="117"/>
      <c r="Z88" s="117"/>
      <c r="AA88" s="117"/>
      <c r="AT88" s="936"/>
      <c r="AU88" s="936"/>
      <c r="AV88" s="936"/>
      <c r="AW88" s="936"/>
      <c r="AX88" s="936"/>
      <c r="AY88" s="936"/>
      <c r="AZ88" s="936"/>
      <c r="BA88" s="936"/>
      <c r="BB88" s="936"/>
      <c r="BC88" s="936"/>
      <c r="BD88" s="936"/>
    </row>
    <row r="89" spans="3:56" hidden="1">
      <c r="C89" s="990"/>
      <c r="D89" s="968"/>
      <c r="E89" s="968"/>
      <c r="F89" s="968"/>
      <c r="G89" s="968"/>
      <c r="H89" s="968"/>
      <c r="I89" s="968"/>
      <c r="J89" s="968"/>
      <c r="K89" s="968"/>
      <c r="L89" s="968"/>
      <c r="M89" s="968"/>
      <c r="N89" s="968"/>
      <c r="O89" s="991"/>
      <c r="Q89" s="932"/>
      <c r="R89" s="117"/>
      <c r="S89" s="117"/>
      <c r="T89" s="117"/>
      <c r="U89" s="117"/>
      <c r="V89" s="117"/>
      <c r="W89" s="117"/>
      <c r="X89" s="117"/>
      <c r="Y89" s="117"/>
      <c r="Z89" s="117"/>
      <c r="AA89" s="117"/>
      <c r="AT89" s="936"/>
      <c r="AU89" s="936"/>
      <c r="AV89" s="936"/>
      <c r="AW89" s="936"/>
      <c r="AX89" s="936"/>
      <c r="AY89" s="936"/>
      <c r="AZ89" s="936"/>
      <c r="BA89" s="936"/>
      <c r="BB89" s="936"/>
      <c r="BC89" s="936"/>
      <c r="BD89" s="936"/>
    </row>
    <row r="90" spans="3:56" hidden="1">
      <c r="C90" s="992"/>
      <c r="D90" s="968"/>
      <c r="E90" s="968"/>
      <c r="F90" s="968"/>
      <c r="G90" s="968"/>
      <c r="H90" s="968"/>
      <c r="I90" s="968"/>
      <c r="J90" s="92"/>
      <c r="K90" s="970" t="s">
        <v>396</v>
      </c>
      <c r="L90" s="1132">
        <f>(G80*Adm!AT2)-(SUM(L82:M88))</f>
        <v>0</v>
      </c>
      <c r="M90" s="1133"/>
      <c r="N90" s="968"/>
      <c r="O90" s="991"/>
      <c r="Q90" s="932"/>
      <c r="R90" s="117"/>
      <c r="S90" s="117"/>
      <c r="T90" s="117"/>
      <c r="U90" s="117"/>
      <c r="V90" s="117"/>
      <c r="W90" s="117"/>
      <c r="X90" s="117"/>
      <c r="Y90" s="117"/>
      <c r="Z90" s="117"/>
      <c r="AA90" s="117"/>
      <c r="AT90" s="936"/>
      <c r="AU90" s="936"/>
      <c r="AV90" s="936"/>
      <c r="AW90" s="936"/>
      <c r="AX90" s="936"/>
      <c r="AY90" s="936"/>
      <c r="AZ90" s="936"/>
      <c r="BA90" s="936"/>
      <c r="BB90" s="936"/>
      <c r="BC90" s="936"/>
      <c r="BD90" s="936"/>
    </row>
    <row r="91" spans="3:56" hidden="1">
      <c r="C91" s="993"/>
      <c r="D91" s="982"/>
      <c r="E91" s="982"/>
      <c r="F91" s="982"/>
      <c r="G91" s="982"/>
      <c r="H91" s="982"/>
      <c r="I91" s="982"/>
      <c r="J91" s="982"/>
      <c r="K91" s="982"/>
      <c r="L91" s="982"/>
      <c r="M91" s="982"/>
      <c r="N91" s="982"/>
      <c r="O91" s="991"/>
      <c r="Q91" s="932"/>
      <c r="R91" s="117"/>
      <c r="S91" s="117"/>
      <c r="T91" s="117"/>
      <c r="U91" s="117"/>
      <c r="V91" s="117"/>
      <c r="W91" s="117"/>
      <c r="X91" s="117"/>
      <c r="Y91" s="117"/>
      <c r="Z91" s="117"/>
      <c r="AA91" s="117"/>
      <c r="AT91" s="936"/>
      <c r="AU91" s="936"/>
      <c r="AV91" s="936"/>
      <c r="AW91" s="936"/>
      <c r="AX91" s="936"/>
      <c r="AY91" s="936"/>
      <c r="AZ91" s="936"/>
      <c r="BA91" s="936"/>
      <c r="BB91" s="936"/>
      <c r="BC91" s="936"/>
      <c r="BD91" s="936"/>
    </row>
    <row r="92" spans="3:56" ht="25.5" hidden="1" customHeight="1">
      <c r="C92" s="994" t="s">
        <v>395</v>
      </c>
      <c r="D92" s="968"/>
      <c r="E92" s="968"/>
      <c r="F92" s="968"/>
      <c r="G92" s="968"/>
      <c r="H92" s="968"/>
      <c r="I92" s="968"/>
      <c r="J92" s="968"/>
      <c r="K92" s="968"/>
      <c r="L92" s="968"/>
      <c r="M92" s="968"/>
      <c r="N92" s="968"/>
      <c r="O92" s="991"/>
      <c r="Q92" s="932"/>
      <c r="R92" s="117"/>
      <c r="S92" s="117"/>
      <c r="T92" s="117"/>
      <c r="U92" s="117"/>
      <c r="V92" s="117"/>
      <c r="W92" s="117"/>
      <c r="X92" s="117"/>
      <c r="Y92" s="117"/>
      <c r="Z92" s="117"/>
      <c r="AA92" s="117"/>
      <c r="AT92" s="936"/>
      <c r="AU92" s="936"/>
      <c r="AV92" s="936"/>
      <c r="AW92" s="936"/>
      <c r="AX92" s="936"/>
      <c r="AY92" s="936"/>
      <c r="AZ92" s="936"/>
      <c r="BA92" s="936"/>
      <c r="BB92" s="936"/>
      <c r="BC92" s="936"/>
      <c r="BD92" s="936"/>
    </row>
    <row r="93" spans="3:56" ht="21.75" hidden="1" customHeight="1">
      <c r="C93" s="990"/>
      <c r="D93" s="968"/>
      <c r="E93" s="968"/>
      <c r="F93" s="968"/>
      <c r="G93" s="968"/>
      <c r="H93" s="968"/>
      <c r="I93" s="968" t="s">
        <v>390</v>
      </c>
      <c r="J93" s="968"/>
      <c r="K93" s="968"/>
      <c r="L93" s="968"/>
      <c r="M93" s="968"/>
      <c r="N93" s="968"/>
      <c r="O93" s="991"/>
      <c r="Q93" s="932"/>
      <c r="R93" s="117"/>
      <c r="S93" s="117"/>
      <c r="T93" s="117"/>
      <c r="U93" s="117"/>
      <c r="V93" s="117"/>
      <c r="W93" s="117"/>
      <c r="X93" s="117"/>
      <c r="Y93" s="117"/>
      <c r="Z93" s="117"/>
      <c r="AA93" s="117"/>
      <c r="AT93" s="936"/>
      <c r="AU93" s="936"/>
      <c r="AV93" s="936"/>
      <c r="AW93" s="936"/>
      <c r="AX93" s="936"/>
      <c r="AY93" s="936"/>
      <c r="AZ93" s="936"/>
      <c r="BA93" s="936"/>
      <c r="BB93" s="936"/>
      <c r="BC93" s="936"/>
      <c r="BD93" s="936"/>
    </row>
    <row r="94" spans="3:56" hidden="1">
      <c r="C94" s="990" t="str">
        <f>IF(G84&gt;0,"Saldo en crédito auto","")</f>
        <v/>
      </c>
      <c r="D94" s="968"/>
      <c r="E94" s="968"/>
      <c r="F94" s="968"/>
      <c r="G94" s="1128">
        <f>IF(G84&gt;0,G84,0)</f>
        <v>0</v>
      </c>
      <c r="H94" s="1128"/>
      <c r="I94" s="975"/>
      <c r="J94" s="976">
        <f>IF(I94=Y95,0,L84)</f>
        <v>0</v>
      </c>
      <c r="K94" s="968"/>
      <c r="L94" s="968"/>
      <c r="M94" s="968"/>
      <c r="N94" s="968"/>
      <c r="O94" s="991"/>
      <c r="Q94" s="932"/>
      <c r="R94" s="117"/>
      <c r="S94" s="117"/>
      <c r="T94" s="117"/>
      <c r="U94" s="117"/>
      <c r="V94" s="117"/>
      <c r="W94" s="117"/>
      <c r="X94" s="117"/>
      <c r="Y94" s="973" t="s">
        <v>391</v>
      </c>
      <c r="Z94" s="117"/>
      <c r="AA94" s="117"/>
      <c r="AT94" s="936"/>
      <c r="AU94" s="936"/>
      <c r="AV94" s="936"/>
      <c r="AW94" s="936"/>
      <c r="AX94" s="936"/>
      <c r="AY94" s="936"/>
      <c r="AZ94" s="936"/>
      <c r="BA94" s="936"/>
      <c r="BB94" s="936"/>
      <c r="BC94" s="936"/>
      <c r="BD94" s="936"/>
    </row>
    <row r="95" spans="3:56" hidden="1">
      <c r="C95" s="990"/>
      <c r="D95" s="968"/>
      <c r="E95" s="968"/>
      <c r="F95" s="968"/>
      <c r="G95" s="968"/>
      <c r="H95" s="968"/>
      <c r="I95" s="968"/>
      <c r="J95" s="976"/>
      <c r="K95" s="968"/>
      <c r="L95" s="968"/>
      <c r="M95" s="968"/>
      <c r="N95" s="968"/>
      <c r="O95" s="991"/>
      <c r="Q95" s="932"/>
      <c r="R95" s="117"/>
      <c r="S95" s="117"/>
      <c r="T95" s="117"/>
      <c r="U95" s="117"/>
      <c r="V95" s="117"/>
      <c r="W95" s="117"/>
      <c r="X95" s="117"/>
      <c r="Y95" s="974" t="s">
        <v>392</v>
      </c>
      <c r="Z95" s="117"/>
      <c r="AA95" s="117"/>
      <c r="AT95" s="936"/>
      <c r="AU95" s="936"/>
      <c r="AV95" s="936"/>
      <c r="AW95" s="936"/>
      <c r="AX95" s="936"/>
      <c r="AY95" s="936"/>
      <c r="AZ95" s="936"/>
      <c r="BA95" s="936"/>
      <c r="BB95" s="936"/>
      <c r="BC95" s="936"/>
      <c r="BD95" s="936"/>
    </row>
    <row r="96" spans="3:56" hidden="1">
      <c r="C96" s="990" t="str">
        <f>IF(G86&gt;0,"Saldo en créditos personales","")</f>
        <v/>
      </c>
      <c r="D96" s="968"/>
      <c r="E96" s="968"/>
      <c r="F96" s="968"/>
      <c r="G96" s="1128">
        <f>IF(G86&gt;0,G86,0)</f>
        <v>0</v>
      </c>
      <c r="H96" s="1128"/>
      <c r="I96" s="975"/>
      <c r="J96" s="976">
        <f>IF(I96=Y95,0,L86)</f>
        <v>0</v>
      </c>
      <c r="K96" s="968"/>
      <c r="L96" s="968"/>
      <c r="M96" s="968"/>
      <c r="N96" s="968"/>
      <c r="O96" s="991"/>
      <c r="Q96" s="932"/>
      <c r="R96" s="117"/>
      <c r="S96" s="117"/>
      <c r="T96" s="117"/>
      <c r="U96" s="117"/>
      <c r="V96" s="117"/>
      <c r="W96" s="117"/>
      <c r="X96" s="117"/>
      <c r="Y96" s="117"/>
      <c r="Z96" s="117"/>
      <c r="AA96" s="117"/>
      <c r="AT96" s="936"/>
      <c r="AU96" s="936"/>
      <c r="AV96" s="936"/>
      <c r="AW96" s="936"/>
      <c r="AX96" s="936"/>
      <c r="AY96" s="936"/>
      <c r="AZ96" s="936"/>
      <c r="BA96" s="936"/>
      <c r="BB96" s="936"/>
      <c r="BC96" s="936"/>
      <c r="BD96" s="936"/>
    </row>
    <row r="97" spans="1:56" hidden="1">
      <c r="C97" s="990"/>
      <c r="D97" s="968"/>
      <c r="E97" s="968"/>
      <c r="F97" s="968"/>
      <c r="G97" s="968"/>
      <c r="H97" s="968"/>
      <c r="I97" s="968"/>
      <c r="J97" s="976"/>
      <c r="K97" s="968"/>
      <c r="L97" s="968"/>
      <c r="M97" s="968"/>
      <c r="N97" s="968"/>
      <c r="O97" s="991"/>
      <c r="Q97" s="932"/>
      <c r="R97" s="117"/>
      <c r="S97" s="117"/>
      <c r="T97" s="117"/>
      <c r="U97" s="117"/>
      <c r="V97" s="117"/>
      <c r="W97" s="117"/>
      <c r="X97" s="117"/>
      <c r="Y97" s="117"/>
      <c r="Z97" s="117"/>
      <c r="AA97" s="117"/>
      <c r="AT97" s="936"/>
      <c r="AU97" s="936"/>
      <c r="AV97" s="936"/>
      <c r="AW97" s="936"/>
      <c r="AX97" s="936"/>
      <c r="AY97" s="936"/>
      <c r="AZ97" s="936"/>
      <c r="BA97" s="936"/>
      <c r="BB97" s="936"/>
      <c r="BC97" s="936"/>
      <c r="BD97" s="936"/>
    </row>
    <row r="98" spans="1:56" hidden="1">
      <c r="C98" s="990" t="str">
        <f>IF(G88&gt;0,"Saldo en crédito hipotecario","")</f>
        <v/>
      </c>
      <c r="D98" s="968"/>
      <c r="E98" s="968"/>
      <c r="F98" s="968"/>
      <c r="G98" s="1128">
        <f>IF(G88&gt;0,G88,0)</f>
        <v>0</v>
      </c>
      <c r="H98" s="1128"/>
      <c r="I98" s="975"/>
      <c r="J98" s="976">
        <f>IF(I98=Y95,0,L88)</f>
        <v>0</v>
      </c>
      <c r="K98" s="968"/>
      <c r="L98" s="968"/>
      <c r="M98" s="968"/>
      <c r="N98" s="968"/>
      <c r="O98" s="991"/>
      <c r="Q98" s="932"/>
      <c r="R98" s="117"/>
      <c r="S98" s="117"/>
      <c r="T98" s="117"/>
      <c r="U98" s="117"/>
      <c r="V98" s="117"/>
      <c r="W98" s="117"/>
      <c r="X98" s="117"/>
      <c r="Y98" s="117"/>
      <c r="Z98" s="117"/>
      <c r="AA98" s="117"/>
      <c r="AT98" s="936"/>
      <c r="AU98" s="936"/>
      <c r="AV98" s="936"/>
      <c r="AW98" s="936"/>
      <c r="AX98" s="936"/>
      <c r="AY98" s="936"/>
      <c r="AZ98" s="936"/>
      <c r="BA98" s="936"/>
      <c r="BB98" s="936"/>
      <c r="BC98" s="936"/>
      <c r="BD98" s="936"/>
    </row>
    <row r="99" spans="1:56" hidden="1">
      <c r="C99" s="990"/>
      <c r="D99" s="968"/>
      <c r="E99" s="968"/>
      <c r="F99" s="92"/>
      <c r="G99" s="968"/>
      <c r="H99" s="968"/>
      <c r="I99" s="968"/>
      <c r="J99" s="968"/>
      <c r="K99" s="968"/>
      <c r="L99" s="968"/>
      <c r="M99" s="968"/>
      <c r="N99" s="968"/>
      <c r="O99" s="991"/>
      <c r="Q99" s="932"/>
      <c r="R99" s="117"/>
      <c r="S99" s="117"/>
      <c r="T99" s="117"/>
      <c r="U99" s="117"/>
      <c r="V99" s="117"/>
      <c r="W99" s="117"/>
      <c r="X99" s="117"/>
      <c r="Y99" s="117"/>
      <c r="Z99" s="117"/>
      <c r="AA99" s="117"/>
      <c r="AT99" s="936"/>
      <c r="AU99" s="936"/>
      <c r="AV99" s="936"/>
      <c r="AW99" s="936"/>
      <c r="AX99" s="936"/>
      <c r="AY99" s="936"/>
      <c r="AZ99" s="936"/>
      <c r="BA99" s="936"/>
      <c r="BB99" s="936"/>
      <c r="BC99" s="936"/>
      <c r="BD99" s="936"/>
    </row>
    <row r="100" spans="1:56" hidden="1">
      <c r="C100" s="990"/>
      <c r="D100" s="968"/>
      <c r="E100" s="968"/>
      <c r="F100" s="970" t="s">
        <v>397</v>
      </c>
      <c r="G100" s="1129">
        <f>(G80*Adm!AT2)-(SUM(J94:J98))</f>
        <v>0</v>
      </c>
      <c r="H100" s="1129"/>
      <c r="I100" s="92"/>
      <c r="J100" s="968"/>
      <c r="K100" s="968"/>
      <c r="L100" s="968"/>
      <c r="M100" s="968"/>
      <c r="N100" s="968"/>
      <c r="O100" s="991"/>
      <c r="Q100" s="932"/>
      <c r="R100" s="117"/>
      <c r="S100" s="117"/>
      <c r="T100" s="117"/>
      <c r="U100" s="117"/>
      <c r="V100" s="117"/>
      <c r="W100" s="117"/>
      <c r="X100" s="117"/>
      <c r="Y100" s="117"/>
      <c r="Z100" s="117"/>
      <c r="AA100" s="117"/>
      <c r="AT100" s="936"/>
      <c r="AU100" s="936"/>
      <c r="AV100" s="936"/>
      <c r="AW100" s="936"/>
      <c r="AX100" s="936"/>
      <c r="AY100" s="936"/>
      <c r="AZ100" s="936"/>
      <c r="BA100" s="936"/>
      <c r="BB100" s="936"/>
      <c r="BC100" s="936"/>
      <c r="BD100" s="936"/>
    </row>
    <row r="101" spans="1:56" hidden="1">
      <c r="C101" s="990"/>
      <c r="D101" s="968"/>
      <c r="E101" s="968"/>
      <c r="F101" s="968"/>
      <c r="G101" s="968"/>
      <c r="H101" s="968"/>
      <c r="I101" s="968"/>
      <c r="J101" s="968"/>
      <c r="K101" s="968"/>
      <c r="L101" s="968"/>
      <c r="M101" s="968"/>
      <c r="N101" s="968"/>
      <c r="O101" s="991"/>
      <c r="Q101" s="932"/>
      <c r="R101" s="117"/>
      <c r="S101" s="117"/>
      <c r="T101" s="117"/>
      <c r="U101" s="117"/>
      <c r="V101" s="117"/>
      <c r="W101" s="117"/>
      <c r="X101" s="117"/>
      <c r="Y101" s="117"/>
      <c r="Z101" s="117"/>
      <c r="AA101" s="117"/>
      <c r="AT101" s="936"/>
      <c r="AU101" s="936"/>
      <c r="AV101" s="936"/>
      <c r="AW101" s="936"/>
      <c r="AX101" s="936"/>
      <c r="AY101" s="936"/>
      <c r="AZ101" s="936"/>
      <c r="BA101" s="936"/>
      <c r="BB101" s="936"/>
      <c r="BC101" s="936"/>
      <c r="BD101" s="936"/>
    </row>
    <row r="102" spans="1:56" hidden="1">
      <c r="C102" s="996" t="s">
        <v>393</v>
      </c>
      <c r="D102" s="978"/>
      <c r="E102" s="978"/>
      <c r="F102" s="978"/>
      <c r="G102" s="978"/>
      <c r="H102" s="978"/>
      <c r="I102" s="978"/>
      <c r="J102" s="978"/>
      <c r="K102" s="978"/>
      <c r="L102" s="978"/>
      <c r="M102" s="978"/>
      <c r="N102" s="978"/>
      <c r="O102" s="995"/>
      <c r="Q102" s="932"/>
      <c r="R102" s="117"/>
      <c r="S102" s="117"/>
      <c r="T102" s="117"/>
      <c r="U102" s="117"/>
      <c r="V102" s="117"/>
      <c r="W102" s="117"/>
      <c r="X102" s="117"/>
      <c r="Y102" s="117"/>
      <c r="Z102" s="117"/>
      <c r="AA102" s="117"/>
      <c r="AT102" s="936"/>
      <c r="AU102" s="936"/>
      <c r="AV102" s="936"/>
      <c r="AW102" s="936"/>
      <c r="AX102" s="936"/>
      <c r="AY102" s="936"/>
      <c r="AZ102" s="936"/>
      <c r="BA102" s="936"/>
      <c r="BB102" s="936"/>
      <c r="BC102" s="936"/>
      <c r="BD102" s="936"/>
    </row>
    <row r="103" spans="1:56" hidden="1">
      <c r="C103" s="997" t="s">
        <v>71</v>
      </c>
      <c r="D103" s="998"/>
      <c r="E103" s="998"/>
      <c r="F103" s="998"/>
      <c r="G103" s="998"/>
      <c r="H103" s="998"/>
      <c r="I103" s="998"/>
      <c r="J103" s="998"/>
      <c r="K103" s="998"/>
      <c r="L103" s="998"/>
      <c r="M103" s="998"/>
      <c r="N103" s="998"/>
      <c r="O103" s="999"/>
      <c r="Q103" s="932"/>
      <c r="R103" s="117"/>
      <c r="S103" s="117"/>
      <c r="T103" s="117"/>
      <c r="U103" s="117"/>
      <c r="V103" s="117"/>
      <c r="W103" s="117"/>
      <c r="X103" s="117"/>
      <c r="Y103" s="117"/>
      <c r="Z103" s="117"/>
      <c r="AA103" s="117"/>
      <c r="AT103" s="936"/>
      <c r="AU103" s="936"/>
      <c r="AV103" s="936"/>
      <c r="AW103" s="936"/>
      <c r="AX103" s="936"/>
      <c r="AY103" s="936"/>
      <c r="AZ103" s="936"/>
      <c r="BA103" s="936"/>
      <c r="BB103" s="936"/>
      <c r="BC103" s="936"/>
      <c r="BD103" s="936"/>
    </row>
    <row r="104" spans="1:56" ht="9.75" customHeight="1" thickBot="1">
      <c r="G104" s="129"/>
    </row>
    <row r="105" spans="1:56" ht="15">
      <c r="C105" s="651" t="s">
        <v>295</v>
      </c>
      <c r="D105" s="442"/>
      <c r="E105" s="388"/>
      <c r="F105" s="663" t="str">
        <f>IF(OR(Adm!B3=Adm!B12,Adm!B3=Adm!B13),"SUPER CASA",IF(Adm!B3=Adm!B14,"HIPOTECA SANTANDER RED SALUD","HIPOTECA PERSONAL SANTANDER"))</f>
        <v>HIPOTECA PERSONAL SANTANDER</v>
      </c>
      <c r="G105" s="389"/>
      <c r="H105" s="389"/>
      <c r="I105" s="389"/>
      <c r="J105" s="388"/>
      <c r="K105" s="390"/>
      <c r="L105" s="390"/>
      <c r="M105" s="390"/>
      <c r="N105" s="390"/>
      <c r="O105" s="390"/>
    </row>
    <row r="106" spans="1:56" ht="9" customHeight="1">
      <c r="G106" s="129"/>
      <c r="AB106" s="624" t="s">
        <v>167</v>
      </c>
      <c r="AC106" s="625"/>
      <c r="AD106" s="625"/>
      <c r="AE106" s="625"/>
      <c r="AF106" s="625"/>
      <c r="AG106" s="300"/>
    </row>
    <row r="107" spans="1:56" s="655" customFormat="1" ht="18" customHeight="1">
      <c r="A107" s="654"/>
      <c r="C107" s="656" t="s">
        <v>196</v>
      </c>
      <c r="D107" s="657"/>
      <c r="G107" s="575">
        <v>9.5000000000000001E-2</v>
      </c>
      <c r="H107" s="658" t="str">
        <f>IF(AND(E47=0,H47=0,K47=0,N47=0),"",IF(AND(G107=0,OR(E47&gt;0,H47&gt;0,K47&gt;0,N47&gt;0)),"",IF(OR(G107=E47,G107=H47,G107=K47,G107=N47),"","Debes seleccionar una de las tasas mostradas")))</f>
        <v/>
      </c>
      <c r="L107" s="656"/>
      <c r="N107" s="659" t="s">
        <v>197</v>
      </c>
      <c r="O107" s="577" t="s">
        <v>167</v>
      </c>
      <c r="AB107" s="660" t="s">
        <v>277</v>
      </c>
      <c r="AC107" s="661"/>
      <c r="AD107" s="623" t="s">
        <v>291</v>
      </c>
      <c r="AE107" s="661"/>
      <c r="AF107" s="661"/>
      <c r="AG107" s="662"/>
    </row>
    <row r="108" spans="1:56" ht="12.75" customHeight="1">
      <c r="L108" s="95"/>
      <c r="M108" s="84" t="s">
        <v>164</v>
      </c>
      <c r="N108" s="396">
        <f ca="1">INT(Y70)</f>
        <v>15</v>
      </c>
      <c r="O108" s="397" t="str">
        <f ca="1">IF(N108&gt;0,"años","")</f>
        <v>años</v>
      </c>
      <c r="AB108" s="626"/>
      <c r="AC108" s="92"/>
      <c r="AD108" s="92"/>
      <c r="AE108" s="92"/>
      <c r="AF108" s="92"/>
      <c r="AG108" s="627"/>
    </row>
    <row r="109" spans="1:56" ht="12.75" customHeight="1">
      <c r="B109" s="92"/>
      <c r="C109" s="563" t="str">
        <f>IF(Adm!AF3=Adm!AF4,"",IF(Adm!B3=Adm!B9,"Desea menor monto de crédito para gastos",""))</f>
        <v/>
      </c>
      <c r="G109" s="576"/>
      <c r="H109" s="139"/>
      <c r="I109" s="139"/>
      <c r="K109" s="160"/>
      <c r="L109" s="139"/>
      <c r="M109" s="398"/>
      <c r="N109" s="399">
        <f ca="1">Y69-(N108*12)</f>
        <v>6</v>
      </c>
      <c r="O109" s="397" t="str">
        <f ca="1">IF(N109&gt;0,"meses","")</f>
        <v>meses</v>
      </c>
      <c r="P109" s="117"/>
      <c r="V109" s="289" t="s">
        <v>94</v>
      </c>
      <c r="W109" s="289"/>
      <c r="AB109" s="605">
        <f>IF(O107=AB106,1,IF(O107=AB107,2,0))</f>
        <v>1</v>
      </c>
      <c r="AC109" s="606" t="s">
        <v>292</v>
      </c>
      <c r="AD109" s="93">
        <f>IF(Adm!C3="Fijos",1,2)</f>
        <v>1</v>
      </c>
      <c r="AE109" s="92"/>
      <c r="AF109" s="92"/>
      <c r="AG109" s="628" t="s">
        <v>294</v>
      </c>
    </row>
    <row r="110" spans="1:56" ht="21.75" customHeight="1">
      <c r="B110" s="92"/>
      <c r="C110" s="115" t="s">
        <v>90</v>
      </c>
      <c r="D110" s="115"/>
      <c r="E110" s="137">
        <f>CAT!E20</f>
        <v>0.12175976145693923</v>
      </c>
      <c r="F110" s="138" t="s">
        <v>39</v>
      </c>
      <c r="G110" s="160"/>
      <c r="H110" s="139"/>
      <c r="I110" s="139"/>
      <c r="L110" s="139"/>
      <c r="P110" s="117"/>
      <c r="V110" s="290"/>
      <c r="W110" s="566"/>
      <c r="AB110" s="626"/>
      <c r="AC110" s="92"/>
      <c r="AD110" s="92"/>
      <c r="AE110" s="92"/>
      <c r="AF110" s="92"/>
      <c r="AG110" s="613">
        <f>IF(Adm!C3="Crecientes",Adm!AP3,0)</f>
        <v>0</v>
      </c>
    </row>
    <row r="111" spans="1:56" ht="12.75" customHeight="1">
      <c r="C111" s="140" t="str">
        <f ca="1">CONCATENATE("Calculado al"," ",O2," ",".Para fines informativos y de comparación.")</f>
        <v>Calculado al 21 nov 2017 .Para fines informativos y de comparación.</v>
      </c>
      <c r="D111" s="140"/>
      <c r="E111" s="137"/>
      <c r="F111" s="138"/>
      <c r="G111" s="359"/>
      <c r="H111" s="135"/>
      <c r="K111" s="395" t="str">
        <f>IF(AND(Adm!B3=Adm!B11,Adm!F3=Adm!F15),"El salario es mayor? Sólo para ver las Aportaciones Patronales captura el salario",IF(Adm!B3=Adm!B5,"¿El salario es mayor? Sólo para ver las Aportaciones Patronales captura el salario",""))</f>
        <v/>
      </c>
      <c r="L111" s="360"/>
      <c r="M111" s="95"/>
      <c r="N111" s="154" t="str">
        <f>IF(AND(Adm!B3=Adm!B9,Adm!AF3=0),"",IF(Adm!B3=Adm!B9,"Ver tabla liquidez",""))</f>
        <v/>
      </c>
      <c r="Y111" s="296" t="s">
        <v>162</v>
      </c>
      <c r="Z111" s="296" t="s">
        <v>163</v>
      </c>
      <c r="AB111" s="626"/>
      <c r="AC111" s="92"/>
      <c r="AD111" s="92"/>
      <c r="AE111" s="92"/>
      <c r="AF111" s="92"/>
    </row>
    <row r="112" spans="1:56" ht="6.75" customHeight="1">
      <c r="L112" s="95"/>
      <c r="M112" s="95"/>
      <c r="Y112" s="393"/>
      <c r="Z112" s="394"/>
      <c r="AB112" s="629" t="s">
        <v>293</v>
      </c>
      <c r="AC112" s="92"/>
      <c r="AD112" s="92"/>
      <c r="AE112" s="92"/>
      <c r="AF112" s="92"/>
    </row>
    <row r="113" spans="1:90" s="89" customFormat="1" ht="39.75" customHeight="1">
      <c r="A113" s="297" t="s">
        <v>161</v>
      </c>
      <c r="B113" s="51" t="s">
        <v>40</v>
      </c>
      <c r="C113" s="106" t="s">
        <v>41</v>
      </c>
      <c r="D113" s="106" t="s">
        <v>379</v>
      </c>
      <c r="E113" s="106" t="s">
        <v>42</v>
      </c>
      <c r="F113" s="106" t="s">
        <v>43</v>
      </c>
      <c r="G113" s="106" t="s">
        <v>44</v>
      </c>
      <c r="H113" s="106" t="str">
        <f>IF(H356&gt;0,"Seguro Vida","")</f>
        <v>Seguro Vida</v>
      </c>
      <c r="I113" s="106" t="str">
        <f>IF(I356&gt;0,"Seguro Daños","")</f>
        <v>Seguro Daños</v>
      </c>
      <c r="J113" s="134" t="s">
        <v>399</v>
      </c>
      <c r="K113" s="134" t="str">
        <f>IF(Adm!N3&gt;0,"IVA de Intereses","")</f>
        <v/>
      </c>
      <c r="L113" s="106" t="s">
        <v>46</v>
      </c>
      <c r="M113" s="134" t="str">
        <f>IF(Adm!F3="si","Aportaciones Patronales","")</f>
        <v/>
      </c>
      <c r="N113" s="106" t="s">
        <v>47</v>
      </c>
      <c r="O113" s="131" t="s">
        <v>166</v>
      </c>
      <c r="P113" s="295" t="str">
        <f>IF(Adm!B3=Adm!B11,"Disposiciones de Crédito para Construcción","")</f>
        <v/>
      </c>
      <c r="Q113" s="316"/>
      <c r="R113" s="316"/>
      <c r="S113" s="316"/>
      <c r="T113" s="316"/>
      <c r="U113" s="159"/>
      <c r="V113" s="569" t="s">
        <v>161</v>
      </c>
      <c r="W113" s="567" t="s">
        <v>274</v>
      </c>
      <c r="Y113" s="299">
        <f>IF(G107=E47,Cal!E98,IF(G107=H47,Cal!H98,IF(G107=K47,Cal!K98,IF(G107=N47,Cal!N98,0))))</f>
        <v>24211.199683987481</v>
      </c>
      <c r="Z113" s="300"/>
      <c r="AB113" s="630" t="s">
        <v>285</v>
      </c>
      <c r="AC113" s="600" t="s">
        <v>286</v>
      </c>
      <c r="AD113" s="601" t="s">
        <v>172</v>
      </c>
      <c r="AE113" s="602" t="s">
        <v>287</v>
      </c>
      <c r="AF113" s="603" t="s">
        <v>288</v>
      </c>
      <c r="AG113" s="631" t="s">
        <v>289</v>
      </c>
      <c r="AI113" s="1114"/>
      <c r="AJ113" s="1114"/>
      <c r="AK113" s="1114"/>
      <c r="AL113" s="1114"/>
      <c r="AM113" s="1114"/>
      <c r="AN113" s="562"/>
      <c r="AO113" s="562"/>
      <c r="AP113" s="562"/>
      <c r="AQ113" s="562"/>
      <c r="AR113" s="562"/>
      <c r="AS113" s="562"/>
      <c r="AT113"/>
      <c r="AU113"/>
      <c r="AV113"/>
      <c r="AW113"/>
      <c r="AX113"/>
      <c r="AY113"/>
      <c r="AZ113"/>
      <c r="BA113"/>
      <c r="BB113"/>
      <c r="BC113"/>
      <c r="BD113"/>
      <c r="BE113" s="562"/>
      <c r="BF113" s="562"/>
      <c r="BG113" s="562"/>
      <c r="BH113" s="562"/>
      <c r="BI113" s="562"/>
      <c r="BJ113" s="562"/>
      <c r="BK113" s="562"/>
      <c r="BL113" s="562"/>
      <c r="BM113" s="562"/>
      <c r="BN113" s="562"/>
      <c r="BO113" s="562"/>
      <c r="BP113" s="562"/>
      <c r="BQ113" s="562"/>
      <c r="BR113" s="562"/>
      <c r="BS113" s="562"/>
      <c r="BT113" s="562"/>
      <c r="BU113" s="562"/>
      <c r="BV113" s="562"/>
      <c r="BW113" s="562"/>
      <c r="BX113" s="562"/>
      <c r="BY113" s="562"/>
      <c r="BZ113" s="562"/>
      <c r="CA113" s="562"/>
      <c r="CB113" s="562"/>
      <c r="CC113" s="562"/>
      <c r="CD113" s="562"/>
      <c r="CE113" s="562"/>
      <c r="CF113" s="562"/>
      <c r="CG113" s="562"/>
      <c r="CH113" s="562"/>
      <c r="CI113" s="562"/>
      <c r="CJ113" s="562"/>
      <c r="CK113" s="562"/>
      <c r="CL113" s="562"/>
    </row>
    <row r="114" spans="1:90" ht="12">
      <c r="A114" s="114">
        <f ca="1">MONTH(N1)</f>
        <v>11</v>
      </c>
      <c r="B114" s="112">
        <f>Adm!G3</f>
        <v>240</v>
      </c>
      <c r="C114" s="132">
        <v>0</v>
      </c>
      <c r="D114" s="132"/>
      <c r="E114" s="132"/>
      <c r="F114" s="132"/>
      <c r="G114" s="132"/>
      <c r="H114" s="132"/>
      <c r="I114" s="132"/>
      <c r="J114" s="132"/>
      <c r="K114" s="132"/>
      <c r="L114" s="132"/>
      <c r="M114" s="132"/>
      <c r="N114" s="315">
        <f>IF(Adm!B3=0,0,IF(C38&lt;&gt;"",0,IF(G107=0,0,IF(H107&lt;&gt;"",0,IF(Adm!B3=Adm!B11,Cal!E104,Cal!E92)))))</f>
        <v>1031540</v>
      </c>
      <c r="U114" s="92"/>
      <c r="V114" s="570">
        <v>12</v>
      </c>
      <c r="W114" s="568" t="s">
        <v>275</v>
      </c>
      <c r="Y114" s="301"/>
      <c r="Z114" s="302"/>
      <c r="AB114" s="626"/>
      <c r="AC114" s="92"/>
      <c r="AD114" s="92"/>
      <c r="AE114" s="92"/>
      <c r="AF114" s="92"/>
      <c r="AG114" s="632" t="s">
        <v>290</v>
      </c>
      <c r="AI114" s="607">
        <v>1</v>
      </c>
      <c r="AJ114" s="607">
        <v>2</v>
      </c>
      <c r="AK114" s="607">
        <v>3</v>
      </c>
      <c r="AL114" s="607">
        <v>4</v>
      </c>
      <c r="AM114" s="607">
        <v>5</v>
      </c>
      <c r="AN114" s="607">
        <v>6</v>
      </c>
      <c r="AO114" s="607">
        <v>7</v>
      </c>
      <c r="AP114" s="607">
        <v>8</v>
      </c>
      <c r="AQ114" s="607">
        <v>9</v>
      </c>
      <c r="AR114" s="607">
        <v>10</v>
      </c>
      <c r="AS114" s="607">
        <v>11</v>
      </c>
      <c r="AT114" s="607">
        <v>12</v>
      </c>
      <c r="AU114" s="607">
        <v>13</v>
      </c>
      <c r="AV114" s="607">
        <v>14</v>
      </c>
      <c r="AW114" s="607">
        <v>15</v>
      </c>
      <c r="AX114" s="607">
        <v>16</v>
      </c>
      <c r="AY114" s="607">
        <v>17</v>
      </c>
      <c r="AZ114" s="607">
        <v>18</v>
      </c>
      <c r="BA114" s="607">
        <v>19</v>
      </c>
      <c r="BB114" s="607">
        <v>20</v>
      </c>
      <c r="BC114" s="607">
        <v>21</v>
      </c>
      <c r="BD114" s="607">
        <v>22</v>
      </c>
      <c r="BE114" s="607">
        <v>23</v>
      </c>
      <c r="BF114" s="607">
        <v>24</v>
      </c>
      <c r="BG114" s="607">
        <v>25</v>
      </c>
      <c r="BH114" s="607">
        <v>26</v>
      </c>
      <c r="BI114" s="607">
        <v>27</v>
      </c>
      <c r="BJ114" s="607">
        <v>28</v>
      </c>
      <c r="BK114" s="608">
        <v>29</v>
      </c>
      <c r="BL114" s="608">
        <v>30</v>
      </c>
      <c r="BM114" s="608">
        <v>31</v>
      </c>
      <c r="BN114" s="608">
        <v>32</v>
      </c>
      <c r="BO114" s="608">
        <v>33</v>
      </c>
      <c r="BP114" s="608">
        <v>34</v>
      </c>
      <c r="BQ114" s="608">
        <v>35</v>
      </c>
      <c r="BR114" s="608">
        <v>36</v>
      </c>
      <c r="BS114" s="608">
        <v>37</v>
      </c>
      <c r="BT114" s="608">
        <v>38</v>
      </c>
      <c r="BU114" s="608">
        <v>39</v>
      </c>
      <c r="BV114" s="608">
        <v>40</v>
      </c>
      <c r="BW114" s="608">
        <v>41</v>
      </c>
      <c r="BX114" s="608">
        <v>42</v>
      </c>
      <c r="BY114" s="608">
        <v>43</v>
      </c>
      <c r="BZ114" s="608">
        <v>44</v>
      </c>
      <c r="CA114" s="608">
        <v>45</v>
      </c>
      <c r="CB114" s="608">
        <v>46</v>
      </c>
      <c r="CC114" s="608">
        <v>47</v>
      </c>
      <c r="CD114" s="608">
        <v>48</v>
      </c>
      <c r="CE114" s="608">
        <v>49</v>
      </c>
      <c r="CF114" s="608">
        <v>50</v>
      </c>
      <c r="CG114" s="608">
        <v>51</v>
      </c>
      <c r="CH114" s="608">
        <v>52</v>
      </c>
      <c r="CI114" s="608">
        <v>53</v>
      </c>
      <c r="CJ114" s="608">
        <v>54</v>
      </c>
      <c r="CK114" s="608">
        <v>55</v>
      </c>
      <c r="CL114" s="608">
        <v>56</v>
      </c>
    </row>
    <row r="115" spans="1:90">
      <c r="A115" s="151">
        <f t="shared" ref="A115:A178" ca="1" si="0">IF(A114=12,1,A114+1)</f>
        <v>12</v>
      </c>
      <c r="B115" s="113">
        <f>IF(N114&gt;0,B114-1,0)</f>
        <v>239</v>
      </c>
      <c r="C115" s="150">
        <f>IF(N114&gt;0,C114+1,0)</f>
        <v>1</v>
      </c>
      <c r="D115" s="565">
        <f>IF(N114&gt;0,Adm!AH3,0)</f>
        <v>9.5000000000000001E-2</v>
      </c>
      <c r="E115" s="306">
        <f>IF(N114&lt;0.01,0,N114*D115/12)</f>
        <v>8166.3583333333336</v>
      </c>
      <c r="F115" s="306">
        <f>IF(N114&lt;0.01,0,IF(Adm!$B$3=Adm!$B$11,0,G115-E115))</f>
        <v>1448.9477216445393</v>
      </c>
      <c r="G115" s="307">
        <f>IF(N114&lt;0.1,0,IF(Adm!$B$3=Adm!$B$11,E115,IF(Adm!C3=Adm!C5,Captura!N114*Adm!AI2/1000,PMT(Adm!AH3/12,Adm!G3,-Captura!N114))))</f>
        <v>9615.3060549778729</v>
      </c>
      <c r="H115" s="306">
        <f>IF(N114&lt;0.01,0,IF(Adm!$S$3=Adm!$S$13,Cal!$E$94,IF(Adm!$R$3=Adm!$R$6,0,IF(Cal!$E$91&gt;0,0,IF(Cal!$E$91=0,N114*Adm!$Y$3,N114*Adm!$X$3)))))</f>
        <v>0</v>
      </c>
      <c r="I115" s="306">
        <f>IF(N114&lt;0.01,0,IF(Adm!$R$4=Adm!$R$6,0,IF(Adm!$B$3=Adm!$B$11,Cal!$E$89*Adm!$Z$3,Cal!$E$89*Adm!$AA$3)))</f>
        <v>573.58240000000001</v>
      </c>
      <c r="J115" s="306">
        <f>IF(N114&lt;0.01,0,Adm!$O$3*1.16)</f>
        <v>290</v>
      </c>
      <c r="K115" s="306">
        <f>IF(N114&lt;0.01,0,IF(Adm!$N$3&gt;0,E115*Adm!$N$3,0))</f>
        <v>0</v>
      </c>
      <c r="L115" s="306">
        <f>G115+H115+I115+J115+K115</f>
        <v>10478.888454977872</v>
      </c>
      <c r="M115" s="306">
        <f>IF(Adm!$F$3="si",MIN(N114+E115+H115+I115+J115-L115,Z115),0)</f>
        <v>0</v>
      </c>
      <c r="N115" s="306">
        <f>IF(N114&lt;0.001,0,+N114-F115-M115-O115)</f>
        <v>930091.05227835546</v>
      </c>
      <c r="O115" s="361">
        <v>100000</v>
      </c>
      <c r="P115" s="114"/>
      <c r="Q115" s="598"/>
      <c r="U115" s="92"/>
      <c r="V115" s="571">
        <f>IF(V114=12,1,V114+1)</f>
        <v>1</v>
      </c>
      <c r="W115" s="293"/>
      <c r="X115" s="288"/>
      <c r="Y115" s="292">
        <f>IF(AND(Adm!F3="si",L111&gt;0,L111&lt;Adm!F8),Captura!L111,IF(AND(Adm!F3="si",Captura!L111&gt;0,Captura!L111&gt;Adm!F8),Adm!F8,IF(AND(Adm!F3="si",Captura!L111=0,Captura!Y113&lt;Adm!F8),Captura!Y113,IF(AND(Adm!F3="si",Captura!L111=0,Captura!Y113&gt;Adm!F8),Adm!F8,0))))</f>
        <v>0</v>
      </c>
      <c r="Z115" s="303">
        <v>0</v>
      </c>
      <c r="AA115" s="288"/>
      <c r="AB115" s="633"/>
      <c r="AC115" s="634"/>
      <c r="AD115" s="634"/>
      <c r="AE115" s="635">
        <f>IF(AND(AF115&gt;0.01,$AB$109=2),AF115,0)</f>
        <v>0</v>
      </c>
      <c r="AF115" s="636">
        <f t="shared" ref="AF115:AF178" si="1">IF(AND($AD$109=2,O114&lt;0.01),0,IF($AD$109=2,(N114*AG115)+E115,0))</f>
        <v>0</v>
      </c>
      <c r="AG115" s="637" t="e">
        <f>HLOOKUP($AG$110,anticipado,2,0)</f>
        <v>#N/A</v>
      </c>
      <c r="AI115" s="614">
        <v>9.9500000000000001E-4</v>
      </c>
      <c r="AJ115" s="615">
        <v>8.5499999999999997E-4</v>
      </c>
      <c r="AK115" s="616">
        <v>7.5166666666666611E-4</v>
      </c>
      <c r="AL115" s="616">
        <v>1.075E-3</v>
      </c>
      <c r="AM115" s="617">
        <v>9.9500000000000001E-4</v>
      </c>
      <c r="AN115" s="617">
        <v>8.5499999999999997E-4</v>
      </c>
      <c r="AO115" s="617">
        <v>1.2033333333333329E-3</v>
      </c>
      <c r="AP115" s="617">
        <v>1.0966666666666661E-3</v>
      </c>
      <c r="AQ115" s="617">
        <v>1.0166666666666662E-3</v>
      </c>
      <c r="AR115" s="617">
        <v>1.305E-3</v>
      </c>
      <c r="AS115" s="617">
        <v>1.2033333333333329E-3</v>
      </c>
      <c r="AT115" s="618">
        <v>1.098333333333334E-3</v>
      </c>
      <c r="AU115" s="618">
        <v>5.5500000000000005E-4</v>
      </c>
      <c r="AV115" s="618">
        <v>4.9166666666666608E-4</v>
      </c>
      <c r="AW115" s="618">
        <v>3.9166666666666609E-4</v>
      </c>
      <c r="AX115" s="618">
        <v>6.5499999999999998E-4</v>
      </c>
      <c r="AY115" s="618">
        <v>5.5500000000000005E-4</v>
      </c>
      <c r="AZ115" s="618">
        <v>4.6833333333333395E-4</v>
      </c>
      <c r="BA115" s="618">
        <v>7.2666666666666604E-4</v>
      </c>
      <c r="BB115" s="618">
        <v>6.666666666666661E-4</v>
      </c>
      <c r="BC115" s="618">
        <v>5.5333333333333395E-4</v>
      </c>
      <c r="BD115" s="618">
        <v>8.1333333333333301E-4</v>
      </c>
      <c r="BE115" s="617">
        <v>7.6333333333333299E-4</v>
      </c>
      <c r="BF115" s="617">
        <v>6.8000000000000005E-4</v>
      </c>
      <c r="BG115" s="617"/>
      <c r="BH115" s="617"/>
      <c r="BI115" s="617"/>
      <c r="BJ115" s="617"/>
      <c r="BK115" s="617"/>
      <c r="BL115" s="617"/>
      <c r="BM115" s="617"/>
      <c r="BN115" s="617"/>
      <c r="BO115" s="617"/>
      <c r="BP115" s="617"/>
      <c r="BQ115" s="617"/>
      <c r="BR115" s="617"/>
      <c r="BS115" s="617"/>
      <c r="BT115" s="617"/>
      <c r="BU115" s="617"/>
      <c r="BV115" s="617"/>
      <c r="BW115" s="617"/>
      <c r="BX115" s="617"/>
      <c r="BY115" s="617"/>
      <c r="BZ115" s="617"/>
      <c r="CA115" s="617"/>
      <c r="CB115" s="617"/>
      <c r="CC115" s="617"/>
      <c r="CD115" s="617"/>
      <c r="CE115" s="617"/>
      <c r="CF115" s="617"/>
      <c r="CG115" s="617"/>
      <c r="CH115" s="617"/>
      <c r="CI115" s="617"/>
      <c r="CJ115" s="617"/>
      <c r="CK115" s="617"/>
      <c r="CL115" s="617"/>
    </row>
    <row r="116" spans="1:90">
      <c r="A116" s="151">
        <f t="shared" ca="1" si="0"/>
        <v>1</v>
      </c>
      <c r="B116" s="113">
        <f t="shared" ref="B116:B179" si="2">IF(N115&gt;0,B115-1,0)</f>
        <v>238</v>
      </c>
      <c r="C116" s="150">
        <f>IF(N115&lt;0.01,0,C115+1)</f>
        <v>2</v>
      </c>
      <c r="D116" s="565">
        <f>IF(N115&lt;0.01,0,D115)</f>
        <v>9.5000000000000001E-2</v>
      </c>
      <c r="E116" s="306">
        <f t="shared" ref="E116:E179" si="3">IF(N115&lt;0.01,0,N115*D116/12)</f>
        <v>7363.2208305369813</v>
      </c>
      <c r="F116" s="306">
        <f>IF(N115&lt;0.01,0,IF(Adm!$B$3=Adm!$B$11,0,G116-E116))</f>
        <v>2252.0852244408916</v>
      </c>
      <c r="G116" s="307">
        <f>IF(N115&lt;0.1,0,MIN(N115+E116,IF(AB116&gt;0,AB116,IF(Adm!$B$3=Adm!$B$11,E116,G115*(1+W116)))))</f>
        <v>9615.3060549778729</v>
      </c>
      <c r="H116" s="306">
        <f>IF(N115&lt;0.01,0,IF(Adm!$S$3=Adm!$S$13,Cal!$E$94,IF(Adm!$R$3=Adm!$R$6,0,IF(Cal!$E$91&gt;0,0,IF(Cal!$E$91=0,N115*Adm!$Y$3,N115*Adm!$X$3)))))</f>
        <v>0</v>
      </c>
      <c r="I116" s="306">
        <f>IF(N115&lt;0.01,0,IF(Adm!$R$4=Adm!$R$6,0,IF(Adm!$B$3=Adm!$B$11,Cal!$E$89*Adm!$Z$3,Cal!$E$89*Adm!$AA$3)))</f>
        <v>573.58240000000001</v>
      </c>
      <c r="J116" s="306">
        <f>IF(N115&lt;0.01,0,Adm!$O$3*1.16)</f>
        <v>290</v>
      </c>
      <c r="K116" s="306">
        <f>IF(N115&lt;0.01,0,IF(Adm!$N$3&gt;0,E116*Adm!$N$3,0))</f>
        <v>0</v>
      </c>
      <c r="L116" s="306">
        <f t="shared" ref="L116:L179" si="4">G116+H116+I116+J116+K116</f>
        <v>10478.888454977872</v>
      </c>
      <c r="M116" s="306">
        <f>IF(Adm!$F$3="si",MIN(N115+E116+H116+I116+J116-L116,Z116),0)</f>
        <v>0</v>
      </c>
      <c r="N116" s="306">
        <f t="shared" ref="N116:N179" si="5">IF(N115&lt;0.001,0,+N115-F116-M116-O116)</f>
        <v>927838.96705391456</v>
      </c>
      <c r="O116" s="361"/>
      <c r="P116" s="114"/>
      <c r="U116" s="92"/>
      <c r="V116" s="571">
        <f t="shared" ref="V116:V179" si="6">IF(V115=12,1,V115+1)</f>
        <v>2</v>
      </c>
      <c r="W116" s="293">
        <f>IF(V116=1,Adm!$AN$2,0)</f>
        <v>0</v>
      </c>
      <c r="Y116" s="304">
        <f>Y115</f>
        <v>0</v>
      </c>
      <c r="Z116" s="345">
        <f t="shared" ref="Z116:Z179" ca="1" si="7">IF(MOD(A116,2)=0,Y116*0.05*2,0)</f>
        <v>0</v>
      </c>
      <c r="AB116" s="638">
        <f>IF(AC116&gt;1,AC116,IF(AE116&gt;1,AE116,0))</f>
        <v>0</v>
      </c>
      <c r="AC116" s="636">
        <f>IF(AND($AD$109=1,O115&gt;0.1),AD116,0)</f>
        <v>0</v>
      </c>
      <c r="AD116" s="636">
        <f t="shared" ref="AD116:AD179" si="8">IF(AND($AD$109=1,$AB$109=2),PMT($G$107/12,B115,-N115),0)</f>
        <v>0</v>
      </c>
      <c r="AE116" s="639">
        <f>IF(AND(AF116&gt;0.01,$AB$109=2),AF116,0)</f>
        <v>0</v>
      </c>
      <c r="AF116" s="636">
        <f t="shared" si="1"/>
        <v>0</v>
      </c>
      <c r="AG116" s="637" t="e">
        <f>HLOOKUP($AG$110,anticipado,3,0)</f>
        <v>#N/A</v>
      </c>
      <c r="AI116" s="614">
        <v>1.0045814335263585E-3</v>
      </c>
      <c r="AJ116" s="615">
        <v>8.6349741529007356E-4</v>
      </c>
      <c r="AK116" s="616">
        <v>7.5930934474635614E-4</v>
      </c>
      <c r="AL116" s="616">
        <v>1.0851158745651577E-3</v>
      </c>
      <c r="AM116" s="617">
        <v>1.0045814335263585E-3</v>
      </c>
      <c r="AN116" s="617">
        <v>8.6349741529007356E-4</v>
      </c>
      <c r="AO116" s="617">
        <v>1.2143209551048653E-3</v>
      </c>
      <c r="AP116" s="617">
        <v>1.1069646935027624E-3</v>
      </c>
      <c r="AQ116" s="617">
        <v>1.0264365994316451E-3</v>
      </c>
      <c r="AR116" s="617">
        <v>1.3166688778856411E-3</v>
      </c>
      <c r="AS116" s="617">
        <v>1.2143209551048653E-3</v>
      </c>
      <c r="AT116" s="618">
        <v>1.1086030462346705E-3</v>
      </c>
      <c r="AU116" s="618">
        <v>5.6034761792795066E-4</v>
      </c>
      <c r="AV116" s="618">
        <v>4.9653656103139572E-4</v>
      </c>
      <c r="AW116" s="618">
        <v>3.957024140010382E-4</v>
      </c>
      <c r="AX116" s="618">
        <v>6.6108238396149564E-4</v>
      </c>
      <c r="AY116" s="618">
        <v>5.6034761792795066E-4</v>
      </c>
      <c r="AZ116" s="618">
        <v>4.7300011894459517E-4</v>
      </c>
      <c r="BA116" s="618">
        <v>7.3321869447353814E-4</v>
      </c>
      <c r="BB116" s="618">
        <v>6.7283744718701335E-4</v>
      </c>
      <c r="BC116" s="618">
        <v>5.5868702904496163E-4</v>
      </c>
      <c r="BD116" s="618">
        <v>8.2043951302614984E-4</v>
      </c>
      <c r="BE116" s="617">
        <v>7.7011691146464047E-4</v>
      </c>
      <c r="BF116" s="617">
        <v>6.8624664772045057E-4</v>
      </c>
      <c r="BG116" s="617"/>
      <c r="BH116" s="617"/>
      <c r="BI116" s="617"/>
      <c r="BJ116" s="617"/>
      <c r="BK116" s="617"/>
      <c r="BL116" s="617"/>
      <c r="BM116" s="617"/>
      <c r="BN116" s="617"/>
      <c r="BO116" s="617"/>
      <c r="BP116" s="617"/>
      <c r="BQ116" s="617"/>
      <c r="BR116" s="617"/>
      <c r="BS116" s="617"/>
      <c r="BT116" s="617"/>
      <c r="BU116" s="617"/>
      <c r="BV116" s="617"/>
      <c r="BW116" s="617"/>
      <c r="BX116" s="617"/>
      <c r="BY116" s="617"/>
      <c r="BZ116" s="617"/>
      <c r="CA116" s="617"/>
      <c r="CB116" s="617"/>
      <c r="CC116" s="617"/>
      <c r="CD116" s="617"/>
      <c r="CE116" s="617"/>
      <c r="CF116" s="617"/>
      <c r="CG116" s="617"/>
      <c r="CH116" s="617"/>
      <c r="CI116" s="617"/>
      <c r="CJ116" s="617"/>
      <c r="CK116" s="617"/>
      <c r="CL116" s="617"/>
    </row>
    <row r="117" spans="1:90">
      <c r="A117" s="151">
        <f t="shared" ca="1" si="0"/>
        <v>2</v>
      </c>
      <c r="B117" s="113">
        <f t="shared" si="2"/>
        <v>237</v>
      </c>
      <c r="C117" s="150">
        <f t="shared" ref="C117:C180" si="9">IF(N116&lt;0.01,0,C116+1)</f>
        <v>3</v>
      </c>
      <c r="D117" s="565">
        <f t="shared" ref="D117:D180" si="10">IF(N116&lt;0.01,0,D116)</f>
        <v>9.5000000000000001E-2</v>
      </c>
      <c r="E117" s="306">
        <f t="shared" si="3"/>
        <v>7345.3918225101579</v>
      </c>
      <c r="F117" s="306">
        <f>IF(N116&lt;0.01,0,IF(Adm!$B$3=Adm!$B$11,0,G117-E117))</f>
        <v>2269.914232467715</v>
      </c>
      <c r="G117" s="307">
        <f>IF(N116&lt;0.1,0,MIN(N116+E117,IF(AB117&gt;0,AB117,IF(Adm!$B$3=Adm!$B$11,E117,G116*(1+W117)))))</f>
        <v>9615.3060549778729</v>
      </c>
      <c r="H117" s="306">
        <f>IF(N116&lt;0.01,0,IF(Adm!$S$3=Adm!$S$13,Cal!$E$94,IF(Adm!$R$3=Adm!$R$6,0,IF(Cal!$E$91&gt;0,0,IF(Cal!$E$91=0,N116*Adm!$Y$3,N116*Adm!$X$3)))))</f>
        <v>0</v>
      </c>
      <c r="I117" s="306">
        <f>IF(N116&lt;0.01,0,IF(Adm!$R$4=Adm!$R$6,0,IF(Adm!$B$3=Adm!$B$11,Cal!$E$89*Adm!$Z$3,Cal!$E$89*Adm!$AA$3)))</f>
        <v>573.58240000000001</v>
      </c>
      <c r="J117" s="306">
        <f>IF(N116&lt;0.01,0,Adm!$O$3*1.16)</f>
        <v>290</v>
      </c>
      <c r="K117" s="306">
        <f>IF(N116&lt;0.01,0,IF(Adm!$N$3&gt;0,E117*Adm!$N$3,0))</f>
        <v>0</v>
      </c>
      <c r="L117" s="306">
        <f t="shared" si="4"/>
        <v>10478.888454977872</v>
      </c>
      <c r="M117" s="306">
        <f>IF(Adm!$F$3="si",MIN(N116+E117+H117+I117+J117-L117,Z117),0)</f>
        <v>0</v>
      </c>
      <c r="N117" s="306">
        <f>IF(N116&lt;0.001,0,+N116-F117-M117-O117+P117)</f>
        <v>925569.05282144679</v>
      </c>
      <c r="O117" s="361"/>
      <c r="P117" s="317">
        <f>IF(Adm!B3=Adm!B11,Cal!E105,0)</f>
        <v>0</v>
      </c>
      <c r="U117" s="92"/>
      <c r="V117" s="571">
        <f t="shared" si="6"/>
        <v>3</v>
      </c>
      <c r="W117" s="293">
        <f>IF(V117=1,Adm!$AN$2,0)</f>
        <v>0</v>
      </c>
      <c r="Y117" s="304">
        <f t="shared" ref="Y117:Y180" si="11">Y116</f>
        <v>0</v>
      </c>
      <c r="Z117" s="345">
        <f t="shared" ca="1" si="7"/>
        <v>0</v>
      </c>
      <c r="AB117" s="640">
        <f t="shared" ref="AB117:AB180" si="12">IF(AC117&gt;1,AC117,IF(AE117&gt;1,AE117,0))</f>
        <v>0</v>
      </c>
      <c r="AC117" s="639">
        <f t="shared" ref="AC117:AC180" si="13">IF(AND($AD$109=1,O116&gt;0.1),AD117,0)</f>
        <v>0</v>
      </c>
      <c r="AD117" s="641">
        <f t="shared" si="8"/>
        <v>0</v>
      </c>
      <c r="AE117" s="639">
        <f t="shared" ref="AE117:AE180" si="14">IF(AND(AF117&gt;0.01,$AB$109=2),AF117,0)</f>
        <v>0</v>
      </c>
      <c r="AF117" s="636">
        <f t="shared" si="1"/>
        <v>0</v>
      </c>
      <c r="AG117" s="637" t="e">
        <f>HLOOKUP($AG$110,anticipado,4,0)</f>
        <v>#N/A</v>
      </c>
      <c r="AI117" s="614">
        <v>1.014264860037596E-3</v>
      </c>
      <c r="AJ117" s="615">
        <v>8.7208669894427886E-4</v>
      </c>
      <c r="AK117" s="616">
        <v>7.670355974617513E-4</v>
      </c>
      <c r="AL117" s="616">
        <v>1.0953380329084353E-3</v>
      </c>
      <c r="AM117" s="617">
        <v>1.014264860037596E-3</v>
      </c>
      <c r="AN117" s="617">
        <v>8.7208669894427886E-4</v>
      </c>
      <c r="AO117" s="617">
        <v>1.2254223854142419E-3</v>
      </c>
      <c r="AP117" s="617">
        <v>1.1173709412287643E-3</v>
      </c>
      <c r="AQ117" s="617">
        <v>1.0363105539910929E-3</v>
      </c>
      <c r="AR117" s="617">
        <v>1.3284576168792548E-3</v>
      </c>
      <c r="AS117" s="617">
        <v>1.2254223854142419E-3</v>
      </c>
      <c r="AT117" s="618">
        <v>1.1189802879632998E-3</v>
      </c>
      <c r="AU117" s="618">
        <v>5.6574978910731545E-4</v>
      </c>
      <c r="AV117" s="618">
        <v>5.0145713431074196E-4</v>
      </c>
      <c r="AW117" s="618">
        <v>3.9978135986893927E-4</v>
      </c>
      <c r="AX117" s="618">
        <v>6.672253104220157E-4</v>
      </c>
      <c r="AY117" s="618">
        <v>5.6574978910731545E-4</v>
      </c>
      <c r="AZ117" s="618">
        <v>4.7771563796048839E-4</v>
      </c>
      <c r="BA117" s="618">
        <v>7.3983464992223764E-4</v>
      </c>
      <c r="BB117" s="618">
        <v>6.7906953869024435E-4</v>
      </c>
      <c r="BC117" s="618">
        <v>5.6409554532407021E-4</v>
      </c>
      <c r="BD117" s="618">
        <v>8.2761366612414905E-4</v>
      </c>
      <c r="BE117" s="617">
        <v>7.7696604842288617E-4</v>
      </c>
      <c r="BF117" s="617">
        <v>6.9255500777852454E-4</v>
      </c>
      <c r="BG117" s="617"/>
      <c r="BH117" s="617"/>
      <c r="BI117" s="617"/>
      <c r="BJ117" s="617"/>
      <c r="BK117" s="617"/>
      <c r="BL117" s="617"/>
      <c r="BM117" s="617"/>
      <c r="BN117" s="617"/>
      <c r="BO117" s="617"/>
      <c r="BP117" s="617"/>
      <c r="BQ117" s="617"/>
      <c r="BR117" s="617"/>
      <c r="BS117" s="617"/>
      <c r="BT117" s="617"/>
      <c r="BU117" s="617"/>
      <c r="BV117" s="617"/>
      <c r="BW117" s="617"/>
      <c r="BX117" s="617"/>
      <c r="BY117" s="617"/>
      <c r="BZ117" s="617"/>
      <c r="CA117" s="617"/>
      <c r="CB117" s="617"/>
      <c r="CC117" s="617"/>
      <c r="CD117" s="617"/>
      <c r="CE117" s="617"/>
      <c r="CF117" s="617"/>
      <c r="CG117" s="617"/>
      <c r="CH117" s="617"/>
      <c r="CI117" s="617"/>
      <c r="CJ117" s="617"/>
      <c r="CK117" s="617"/>
      <c r="CL117" s="617"/>
    </row>
    <row r="118" spans="1:90">
      <c r="A118" s="151">
        <f t="shared" ca="1" si="0"/>
        <v>3</v>
      </c>
      <c r="B118" s="113">
        <f t="shared" si="2"/>
        <v>236</v>
      </c>
      <c r="C118" s="150">
        <f t="shared" si="9"/>
        <v>4</v>
      </c>
      <c r="D118" s="565">
        <f t="shared" si="10"/>
        <v>9.5000000000000001E-2</v>
      </c>
      <c r="E118" s="306">
        <f t="shared" si="3"/>
        <v>7327.4216681697872</v>
      </c>
      <c r="F118" s="306">
        <f>IF(N117&lt;0.01,0,IF(Adm!$B$3=Adm!$B$11,0,G118-E118))</f>
        <v>2287.8843868080858</v>
      </c>
      <c r="G118" s="307">
        <f>IF(N117&lt;0.1,0,MIN(N117+E118,IF(AB118&gt;0,AB118,IF(Adm!$B$3=Adm!$B$11,E118,G117*(1+W118)))))</f>
        <v>9615.3060549778729</v>
      </c>
      <c r="H118" s="306">
        <f>IF(N117&lt;0.01,0,IF(Adm!$S$3=Adm!$S$13,Cal!$E$94,IF(Adm!$R$3=Adm!$R$6,0,IF(Cal!$E$91&gt;0,0,IF(Cal!$E$91=0,N117*Adm!$Y$3,N117*Adm!$X$3)))))</f>
        <v>0</v>
      </c>
      <c r="I118" s="306">
        <f>IF(N117&lt;0.01,0,IF(Adm!$R$4=Adm!$R$6,0,IF(Adm!$B$3=Adm!$B$11,Cal!$E$89*Adm!$Z$3,Cal!$E$89*Adm!$AA$3)))</f>
        <v>573.58240000000001</v>
      </c>
      <c r="J118" s="306">
        <f>IF(N117&lt;0.01,0,Adm!$O$3*1.16)</f>
        <v>290</v>
      </c>
      <c r="K118" s="306">
        <f>IF(N117&lt;0.01,0,IF(Adm!$N$3&gt;0,E118*Adm!$N$3,0))</f>
        <v>0</v>
      </c>
      <c r="L118" s="306">
        <f t="shared" si="4"/>
        <v>10478.888454977872</v>
      </c>
      <c r="M118" s="306">
        <f>IF(Adm!$F$3="si",MIN(N117+E118+H118+I118+J118-L118,Z118),0)</f>
        <v>0</v>
      </c>
      <c r="N118" s="306">
        <f t="shared" si="5"/>
        <v>923281.16843463876</v>
      </c>
      <c r="O118" s="361"/>
      <c r="P118" s="204"/>
      <c r="U118" s="92"/>
      <c r="V118" s="571">
        <f t="shared" si="6"/>
        <v>4</v>
      </c>
      <c r="W118" s="293">
        <f>IF(V118=1,Adm!$AN$2,0)</f>
        <v>0</v>
      </c>
      <c r="Y118" s="304">
        <f t="shared" si="11"/>
        <v>0</v>
      </c>
      <c r="Z118" s="345">
        <f t="shared" ca="1" si="7"/>
        <v>0</v>
      </c>
      <c r="AB118" s="640">
        <f t="shared" si="12"/>
        <v>0</v>
      </c>
      <c r="AC118" s="639">
        <f t="shared" si="13"/>
        <v>0</v>
      </c>
      <c r="AD118" s="641">
        <f t="shared" si="8"/>
        <v>0</v>
      </c>
      <c r="AE118" s="639">
        <f t="shared" si="14"/>
        <v>0</v>
      </c>
      <c r="AF118" s="636">
        <f t="shared" si="1"/>
        <v>0</v>
      </c>
      <c r="AG118" s="637" t="e">
        <f>HLOOKUP($AG$110,anticipado,5,0)</f>
        <v>#N/A</v>
      </c>
      <c r="AI118" s="614">
        <v>1.0240515539614707E-3</v>
      </c>
      <c r="AJ118" s="615">
        <v>8.8076899266053903E-4</v>
      </c>
      <c r="AK118" s="616">
        <v>7.7484645885771369E-4</v>
      </c>
      <c r="AL118" s="616">
        <v>1.1056678020277206E-3</v>
      </c>
      <c r="AM118" s="617">
        <v>1.0240515539614707E-3</v>
      </c>
      <c r="AN118" s="617">
        <v>8.8076899266053903E-4</v>
      </c>
      <c r="AO118" s="617">
        <v>1.2366390511413842E-3</v>
      </c>
      <c r="AP118" s="617">
        <v>1.1278867650882484E-3</v>
      </c>
      <c r="AQ118" s="617">
        <v>1.0462898341104723E-3</v>
      </c>
      <c r="AR118" s="617">
        <v>1.3403677279255418E-3</v>
      </c>
      <c r="AS118" s="617">
        <v>1.2366390511413842E-3</v>
      </c>
      <c r="AT118" s="618">
        <v>1.1294664011420581E-3</v>
      </c>
      <c r="AU118" s="618">
        <v>5.7120712875609444E-4</v>
      </c>
      <c r="AV118" s="618">
        <v>5.0642896259903137E-4</v>
      </c>
      <c r="AW118" s="618">
        <v>4.0390400013340177E-4</v>
      </c>
      <c r="AX118" s="618">
        <v>6.7342945790350376E-4</v>
      </c>
      <c r="AY118" s="618">
        <v>5.7120712875609444E-4</v>
      </c>
      <c r="AZ118" s="618">
        <v>4.8248044401057541E-4</v>
      </c>
      <c r="BA118" s="618">
        <v>7.4651524478388013E-4</v>
      </c>
      <c r="BB118" s="618">
        <v>6.853636284603476E-4</v>
      </c>
      <c r="BC118" s="618">
        <v>5.6955950235701772E-4</v>
      </c>
      <c r="BD118" s="618">
        <v>8.3485654633463197E-4</v>
      </c>
      <c r="BE118" s="617">
        <v>7.8388147213909198E-4</v>
      </c>
      <c r="BF118" s="617">
        <v>6.9892576988664248E-4</v>
      </c>
      <c r="BG118" s="617"/>
      <c r="BH118" s="617"/>
      <c r="BI118" s="617"/>
      <c r="BJ118" s="617"/>
      <c r="BK118" s="617"/>
      <c r="BL118" s="617"/>
      <c r="BM118" s="617"/>
      <c r="BN118" s="617"/>
      <c r="BO118" s="617"/>
      <c r="BP118" s="617"/>
      <c r="BQ118" s="617"/>
      <c r="BR118" s="617"/>
      <c r="BS118" s="617"/>
      <c r="BT118" s="617"/>
      <c r="BU118" s="617"/>
      <c r="BV118" s="617"/>
      <c r="BW118" s="617"/>
      <c r="BX118" s="617"/>
      <c r="BY118" s="617"/>
      <c r="BZ118" s="617"/>
      <c r="CA118" s="617"/>
      <c r="CB118" s="617"/>
      <c r="CC118" s="617"/>
      <c r="CD118" s="617"/>
      <c r="CE118" s="617"/>
      <c r="CF118" s="617"/>
      <c r="CG118" s="617"/>
      <c r="CH118" s="617"/>
      <c r="CI118" s="617"/>
      <c r="CJ118" s="617"/>
      <c r="CK118" s="617"/>
      <c r="CL118" s="617"/>
    </row>
    <row r="119" spans="1:90">
      <c r="A119" s="151">
        <f t="shared" ca="1" si="0"/>
        <v>4</v>
      </c>
      <c r="B119" s="113">
        <f t="shared" si="2"/>
        <v>235</v>
      </c>
      <c r="C119" s="150">
        <f t="shared" si="9"/>
        <v>5</v>
      </c>
      <c r="D119" s="565">
        <f t="shared" si="10"/>
        <v>9.5000000000000001E-2</v>
      </c>
      <c r="E119" s="306">
        <f t="shared" si="3"/>
        <v>7309.3092501075562</v>
      </c>
      <c r="F119" s="306">
        <f>IF(N118&lt;0.01,0,IF(Adm!$B$3=Adm!$B$11,0,G119-E119))</f>
        <v>2305.9968048703167</v>
      </c>
      <c r="G119" s="307">
        <f>IF(N118&lt;0.1,0,MIN(N118+E119,IF(AB119&gt;0,AB119,IF(Adm!$B$3=Adm!$B$11,E119,G118*(1+W119)))))</f>
        <v>9615.3060549778729</v>
      </c>
      <c r="H119" s="306">
        <f>IF(N118&lt;0.01,0,IF(Adm!$S$3=Adm!$S$13,Cal!$E$94,IF(Adm!$R$3=Adm!$R$6,0,IF(Cal!$E$91&gt;0,0,IF(Cal!$E$91=0,N118*Adm!$Y$3,N118*Adm!$X$3)))))</f>
        <v>0</v>
      </c>
      <c r="I119" s="306">
        <f>IF(N118&lt;0.01,0,IF(Adm!$R$4=Adm!$R$6,0,IF(Adm!$B$3=Adm!$B$11,Cal!$E$89*Adm!$Z$3,Cal!$E$89*Adm!$AA$3)))</f>
        <v>573.58240000000001</v>
      </c>
      <c r="J119" s="306">
        <f>IF(N118&lt;0.01,0,Adm!$O$3*1.16)</f>
        <v>290</v>
      </c>
      <c r="K119" s="306">
        <f>IF(N118&lt;0.01,0,IF(Adm!$N$3&gt;0,E119*Adm!$N$3,0))</f>
        <v>0</v>
      </c>
      <c r="L119" s="306">
        <f t="shared" si="4"/>
        <v>10478.888454977872</v>
      </c>
      <c r="M119" s="306">
        <f>IF(Adm!$F$3="si",MIN(N118+E119+H119+I119+J119-L119,Z119),0)</f>
        <v>0</v>
      </c>
      <c r="N119" s="306">
        <f>IF(N118&lt;0.001,0,+N118-F119-M119-O119+P119)</f>
        <v>920975.17162976845</v>
      </c>
      <c r="O119" s="361"/>
      <c r="P119" s="317">
        <f>IF(Adm!B3=Adm!B11,Cal!E105,0)</f>
        <v>0</v>
      </c>
      <c r="U119" s="92"/>
      <c r="V119" s="571">
        <f t="shared" si="6"/>
        <v>5</v>
      </c>
      <c r="W119" s="293">
        <f>IF(V119=1,Adm!$AN$2,0)</f>
        <v>0</v>
      </c>
      <c r="Y119" s="304">
        <f t="shared" si="11"/>
        <v>0</v>
      </c>
      <c r="Z119" s="345">
        <f t="shared" ca="1" si="7"/>
        <v>0</v>
      </c>
      <c r="AB119" s="640">
        <f t="shared" si="12"/>
        <v>0</v>
      </c>
      <c r="AC119" s="639">
        <f t="shared" si="13"/>
        <v>0</v>
      </c>
      <c r="AD119" s="641">
        <f t="shared" si="8"/>
        <v>0</v>
      </c>
      <c r="AE119" s="639">
        <f t="shared" si="14"/>
        <v>0</v>
      </c>
      <c r="AF119" s="636">
        <f t="shared" si="1"/>
        <v>0</v>
      </c>
      <c r="AG119" s="637" t="e">
        <f>HLOOKUP($AG$110,anticipado,6,0)</f>
        <v>#N/A</v>
      </c>
      <c r="AI119" s="614">
        <v>1.033942809355015E-3</v>
      </c>
      <c r="AJ119" s="615">
        <v>8.8954545532354433E-4</v>
      </c>
      <c r="AK119" s="616">
        <v>7.8274297824969187E-4</v>
      </c>
      <c r="AL119" s="616">
        <v>1.1161065295329389E-3</v>
      </c>
      <c r="AM119" s="617">
        <v>1.033942809355015E-3</v>
      </c>
      <c r="AN119" s="617">
        <v>8.8954545532354433E-4</v>
      </c>
      <c r="AO119" s="617">
        <v>1.2479724017029463E-3</v>
      </c>
      <c r="AP119" s="617">
        <v>1.1385135414810387E-3</v>
      </c>
      <c r="AQ119" s="617">
        <v>1.0563757637425254E-3</v>
      </c>
      <c r="AR119" s="617">
        <v>1.3524007461663582E-3</v>
      </c>
      <c r="AS119" s="617">
        <v>1.2479724017029463E-3</v>
      </c>
      <c r="AT119" s="618">
        <v>1.1400627493020027E-3</v>
      </c>
      <c r="AU119" s="618">
        <v>5.767202601734652E-4</v>
      </c>
      <c r="AV119" s="618">
        <v>5.1145262951340074E-4</v>
      </c>
      <c r="AW119" s="618">
        <v>4.0807083704481043E-4</v>
      </c>
      <c r="AX119" s="618">
        <v>6.7969551395942571E-4</v>
      </c>
      <c r="AY119" s="618">
        <v>5.767202601734652E-4</v>
      </c>
      <c r="AZ119" s="618">
        <v>4.8729509791351405E-4</v>
      </c>
      <c r="BA119" s="618">
        <v>7.5326120036421423E-4</v>
      </c>
      <c r="BB119" s="618">
        <v>6.9172041295006612E-4</v>
      </c>
      <c r="BC119" s="618">
        <v>5.7507952849690448E-4</v>
      </c>
      <c r="BD119" s="618">
        <v>8.4216891756039205E-4</v>
      </c>
      <c r="BE119" s="617">
        <v>7.9086392032875054E-4</v>
      </c>
      <c r="BF119" s="617">
        <v>7.0535963295518883E-4</v>
      </c>
      <c r="BG119" s="617"/>
      <c r="BH119" s="617"/>
      <c r="BI119" s="617"/>
      <c r="BJ119" s="617"/>
      <c r="BK119" s="617"/>
      <c r="BL119" s="617"/>
      <c r="BM119" s="617"/>
      <c r="BN119" s="617"/>
      <c r="BO119" s="617"/>
      <c r="BP119" s="617"/>
      <c r="BQ119" s="617"/>
      <c r="BR119" s="617"/>
      <c r="BS119" s="617"/>
      <c r="BT119" s="617"/>
      <c r="BU119" s="617"/>
      <c r="BV119" s="617"/>
      <c r="BW119" s="617"/>
      <c r="BX119" s="617"/>
      <c r="BY119" s="617"/>
      <c r="BZ119" s="617"/>
      <c r="CA119" s="617"/>
      <c r="CB119" s="617"/>
      <c r="CC119" s="617"/>
      <c r="CD119" s="617"/>
      <c r="CE119" s="617"/>
      <c r="CF119" s="617"/>
      <c r="CG119" s="617"/>
      <c r="CH119" s="617"/>
      <c r="CI119" s="617"/>
      <c r="CJ119" s="617"/>
      <c r="CK119" s="617"/>
      <c r="CL119" s="617"/>
    </row>
    <row r="120" spans="1:90">
      <c r="A120" s="151">
        <f t="shared" ca="1" si="0"/>
        <v>5</v>
      </c>
      <c r="B120" s="113">
        <f t="shared" si="2"/>
        <v>234</v>
      </c>
      <c r="C120" s="150">
        <f t="shared" si="9"/>
        <v>6</v>
      </c>
      <c r="D120" s="565">
        <f t="shared" si="10"/>
        <v>9.5000000000000001E-2</v>
      </c>
      <c r="E120" s="306">
        <f t="shared" si="3"/>
        <v>7291.053442069001</v>
      </c>
      <c r="F120" s="306">
        <f>IF(N119&lt;0.01,0,IF(Adm!$B$3=Adm!$B$11,0,G120-E120))</f>
        <v>2324.2526129088719</v>
      </c>
      <c r="G120" s="307">
        <f>IF(N119&lt;0.1,0,MIN(N119+E120,IF(AB120&gt;0,AB120,IF(Adm!$B$3=Adm!$B$11,E120,G119*(1+W120)))))</f>
        <v>9615.3060549778729</v>
      </c>
      <c r="H120" s="306">
        <f>IF(N119&lt;0.01,0,IF(Adm!$S$3=Adm!$S$13,Cal!$E$94,IF(Adm!$R$3=Adm!$R$6,0,IF(Cal!$E$91&gt;0,0,IF(Cal!$E$91=0,N119*Adm!$Y$3,N119*Adm!$X$3)))))</f>
        <v>0</v>
      </c>
      <c r="I120" s="306">
        <f>IF(N119&lt;0.01,0,IF(Adm!$R$4=Adm!$R$6,0,IF(Adm!$B$3=Adm!$B$11,Cal!$E$89*Adm!$Z$3,Cal!$E$89*Adm!$AA$3)))</f>
        <v>573.58240000000001</v>
      </c>
      <c r="J120" s="306">
        <f>IF(N119&lt;0.01,0,Adm!$O$3*1.16)</f>
        <v>290</v>
      </c>
      <c r="K120" s="306">
        <f>IF(N119&lt;0.01,0,IF(Adm!$N$3&gt;0,E120*Adm!$N$3,0))</f>
        <v>0</v>
      </c>
      <c r="L120" s="306">
        <f t="shared" si="4"/>
        <v>10478.888454977872</v>
      </c>
      <c r="M120" s="306">
        <f>IF(Adm!$F$3="si",MIN(N119+E120+H120+I120+J120-L120,Z120),0)</f>
        <v>0</v>
      </c>
      <c r="N120" s="306">
        <f t="shared" si="5"/>
        <v>918650.91901685961</v>
      </c>
      <c r="O120" s="361"/>
      <c r="P120" s="204"/>
      <c r="U120" s="92"/>
      <c r="V120" s="571">
        <f t="shared" si="6"/>
        <v>6</v>
      </c>
      <c r="W120" s="293">
        <f>IF(V120=1,Adm!$AN$2,0)</f>
        <v>0</v>
      </c>
      <c r="Y120" s="304">
        <f t="shared" si="11"/>
        <v>0</v>
      </c>
      <c r="Z120" s="345">
        <f t="shared" ca="1" si="7"/>
        <v>0</v>
      </c>
      <c r="AB120" s="640">
        <f t="shared" si="12"/>
        <v>0</v>
      </c>
      <c r="AC120" s="639">
        <f t="shared" si="13"/>
        <v>0</v>
      </c>
      <c r="AD120" s="641">
        <f t="shared" si="8"/>
        <v>0</v>
      </c>
      <c r="AE120" s="639">
        <f t="shared" si="14"/>
        <v>0</v>
      </c>
      <c r="AF120" s="636">
        <f t="shared" si="1"/>
        <v>0</v>
      </c>
      <c r="AG120" s="637" t="e">
        <f>HLOOKUP($AG$110,anticipado,7,0)</f>
        <v>#N/A</v>
      </c>
      <c r="AI120" s="614">
        <v>1.0439399402803532E-3</v>
      </c>
      <c r="AJ120" s="615">
        <v>8.9841726332417896E-4</v>
      </c>
      <c r="AK120" s="616">
        <v>7.9072622050020734E-4</v>
      </c>
      <c r="AL120" s="616">
        <v>1.1266555840451901E-3</v>
      </c>
      <c r="AM120" s="617">
        <v>1.0439399402803532E-3</v>
      </c>
      <c r="AN120" s="617">
        <v>8.9841726332417896E-4</v>
      </c>
      <c r="AO120" s="617">
        <v>1.2594239094975261E-3</v>
      </c>
      <c r="AP120" s="617">
        <v>1.1492526683751691E-3</v>
      </c>
      <c r="AQ120" s="617">
        <v>1.0665696874161111E-3</v>
      </c>
      <c r="AR120" s="617">
        <v>1.3645582314262439E-3</v>
      </c>
      <c r="AS120" s="617">
        <v>1.2594239094975261E-3</v>
      </c>
      <c r="AT120" s="618">
        <v>1.1507707172886009E-3</v>
      </c>
      <c r="AU120" s="618">
        <v>5.8228981486806554E-4</v>
      </c>
      <c r="AV120" s="618">
        <v>5.1652872631136396E-4</v>
      </c>
      <c r="AW120" s="618">
        <v>4.1228237933749743E-4</v>
      </c>
      <c r="AX120" s="618">
        <v>6.8602417532175942E-4</v>
      </c>
      <c r="AY120" s="618">
        <v>5.8228981486806554E-4</v>
      </c>
      <c r="AZ120" s="618">
        <v>4.9216016778836128E-4</v>
      </c>
      <c r="BA120" s="618">
        <v>7.6007324766079638E-4</v>
      </c>
      <c r="BB120" s="618">
        <v>6.9814059793058545E-4</v>
      </c>
      <c r="BC120" s="618">
        <v>5.8065626039348057E-4</v>
      </c>
      <c r="BD120" s="618">
        <v>8.4955155407044798E-4</v>
      </c>
      <c r="BE120" s="617">
        <v>7.9791414065411557E-4</v>
      </c>
      <c r="BF120" s="617">
        <v>7.1185730524284997E-4</v>
      </c>
      <c r="BG120" s="617"/>
      <c r="BH120" s="617"/>
      <c r="BI120" s="617"/>
      <c r="BJ120" s="617"/>
      <c r="BK120" s="617"/>
      <c r="BL120" s="617"/>
      <c r="BM120" s="617"/>
      <c r="BN120" s="617"/>
      <c r="BO120" s="617"/>
      <c r="BP120" s="617"/>
      <c r="BQ120" s="617"/>
      <c r="BR120" s="617"/>
      <c r="BS120" s="617"/>
      <c r="BT120" s="617"/>
      <c r="BU120" s="617"/>
      <c r="BV120" s="617"/>
      <c r="BW120" s="617"/>
      <c r="BX120" s="617"/>
      <c r="BY120" s="617"/>
      <c r="BZ120" s="617"/>
      <c r="CA120" s="617"/>
      <c r="CB120" s="617"/>
      <c r="CC120" s="617"/>
      <c r="CD120" s="617"/>
      <c r="CE120" s="617"/>
      <c r="CF120" s="617"/>
      <c r="CG120" s="617"/>
      <c r="CH120" s="617"/>
      <c r="CI120" s="617"/>
      <c r="CJ120" s="617"/>
      <c r="CK120" s="617"/>
      <c r="CL120" s="617"/>
    </row>
    <row r="121" spans="1:90">
      <c r="A121" s="151">
        <f t="shared" ca="1" si="0"/>
        <v>6</v>
      </c>
      <c r="B121" s="113">
        <f t="shared" si="2"/>
        <v>233</v>
      </c>
      <c r="C121" s="150">
        <f t="shared" si="9"/>
        <v>7</v>
      </c>
      <c r="D121" s="565">
        <f t="shared" si="10"/>
        <v>9.5000000000000001E-2</v>
      </c>
      <c r="E121" s="306">
        <f t="shared" si="3"/>
        <v>7272.6531088834718</v>
      </c>
      <c r="F121" s="306">
        <f>IF(N120&lt;0.01,0,IF(Adm!$B$3=Adm!$B$11,0,G121-E121))</f>
        <v>2342.6529460944012</v>
      </c>
      <c r="G121" s="307">
        <f>IF(N120&lt;0.1,0,MIN(N120+E121,IF(AB121&gt;0,AB121,IF(Adm!$B$3=Adm!$B$11,E121,G120*(1+W121)))))</f>
        <v>9615.3060549778729</v>
      </c>
      <c r="H121" s="306">
        <f>IF(N120&lt;0.01,0,IF(Adm!$S$3=Adm!$S$13,Cal!$E$94,IF(Adm!$R$3=Adm!$R$6,0,IF(Cal!$E$91&gt;0,0,IF(Cal!$E$91=0,N120*Adm!$Y$3,N120*Adm!$X$3)))))</f>
        <v>0</v>
      </c>
      <c r="I121" s="306">
        <f>IF(N120&lt;0.01,0,IF(Adm!$R$4=Adm!$R$6,0,IF(Adm!$B$3=Adm!$B$11,Cal!$E$89*Adm!$Z$3,Cal!$E$89*Adm!$AA$3)))</f>
        <v>573.58240000000001</v>
      </c>
      <c r="J121" s="306">
        <f>IF(N120&lt;0.01,0,Adm!$O$3*1.16)</f>
        <v>290</v>
      </c>
      <c r="K121" s="306">
        <f>IF(N120&lt;0.01,0,IF(Adm!$N$3&gt;0,E121*Adm!$N$3,0))</f>
        <v>0</v>
      </c>
      <c r="L121" s="306">
        <f t="shared" si="4"/>
        <v>10478.888454977872</v>
      </c>
      <c r="M121" s="306">
        <f>IF(Adm!$F$3="si",MIN(N120+E121+H121+I121+J121-L121,Z121),0)</f>
        <v>0</v>
      </c>
      <c r="N121" s="306">
        <f>IF(N120&lt;0.001,0,+N120-F121-M121-O121+P121)</f>
        <v>916308.26607076521</v>
      </c>
      <c r="O121" s="361"/>
      <c r="P121" s="317">
        <f>IF(Adm!B3=Adm!B11,Cal!E105,0)</f>
        <v>0</v>
      </c>
      <c r="U121" s="92"/>
      <c r="V121" s="571">
        <f t="shared" si="6"/>
        <v>7</v>
      </c>
      <c r="W121" s="293">
        <f>IF(V121=1,Adm!$AN$2,0)</f>
        <v>0</v>
      </c>
      <c r="Y121" s="304">
        <f t="shared" si="11"/>
        <v>0</v>
      </c>
      <c r="Z121" s="345">
        <f t="shared" ca="1" si="7"/>
        <v>0</v>
      </c>
      <c r="AB121" s="640">
        <f t="shared" si="12"/>
        <v>0</v>
      </c>
      <c r="AC121" s="639">
        <f t="shared" si="13"/>
        <v>0</v>
      </c>
      <c r="AD121" s="641">
        <f t="shared" si="8"/>
        <v>0</v>
      </c>
      <c r="AE121" s="639">
        <f t="shared" si="14"/>
        <v>0</v>
      </c>
      <c r="AF121" s="636">
        <f t="shared" si="1"/>
        <v>0</v>
      </c>
      <c r="AG121" s="637" t="e">
        <f>HLOOKUP($AG$110,anticipado,8,0)</f>
        <v>#N/A</v>
      </c>
      <c r="AI121" s="614">
        <v>1.0540442811892274E-3</v>
      </c>
      <c r="AJ121" s="615">
        <v>9.073856108861595E-4</v>
      </c>
      <c r="AK121" s="616">
        <v>7.9879726630140743E-4</v>
      </c>
      <c r="AL121" s="616">
        <v>1.1373163556052343E-3</v>
      </c>
      <c r="AM121" s="617">
        <v>1.0540442811892274E-3</v>
      </c>
      <c r="AN121" s="617">
        <v>9.073856108861595E-4</v>
      </c>
      <c r="AO121" s="617">
        <v>1.270995070361515E-3</v>
      </c>
      <c r="AP121" s="617">
        <v>1.1601055657285547E-3</v>
      </c>
      <c r="AQ121" s="617">
        <v>1.076872970634108E-3</v>
      </c>
      <c r="AR121" s="617">
        <v>1.3768417687097338E-3</v>
      </c>
      <c r="AS121" s="617">
        <v>1.270995070361515E-3</v>
      </c>
      <c r="AT121" s="618">
        <v>1.1615917116774975E-3</v>
      </c>
      <c r="AU121" s="618">
        <v>5.8791643268874276E-4</v>
      </c>
      <c r="AV121" s="618">
        <v>5.2165785201061183E-4</v>
      </c>
      <c r="AW121" s="618">
        <v>4.1653914232812114E-4</v>
      </c>
      <c r="AX121" s="618">
        <v>6.9241614805085592E-4</v>
      </c>
      <c r="AY121" s="618">
        <v>5.8791643268874276E-4</v>
      </c>
      <c r="AZ121" s="618">
        <v>4.9707622916796937E-4</v>
      </c>
      <c r="BA121" s="618">
        <v>7.6695212752328609E-4</v>
      </c>
      <c r="BB121" s="618">
        <v>7.0462489864421269E-4</v>
      </c>
      <c r="BC121" s="618">
        <v>5.8629034312554474E-4</v>
      </c>
      <c r="BD121" s="618">
        <v>8.5700524067423454E-4</v>
      </c>
      <c r="BE121" s="617">
        <v>8.0503289088975846E-4</v>
      </c>
      <c r="BF121" s="617">
        <v>7.1841950450992839E-4</v>
      </c>
      <c r="BG121" s="617"/>
      <c r="BH121" s="617"/>
      <c r="BI121" s="617"/>
      <c r="BJ121" s="617"/>
      <c r="BK121" s="617"/>
      <c r="BL121" s="617"/>
      <c r="BM121" s="617"/>
      <c r="BN121" s="617"/>
      <c r="BO121" s="617"/>
      <c r="BP121" s="617"/>
      <c r="BQ121" s="617"/>
      <c r="BR121" s="617"/>
      <c r="BS121" s="617"/>
      <c r="BT121" s="617"/>
      <c r="BU121" s="617"/>
      <c r="BV121" s="617"/>
      <c r="BW121" s="617"/>
      <c r="BX121" s="617"/>
      <c r="BY121" s="617"/>
      <c r="BZ121" s="617"/>
      <c r="CA121" s="617"/>
      <c r="CB121" s="617"/>
      <c r="CC121" s="617"/>
      <c r="CD121" s="617"/>
      <c r="CE121" s="617"/>
      <c r="CF121" s="617"/>
      <c r="CG121" s="617"/>
      <c r="CH121" s="617"/>
      <c r="CI121" s="617"/>
      <c r="CJ121" s="617"/>
      <c r="CK121" s="617"/>
      <c r="CL121" s="617"/>
    </row>
    <row r="122" spans="1:90">
      <c r="A122" s="151">
        <f t="shared" ca="1" si="0"/>
        <v>7</v>
      </c>
      <c r="B122" s="113">
        <f t="shared" si="2"/>
        <v>232</v>
      </c>
      <c r="C122" s="150">
        <f t="shared" si="9"/>
        <v>8</v>
      </c>
      <c r="D122" s="565">
        <f t="shared" si="10"/>
        <v>9.5000000000000001E-2</v>
      </c>
      <c r="E122" s="306">
        <f t="shared" si="3"/>
        <v>7254.1071063935588</v>
      </c>
      <c r="F122" s="306">
        <f>IF(N121&lt;0.01,0,IF(Adm!$B$3=Adm!$B$11,0,G122-E122))</f>
        <v>2361.1989485843142</v>
      </c>
      <c r="G122" s="307">
        <f>IF(N121&lt;0.1,0,MIN(N121+E122,IF(AB122&gt;0,AB122,IF(Adm!$B$3=Adm!$B$11,E122,G121*(1+W122)))))</f>
        <v>9615.3060549778729</v>
      </c>
      <c r="H122" s="306">
        <f>IF(N121&lt;0.01,0,IF(Adm!$S$3=Adm!$S$13,Cal!$E$94,IF(Adm!$R$3=Adm!$R$6,0,IF(Cal!$E$91&gt;0,0,IF(Cal!$E$91=0,N121*Adm!$Y$3,N121*Adm!$X$3)))))</f>
        <v>0</v>
      </c>
      <c r="I122" s="306">
        <f>IF(N121&lt;0.01,0,IF(Adm!$R$4=Adm!$R$6,0,IF(Adm!$B$3=Adm!$B$11,Cal!$E$89*Adm!$Z$3,Cal!$E$89*Adm!$AA$3)))</f>
        <v>573.58240000000001</v>
      </c>
      <c r="J122" s="306">
        <f>IF(N121&lt;0.01,0,Adm!$O$3*1.16)</f>
        <v>290</v>
      </c>
      <c r="K122" s="306">
        <f>IF(N121&lt;0.01,0,IF(Adm!$N$3&gt;0,E122*Adm!$N$3,0))</f>
        <v>0</v>
      </c>
      <c r="L122" s="306">
        <f t="shared" si="4"/>
        <v>10478.888454977872</v>
      </c>
      <c r="M122" s="306">
        <f>IF(Adm!$F$3="si",MIN(N121+E122+H122+I122+J122-L122,Z122),0)</f>
        <v>0</v>
      </c>
      <c r="N122" s="306">
        <f t="shared" si="5"/>
        <v>913947.06712218095</v>
      </c>
      <c r="O122" s="361"/>
      <c r="P122" s="204"/>
      <c r="U122" s="92"/>
      <c r="V122" s="571">
        <f t="shared" si="6"/>
        <v>8</v>
      </c>
      <c r="W122" s="293">
        <f>IF(V122=1,Adm!$AN$2,0)</f>
        <v>0</v>
      </c>
      <c r="Y122" s="304">
        <f t="shared" si="11"/>
        <v>0</v>
      </c>
      <c r="Z122" s="345">
        <f t="shared" ca="1" si="7"/>
        <v>0</v>
      </c>
      <c r="AB122" s="640">
        <f t="shared" si="12"/>
        <v>0</v>
      </c>
      <c r="AC122" s="639">
        <f t="shared" si="13"/>
        <v>0</v>
      </c>
      <c r="AD122" s="641">
        <f t="shared" si="8"/>
        <v>0</v>
      </c>
      <c r="AE122" s="639">
        <f t="shared" si="14"/>
        <v>0</v>
      </c>
      <c r="AF122" s="636">
        <f t="shared" si="1"/>
        <v>0</v>
      </c>
      <c r="AG122" s="637" t="e">
        <f>HLOOKUP($AG$110,anticipado,9,0)</f>
        <v>#N/A</v>
      </c>
      <c r="AI122" s="614">
        <v>1.064257187316491E-3</v>
      </c>
      <c r="AJ122" s="615">
        <v>9.1645171040003989E-4</v>
      </c>
      <c r="AK122" s="616">
        <v>8.0695721246386504E-4</v>
      </c>
      <c r="AL122" s="616">
        <v>1.1480902560916117E-3</v>
      </c>
      <c r="AM122" s="617">
        <v>1.064257187316491E-3</v>
      </c>
      <c r="AN122" s="617">
        <v>9.1645171040003989E-4</v>
      </c>
      <c r="AO122" s="617">
        <v>1.2826874040358879E-3</v>
      </c>
      <c r="AP122" s="617">
        <v>1.171073675920652E-3</v>
      </c>
      <c r="AQ122" s="617">
        <v>1.0872870002806426E-3</v>
      </c>
      <c r="AR122" s="617">
        <v>1.3892529687107703E-3</v>
      </c>
      <c r="AS122" s="617">
        <v>1.2826874040358879E-3</v>
      </c>
      <c r="AT122" s="618">
        <v>1.1725271612000742E-3</v>
      </c>
      <c r="AU122" s="618">
        <v>5.936007619578048E-4</v>
      </c>
      <c r="AV122" s="618">
        <v>5.2684061351107494E-4</v>
      </c>
      <c r="AW122" s="618">
        <v>4.2084164801581059E-4</v>
      </c>
      <c r="AX122" s="618">
        <v>6.9887214768827818E-4</v>
      </c>
      <c r="AY122" s="618">
        <v>5.936007619578048E-4</v>
      </c>
      <c r="AZ122" s="618">
        <v>5.0204386511450215E-4</v>
      </c>
      <c r="BA122" s="618">
        <v>7.7389859081698612E-4</v>
      </c>
      <c r="BB122" s="618">
        <v>7.1117403996006723E-4</v>
      </c>
      <c r="BC122" s="618">
        <v>5.9198243033591286E-4</v>
      </c>
      <c r="BD122" s="618">
        <v>8.6453077289933673E-4</v>
      </c>
      <c r="BE122" s="617">
        <v>8.1222093909145163E-4</v>
      </c>
      <c r="BF122" s="617">
        <v>7.250469581747015E-4</v>
      </c>
      <c r="BG122" s="617"/>
      <c r="BH122" s="617"/>
      <c r="BI122" s="617"/>
      <c r="BJ122" s="617"/>
      <c r="BK122" s="617"/>
      <c r="BL122" s="617"/>
      <c r="BM122" s="617"/>
      <c r="BN122" s="617"/>
      <c r="BO122" s="617"/>
      <c r="BP122" s="617"/>
      <c r="BQ122" s="617"/>
      <c r="BR122" s="617"/>
      <c r="BS122" s="617"/>
      <c r="BT122" s="617"/>
      <c r="BU122" s="617"/>
      <c r="BV122" s="617"/>
      <c r="BW122" s="617"/>
      <c r="BX122" s="617"/>
      <c r="BY122" s="617"/>
      <c r="BZ122" s="617"/>
      <c r="CA122" s="617"/>
      <c r="CB122" s="617"/>
      <c r="CC122" s="617"/>
      <c r="CD122" s="617"/>
      <c r="CE122" s="617"/>
      <c r="CF122" s="617"/>
      <c r="CG122" s="617"/>
      <c r="CH122" s="617"/>
      <c r="CI122" s="617"/>
      <c r="CJ122" s="617"/>
      <c r="CK122" s="617"/>
      <c r="CL122" s="617"/>
    </row>
    <row r="123" spans="1:90">
      <c r="A123" s="151">
        <f t="shared" ca="1" si="0"/>
        <v>8</v>
      </c>
      <c r="B123" s="113">
        <f t="shared" si="2"/>
        <v>231</v>
      </c>
      <c r="C123" s="150">
        <f t="shared" si="9"/>
        <v>9</v>
      </c>
      <c r="D123" s="565">
        <f t="shared" si="10"/>
        <v>9.5000000000000001E-2</v>
      </c>
      <c r="E123" s="306">
        <f t="shared" si="3"/>
        <v>7235.4142813839326</v>
      </c>
      <c r="F123" s="306">
        <f>IF(N122&lt;0.01,0,IF(Adm!$B$3=Adm!$B$11,0,G123-E123))</f>
        <v>2379.8917735939403</v>
      </c>
      <c r="G123" s="307">
        <f>IF(N122&lt;0.1,0,MIN(N122+E123,IF(AB123&gt;0,AB123,IF(Adm!$B$3=Adm!$B$11,E123,G122*(1+W123)))))</f>
        <v>9615.3060549778729</v>
      </c>
      <c r="H123" s="306">
        <f>IF(N122&lt;0.01,0,IF(Adm!$S$3=Adm!$S$13,Cal!$E$94,IF(Adm!$R$3=Adm!$R$6,0,IF(Cal!$E$91&gt;0,0,IF(Cal!$E$91=0,N122*Adm!$Y$3,N122*Adm!$X$3)))))</f>
        <v>0</v>
      </c>
      <c r="I123" s="306">
        <f>IF(N122&lt;0.01,0,IF(Adm!$R$4=Adm!$R$6,0,IF(Adm!$B$3=Adm!$B$11,Cal!$E$89*Adm!$Z$3,Cal!$E$89*Adm!$AA$3)))</f>
        <v>573.58240000000001</v>
      </c>
      <c r="J123" s="306">
        <f>IF(N122&lt;0.01,0,Adm!$O$3*1.16)</f>
        <v>290</v>
      </c>
      <c r="K123" s="306">
        <f>IF(N122&lt;0.01,0,IF(Adm!$N$3&gt;0,E123*Adm!$N$3,0))</f>
        <v>0</v>
      </c>
      <c r="L123" s="306">
        <f t="shared" si="4"/>
        <v>10478.888454977872</v>
      </c>
      <c r="M123" s="306">
        <f>IF(Adm!$F$3="si",MIN(N122+E123+H123+I123+J123-L123,Z123),0)</f>
        <v>0</v>
      </c>
      <c r="N123" s="306">
        <f>IF(N122&lt;0.001,0,+N122-F123-M123-O123+P123)</f>
        <v>911567.17534858698</v>
      </c>
      <c r="O123" s="361"/>
      <c r="P123" s="317">
        <f>IF(Adm!B3=Adm!B11,Cal!E106,0)</f>
        <v>0</v>
      </c>
      <c r="U123" s="92"/>
      <c r="V123" s="571">
        <f t="shared" si="6"/>
        <v>9</v>
      </c>
      <c r="W123" s="293">
        <f>IF(V123=1,Adm!$AN$2,0)</f>
        <v>0</v>
      </c>
      <c r="Y123" s="304">
        <f t="shared" si="11"/>
        <v>0</v>
      </c>
      <c r="Z123" s="345">
        <f t="shared" ca="1" si="7"/>
        <v>0</v>
      </c>
      <c r="AB123" s="640">
        <f t="shared" si="12"/>
        <v>0</v>
      </c>
      <c r="AC123" s="639">
        <f t="shared" si="13"/>
        <v>0</v>
      </c>
      <c r="AD123" s="641">
        <f t="shared" si="8"/>
        <v>0</v>
      </c>
      <c r="AE123" s="639">
        <f t="shared" si="14"/>
        <v>0</v>
      </c>
      <c r="AF123" s="636">
        <f t="shared" si="1"/>
        <v>0</v>
      </c>
      <c r="AG123" s="637" t="e">
        <f>HLOOKUP($AG$110,anticipado,10,0)</f>
        <v>#N/A</v>
      </c>
      <c r="AI123" s="614">
        <v>1.0745800350827805E-3</v>
      </c>
      <c r="AJ123" s="615">
        <v>9.2561679276482523E-4</v>
      </c>
      <c r="AK123" s="616">
        <v>8.1520717221173118E-4</v>
      </c>
      <c r="AL123" s="616">
        <v>1.1589787196486202E-3</v>
      </c>
      <c r="AM123" s="617">
        <v>1.0745800350827805E-3</v>
      </c>
      <c r="AN123" s="617">
        <v>9.2561679276482523E-4</v>
      </c>
      <c r="AO123" s="617">
        <v>1.2945024546442382E-3</v>
      </c>
      <c r="AP123" s="617">
        <v>1.1821584641943811E-3</v>
      </c>
      <c r="AQ123" s="617">
        <v>1.0978131850378796E-3</v>
      </c>
      <c r="AR123" s="617">
        <v>1.4017934683345928E-3</v>
      </c>
      <c r="AS123" s="617">
        <v>1.2945024546442382E-3</v>
      </c>
      <c r="AT123" s="618">
        <v>1.1835785171791036E-3</v>
      </c>
      <c r="AU123" s="618">
        <v>5.9934345960687015E-4</v>
      </c>
      <c r="AV123" s="618">
        <v>5.3207762571929435E-4</v>
      </c>
      <c r="AW123" s="618">
        <v>4.2519042518415485E-4</v>
      </c>
      <c r="AX123" s="618">
        <v>7.0539289941266479E-4</v>
      </c>
      <c r="AY123" s="618">
        <v>5.9934345960687015E-4</v>
      </c>
      <c r="AZ123" s="618">
        <v>5.070636663371225E-4</v>
      </c>
      <c r="BA123" s="618">
        <v>7.8091339858963878E-4</v>
      </c>
      <c r="BB123" s="618">
        <v>7.1778875653287987E-4</v>
      </c>
      <c r="BC123" s="618">
        <v>5.9773318436898311E-4</v>
      </c>
      <c r="BD123" s="618">
        <v>8.7212895717286929E-4</v>
      </c>
      <c r="BE123" s="617">
        <v>8.1947906376848346E-4</v>
      </c>
      <c r="BF123" s="617">
        <v>7.3174040347289727E-4</v>
      </c>
      <c r="BG123" s="617"/>
      <c r="BH123" s="617"/>
      <c r="BI123" s="617"/>
      <c r="BJ123" s="617"/>
      <c r="BK123" s="617"/>
      <c r="BL123" s="617"/>
      <c r="BM123" s="617"/>
      <c r="BN123" s="617"/>
      <c r="BO123" s="617"/>
      <c r="BP123" s="617"/>
      <c r="BQ123" s="617"/>
      <c r="BR123" s="617"/>
      <c r="BS123" s="617"/>
      <c r="BT123" s="617"/>
      <c r="BU123" s="617"/>
      <c r="BV123" s="617"/>
      <c r="BW123" s="617"/>
      <c r="BX123" s="617"/>
      <c r="BY123" s="617"/>
      <c r="BZ123" s="617"/>
      <c r="CA123" s="617"/>
      <c r="CB123" s="617"/>
      <c r="CC123" s="617"/>
      <c r="CD123" s="617"/>
      <c r="CE123" s="617"/>
      <c r="CF123" s="617"/>
      <c r="CG123" s="617"/>
      <c r="CH123" s="617"/>
      <c r="CI123" s="617"/>
      <c r="CJ123" s="617"/>
      <c r="CK123" s="617"/>
      <c r="CL123" s="617"/>
    </row>
    <row r="124" spans="1:90">
      <c r="A124" s="151">
        <f t="shared" ca="1" si="0"/>
        <v>9</v>
      </c>
      <c r="B124" s="113">
        <f t="shared" si="2"/>
        <v>230</v>
      </c>
      <c r="C124" s="150">
        <f t="shared" si="9"/>
        <v>10</v>
      </c>
      <c r="D124" s="565">
        <f t="shared" si="10"/>
        <v>9.5000000000000001E-2</v>
      </c>
      <c r="E124" s="306">
        <f t="shared" si="3"/>
        <v>7216.5734715096469</v>
      </c>
      <c r="F124" s="306">
        <f>IF(N123&lt;0.01,0,IF(Adm!$B$3=Adm!$B$11,0,G124-E124))</f>
        <v>2398.732583468226</v>
      </c>
      <c r="G124" s="307">
        <f>IF(N123&lt;0.1,0,MIN(N123+E124,IF(AB124&gt;0,AB124,IF(Adm!$B$3=Adm!$B$11,E124,G123*(1+W124)))))</f>
        <v>9615.3060549778729</v>
      </c>
      <c r="H124" s="306">
        <f>IF(N123&lt;0.01,0,IF(Adm!$S$3=Adm!$S$13,Cal!$E$94,IF(Adm!$R$3=Adm!$R$6,0,IF(Cal!$E$91&gt;0,0,IF(Cal!$E$91=0,N123*Adm!$Y$3,N123*Adm!$X$3)))))</f>
        <v>0</v>
      </c>
      <c r="I124" s="306">
        <f>IF(N123&lt;0.01,0,IF(Adm!$R$4=Adm!$R$6,0,IF(Adm!$B$3=Adm!$B$11,Cal!$E$89*Adm!$Z$3,Cal!$E$89*Adm!$AA$3)))</f>
        <v>573.58240000000001</v>
      </c>
      <c r="J124" s="306">
        <f>IF(N123&lt;0.01,0,Adm!$O$3*1.16)</f>
        <v>290</v>
      </c>
      <c r="K124" s="306">
        <f>IF(N123&lt;0.01,0,IF(Adm!$N$3&gt;0,E124*Adm!$N$3,0))</f>
        <v>0</v>
      </c>
      <c r="L124" s="306">
        <f t="shared" si="4"/>
        <v>10478.888454977872</v>
      </c>
      <c r="M124" s="306">
        <f>IF(Adm!$F$3="si",MIN(N123+E124+H124+I124+J124-L124,Z124),0)</f>
        <v>0</v>
      </c>
      <c r="N124" s="306">
        <f t="shared" si="5"/>
        <v>909168.44276511879</v>
      </c>
      <c r="O124" s="361"/>
      <c r="P124" s="204"/>
      <c r="U124" s="92"/>
      <c r="V124" s="571">
        <f t="shared" si="6"/>
        <v>10</v>
      </c>
      <c r="W124" s="293">
        <f>IF(V124=1,Adm!$AN$2,0)</f>
        <v>0</v>
      </c>
      <c r="Y124" s="304">
        <f t="shared" si="11"/>
        <v>0</v>
      </c>
      <c r="Z124" s="345">
        <f t="shared" ca="1" si="7"/>
        <v>0</v>
      </c>
      <c r="AB124" s="640">
        <f t="shared" si="12"/>
        <v>0</v>
      </c>
      <c r="AC124" s="639">
        <f t="shared" si="13"/>
        <v>0</v>
      </c>
      <c r="AD124" s="641">
        <f t="shared" si="8"/>
        <v>0</v>
      </c>
      <c r="AE124" s="639">
        <f t="shared" si="14"/>
        <v>0</v>
      </c>
      <c r="AF124" s="636">
        <f t="shared" si="1"/>
        <v>0</v>
      </c>
      <c r="AG124" s="637" t="e">
        <f>HLOOKUP($AG$110,anticipado,11,0)</f>
        <v>#N/A</v>
      </c>
      <c r="AI124" s="614">
        <v>1.0850142225066555E-3</v>
      </c>
      <c r="AJ124" s="615">
        <v>9.3488210773734438E-4</v>
      </c>
      <c r="AK124" s="616">
        <v>8.235482754844611E-4</v>
      </c>
      <c r="AL124" s="616">
        <v>1.1699832031244616E-3</v>
      </c>
      <c r="AM124" s="617">
        <v>1.0850142225066555E-3</v>
      </c>
      <c r="AN124" s="617">
        <v>9.3488210773734438E-4</v>
      </c>
      <c r="AO124" s="617">
        <v>1.3064417911823726E-3</v>
      </c>
      <c r="AP124" s="617">
        <v>1.1933614191085668E-3</v>
      </c>
      <c r="AQ124" s="617">
        <v>1.1084529558126727E-3</v>
      </c>
      <c r="AR124" s="617">
        <v>1.4144649312324343E-3</v>
      </c>
      <c r="AS124" s="617">
        <v>1.3064417911823726E-3</v>
      </c>
      <c r="AT124" s="618">
        <v>1.1947472539747845E-3</v>
      </c>
      <c r="AU124" s="618">
        <v>6.0514519131532813E-4</v>
      </c>
      <c r="AV124" s="618">
        <v>5.3736951167517543E-4</v>
      </c>
      <c r="AW124" s="618">
        <v>4.2958600950505601E-4</v>
      </c>
      <c r="AX124" s="618">
        <v>7.1197913819871501E-4</v>
      </c>
      <c r="AY124" s="618">
        <v>6.0514519131532813E-4</v>
      </c>
      <c r="AZ124" s="618">
        <v>5.1213623131188561E-4</v>
      </c>
      <c r="BA124" s="618">
        <v>7.8799732224161363E-4</v>
      </c>
      <c r="BB124" s="618">
        <v>7.2446979296495752E-4</v>
      </c>
      <c r="BC124" s="618">
        <v>6.0354327641099425E-4</v>
      </c>
      <c r="BD124" s="618">
        <v>8.7980061100655224E-4</v>
      </c>
      <c r="BE124" s="617">
        <v>8.2680805405946074E-4</v>
      </c>
      <c r="BF124" s="617">
        <v>7.3850058762036676E-4</v>
      </c>
      <c r="BG124" s="617"/>
      <c r="BH124" s="617"/>
      <c r="BI124" s="617"/>
      <c r="BJ124" s="617"/>
      <c r="BK124" s="617"/>
      <c r="BL124" s="617"/>
      <c r="BM124" s="617"/>
      <c r="BN124" s="617"/>
      <c r="BO124" s="617"/>
      <c r="BP124" s="617"/>
      <c r="BQ124" s="617"/>
      <c r="BR124" s="617"/>
      <c r="BS124" s="617"/>
      <c r="BT124" s="617"/>
      <c r="BU124" s="617"/>
      <c r="BV124" s="617"/>
      <c r="BW124" s="617"/>
      <c r="BX124" s="617"/>
      <c r="BY124" s="617"/>
      <c r="BZ124" s="617"/>
      <c r="CA124" s="617"/>
      <c r="CB124" s="617"/>
      <c r="CC124" s="617"/>
      <c r="CD124" s="617"/>
      <c r="CE124" s="617"/>
      <c r="CF124" s="617"/>
      <c r="CG124" s="617"/>
      <c r="CH124" s="617"/>
      <c r="CI124" s="617"/>
      <c r="CJ124" s="617"/>
      <c r="CK124" s="617"/>
      <c r="CL124" s="617"/>
    </row>
    <row r="125" spans="1:90">
      <c r="A125" s="151">
        <f t="shared" ca="1" si="0"/>
        <v>10</v>
      </c>
      <c r="B125" s="113">
        <f t="shared" si="2"/>
        <v>229</v>
      </c>
      <c r="C125" s="150">
        <f t="shared" si="9"/>
        <v>11</v>
      </c>
      <c r="D125" s="565">
        <f t="shared" si="10"/>
        <v>9.5000000000000001E-2</v>
      </c>
      <c r="E125" s="306">
        <f t="shared" si="3"/>
        <v>7197.5835052238572</v>
      </c>
      <c r="F125" s="306">
        <f>IF(N124&lt;0.01,0,IF(Adm!$B$3=Adm!$B$11,0,G125-E125))</f>
        <v>2417.7225497540157</v>
      </c>
      <c r="G125" s="307">
        <f>IF(N124&lt;0.1,0,MIN(N124+E125,IF(AB125&gt;0,AB125,IF(Adm!$B$3=Adm!$B$11,E125,G124*(1+W125)))))</f>
        <v>9615.3060549778729</v>
      </c>
      <c r="H125" s="306">
        <f>IF(N124&lt;0.01,0,IF(Adm!$S$3=Adm!$S$13,Cal!$E$94,IF(Adm!$R$3=Adm!$R$6,0,IF(Cal!$E$91&gt;0,0,IF(Cal!$E$91=0,N124*Adm!$Y$3,N124*Adm!$X$3)))))</f>
        <v>0</v>
      </c>
      <c r="I125" s="306">
        <f>IF(N124&lt;0.01,0,IF(Adm!$R$4=Adm!$R$6,0,IF(Adm!$B$3=Adm!$B$11,Cal!$E$89*Adm!$Z$3,Cal!$E$89*Adm!$AA$3)))</f>
        <v>573.58240000000001</v>
      </c>
      <c r="J125" s="306">
        <f>IF(N124&lt;0.01,0,Adm!$O$3*1.16)</f>
        <v>290</v>
      </c>
      <c r="K125" s="306">
        <f>IF(N124&lt;0.01,0,IF(Adm!$N$3&gt;0,E125*Adm!$N$3,0))</f>
        <v>0</v>
      </c>
      <c r="L125" s="306">
        <f t="shared" si="4"/>
        <v>10478.888454977872</v>
      </c>
      <c r="M125" s="306">
        <f>IF(Adm!$F$3="si",MIN(N124+E125+H125+I125+J125-L125,Z125),0)</f>
        <v>0</v>
      </c>
      <c r="N125" s="306">
        <f t="shared" si="5"/>
        <v>906750.72021536482</v>
      </c>
      <c r="O125" s="361"/>
      <c r="P125" s="114"/>
      <c r="V125" s="571">
        <f t="shared" si="6"/>
        <v>11</v>
      </c>
      <c r="W125" s="293">
        <f>IF(V125=1,Adm!$AN$2,0)</f>
        <v>0</v>
      </c>
      <c r="Y125" s="304">
        <f t="shared" si="11"/>
        <v>0</v>
      </c>
      <c r="Z125" s="345">
        <f t="shared" ca="1" si="7"/>
        <v>0</v>
      </c>
      <c r="AB125" s="640">
        <f t="shared" si="12"/>
        <v>0</v>
      </c>
      <c r="AC125" s="639">
        <f t="shared" si="13"/>
        <v>0</v>
      </c>
      <c r="AD125" s="641">
        <f t="shared" si="8"/>
        <v>0</v>
      </c>
      <c r="AE125" s="639">
        <f t="shared" si="14"/>
        <v>0</v>
      </c>
      <c r="AF125" s="636">
        <f t="shared" si="1"/>
        <v>0</v>
      </c>
      <c r="AG125" s="637" t="e">
        <f>HLOOKUP($AG$110,anticipado,12,0)</f>
        <v>#N/A</v>
      </c>
      <c r="AI125" s="614">
        <v>1.0955611696264454E-3</v>
      </c>
      <c r="AJ125" s="615">
        <v>9.4424892428962895E-4</v>
      </c>
      <c r="AK125" s="616">
        <v>8.3198166924525131E-4</v>
      </c>
      <c r="AL125" s="616">
        <v>1.1811051865198256E-3</v>
      </c>
      <c r="AM125" s="617">
        <v>1.0955611696264454E-3</v>
      </c>
      <c r="AN125" s="617">
        <v>9.4424892428962895E-4</v>
      </c>
      <c r="AO125" s="617">
        <v>1.3185070080198105E-3</v>
      </c>
      <c r="AP125" s="617">
        <v>1.2046840530012487E-3</v>
      </c>
      <c r="AQ125" s="617">
        <v>1.1192077661733143E-3</v>
      </c>
      <c r="AR125" s="617">
        <v>1.4272690483494073E-3</v>
      </c>
      <c r="AS125" s="617">
        <v>1.3185070080198105E-3</v>
      </c>
      <c r="AT125" s="618">
        <v>1.2060348694414233E-3</v>
      </c>
      <c r="AU125" s="618">
        <v>6.1100663165152089E-4</v>
      </c>
      <c r="AV125" s="618">
        <v>5.4271690268115741E-4</v>
      </c>
      <c r="AW125" s="618">
        <v>4.3402894364447711E-4</v>
      </c>
      <c r="AX125" s="618">
        <v>7.1863160897932298E-4</v>
      </c>
      <c r="AY125" s="618">
        <v>6.1100663165152089E-4</v>
      </c>
      <c r="AZ125" s="618">
        <v>5.1726216640392395E-4</v>
      </c>
      <c r="BA125" s="618">
        <v>7.9515114369952766E-4</v>
      </c>
      <c r="BB125" s="618">
        <v>7.3121790397140949E-4</v>
      </c>
      <c r="BC125" s="618">
        <v>6.0941338663299716E-4</v>
      </c>
      <c r="BD125" s="618">
        <v>8.8754656318560895E-4</v>
      </c>
      <c r="BE125" s="617">
        <v>8.3420870991169846E-4</v>
      </c>
      <c r="BF125" s="617">
        <v>7.4532826797901199E-4</v>
      </c>
      <c r="BG125" s="617"/>
      <c r="BH125" s="617"/>
      <c r="BI125" s="617"/>
      <c r="BJ125" s="617"/>
      <c r="BK125" s="617"/>
      <c r="BL125" s="617"/>
      <c r="BM125" s="617"/>
      <c r="BN125" s="617"/>
      <c r="BO125" s="617"/>
      <c r="BP125" s="617"/>
      <c r="BQ125" s="617"/>
      <c r="BR125" s="617"/>
      <c r="BS125" s="617"/>
      <c r="BT125" s="617"/>
      <c r="BU125" s="617"/>
      <c r="BV125" s="617"/>
      <c r="BW125" s="617"/>
      <c r="BX125" s="617"/>
      <c r="BY125" s="617"/>
      <c r="BZ125" s="617"/>
      <c r="CA125" s="617"/>
      <c r="CB125" s="617"/>
      <c r="CC125" s="617"/>
      <c r="CD125" s="617"/>
      <c r="CE125" s="617"/>
      <c r="CF125" s="617"/>
      <c r="CG125" s="617"/>
      <c r="CH125" s="617"/>
      <c r="CI125" s="617"/>
      <c r="CJ125" s="617"/>
      <c r="CK125" s="617"/>
      <c r="CL125" s="617"/>
    </row>
    <row r="126" spans="1:90">
      <c r="A126" s="151">
        <f t="shared" ca="1" si="0"/>
        <v>11</v>
      </c>
      <c r="B126" s="113">
        <f t="shared" si="2"/>
        <v>228</v>
      </c>
      <c r="C126" s="150">
        <f t="shared" si="9"/>
        <v>12</v>
      </c>
      <c r="D126" s="565">
        <f t="shared" si="10"/>
        <v>9.5000000000000001E-2</v>
      </c>
      <c r="E126" s="306">
        <f t="shared" si="3"/>
        <v>7178.4432017049721</v>
      </c>
      <c r="F126" s="306">
        <f>IF(N125&lt;0.01,0,IF(Adm!$B$3=Adm!$B$11,0,G126-E126))</f>
        <v>2436.8628532729008</v>
      </c>
      <c r="G126" s="307">
        <f>IF(N125&lt;0.1,0,MIN(N125+E126,IF(AB126&gt;0,AB126,IF(Adm!$B$3=Adm!$B$11,E126,G125*(1+W126)))))</f>
        <v>9615.3060549778729</v>
      </c>
      <c r="H126" s="306">
        <f>IF(N125&lt;0.01,0,IF(Adm!$S$3=Adm!$S$13,Cal!$E$94,IF(Adm!$R$3=Adm!$R$6,0,IF(Cal!$E$91&gt;0,0,IF(Cal!$E$91=0,N125*Adm!$Y$3,N125*Adm!$X$3)))))</f>
        <v>0</v>
      </c>
      <c r="I126" s="306">
        <f>IF(N125&lt;0.01,0,IF(Adm!$R$4=Adm!$R$6,0,IF(Adm!$B$3=Adm!$B$11,Cal!$E$89*Adm!$Z$3,Cal!$E$89*Adm!$AA$3)))</f>
        <v>573.58240000000001</v>
      </c>
      <c r="J126" s="306">
        <f>IF(N125&lt;0.01,0,Adm!$O$3*1.16)</f>
        <v>290</v>
      </c>
      <c r="K126" s="306">
        <f>IF(N125&lt;0.01,0,IF(Adm!$N$3&gt;0,E126*Adm!$N$3,0))</f>
        <v>0</v>
      </c>
      <c r="L126" s="306">
        <f t="shared" si="4"/>
        <v>10478.888454977872</v>
      </c>
      <c r="M126" s="306">
        <f>IF(Adm!$F$3="si",MIN(N125+E126+H126+I126+J126-L126,Z126),0)</f>
        <v>0</v>
      </c>
      <c r="N126" s="306">
        <f t="shared" si="5"/>
        <v>904313.85736209189</v>
      </c>
      <c r="O126" s="361"/>
      <c r="P126" s="114"/>
      <c r="U126" s="562" t="s">
        <v>276</v>
      </c>
      <c r="V126" s="571">
        <f t="shared" si="6"/>
        <v>12</v>
      </c>
      <c r="W126" s="293">
        <f>IF(V126=1,Adm!$AN$2,0)</f>
        <v>0</v>
      </c>
      <c r="Y126" s="304">
        <f t="shared" si="11"/>
        <v>0</v>
      </c>
      <c r="Z126" s="345">
        <f t="shared" ca="1" si="7"/>
        <v>0</v>
      </c>
      <c r="AB126" s="640">
        <f t="shared" si="12"/>
        <v>0</v>
      </c>
      <c r="AC126" s="639">
        <f t="shared" si="13"/>
        <v>0</v>
      </c>
      <c r="AD126" s="641">
        <f t="shared" si="8"/>
        <v>0</v>
      </c>
      <c r="AE126" s="639">
        <f t="shared" si="14"/>
        <v>0</v>
      </c>
      <c r="AF126" s="636">
        <f t="shared" si="1"/>
        <v>0</v>
      </c>
      <c r="AG126" s="637" t="e">
        <f>HLOOKUP($AG$110,anticipado,13,0)</f>
        <v>#N/A</v>
      </c>
      <c r="AI126" s="614">
        <v>1.1062223189320691E-3</v>
      </c>
      <c r="AJ126" s="615">
        <v>9.5371853097450416E-4</v>
      </c>
      <c r="AK126" s="616">
        <v>8.4050851779638445E-4</v>
      </c>
      <c r="AL126" s="616">
        <v>1.1923461734471878E-3</v>
      </c>
      <c r="AM126" s="617">
        <v>1.1062223189320691E-3</v>
      </c>
      <c r="AN126" s="617">
        <v>9.5371853097450416E-4</v>
      </c>
      <c r="AO126" s="617">
        <v>1.3306997254134965E-3</v>
      </c>
      <c r="AP126" s="617">
        <v>1.2161279024641175E-3</v>
      </c>
      <c r="AQ126" s="617">
        <v>1.1300790927966835E-3</v>
      </c>
      <c r="AR126" s="617">
        <v>1.4402075384859511E-3</v>
      </c>
      <c r="AS126" s="617">
        <v>1.3306997254134965E-3</v>
      </c>
      <c r="AT126" s="618">
        <v>1.2174428853950765E-3</v>
      </c>
      <c r="AU126" s="618">
        <v>6.1692846421664959E-4</v>
      </c>
      <c r="AV126" s="618">
        <v>5.4812043843385945E-4</v>
      </c>
      <c r="AW126" s="618">
        <v>4.3851977737016179E-4</v>
      </c>
      <c r="AX126" s="618">
        <v>7.2535106681098746E-4</v>
      </c>
      <c r="AY126" s="618">
        <v>6.1692846421664959E-4</v>
      </c>
      <c r="AZ126" s="618">
        <v>5.2244208599192845E-4</v>
      </c>
      <c r="BA126" s="618">
        <v>8.0237565559339243E-4</v>
      </c>
      <c r="BB126" s="618">
        <v>7.3803385454867968E-4</v>
      </c>
      <c r="BC126" s="618">
        <v>6.1534420433664394E-4</v>
      </c>
      <c r="BD126" s="618">
        <v>8.953676539615558E-4</v>
      </c>
      <c r="BE126" s="617">
        <v>8.4168184226427237E-4</v>
      </c>
      <c r="BF126" s="617">
        <v>7.5222421222606453E-4</v>
      </c>
      <c r="BG126" s="617"/>
      <c r="BH126" s="617"/>
      <c r="BI126" s="617"/>
      <c r="BJ126" s="617"/>
      <c r="BK126" s="617"/>
      <c r="BL126" s="617"/>
      <c r="BM126" s="617"/>
      <c r="BN126" s="617"/>
      <c r="BO126" s="617"/>
      <c r="BP126" s="617"/>
      <c r="BQ126" s="617"/>
      <c r="BR126" s="617"/>
      <c r="BS126" s="617"/>
      <c r="BT126" s="617"/>
      <c r="BU126" s="617"/>
      <c r="BV126" s="617"/>
      <c r="BW126" s="617"/>
      <c r="BX126" s="617"/>
      <c r="BY126" s="617"/>
      <c r="BZ126" s="617"/>
      <c r="CA126" s="617"/>
      <c r="CB126" s="617"/>
      <c r="CC126" s="617"/>
      <c r="CD126" s="617"/>
      <c r="CE126" s="617"/>
      <c r="CF126" s="617"/>
      <c r="CG126" s="617"/>
      <c r="CH126" s="617"/>
      <c r="CI126" s="617"/>
      <c r="CJ126" s="617"/>
      <c r="CK126" s="617"/>
      <c r="CL126" s="617"/>
    </row>
    <row r="127" spans="1:90">
      <c r="A127" s="151">
        <f t="shared" ca="1" si="0"/>
        <v>12</v>
      </c>
      <c r="B127" s="113">
        <f t="shared" si="2"/>
        <v>227</v>
      </c>
      <c r="C127" s="150">
        <f t="shared" si="9"/>
        <v>13</v>
      </c>
      <c r="D127" s="565">
        <f t="shared" si="10"/>
        <v>9.5000000000000001E-2</v>
      </c>
      <c r="E127" s="306">
        <f t="shared" si="3"/>
        <v>7159.1513707832273</v>
      </c>
      <c r="F127" s="306">
        <f>IF(N126&lt;0.01,0,G127-E127)</f>
        <v>2456.1546841946456</v>
      </c>
      <c r="G127" s="307">
        <f>IF(N126&lt;0.1,0,MIN(N126+E127,IF(AB127&gt;0,AB127,IF(Adm!$B$3=Adm!$B$11,U127,G126*(1+W127)))))</f>
        <v>9615.3060549778729</v>
      </c>
      <c r="H127" s="306">
        <f>IF(N126&lt;0.01,0,IF(Adm!$S$3=Adm!$S$13,Cal!$E$94,IF(Adm!$R$3=Adm!$R$6,0,IF(Cal!$E$91&gt;0,0,IF(Cal!$E$91=0,N126*Adm!$Y$3,N126*Adm!$X$3)))))</f>
        <v>0</v>
      </c>
      <c r="I127" s="306">
        <f>IF(N126&lt;0.01,0,IF(Adm!$R$4=Adm!$R$6,0,Cal!$E$89*Adm!$AA$3))</f>
        <v>573.58240000000001</v>
      </c>
      <c r="J127" s="306">
        <f>IF(N126&lt;0.01,0,Adm!$O$3*1.16)</f>
        <v>290</v>
      </c>
      <c r="K127" s="306">
        <f>IF(N126&lt;0.01,0,IF(Adm!$N$3&gt;0,E127*Adm!$N$3,0))</f>
        <v>0</v>
      </c>
      <c r="L127" s="306">
        <f t="shared" si="4"/>
        <v>10478.888454977872</v>
      </c>
      <c r="M127" s="306">
        <f>IF(Adm!$F$3="si",MIN(N126+E127+H127+I127+J127-L127,Z127),0)</f>
        <v>0</v>
      </c>
      <c r="N127" s="306">
        <f t="shared" si="5"/>
        <v>901857.70267789729</v>
      </c>
      <c r="O127" s="361"/>
      <c r="P127" s="114"/>
      <c r="U127" s="87" t="b">
        <f>IF(Adm!B3=Adm!B11,PMT(Adm!AH3/12,Adm!G3-12,-N126))</f>
        <v>0</v>
      </c>
      <c r="V127" s="571">
        <f t="shared" si="6"/>
        <v>1</v>
      </c>
      <c r="W127" s="293">
        <f>IF(V127=1,Adm!$AN$2,0)</f>
        <v>0</v>
      </c>
      <c r="Y127" s="304">
        <f t="shared" si="11"/>
        <v>0</v>
      </c>
      <c r="Z127" s="345">
        <f t="shared" ca="1" si="7"/>
        <v>0</v>
      </c>
      <c r="AB127" s="640">
        <f t="shared" si="12"/>
        <v>0</v>
      </c>
      <c r="AC127" s="639">
        <f t="shared" si="13"/>
        <v>0</v>
      </c>
      <c r="AD127" s="641">
        <f t="shared" si="8"/>
        <v>0</v>
      </c>
      <c r="AE127" s="639">
        <f t="shared" si="14"/>
        <v>0</v>
      </c>
      <c r="AF127" s="636">
        <f t="shared" si="1"/>
        <v>0</v>
      </c>
      <c r="AG127" s="637" t="e">
        <f>HLOOKUP($AG$110,anticipado,14,0)</f>
        <v>#N/A</v>
      </c>
      <c r="AI127" s="614">
        <v>1.3605491142022943E-3</v>
      </c>
      <c r="AJ127" s="615">
        <v>1.2142495422070904E-3</v>
      </c>
      <c r="AK127" s="616">
        <v>1.105566586512519E-3</v>
      </c>
      <c r="AL127" s="616">
        <v>1.4419253838911935E-3</v>
      </c>
      <c r="AM127" s="617">
        <v>1.3605491142022943E-3</v>
      </c>
      <c r="AN127" s="617">
        <v>1.2142495422070904E-3</v>
      </c>
      <c r="AO127" s="617">
        <v>1.5745137964516213E-3</v>
      </c>
      <c r="AP127" s="617">
        <v>1.465470225382449E-3</v>
      </c>
      <c r="AQ127" s="617">
        <v>1.3841784801575645E-3</v>
      </c>
      <c r="AR127" s="617">
        <v>1.6802392025950916E-3</v>
      </c>
      <c r="AS127" s="617">
        <v>1.5745137964516213E-3</v>
      </c>
      <c r="AT127" s="618">
        <v>1.4657388359614392E-3</v>
      </c>
      <c r="AU127" s="618">
        <v>7.1989049560944112E-4</v>
      </c>
      <c r="AV127" s="618">
        <v>6.531999081631762E-4</v>
      </c>
      <c r="AW127" s="618">
        <v>5.4657299167126393E-4</v>
      </c>
      <c r="AX127" s="618">
        <v>8.2570965981296164E-4</v>
      </c>
      <c r="AY127" s="618">
        <v>7.1989049560944112E-4</v>
      </c>
      <c r="AZ127" s="618">
        <v>6.2787004538763201E-4</v>
      </c>
      <c r="BA127" s="618">
        <v>9.0060171138509439E-4</v>
      </c>
      <c r="BB127" s="618">
        <v>8.3820093768130044E-4</v>
      </c>
      <c r="BC127" s="618">
        <v>7.1871645905052046E-4</v>
      </c>
      <c r="BD127" s="618">
        <v>9.9146404926814735E-4</v>
      </c>
      <c r="BE127" s="617">
        <v>9.3888722263385114E-4</v>
      </c>
      <c r="BF127" s="617">
        <v>8.5178109051204666E-4</v>
      </c>
      <c r="BG127" s="617"/>
      <c r="BH127" s="617"/>
      <c r="BI127" s="617"/>
      <c r="BJ127" s="617"/>
      <c r="BK127" s="617"/>
      <c r="BL127" s="617"/>
      <c r="BM127" s="617"/>
      <c r="BN127" s="617"/>
      <c r="BO127" s="617"/>
      <c r="BP127" s="617"/>
      <c r="BQ127" s="617"/>
      <c r="BR127" s="617"/>
      <c r="BS127" s="617"/>
      <c r="BT127" s="617"/>
      <c r="BU127" s="617"/>
      <c r="BV127" s="617"/>
      <c r="BW127" s="617"/>
      <c r="BX127" s="617"/>
      <c r="BY127" s="617"/>
      <c r="BZ127" s="617"/>
      <c r="CA127" s="617"/>
      <c r="CB127" s="617"/>
      <c r="CC127" s="617"/>
      <c r="CD127" s="617"/>
      <c r="CE127" s="617"/>
      <c r="CF127" s="617"/>
      <c r="CG127" s="617"/>
      <c r="CH127" s="617"/>
      <c r="CI127" s="617"/>
      <c r="CJ127" s="617"/>
      <c r="CK127" s="617"/>
      <c r="CL127" s="617"/>
    </row>
    <row r="128" spans="1:90">
      <c r="A128" s="151">
        <f t="shared" ca="1" si="0"/>
        <v>1</v>
      </c>
      <c r="B128" s="113">
        <f t="shared" si="2"/>
        <v>226</v>
      </c>
      <c r="C128" s="150">
        <f t="shared" si="9"/>
        <v>14</v>
      </c>
      <c r="D128" s="565">
        <f t="shared" si="10"/>
        <v>9.5000000000000001E-2</v>
      </c>
      <c r="E128" s="306">
        <f t="shared" si="3"/>
        <v>7139.706812866687</v>
      </c>
      <c r="F128" s="306">
        <f t="shared" ref="F128:F191" si="15">IF(N127&lt;0.01,0,G128-E128)</f>
        <v>2475.599242111186</v>
      </c>
      <c r="G128" s="307">
        <f>IF(N127&lt;0.1,0,MIN(N127+E128,IF(AB128&gt;0,AB128,G127*(1+W128))))</f>
        <v>9615.3060549778729</v>
      </c>
      <c r="H128" s="306">
        <f>IF(N127&lt;0.01,0,IF(Adm!$S$3=Adm!$S$13,Cal!$E$94,IF(Adm!$R$3=Adm!$R$6,0,IF(Cal!$E$91&gt;0,0,IF(Cal!$E$91=0,N127*Adm!$Y$3,N127*Adm!$X$3)))))</f>
        <v>0</v>
      </c>
      <c r="I128" s="306">
        <f>IF(N127&lt;0.01,0,IF(Adm!$R$4=Adm!$R$6,0,Cal!$E$89*Adm!$AA$3))</f>
        <v>573.58240000000001</v>
      </c>
      <c r="J128" s="306">
        <f>IF(N127&lt;0.01,0,Adm!$O$3*1.16)</f>
        <v>290</v>
      </c>
      <c r="K128" s="306">
        <f>IF(N127&lt;0.01,0,IF(Adm!$N$3&gt;0,E128*Adm!$N$3,0))</f>
        <v>0</v>
      </c>
      <c r="L128" s="306">
        <f t="shared" si="4"/>
        <v>10478.888454977872</v>
      </c>
      <c r="M128" s="306">
        <f>IF(Adm!$F$3="si",MIN(N127+E128+H128+I128+J128-L128,Z128),0)</f>
        <v>0</v>
      </c>
      <c r="N128" s="306">
        <f t="shared" si="5"/>
        <v>899382.10343578609</v>
      </c>
      <c r="O128" s="361"/>
      <c r="P128" s="114"/>
      <c r="V128" s="571">
        <f t="shared" si="6"/>
        <v>2</v>
      </c>
      <c r="W128" s="293">
        <f>IF(V128=1,Adm!$AN$2,0)</f>
        <v>0</v>
      </c>
      <c r="Y128" s="304">
        <f t="shared" si="11"/>
        <v>0</v>
      </c>
      <c r="Z128" s="345">
        <f t="shared" ca="1" si="7"/>
        <v>0</v>
      </c>
      <c r="AB128" s="640">
        <f t="shared" si="12"/>
        <v>0</v>
      </c>
      <c r="AC128" s="639">
        <f t="shared" si="13"/>
        <v>0</v>
      </c>
      <c r="AD128" s="641">
        <f t="shared" si="8"/>
        <v>0</v>
      </c>
      <c r="AE128" s="639">
        <f t="shared" si="14"/>
        <v>0</v>
      </c>
      <c r="AF128" s="636">
        <f t="shared" si="1"/>
        <v>0</v>
      </c>
      <c r="AG128" s="637" t="e">
        <f>HLOOKUP($AG$110,anticipado,15,0)</f>
        <v>#N/A</v>
      </c>
      <c r="AI128" s="614">
        <v>1.3741534535763322E-3</v>
      </c>
      <c r="AJ128" s="615">
        <v>1.2267584476861211E-3</v>
      </c>
      <c r="AK128" s="616">
        <v>1.1172032680841592E-3</v>
      </c>
      <c r="AL128" s="616">
        <v>1.4560288977394176E-3</v>
      </c>
      <c r="AM128" s="617">
        <v>1.3741534535763322E-3</v>
      </c>
      <c r="AN128" s="617">
        <v>1.2267584476861211E-3</v>
      </c>
      <c r="AO128" s="617">
        <v>1.5894813576670457E-3</v>
      </c>
      <c r="AP128" s="617">
        <v>1.4797777740173735E-3</v>
      </c>
      <c r="AQ128" s="617">
        <v>1.3979944192360695E-3</v>
      </c>
      <c r="AR128" s="617">
        <v>1.6959005450944498E-3</v>
      </c>
      <c r="AS128" s="617">
        <v>1.5894813576670457E-3</v>
      </c>
      <c r="AT128" s="618">
        <v>1.4799882431125178E-3</v>
      </c>
      <c r="AU128" s="618">
        <v>7.2694682396648436E-4</v>
      </c>
      <c r="AV128" s="618">
        <v>6.5977639651408962E-4</v>
      </c>
      <c r="AW128" s="618">
        <v>5.5229048612701374E-4</v>
      </c>
      <c r="AX128" s="618">
        <v>8.3351965085620597E-4</v>
      </c>
      <c r="AY128" s="618">
        <v>7.2694682396648436E-4</v>
      </c>
      <c r="AZ128" s="618">
        <v>6.3422779120048426E-4</v>
      </c>
      <c r="BA128" s="618">
        <v>9.0888023465584254E-4</v>
      </c>
      <c r="BB128" s="618">
        <v>8.4610470148389167E-4</v>
      </c>
      <c r="BC128" s="618">
        <v>7.2579039493819405E-4</v>
      </c>
      <c r="BD128" s="618">
        <v>1.0003049060108031E-3</v>
      </c>
      <c r="BE128" s="617">
        <v>9.4739735653036653E-4</v>
      </c>
      <c r="BF128" s="617">
        <v>8.597535515991497E-4</v>
      </c>
      <c r="BG128" s="617"/>
      <c r="BH128" s="617"/>
      <c r="BI128" s="617"/>
      <c r="BJ128" s="617"/>
      <c r="BK128" s="617"/>
      <c r="BL128" s="617"/>
      <c r="BM128" s="617"/>
      <c r="BN128" s="617"/>
      <c r="BO128" s="617"/>
      <c r="BP128" s="617"/>
      <c r="BQ128" s="617"/>
      <c r="BR128" s="617"/>
      <c r="BS128" s="617"/>
      <c r="BT128" s="617"/>
      <c r="BU128" s="617"/>
      <c r="BV128" s="617"/>
      <c r="BW128" s="617"/>
      <c r="BX128" s="617"/>
      <c r="BY128" s="617"/>
      <c r="BZ128" s="617"/>
      <c r="CA128" s="617"/>
      <c r="CB128" s="617"/>
      <c r="CC128" s="617"/>
      <c r="CD128" s="617"/>
      <c r="CE128" s="617"/>
      <c r="CF128" s="617"/>
      <c r="CG128" s="617"/>
      <c r="CH128" s="617"/>
      <c r="CI128" s="617"/>
      <c r="CJ128" s="617"/>
      <c r="CK128" s="617"/>
      <c r="CL128" s="617"/>
    </row>
    <row r="129" spans="1:90">
      <c r="A129" s="151">
        <f t="shared" ca="1" si="0"/>
        <v>2</v>
      </c>
      <c r="B129" s="113">
        <f t="shared" si="2"/>
        <v>225</v>
      </c>
      <c r="C129" s="150">
        <f t="shared" si="9"/>
        <v>15</v>
      </c>
      <c r="D129" s="565">
        <f t="shared" si="10"/>
        <v>9.5000000000000001E-2</v>
      </c>
      <c r="E129" s="306">
        <f t="shared" si="3"/>
        <v>7120.1083188666407</v>
      </c>
      <c r="F129" s="306">
        <f t="shared" si="15"/>
        <v>2495.1977361112322</v>
      </c>
      <c r="G129" s="307">
        <f t="shared" ref="G129:G192" si="16">IF(N128&lt;0.1,0,MIN(N128+E129,IF(AB129&gt;0,AB129,G128*(1+W129))))</f>
        <v>9615.3060549778729</v>
      </c>
      <c r="H129" s="306">
        <f>IF(N128&lt;0.01,0,IF(Adm!$S$3=Adm!$S$13,Cal!$E$94,IF(Adm!$R$3=Adm!$R$6,0,IF(Cal!$E$91&gt;0,0,IF(Cal!$E$91=0,N128*Adm!$Y$3,N128*Adm!$X$3)))))</f>
        <v>0</v>
      </c>
      <c r="I129" s="306">
        <f>IF(N128&lt;0.01,0,IF(Adm!$R$4=Adm!$R$6,0,Cal!$E$89*Adm!$AA$3))</f>
        <v>573.58240000000001</v>
      </c>
      <c r="J129" s="306">
        <f>IF(N128&lt;0.01,0,Adm!$O$3*1.16)</f>
        <v>290</v>
      </c>
      <c r="K129" s="306">
        <f>IF(N128&lt;0.01,0,IF(Adm!$N$3&gt;0,E129*Adm!$N$3,0))</f>
        <v>0</v>
      </c>
      <c r="L129" s="306">
        <f t="shared" si="4"/>
        <v>10478.888454977872</v>
      </c>
      <c r="M129" s="306">
        <f>IF(Adm!$F$3="si",MIN(N128+E129+H129+I129+J129-L129,Z129),0)</f>
        <v>0</v>
      </c>
      <c r="N129" s="306">
        <f t="shared" si="5"/>
        <v>896886.90569967485</v>
      </c>
      <c r="O129" s="361"/>
      <c r="P129" s="114"/>
      <c r="V129" s="571">
        <f t="shared" si="6"/>
        <v>3</v>
      </c>
      <c r="W129" s="293">
        <f>IF(V129=1,Adm!$AN$2,0)</f>
        <v>0</v>
      </c>
      <c r="Y129" s="304">
        <f t="shared" si="11"/>
        <v>0</v>
      </c>
      <c r="Z129" s="345">
        <f t="shared" ca="1" si="7"/>
        <v>0</v>
      </c>
      <c r="AB129" s="640">
        <f t="shared" si="12"/>
        <v>0</v>
      </c>
      <c r="AC129" s="639">
        <f t="shared" si="13"/>
        <v>0</v>
      </c>
      <c r="AD129" s="641">
        <f t="shared" si="8"/>
        <v>0</v>
      </c>
      <c r="AE129" s="639">
        <f t="shared" si="14"/>
        <v>0</v>
      </c>
      <c r="AF129" s="636">
        <f t="shared" si="1"/>
        <v>0</v>
      </c>
      <c r="AG129" s="637" t="e">
        <f>HLOOKUP($AG$110,anticipado,16,0)</f>
        <v>#N/A</v>
      </c>
      <c r="AI129" s="614">
        <v>1.3879127321876248E-3</v>
      </c>
      <c r="AJ129" s="615">
        <v>1.2394117394203684E-3</v>
      </c>
      <c r="AK129" s="616">
        <v>1.1289755840434652E-3</v>
      </c>
      <c r="AL129" s="616">
        <v>1.4702911246787186E-3</v>
      </c>
      <c r="AM129" s="617">
        <v>1.3879127321876248E-3</v>
      </c>
      <c r="AN129" s="617">
        <v>1.2394117394203684E-3</v>
      </c>
      <c r="AO129" s="617">
        <v>1.6046152577870573E-3</v>
      </c>
      <c r="AP129" s="617">
        <v>1.4942464192188821E-3</v>
      </c>
      <c r="AQ129" s="617">
        <v>1.4119677944312693E-3</v>
      </c>
      <c r="AR129" s="617">
        <v>1.711734718593115E-3</v>
      </c>
      <c r="AS129" s="617">
        <v>1.6046152577870573E-3</v>
      </c>
      <c r="AT129" s="618">
        <v>1.4943975036187291E-3</v>
      </c>
      <c r="AU129" s="618">
        <v>7.3407750170238946E-4</v>
      </c>
      <c r="AV129" s="618">
        <v>6.6642348326229972E-4</v>
      </c>
      <c r="AW129" s="618">
        <v>5.5807098165413973E-4</v>
      </c>
      <c r="AX129" s="618">
        <v>8.4141008968902445E-4</v>
      </c>
      <c r="AY129" s="618">
        <v>7.3407750170238946E-4</v>
      </c>
      <c r="AZ129" s="618">
        <v>6.4065399055064566E-4</v>
      </c>
      <c r="BA129" s="618">
        <v>9.1724245613834712E-4</v>
      </c>
      <c r="BB129" s="618">
        <v>8.5408974952418972E-4</v>
      </c>
      <c r="BC129" s="618">
        <v>7.3293914422966949E-4</v>
      </c>
      <c r="BD129" s="618">
        <v>1.0092335277658568E-3</v>
      </c>
      <c r="BE129" s="617">
        <v>9.5599277009745739E-4</v>
      </c>
      <c r="BF129" s="617">
        <v>8.6780755741733804E-4</v>
      </c>
      <c r="BG129" s="617"/>
      <c r="BH129" s="617"/>
      <c r="BI129" s="617"/>
      <c r="BJ129" s="617"/>
      <c r="BK129" s="617"/>
      <c r="BL129" s="617"/>
      <c r="BM129" s="617"/>
      <c r="BN129" s="617"/>
      <c r="BO129" s="617"/>
      <c r="BP129" s="617"/>
      <c r="BQ129" s="617"/>
      <c r="BR129" s="617"/>
      <c r="BS129" s="617"/>
      <c r="BT129" s="617"/>
      <c r="BU129" s="617"/>
      <c r="BV129" s="617"/>
      <c r="BW129" s="617"/>
      <c r="BX129" s="617"/>
      <c r="BY129" s="617"/>
      <c r="BZ129" s="617"/>
      <c r="CA129" s="617"/>
      <c r="CB129" s="617"/>
      <c r="CC129" s="617"/>
      <c r="CD129" s="617"/>
      <c r="CE129" s="617"/>
      <c r="CF129" s="617"/>
      <c r="CG129" s="617"/>
      <c r="CH129" s="617"/>
      <c r="CI129" s="617"/>
      <c r="CJ129" s="617"/>
      <c r="CK129" s="617"/>
      <c r="CL129" s="617"/>
    </row>
    <row r="130" spans="1:90">
      <c r="A130" s="151">
        <f t="shared" ca="1" si="0"/>
        <v>3</v>
      </c>
      <c r="B130" s="113">
        <f t="shared" si="2"/>
        <v>224</v>
      </c>
      <c r="C130" s="150">
        <f t="shared" si="9"/>
        <v>16</v>
      </c>
      <c r="D130" s="565">
        <f t="shared" si="10"/>
        <v>9.5000000000000001E-2</v>
      </c>
      <c r="E130" s="306">
        <f t="shared" si="3"/>
        <v>7100.3546701224259</v>
      </c>
      <c r="F130" s="306">
        <f t="shared" si="15"/>
        <v>2514.951384855447</v>
      </c>
      <c r="G130" s="307">
        <f t="shared" si="16"/>
        <v>9615.3060549778729</v>
      </c>
      <c r="H130" s="306">
        <f>IF(N129&lt;0.01,0,IF(Adm!$S$3=Adm!$S$13,Cal!$E$94,IF(Adm!$R$3=Adm!$R$6,0,IF(Cal!$E$91&gt;0,0,IF(Cal!$E$91=0,N129*Adm!$Y$3,N129*Adm!$X$3)))))</f>
        <v>0</v>
      </c>
      <c r="I130" s="306">
        <f>IF(N129&lt;0.01,0,IF(Adm!$R$4=Adm!$R$6,0,Cal!$E$89*Adm!$AA$3))</f>
        <v>573.58240000000001</v>
      </c>
      <c r="J130" s="306">
        <f>IF(N129&lt;0.01,0,Adm!$O$3*1.16)</f>
        <v>290</v>
      </c>
      <c r="K130" s="306">
        <f>IF(N129&lt;0.01,0,IF(Adm!$N$3&gt;0,E130*Adm!$N$3,0))</f>
        <v>0</v>
      </c>
      <c r="L130" s="306">
        <f t="shared" si="4"/>
        <v>10478.888454977872</v>
      </c>
      <c r="M130" s="306">
        <f>IF(Adm!$F$3="si",MIN(N129+E130+H130+I130+J130-L130,Z130),0)</f>
        <v>0</v>
      </c>
      <c r="N130" s="306">
        <f t="shared" si="5"/>
        <v>894371.95431481942</v>
      </c>
      <c r="O130" s="361"/>
      <c r="P130" s="114"/>
      <c r="V130" s="571">
        <f t="shared" si="6"/>
        <v>4</v>
      </c>
      <c r="W130" s="293">
        <f>IF(V130=1,Adm!$AN$2,0)</f>
        <v>0</v>
      </c>
      <c r="Y130" s="304">
        <f t="shared" si="11"/>
        <v>0</v>
      </c>
      <c r="Z130" s="345">
        <f t="shared" ca="1" si="7"/>
        <v>0</v>
      </c>
      <c r="AB130" s="640">
        <f t="shared" si="12"/>
        <v>0</v>
      </c>
      <c r="AC130" s="639">
        <f t="shared" si="13"/>
        <v>0</v>
      </c>
      <c r="AD130" s="641">
        <f t="shared" si="8"/>
        <v>0</v>
      </c>
      <c r="AE130" s="639">
        <f t="shared" si="14"/>
        <v>0</v>
      </c>
      <c r="AF130" s="636">
        <f t="shared" si="1"/>
        <v>0</v>
      </c>
      <c r="AG130" s="637" t="e">
        <f>HLOOKUP($AG$110,anticipado,17,0)</f>
        <v>#N/A</v>
      </c>
      <c r="AI130" s="614">
        <v>1.4018290959533677E-3</v>
      </c>
      <c r="AJ130" s="615">
        <v>1.2522114064730265E-3</v>
      </c>
      <c r="AK130" s="616">
        <v>1.1408853944178295E-3</v>
      </c>
      <c r="AL130" s="616">
        <v>1.4847142604915544E-3</v>
      </c>
      <c r="AM130" s="617">
        <v>1.4018290959533677E-3</v>
      </c>
      <c r="AN130" s="617">
        <v>1.2522114064730265E-3</v>
      </c>
      <c r="AO130" s="617">
        <v>1.619917806740261E-3</v>
      </c>
      <c r="AP130" s="617">
        <v>1.5088783965324663E-3</v>
      </c>
      <c r="AQ130" s="617">
        <v>1.4261007930582159E-3</v>
      </c>
      <c r="AR130" s="617">
        <v>1.7277441354438712E-3</v>
      </c>
      <c r="AS130" s="617">
        <v>1.619917806740261E-3</v>
      </c>
      <c r="AT130" s="618">
        <v>1.5089688289620924E-3</v>
      </c>
      <c r="AU130" s="618">
        <v>7.412834145073112E-4</v>
      </c>
      <c r="AV130" s="618">
        <v>6.7314201518047987E-4</v>
      </c>
      <c r="AW130" s="618">
        <v>5.6391523969541555E-4</v>
      </c>
      <c r="AX130" s="618">
        <v>8.4938193023869366E-4</v>
      </c>
      <c r="AY130" s="618">
        <v>7.412834145073112E-4</v>
      </c>
      <c r="AZ130" s="618">
        <v>6.4714946356393688E-4</v>
      </c>
      <c r="BA130" s="618">
        <v>9.2568936273472186E-4</v>
      </c>
      <c r="BB130" s="618">
        <v>8.6215704603643856E-4</v>
      </c>
      <c r="BC130" s="618">
        <v>7.4016360097084758E-4</v>
      </c>
      <c r="BD130" s="618">
        <v>1.0182509461885748E-3</v>
      </c>
      <c r="BE130" s="617">
        <v>9.6467446656361326E-4</v>
      </c>
      <c r="BF130" s="617">
        <v>8.7594407254141279E-4</v>
      </c>
      <c r="BG130" s="617"/>
      <c r="BH130" s="617"/>
      <c r="BI130" s="617"/>
      <c r="BJ130" s="617"/>
      <c r="BK130" s="617"/>
      <c r="BL130" s="617"/>
      <c r="BM130" s="617"/>
      <c r="BN130" s="617"/>
      <c r="BO130" s="617"/>
      <c r="BP130" s="617"/>
      <c r="BQ130" s="617"/>
      <c r="BR130" s="617"/>
      <c r="BS130" s="617"/>
      <c r="BT130" s="617"/>
      <c r="BU130" s="617"/>
      <c r="BV130" s="617"/>
      <c r="BW130" s="617"/>
      <c r="BX130" s="617"/>
      <c r="BY130" s="617"/>
      <c r="BZ130" s="617"/>
      <c r="CA130" s="617"/>
      <c r="CB130" s="617"/>
      <c r="CC130" s="617"/>
      <c r="CD130" s="617"/>
      <c r="CE130" s="617"/>
      <c r="CF130" s="617"/>
      <c r="CG130" s="617"/>
      <c r="CH130" s="617"/>
      <c r="CI130" s="617"/>
      <c r="CJ130" s="617"/>
      <c r="CK130" s="617"/>
      <c r="CL130" s="617"/>
    </row>
    <row r="131" spans="1:90">
      <c r="A131" s="151">
        <f t="shared" ca="1" si="0"/>
        <v>4</v>
      </c>
      <c r="B131" s="113">
        <f t="shared" si="2"/>
        <v>223</v>
      </c>
      <c r="C131" s="150">
        <f t="shared" si="9"/>
        <v>17</v>
      </c>
      <c r="D131" s="565">
        <f t="shared" si="10"/>
        <v>9.5000000000000001E-2</v>
      </c>
      <c r="E131" s="306">
        <f t="shared" si="3"/>
        <v>7080.4446383256536</v>
      </c>
      <c r="F131" s="306">
        <f t="shared" si="15"/>
        <v>2534.8614166522193</v>
      </c>
      <c r="G131" s="307">
        <f t="shared" si="16"/>
        <v>9615.3060549778729</v>
      </c>
      <c r="H131" s="306">
        <f>IF(N130&lt;0.01,0,IF(Adm!$S$3=Adm!$S$13,Cal!$E$94,IF(Adm!$R$3=Adm!$R$6,0,IF(Cal!$E$91&gt;0,0,IF(Cal!$E$91=0,N130*Adm!$Y$3,N130*Adm!$X$3)))))</f>
        <v>0</v>
      </c>
      <c r="I131" s="306">
        <f>IF(N130&lt;0.01,0,IF(Adm!$R$4=Adm!$R$6,0,Cal!$E$89*Adm!$AA$3))</f>
        <v>573.58240000000001</v>
      </c>
      <c r="J131" s="306">
        <f>IF(N130&lt;0.01,0,Adm!$O$3*1.16)</f>
        <v>290</v>
      </c>
      <c r="K131" s="306">
        <f>IF(N130&lt;0.01,0,IF(Adm!$N$3&gt;0,E131*Adm!$N$3,0))</f>
        <v>0</v>
      </c>
      <c r="L131" s="306">
        <f t="shared" si="4"/>
        <v>10478.888454977872</v>
      </c>
      <c r="M131" s="306">
        <f>IF(Adm!$F$3="si",MIN(N130+E131+H131+I131+J131-L131,Z131),0)</f>
        <v>0</v>
      </c>
      <c r="N131" s="306">
        <f t="shared" si="5"/>
        <v>891837.0928981672</v>
      </c>
      <c r="O131" s="361"/>
      <c r="P131" s="114"/>
      <c r="V131" s="571">
        <f t="shared" si="6"/>
        <v>5</v>
      </c>
      <c r="W131" s="293">
        <f>IF(V131=1,Adm!$AN$2,0)</f>
        <v>0</v>
      </c>
      <c r="Y131" s="304">
        <f t="shared" si="11"/>
        <v>0</v>
      </c>
      <c r="Z131" s="345">
        <f t="shared" ca="1" si="7"/>
        <v>0</v>
      </c>
      <c r="AB131" s="640">
        <f t="shared" si="12"/>
        <v>0</v>
      </c>
      <c r="AC131" s="639">
        <f t="shared" si="13"/>
        <v>0</v>
      </c>
      <c r="AD131" s="641">
        <f t="shared" si="8"/>
        <v>0</v>
      </c>
      <c r="AE131" s="639">
        <f t="shared" si="14"/>
        <v>0</v>
      </c>
      <c r="AF131" s="636">
        <f t="shared" si="1"/>
        <v>0</v>
      </c>
      <c r="AG131" s="637" t="e">
        <f>HLOOKUP($AG$110,anticipado,18,0)</f>
        <v>#N/A</v>
      </c>
      <c r="AI131" s="614">
        <v>1.4159047283512666E-3</v>
      </c>
      <c r="AJ131" s="615">
        <v>1.2651594721087508E-3</v>
      </c>
      <c r="AK131" s="616">
        <v>1.1529345907389395E-3</v>
      </c>
      <c r="AL131" s="616">
        <v>1.4993005396020554E-3</v>
      </c>
      <c r="AM131" s="617">
        <v>1.4159047283512666E-3</v>
      </c>
      <c r="AN131" s="617">
        <v>1.2651594721087508E-3</v>
      </c>
      <c r="AO131" s="617">
        <v>1.6353913556215822E-3</v>
      </c>
      <c r="AP131" s="617">
        <v>1.5236759810214895E-3</v>
      </c>
      <c r="AQ131" s="617">
        <v>1.4403956408977664E-3</v>
      </c>
      <c r="AR131" s="617">
        <v>1.7439312514689735E-3</v>
      </c>
      <c r="AS131" s="617">
        <v>1.6353913556215822E-3</v>
      </c>
      <c r="AT131" s="618">
        <v>1.5237044696099808E-3</v>
      </c>
      <c r="AU131" s="618">
        <v>7.4856546065462184E-4</v>
      </c>
      <c r="AV131" s="618">
        <v>6.7993285100948419E-4</v>
      </c>
      <c r="AW131" s="618">
        <v>5.6982403231783344E-4</v>
      </c>
      <c r="AX131" s="618">
        <v>8.5743614015078035E-4</v>
      </c>
      <c r="AY131" s="618">
        <v>7.4856546065462184E-4</v>
      </c>
      <c r="AZ131" s="618">
        <v>6.5371504189428277E-4</v>
      </c>
      <c r="BA131" s="618">
        <v>9.3422195561612101E-4</v>
      </c>
      <c r="BB131" s="618">
        <v>8.7030756915121407E-4</v>
      </c>
      <c r="BC131" s="618">
        <v>7.4746467194288424E-4</v>
      </c>
      <c r="BD131" s="618">
        <v>1.0273582079799179E-3</v>
      </c>
      <c r="BE131" s="617">
        <v>9.734434637046341E-4</v>
      </c>
      <c r="BF131" s="617">
        <v>8.8416407543904965E-4</v>
      </c>
      <c r="BG131" s="617"/>
      <c r="BH131" s="617"/>
      <c r="BI131" s="617"/>
      <c r="BJ131" s="617"/>
      <c r="BK131" s="617"/>
      <c r="BL131" s="617"/>
      <c r="BM131" s="617"/>
      <c r="BN131" s="617"/>
      <c r="BO131" s="617"/>
      <c r="BP131" s="617"/>
      <c r="BQ131" s="617"/>
      <c r="BR131" s="617"/>
      <c r="BS131" s="617"/>
      <c r="BT131" s="617"/>
      <c r="BU131" s="617"/>
      <c r="BV131" s="617"/>
      <c r="BW131" s="617"/>
      <c r="BX131" s="617"/>
      <c r="BY131" s="617"/>
      <c r="BZ131" s="617"/>
      <c r="CA131" s="617"/>
      <c r="CB131" s="617"/>
      <c r="CC131" s="617"/>
      <c r="CD131" s="617"/>
      <c r="CE131" s="617"/>
      <c r="CF131" s="617"/>
      <c r="CG131" s="617"/>
      <c r="CH131" s="617"/>
      <c r="CI131" s="617"/>
      <c r="CJ131" s="617"/>
      <c r="CK131" s="617"/>
      <c r="CL131" s="617"/>
    </row>
    <row r="132" spans="1:90">
      <c r="A132" s="151">
        <f t="shared" ca="1" si="0"/>
        <v>5</v>
      </c>
      <c r="B132" s="113">
        <f t="shared" si="2"/>
        <v>222</v>
      </c>
      <c r="C132" s="150">
        <f t="shared" si="9"/>
        <v>18</v>
      </c>
      <c r="D132" s="565">
        <f t="shared" si="10"/>
        <v>9.5000000000000001E-2</v>
      </c>
      <c r="E132" s="306">
        <f t="shared" si="3"/>
        <v>7060.3769854438242</v>
      </c>
      <c r="F132" s="306">
        <f t="shared" si="15"/>
        <v>2554.9290695340487</v>
      </c>
      <c r="G132" s="307">
        <f t="shared" si="16"/>
        <v>9615.3060549778729</v>
      </c>
      <c r="H132" s="306">
        <f>IF(N131&lt;0.01,0,IF(Adm!$S$3=Adm!$S$13,Cal!$E$94,IF(Adm!$R$3=Adm!$R$6,0,IF(Cal!$E$91&gt;0,0,IF(Cal!$E$91=0,N131*Adm!$Y$3,N131*Adm!$X$3)))))</f>
        <v>0</v>
      </c>
      <c r="I132" s="306">
        <f>IF(N131&lt;0.01,0,IF(Adm!$R$4=Adm!$R$6,0,Cal!$E$89*Adm!$AA$3))</f>
        <v>573.58240000000001</v>
      </c>
      <c r="J132" s="306">
        <f>IF(N131&lt;0.01,0,Adm!$O$3*1.16)</f>
        <v>290</v>
      </c>
      <c r="K132" s="306">
        <f>IF(N131&lt;0.01,0,IF(Adm!$N$3&gt;0,E132*Adm!$N$3,0))</f>
        <v>0</v>
      </c>
      <c r="L132" s="306">
        <f t="shared" si="4"/>
        <v>10478.888454977872</v>
      </c>
      <c r="M132" s="306">
        <f>IF(Adm!$F$3="si",MIN(N131+E132+H132+I132+J132-L132,Z132),0)</f>
        <v>0</v>
      </c>
      <c r="N132" s="306">
        <f t="shared" si="5"/>
        <v>889282.16382863314</v>
      </c>
      <c r="O132" s="361"/>
      <c r="P132" s="114"/>
      <c r="V132" s="571">
        <f t="shared" si="6"/>
        <v>6</v>
      </c>
      <c r="W132" s="293">
        <f>IF(V132=1,Adm!$AN$2,0)</f>
        <v>0</v>
      </c>
      <c r="Y132" s="304">
        <f t="shared" si="11"/>
        <v>0</v>
      </c>
      <c r="Z132" s="345">
        <f t="shared" ca="1" si="7"/>
        <v>0</v>
      </c>
      <c r="AB132" s="640">
        <f t="shared" si="12"/>
        <v>0</v>
      </c>
      <c r="AC132" s="639">
        <f t="shared" si="13"/>
        <v>0</v>
      </c>
      <c r="AD132" s="641">
        <f t="shared" si="8"/>
        <v>0</v>
      </c>
      <c r="AE132" s="639">
        <f t="shared" si="14"/>
        <v>0</v>
      </c>
      <c r="AF132" s="636">
        <f t="shared" si="1"/>
        <v>0</v>
      </c>
      <c r="AG132" s="637" t="e">
        <f>HLOOKUP($AG$110,anticipado,19,0)</f>
        <v>#N/A</v>
      </c>
      <c r="AI132" s="614">
        <v>1.4301418512426844E-3</v>
      </c>
      <c r="AJ132" s="615">
        <v>1.278257994527712E-3</v>
      </c>
      <c r="AK132" s="616">
        <v>1.1651250967066725E-3</v>
      </c>
      <c r="AL132" s="616">
        <v>1.514052235928557E-3</v>
      </c>
      <c r="AM132" s="619">
        <v>1.4301418512426844E-3</v>
      </c>
      <c r="AN132" s="617">
        <v>1.278257994527712E-3</v>
      </c>
      <c r="AO132" s="617">
        <v>1.6510382976133045E-3</v>
      </c>
      <c r="AP132" s="617">
        <v>1.5386414881431703E-3</v>
      </c>
      <c r="AQ132" s="617">
        <v>1.4548546030438364E-3</v>
      </c>
      <c r="AR132" s="617">
        <v>1.7602985669442357E-3</v>
      </c>
      <c r="AS132" s="617">
        <v>1.6510382976133045E-3</v>
      </c>
      <c r="AT132" s="618">
        <v>1.5386067158769696E-3</v>
      </c>
      <c r="AU132" s="618">
        <v>7.5592455121996718E-4</v>
      </c>
      <c r="AV132" s="618">
        <v>6.8679686166428088E-4</v>
      </c>
      <c r="AW132" s="618">
        <v>5.7579814239068093E-4</v>
      </c>
      <c r="AX132" s="618">
        <v>8.6557370103280951E-4</v>
      </c>
      <c r="AY132" s="618">
        <v>7.5592455121996718E-4</v>
      </c>
      <c r="AZ132" s="618">
        <v>6.6035156892047171E-4</v>
      </c>
      <c r="BA132" s="618">
        <v>9.4284125047866551E-4</v>
      </c>
      <c r="BB132" s="618">
        <v>8.7854231114296822E-4</v>
      </c>
      <c r="BC132" s="618">
        <v>7.5484327688442006E-4</v>
      </c>
      <c r="BD132" s="618">
        <v>1.0365563751598139E-3</v>
      </c>
      <c r="BE132" s="617">
        <v>9.8230079410578392E-4</v>
      </c>
      <c r="BF132" s="617">
        <v>8.9246855871835912E-4</v>
      </c>
      <c r="BG132" s="617"/>
      <c r="BH132" s="617"/>
      <c r="BI132" s="617"/>
      <c r="BJ132" s="617"/>
      <c r="BK132" s="617"/>
      <c r="BL132" s="617"/>
      <c r="BM132" s="617"/>
      <c r="BN132" s="617"/>
      <c r="BO132" s="617"/>
      <c r="BP132" s="617"/>
      <c r="BQ132" s="617"/>
      <c r="BR132" s="617"/>
      <c r="BS132" s="617"/>
      <c r="BT132" s="617"/>
      <c r="BU132" s="617"/>
      <c r="BV132" s="617"/>
      <c r="BW132" s="617"/>
      <c r="BX132" s="617"/>
      <c r="BY132" s="617"/>
      <c r="BZ132" s="617"/>
      <c r="CA132" s="617"/>
      <c r="CB132" s="617"/>
      <c r="CC132" s="617"/>
      <c r="CD132" s="617"/>
      <c r="CE132" s="617"/>
      <c r="CF132" s="617"/>
      <c r="CG132" s="617"/>
      <c r="CH132" s="617"/>
      <c r="CI132" s="617"/>
      <c r="CJ132" s="617"/>
      <c r="CK132" s="617"/>
      <c r="CL132" s="617"/>
    </row>
    <row r="133" spans="1:90">
      <c r="A133" s="151">
        <f t="shared" ca="1" si="0"/>
        <v>6</v>
      </c>
      <c r="B133" s="113">
        <f t="shared" si="2"/>
        <v>221</v>
      </c>
      <c r="C133" s="150">
        <f t="shared" si="9"/>
        <v>19</v>
      </c>
      <c r="D133" s="565">
        <f t="shared" si="10"/>
        <v>9.5000000000000001E-2</v>
      </c>
      <c r="E133" s="306">
        <f t="shared" si="3"/>
        <v>7040.1504636433456</v>
      </c>
      <c r="F133" s="306">
        <f t="shared" si="15"/>
        <v>2575.1555913345273</v>
      </c>
      <c r="G133" s="307">
        <f t="shared" si="16"/>
        <v>9615.3060549778729</v>
      </c>
      <c r="H133" s="306">
        <f>IF(N132&lt;0.01,0,IF(Adm!$S$3=Adm!$S$13,Cal!$E$94,IF(Adm!$R$3=Adm!$R$6,0,IF(Cal!$E$91&gt;0,0,IF(Cal!$E$91=0,N132*Adm!$Y$3,N132*Adm!$X$3)))))</f>
        <v>0</v>
      </c>
      <c r="I133" s="306">
        <f>IF(N132&lt;0.01,0,IF(Adm!$R$4=Adm!$R$6,0,Cal!$E$89*Adm!$AA$3))</f>
        <v>573.58240000000001</v>
      </c>
      <c r="J133" s="306">
        <f>IF(N132&lt;0.01,0,Adm!$O$3*1.16)</f>
        <v>290</v>
      </c>
      <c r="K133" s="306">
        <f>IF(N132&lt;0.01,0,IF(Adm!$N$3&gt;0,E133*Adm!$N$3,0))</f>
        <v>0</v>
      </c>
      <c r="L133" s="306">
        <f t="shared" si="4"/>
        <v>10478.888454977872</v>
      </c>
      <c r="M133" s="306">
        <f>IF(Adm!$F$3="si",MIN(N132+E133+H133+I133+J133-L133,Z133),0)</f>
        <v>0</v>
      </c>
      <c r="N133" s="306">
        <f t="shared" si="5"/>
        <v>886707.00823729858</v>
      </c>
      <c r="O133" s="361"/>
      <c r="P133" s="114"/>
      <c r="V133" s="571">
        <f t="shared" si="6"/>
        <v>7</v>
      </c>
      <c r="W133" s="293">
        <f>IF(V133=1,Adm!$AN$2,0)</f>
        <v>0</v>
      </c>
      <c r="Y133" s="304">
        <f t="shared" si="11"/>
        <v>0</v>
      </c>
      <c r="Z133" s="345">
        <f t="shared" ca="1" si="7"/>
        <v>0</v>
      </c>
      <c r="AB133" s="640">
        <f t="shared" si="12"/>
        <v>0</v>
      </c>
      <c r="AC133" s="639">
        <f t="shared" si="13"/>
        <v>0</v>
      </c>
      <c r="AD133" s="641">
        <f t="shared" si="8"/>
        <v>0</v>
      </c>
      <c r="AE133" s="639">
        <f t="shared" si="14"/>
        <v>0</v>
      </c>
      <c r="AF133" s="636">
        <f t="shared" si="1"/>
        <v>0</v>
      </c>
      <c r="AG133" s="637" t="e">
        <f>HLOOKUP($AG$110,anticipado,20,0)</f>
        <v>#N/A</v>
      </c>
      <c r="AI133" s="614">
        <v>1.44454272571761E-3</v>
      </c>
      <c r="AJ133" s="615">
        <v>1.2915090676187404E-3</v>
      </c>
      <c r="AK133" s="616">
        <v>1.1774588688699807E-3</v>
      </c>
      <c r="AL133" s="616">
        <v>1.5289716637588474E-3</v>
      </c>
      <c r="AM133" s="619">
        <v>1.44454272571761E-3</v>
      </c>
      <c r="AN133" s="617">
        <v>1.2915090676187404E-3</v>
      </c>
      <c r="AO133" s="617">
        <v>1.6668610689310147E-3</v>
      </c>
      <c r="AP133" s="617">
        <v>1.5537772746480639E-3</v>
      </c>
      <c r="AQ133" s="617">
        <v>1.4694799847732242E-3</v>
      </c>
      <c r="AR133" s="617">
        <v>1.7768486276100439E-3</v>
      </c>
      <c r="AS133" s="617">
        <v>1.6668610689310147E-3</v>
      </c>
      <c r="AT133" s="618">
        <v>1.5536778988097413E-3</v>
      </c>
      <c r="AU133" s="618">
        <v>7.6336161030497707E-4</v>
      </c>
      <c r="AV133" s="618">
        <v>6.9373493044416225E-4</v>
      </c>
      <c r="AW133" s="618">
        <v>5.8183836376723226E-4</v>
      </c>
      <c r="AX133" s="618">
        <v>8.7379560870318976E-4</v>
      </c>
      <c r="AY133" s="618">
        <v>7.6336161030497707E-4</v>
      </c>
      <c r="AZ133" s="618">
        <v>6.6705989994696874E-4</v>
      </c>
      <c r="BA133" s="618">
        <v>9.5154827780493322E-4</v>
      </c>
      <c r="BB133" s="618">
        <v>8.8686227868292611E-4</v>
      </c>
      <c r="BC133" s="618">
        <v>7.623003487185466E-4</v>
      </c>
      <c r="BD133" s="618">
        <v>1.0458465253464504E-3</v>
      </c>
      <c r="BE133" s="617">
        <v>9.9124750542968032E-4</v>
      </c>
      <c r="BF133" s="617">
        <v>9.0085852938079011E-4</v>
      </c>
      <c r="BG133" s="617"/>
      <c r="BH133" s="617"/>
      <c r="BI133" s="617"/>
      <c r="BJ133" s="617"/>
      <c r="BK133" s="617"/>
      <c r="BL133" s="617"/>
      <c r="BM133" s="617"/>
      <c r="BN133" s="617"/>
      <c r="BO133" s="617"/>
      <c r="BP133" s="617"/>
      <c r="BQ133" s="617"/>
      <c r="BR133" s="617"/>
      <c r="BS133" s="617"/>
      <c r="BT133" s="617"/>
      <c r="BU133" s="617"/>
      <c r="BV133" s="617"/>
      <c r="BW133" s="617"/>
      <c r="BX133" s="617"/>
      <c r="BY133" s="617"/>
      <c r="BZ133" s="617"/>
      <c r="CA133" s="617"/>
      <c r="CB133" s="617"/>
      <c r="CC133" s="617"/>
      <c r="CD133" s="617"/>
      <c r="CE133" s="617"/>
      <c r="CF133" s="617"/>
      <c r="CG133" s="617"/>
      <c r="CH133" s="617"/>
      <c r="CI133" s="617"/>
      <c r="CJ133" s="617"/>
      <c r="CK133" s="617"/>
      <c r="CL133" s="617"/>
    </row>
    <row r="134" spans="1:90">
      <c r="A134" s="151">
        <f t="shared" ca="1" si="0"/>
        <v>7</v>
      </c>
      <c r="B134" s="113">
        <f t="shared" si="2"/>
        <v>220</v>
      </c>
      <c r="C134" s="150">
        <f t="shared" si="9"/>
        <v>20</v>
      </c>
      <c r="D134" s="565">
        <f t="shared" si="10"/>
        <v>9.5000000000000001E-2</v>
      </c>
      <c r="E134" s="306">
        <f t="shared" si="3"/>
        <v>7019.7638152119471</v>
      </c>
      <c r="F134" s="306">
        <f t="shared" si="15"/>
        <v>2595.5422397659258</v>
      </c>
      <c r="G134" s="307">
        <f t="shared" si="16"/>
        <v>9615.3060549778729</v>
      </c>
      <c r="H134" s="306">
        <f>IF(N133&lt;0.01,0,IF(Adm!$S$3=Adm!$S$13,Cal!$E$94,IF(Adm!$R$3=Adm!$R$6,0,IF(Cal!$E$91&gt;0,0,IF(Cal!$E$91=0,N133*Adm!$Y$3,N133*Adm!$X$3)))))</f>
        <v>0</v>
      </c>
      <c r="I134" s="306">
        <f>IF(N133&lt;0.01,0,IF(Adm!$R$4=Adm!$R$6,0,Cal!$E$89*Adm!$AA$3))</f>
        <v>573.58240000000001</v>
      </c>
      <c r="J134" s="306">
        <f>IF(N133&lt;0.01,0,Adm!$O$3*1.16)</f>
        <v>290</v>
      </c>
      <c r="K134" s="306">
        <f>IF(N133&lt;0.01,0,IF(Adm!$N$3&gt;0,E134*Adm!$N$3,0))</f>
        <v>0</v>
      </c>
      <c r="L134" s="306">
        <f t="shared" si="4"/>
        <v>10478.888454977872</v>
      </c>
      <c r="M134" s="306">
        <f>IF(Adm!$F$3="si",MIN(N133+E134+H134+I134+J134-L134,Z134),0)</f>
        <v>0</v>
      </c>
      <c r="N134" s="306">
        <f t="shared" si="5"/>
        <v>884111.46599753271</v>
      </c>
      <c r="O134" s="361"/>
      <c r="P134" s="114"/>
      <c r="V134" s="571">
        <f t="shared" si="6"/>
        <v>8</v>
      </c>
      <c r="W134" s="293">
        <f>IF(V134=1,Adm!$AN$2,0)</f>
        <v>0</v>
      </c>
      <c r="Y134" s="304">
        <f t="shared" si="11"/>
        <v>0</v>
      </c>
      <c r="Z134" s="345">
        <f t="shared" ca="1" si="7"/>
        <v>0</v>
      </c>
      <c r="AB134" s="640">
        <f t="shared" si="12"/>
        <v>0</v>
      </c>
      <c r="AC134" s="639">
        <f t="shared" si="13"/>
        <v>0</v>
      </c>
      <c r="AD134" s="641">
        <f t="shared" si="8"/>
        <v>0</v>
      </c>
      <c r="AE134" s="639">
        <f t="shared" si="14"/>
        <v>0</v>
      </c>
      <c r="AF134" s="636">
        <f t="shared" si="1"/>
        <v>0</v>
      </c>
      <c r="AG134" s="637" t="e">
        <f>HLOOKUP($AG$110,anticipado,21,0)</f>
        <v>#N/A</v>
      </c>
      <c r="AI134" s="614">
        <v>1.4591096529621352E-3</v>
      </c>
      <c r="AJ134" s="615">
        <v>1.3049148217321182E-3</v>
      </c>
      <c r="AK134" s="616">
        <v>1.1899378973252092E-3</v>
      </c>
      <c r="AL134" s="616">
        <v>1.5440611786489043E-3</v>
      </c>
      <c r="AM134" s="617">
        <v>1.4591096529621352E-3</v>
      </c>
      <c r="AN134" s="617">
        <v>1.3049148217321182E-3</v>
      </c>
      <c r="AO134" s="617">
        <v>1.6828621497952561E-3</v>
      </c>
      <c r="AP134" s="617">
        <v>1.5690857395037464E-3</v>
      </c>
      <c r="AQ134" s="617">
        <v>1.4842741324387287E-3</v>
      </c>
      <c r="AR134" s="617">
        <v>1.7935840257101566E-3</v>
      </c>
      <c r="AS134" s="617">
        <v>1.6828621497952561E-3</v>
      </c>
      <c r="AT134" s="618">
        <v>1.5689203910957343E-3</v>
      </c>
      <c r="AU134" s="618">
        <v>7.7087757526569825E-4</v>
      </c>
      <c r="AV134" s="618">
        <v>7.0074795324736119E-4</v>
      </c>
      <c r="AW134" s="618">
        <v>5.8794550147011769E-4</v>
      </c>
      <c r="AX134" s="618">
        <v>8.8210287344549633E-4</v>
      </c>
      <c r="AY134" s="618">
        <v>7.7087757526569825E-4</v>
      </c>
      <c r="AZ134" s="618">
        <v>6.7384090240890659E-4</v>
      </c>
      <c r="BA134" s="618">
        <v>9.6034408313115389E-4</v>
      </c>
      <c r="BB134" s="618">
        <v>8.9526849309744163E-4</v>
      </c>
      <c r="BC134" s="618">
        <v>7.6983683378454789E-4</v>
      </c>
      <c r="BD134" s="618">
        <v>1.0552297520417242E-3</v>
      </c>
      <c r="BE134" s="617">
        <v>1.0002846606900471E-3</v>
      </c>
      <c r="BF134" s="617">
        <v>9.093350090795219E-4</v>
      </c>
      <c r="BG134" s="617"/>
      <c r="BH134" s="617"/>
      <c r="BI134" s="617"/>
      <c r="BJ134" s="617"/>
      <c r="BK134" s="617"/>
      <c r="BL134" s="617"/>
      <c r="BM134" s="617"/>
      <c r="BN134" s="617"/>
      <c r="BO134" s="617"/>
      <c r="BP134" s="617"/>
      <c r="BQ134" s="617"/>
      <c r="BR134" s="617"/>
      <c r="BS134" s="617"/>
      <c r="BT134" s="617"/>
      <c r="BU134" s="617"/>
      <c r="BV134" s="617"/>
      <c r="BW134" s="617"/>
      <c r="BX134" s="617"/>
      <c r="BY134" s="617"/>
      <c r="BZ134" s="617"/>
      <c r="CA134" s="617"/>
      <c r="CB134" s="617"/>
      <c r="CC134" s="617"/>
      <c r="CD134" s="617"/>
      <c r="CE134" s="617"/>
      <c r="CF134" s="617"/>
      <c r="CG134" s="617"/>
      <c r="CH134" s="617"/>
      <c r="CI134" s="617"/>
      <c r="CJ134" s="617"/>
      <c r="CK134" s="617"/>
      <c r="CL134" s="617"/>
    </row>
    <row r="135" spans="1:90">
      <c r="A135" s="151">
        <f t="shared" ca="1" si="0"/>
        <v>8</v>
      </c>
      <c r="B135" s="113">
        <f t="shared" si="2"/>
        <v>219</v>
      </c>
      <c r="C135" s="150">
        <f t="shared" si="9"/>
        <v>21</v>
      </c>
      <c r="D135" s="565">
        <f t="shared" si="10"/>
        <v>9.5000000000000001E-2</v>
      </c>
      <c r="E135" s="306">
        <f t="shared" si="3"/>
        <v>6999.2157724804674</v>
      </c>
      <c r="F135" s="306">
        <f t="shared" si="15"/>
        <v>2616.0902824974055</v>
      </c>
      <c r="G135" s="307">
        <f t="shared" si="16"/>
        <v>9615.3060549778729</v>
      </c>
      <c r="H135" s="306">
        <f>IF(N134&lt;0.01,0,IF(Adm!$S$3=Adm!$S$13,Cal!$E$94,IF(Adm!$R$3=Adm!$R$6,0,IF(Cal!$E$91&gt;0,0,IF(Cal!$E$91=0,N134*Adm!$Y$3,N134*Adm!$X$3)))))</f>
        <v>0</v>
      </c>
      <c r="I135" s="306">
        <f>IF(N134&lt;0.01,0,IF(Adm!$R$4=Adm!$R$6,0,Cal!$E$89*Adm!$AA$3))</f>
        <v>573.58240000000001</v>
      </c>
      <c r="J135" s="306">
        <f>IF(N134&lt;0.01,0,Adm!$O$3*1.16)</f>
        <v>290</v>
      </c>
      <c r="K135" s="306">
        <f>IF(N134&lt;0.01,0,IF(Adm!$N$3&gt;0,E135*Adm!$N$3,0))</f>
        <v>0</v>
      </c>
      <c r="L135" s="306">
        <f t="shared" si="4"/>
        <v>10478.888454977872</v>
      </c>
      <c r="M135" s="306">
        <f>IF(Adm!$F$3="si",MIN(N134+E135+H135+I135+J135-L135,Z135),0)</f>
        <v>0</v>
      </c>
      <c r="N135" s="306">
        <f t="shared" si="5"/>
        <v>881495.37571503525</v>
      </c>
      <c r="O135" s="361"/>
      <c r="P135" s="114"/>
      <c r="V135" s="571">
        <f t="shared" si="6"/>
        <v>9</v>
      </c>
      <c r="W135" s="293">
        <f>IF(V135=1,Adm!$AN$2,0)</f>
        <v>0</v>
      </c>
      <c r="Y135" s="304">
        <f t="shared" si="11"/>
        <v>0</v>
      </c>
      <c r="Z135" s="345">
        <f t="shared" ca="1" si="7"/>
        <v>0</v>
      </c>
      <c r="AB135" s="640">
        <f t="shared" si="12"/>
        <v>0</v>
      </c>
      <c r="AC135" s="639">
        <f t="shared" si="13"/>
        <v>0</v>
      </c>
      <c r="AD135" s="641">
        <f t="shared" si="8"/>
        <v>0</v>
      </c>
      <c r="AE135" s="639">
        <f t="shared" si="14"/>
        <v>0</v>
      </c>
      <c r="AF135" s="636">
        <f t="shared" si="1"/>
        <v>0</v>
      </c>
      <c r="AG135" s="637" t="e">
        <f>HLOOKUP($AG$110,anticipado,22,0)</f>
        <v>#N/A</v>
      </c>
      <c r="AI135" s="614">
        <v>1.4738449751491437E-3</v>
      </c>
      <c r="AJ135" s="615">
        <v>1.3184774244726493E-3</v>
      </c>
      <c r="AK135" s="616">
        <v>1.2025642064324117E-3</v>
      </c>
      <c r="AL135" s="616">
        <v>1.5593231783458058E-3</v>
      </c>
      <c r="AM135" s="617">
        <v>1.4738449751491437E-3</v>
      </c>
      <c r="AN135" s="617">
        <v>1.3184774244726493E-3</v>
      </c>
      <c r="AO135" s="617">
        <v>1.6990440654296808E-3</v>
      </c>
      <c r="AP135" s="617">
        <v>1.5845693248435042E-3</v>
      </c>
      <c r="AQ135" s="617">
        <v>1.4992394343862881E-3</v>
      </c>
      <c r="AR135" s="617">
        <v>1.8105074010591673E-3</v>
      </c>
      <c r="AS135" s="617">
        <v>1.6990440654296808E-3</v>
      </c>
      <c r="AT135" s="618">
        <v>1.5843366079963269E-3</v>
      </c>
      <c r="AU135" s="618">
        <v>7.784733969458808E-4</v>
      </c>
      <c r="AV135" s="618">
        <v>7.0783683879017934E-4</v>
      </c>
      <c r="AW135" s="618">
        <v>5.9412037188049597E-4</v>
      </c>
      <c r="AX135" s="618">
        <v>8.904965202682863E-4</v>
      </c>
      <c r="AY135" s="618">
        <v>7.784733969458808E-4</v>
      </c>
      <c r="AZ135" s="618">
        <v>6.8069545608133095E-4</v>
      </c>
      <c r="BA135" s="618">
        <v>9.6922972732025193E-4</v>
      </c>
      <c r="BB135" s="618">
        <v>9.0376199063199906E-4</v>
      </c>
      <c r="BC135" s="618">
        <v>7.7745369207460498E-4</v>
      </c>
      <c r="BD135" s="618">
        <v>1.0647071649230273E-3</v>
      </c>
      <c r="BE135" s="617">
        <v>1.0094133385314772E-3</v>
      </c>
      <c r="BF135" s="617">
        <v>9.178990343834618E-4</v>
      </c>
      <c r="BG135" s="617"/>
      <c r="BH135" s="617"/>
      <c r="BI135" s="617"/>
      <c r="BJ135" s="617"/>
      <c r="BK135" s="617"/>
      <c r="BL135" s="617"/>
      <c r="BM135" s="617"/>
      <c r="BN135" s="617"/>
      <c r="BO135" s="617"/>
      <c r="BP135" s="617"/>
      <c r="BQ135" s="617"/>
      <c r="BR135" s="617"/>
      <c r="BS135" s="617"/>
      <c r="BT135" s="617"/>
      <c r="BU135" s="617"/>
      <c r="BV135" s="617"/>
      <c r="BW135" s="617"/>
      <c r="BX135" s="617"/>
      <c r="BY135" s="617"/>
      <c r="BZ135" s="617"/>
      <c r="CA135" s="617"/>
      <c r="CB135" s="617"/>
      <c r="CC135" s="617"/>
      <c r="CD135" s="617"/>
      <c r="CE135" s="617"/>
      <c r="CF135" s="617"/>
      <c r="CG135" s="617"/>
      <c r="CH135" s="617"/>
      <c r="CI135" s="617"/>
      <c r="CJ135" s="617"/>
      <c r="CK135" s="617"/>
      <c r="CL135" s="617"/>
    </row>
    <row r="136" spans="1:90" ht="12">
      <c r="A136" s="151">
        <f t="shared" ca="1" si="0"/>
        <v>9</v>
      </c>
      <c r="B136" s="113">
        <f t="shared" si="2"/>
        <v>218</v>
      </c>
      <c r="C136" s="150">
        <f t="shared" si="9"/>
        <v>22</v>
      </c>
      <c r="D136" s="565">
        <f t="shared" si="10"/>
        <v>9.5000000000000001E-2</v>
      </c>
      <c r="E136" s="306">
        <f t="shared" si="3"/>
        <v>6978.5050577440297</v>
      </c>
      <c r="F136" s="306">
        <f t="shared" si="15"/>
        <v>2636.8009972338432</v>
      </c>
      <c r="G136" s="307">
        <f t="shared" si="16"/>
        <v>9615.3060549778729</v>
      </c>
      <c r="H136" s="306">
        <f>IF(N135&lt;0.01,0,IF(Adm!$S$3=Adm!$S$13,Cal!$E$94,IF(Adm!$R$3=Adm!$R$6,0,IF(Cal!$E$91&gt;0,0,IF(Cal!$E$91=0,N135*Adm!$Y$3,N135*Adm!$X$3)))))</f>
        <v>0</v>
      </c>
      <c r="I136" s="306">
        <f>IF(N135&lt;0.01,0,IF(Adm!$R$4=Adm!$R$6,0,Cal!$E$89*Adm!$AA$3))</f>
        <v>573.58240000000001</v>
      </c>
      <c r="J136" s="306">
        <f>IF(N135&lt;0.01,0,Adm!$O$3*1.16)</f>
        <v>290</v>
      </c>
      <c r="K136" s="306">
        <f>IF(N135&lt;0.01,0,IF(Adm!$N$3&gt;0,E136*Adm!$N$3,0))</f>
        <v>0</v>
      </c>
      <c r="L136" s="306">
        <f t="shared" si="4"/>
        <v>10478.888454977872</v>
      </c>
      <c r="M136" s="306">
        <f>IF(Adm!$F$3="si",MIN(N135+E136+H136+I136+J136-L136,Z136),0)</f>
        <v>0</v>
      </c>
      <c r="N136" s="306">
        <f t="shared" si="5"/>
        <v>878858.57471780141</v>
      </c>
      <c r="O136" s="361"/>
      <c r="P136" s="114"/>
      <c r="V136" s="571">
        <f t="shared" si="6"/>
        <v>10</v>
      </c>
      <c r="W136" s="293">
        <f>IF(V136=1,Adm!$AN$2,0)</f>
        <v>0</v>
      </c>
      <c r="Y136" s="304">
        <f t="shared" si="11"/>
        <v>0</v>
      </c>
      <c r="Z136" s="345">
        <f t="shared" ca="1" si="7"/>
        <v>0</v>
      </c>
      <c r="AB136" s="640">
        <f t="shared" si="12"/>
        <v>0</v>
      </c>
      <c r="AC136" s="639">
        <f t="shared" si="13"/>
        <v>0</v>
      </c>
      <c r="AD136" s="641">
        <f t="shared" si="8"/>
        <v>0</v>
      </c>
      <c r="AE136" s="639">
        <f t="shared" si="14"/>
        <v>0</v>
      </c>
      <c r="AF136" s="636">
        <f t="shared" si="1"/>
        <v>0</v>
      </c>
      <c r="AG136" s="637" t="e">
        <f>HLOOKUP($AG$110,anticipado,23,0)</f>
        <v>#N/A</v>
      </c>
      <c r="AI136" s="614">
        <v>1.488751076352935E-3</v>
      </c>
      <c r="AJ136" s="615">
        <v>1.3321990815136195E-3</v>
      </c>
      <c r="AK136" s="616">
        <v>1.2153398555501988E-3</v>
      </c>
      <c r="AL136" s="616">
        <v>1.5747601037356253E-3</v>
      </c>
      <c r="AM136" s="617">
        <v>1.488751076352935E-3</v>
      </c>
      <c r="AN136" s="619">
        <v>1.3321990815136195E-3</v>
      </c>
      <c r="AO136" s="619">
        <v>1.715409387086577E-3</v>
      </c>
      <c r="AP136" s="619">
        <v>1.6002305169407799E-3</v>
      </c>
      <c r="AQ136" s="619">
        <v>1.514378321896872E-3</v>
      </c>
      <c r="AR136" s="619">
        <v>1.827621442139571E-3</v>
      </c>
      <c r="AS136" s="619">
        <v>1.715409387086577E-3</v>
      </c>
      <c r="AT136" s="619">
        <v>1.5999290083052835E-3</v>
      </c>
      <c r="AU136" s="619">
        <v>7.8615003991524754E-4</v>
      </c>
      <c r="AV136" s="619">
        <v>7.150025088307081E-4</v>
      </c>
      <c r="AW136" s="619">
        <v>6.0036380293107311E-4</v>
      </c>
      <c r="AX136" s="619">
        <v>8.9897758917055438E-4</v>
      </c>
      <c r="AY136" s="619">
        <v>7.8615003991524754E-4</v>
      </c>
      <c r="AZ136" s="619">
        <v>6.8762445329281665E-4</v>
      </c>
      <c r="BA136" s="619">
        <v>9.7820628684087887E-4</v>
      </c>
      <c r="BB136" s="619">
        <v>9.1234382272095498E-4</v>
      </c>
      <c r="BC136" s="619">
        <v>7.8515189747554895E-4</v>
      </c>
      <c r="BD136" s="619">
        <v>1.0742798901414998E-3</v>
      </c>
      <c r="BE136" s="619">
        <v>1.0186346335153845E-3</v>
      </c>
      <c r="BF136" s="619">
        <v>9.2655165704703176E-4</v>
      </c>
      <c r="BG136" s="619"/>
      <c r="BH136" s="619"/>
      <c r="BI136" s="619"/>
      <c r="BJ136" s="619"/>
      <c r="BK136" s="619"/>
      <c r="BL136" s="619"/>
      <c r="BM136" s="619"/>
      <c r="BN136" s="619"/>
      <c r="BO136" s="619"/>
      <c r="BP136" s="619"/>
      <c r="BQ136" s="619"/>
      <c r="BR136" s="619"/>
      <c r="BS136" s="619"/>
      <c r="BT136" s="619"/>
      <c r="BU136" s="619"/>
      <c r="BV136" s="619"/>
      <c r="BW136" s="619"/>
      <c r="BX136" s="619"/>
      <c r="BY136" s="619"/>
      <c r="BZ136" s="619"/>
      <c r="CA136" s="619"/>
      <c r="CB136" s="619"/>
      <c r="CC136" s="619"/>
      <c r="CD136" s="619"/>
      <c r="CE136" s="619"/>
      <c r="CF136" s="619"/>
      <c r="CG136" s="619"/>
      <c r="CH136" s="619"/>
      <c r="CI136" s="619"/>
      <c r="CJ136" s="619"/>
      <c r="CK136" s="619"/>
      <c r="CL136" s="619"/>
    </row>
    <row r="137" spans="1:90" ht="12">
      <c r="A137" s="151">
        <f t="shared" ca="1" si="0"/>
        <v>10</v>
      </c>
      <c r="B137" s="113">
        <f t="shared" si="2"/>
        <v>217</v>
      </c>
      <c r="C137" s="150">
        <f t="shared" si="9"/>
        <v>23</v>
      </c>
      <c r="D137" s="565">
        <f t="shared" si="10"/>
        <v>9.5000000000000001E-2</v>
      </c>
      <c r="E137" s="306">
        <f t="shared" si="3"/>
        <v>6957.6303831825944</v>
      </c>
      <c r="F137" s="306">
        <f t="shared" si="15"/>
        <v>2657.6756717952785</v>
      </c>
      <c r="G137" s="307">
        <f t="shared" si="16"/>
        <v>9615.3060549778729</v>
      </c>
      <c r="H137" s="306">
        <f>IF(N136&lt;0.01,0,IF(Adm!$S$3=Adm!$S$13,Cal!$E$94,IF(Adm!$R$3=Adm!$R$6,0,IF(Cal!$E$91&gt;0,0,IF(Cal!$E$91=0,N136*Adm!$Y$3,N136*Adm!$X$3)))))</f>
        <v>0</v>
      </c>
      <c r="I137" s="306">
        <f>IF(N136&lt;0.01,0,IF(Adm!$R$4=Adm!$R$6,0,Cal!$E$89*Adm!$AA$3))</f>
        <v>573.58240000000001</v>
      </c>
      <c r="J137" s="306">
        <f>IF(N136&lt;0.01,0,Adm!$O$3*1.16)</f>
        <v>290</v>
      </c>
      <c r="K137" s="306">
        <f>IF(N136&lt;0.01,0,IF(Adm!$N$3&gt;0,E137*Adm!$N$3,0))</f>
        <v>0</v>
      </c>
      <c r="L137" s="306">
        <f t="shared" si="4"/>
        <v>10478.888454977872</v>
      </c>
      <c r="M137" s="306">
        <f>IF(Adm!$F$3="si",MIN(N136+E137+H137+I137+J137-L137,Z137),0)</f>
        <v>0</v>
      </c>
      <c r="N137" s="306">
        <f t="shared" si="5"/>
        <v>876200.89904600615</v>
      </c>
      <c r="O137" s="361"/>
      <c r="P137" s="114"/>
      <c r="V137" s="571">
        <f t="shared" si="6"/>
        <v>11</v>
      </c>
      <c r="W137" s="293">
        <f>IF(V137=1,Adm!$AN$2,0)</f>
        <v>0</v>
      </c>
      <c r="Y137" s="304">
        <f t="shared" si="11"/>
        <v>0</v>
      </c>
      <c r="Z137" s="345">
        <f t="shared" ca="1" si="7"/>
        <v>0</v>
      </c>
      <c r="AB137" s="640">
        <f t="shared" si="12"/>
        <v>0</v>
      </c>
      <c r="AC137" s="639">
        <f t="shared" si="13"/>
        <v>0</v>
      </c>
      <c r="AD137" s="641">
        <f t="shared" si="8"/>
        <v>0</v>
      </c>
      <c r="AE137" s="639">
        <f t="shared" si="14"/>
        <v>0</v>
      </c>
      <c r="AF137" s="636">
        <f t="shared" si="1"/>
        <v>0</v>
      </c>
      <c r="AG137" s="637" t="e">
        <f>HLOOKUP($AG$110,anticipado,24,0)</f>
        <v>#N/A</v>
      </c>
      <c r="AI137" s="614">
        <v>1.5038303834885509E-3</v>
      </c>
      <c r="AJ137" s="615">
        <v>1.3460820374322639E-3</v>
      </c>
      <c r="AK137" s="616">
        <v>1.2282669397896816E-3</v>
      </c>
      <c r="AL137" s="616">
        <v>1.590374439817049E-3</v>
      </c>
      <c r="AM137" s="617">
        <v>1.5038303834885509E-3</v>
      </c>
      <c r="AN137" s="619">
        <v>1.3460820374322639E-3</v>
      </c>
      <c r="AO137" s="619">
        <v>1.7319607331006393E-3</v>
      </c>
      <c r="AP137" s="619">
        <v>1.6160718472102481E-3</v>
      </c>
      <c r="AQ137" s="619">
        <v>1.529693270153958E-3</v>
      </c>
      <c r="AR137" s="619">
        <v>1.84492888722941E-3</v>
      </c>
      <c r="AS137" s="619">
        <v>1.7319607331006393E-3</v>
      </c>
      <c r="AT137" s="619">
        <v>1.6157000953333114E-3</v>
      </c>
      <c r="AU137" s="619">
        <v>7.9390848271285305E-4</v>
      </c>
      <c r="AV137" s="619">
        <v>7.2224589839730397E-4</v>
      </c>
      <c r="AW137" s="619">
        <v>6.0667663430310115E-4</v>
      </c>
      <c r="AX137" s="619">
        <v>9.0754713541300349E-4</v>
      </c>
      <c r="AY137" s="619">
        <v>7.9390848271285305E-4</v>
      </c>
      <c r="AZ137" s="619">
        <v>6.9462879914357312E-4</v>
      </c>
      <c r="BA137" s="619">
        <v>9.8727485405261748E-4</v>
      </c>
      <c r="BB137" s="619">
        <v>9.2101505626319058E-4</v>
      </c>
      <c r="BC137" s="619">
        <v>7.9293243801581198E-4</v>
      </c>
      <c r="BD137" s="619">
        <v>1.0839490706269655E-3</v>
      </c>
      <c r="BE137" s="619">
        <v>1.0279496564122841E-3</v>
      </c>
      <c r="BF137" s="619">
        <v>9.3529394428583509E-4</v>
      </c>
      <c r="BG137" s="619"/>
      <c r="BH137" s="619"/>
      <c r="BI137" s="619"/>
      <c r="BJ137" s="619"/>
      <c r="BK137" s="619"/>
      <c r="BL137" s="619"/>
      <c r="BM137" s="619"/>
      <c r="BN137" s="619"/>
      <c r="BO137" s="619"/>
      <c r="BP137" s="619"/>
      <c r="BQ137" s="619"/>
      <c r="BR137" s="619"/>
      <c r="BS137" s="619"/>
      <c r="BT137" s="619"/>
      <c r="BU137" s="619"/>
      <c r="BV137" s="619"/>
      <c r="BW137" s="619"/>
      <c r="BX137" s="619"/>
      <c r="BY137" s="619"/>
      <c r="BZ137" s="619"/>
      <c r="CA137" s="619"/>
      <c r="CB137" s="619"/>
      <c r="CC137" s="619"/>
      <c r="CD137" s="619"/>
      <c r="CE137" s="619"/>
      <c r="CF137" s="619"/>
      <c r="CG137" s="619"/>
      <c r="CH137" s="619"/>
      <c r="CI137" s="619"/>
      <c r="CJ137" s="619"/>
      <c r="CK137" s="619"/>
      <c r="CL137" s="619"/>
    </row>
    <row r="138" spans="1:90" ht="12">
      <c r="A138" s="151">
        <f t="shared" ca="1" si="0"/>
        <v>11</v>
      </c>
      <c r="B138" s="113">
        <f t="shared" si="2"/>
        <v>216</v>
      </c>
      <c r="C138" s="150">
        <f t="shared" si="9"/>
        <v>24</v>
      </c>
      <c r="D138" s="565">
        <f t="shared" si="10"/>
        <v>9.5000000000000001E-2</v>
      </c>
      <c r="E138" s="306">
        <f t="shared" si="3"/>
        <v>6936.5904507808818</v>
      </c>
      <c r="F138" s="306">
        <f t="shared" si="15"/>
        <v>2678.7156041969911</v>
      </c>
      <c r="G138" s="307">
        <f t="shared" si="16"/>
        <v>9615.3060549778729</v>
      </c>
      <c r="H138" s="306">
        <f>IF(N137&lt;0.01,0,IF(Adm!$S$3=Adm!$S$13,Cal!$E$94,IF(Adm!$R$3=Adm!$R$6,0,IF(Cal!$E$91&gt;0,0,IF(Cal!$E$91=0,N137*Adm!$Y$3,N137*Adm!$X$3)))))</f>
        <v>0</v>
      </c>
      <c r="I138" s="306">
        <f>IF(N137&lt;0.01,0,IF(Adm!$R$4=Adm!$R$6,0,Cal!$E$89*Adm!$AA$3))</f>
        <v>573.58240000000001</v>
      </c>
      <c r="J138" s="306">
        <f>IF(N137&lt;0.01,0,Adm!$O$3*1.16)</f>
        <v>290</v>
      </c>
      <c r="K138" s="306">
        <f>IF(N137&lt;0.01,0,IF(Adm!$N$3&gt;0,E138*Adm!$N$3,0))</f>
        <v>0</v>
      </c>
      <c r="L138" s="306">
        <f t="shared" si="4"/>
        <v>10478.888454977872</v>
      </c>
      <c r="M138" s="306">
        <f>IF(Adm!$F$3="si",MIN(N137+E138+H138+I138+J138-L138,Z138),0)</f>
        <v>0</v>
      </c>
      <c r="N138" s="306">
        <f t="shared" si="5"/>
        <v>873522.18344180915</v>
      </c>
      <c r="O138" s="361"/>
      <c r="P138" s="114"/>
      <c r="V138" s="571">
        <f t="shared" si="6"/>
        <v>12</v>
      </c>
      <c r="W138" s="293">
        <f>IF(V138=1,Adm!$AN$2,0)</f>
        <v>0</v>
      </c>
      <c r="Y138" s="304">
        <f t="shared" si="11"/>
        <v>0</v>
      </c>
      <c r="Z138" s="345">
        <f t="shared" ca="1" si="7"/>
        <v>0</v>
      </c>
      <c r="AB138" s="640">
        <f t="shared" si="12"/>
        <v>0</v>
      </c>
      <c r="AC138" s="639">
        <f t="shared" si="13"/>
        <v>0</v>
      </c>
      <c r="AD138" s="641">
        <f t="shared" si="8"/>
        <v>0</v>
      </c>
      <c r="AE138" s="639">
        <f t="shared" si="14"/>
        <v>0</v>
      </c>
      <c r="AF138" s="636">
        <f t="shared" si="1"/>
        <v>0</v>
      </c>
      <c r="AG138" s="637" t="e">
        <f>HLOOKUP($AG$110,anticipado,25,0)</f>
        <v>#N/A</v>
      </c>
      <c r="AI138" s="614">
        <v>1.5190853672765626E-3</v>
      </c>
      <c r="AJ138" s="615">
        <v>1.360128576567479E-3</v>
      </c>
      <c r="AK138" s="616">
        <v>1.2413475907880876E-3</v>
      </c>
      <c r="AL138" s="616">
        <v>1.6061687167016018E-3</v>
      </c>
      <c r="AM138" s="617">
        <v>1.5190853672765626E-3</v>
      </c>
      <c r="AN138" s="619">
        <v>1.360128576567479E-3</v>
      </c>
      <c r="AO138" s="619">
        <v>1.7487007699718855E-3</v>
      </c>
      <c r="AP138" s="619">
        <v>1.632095893236312E-3</v>
      </c>
      <c r="AQ138" s="619">
        <v>1.5451867992373697E-3</v>
      </c>
      <c r="AR138" s="619">
        <v>1.8624325255614557E-3</v>
      </c>
      <c r="AS138" s="619">
        <v>1.7487007699718855E-3</v>
      </c>
      <c r="AT138" s="619">
        <v>1.6316524179195344E-3</v>
      </c>
      <c r="AU138" s="619">
        <v>8.0174971809568191E-4</v>
      </c>
      <c r="AV138" s="619">
        <v>7.2956795602189747E-4</v>
      </c>
      <c r="AW138" s="619">
        <v>6.1305971762743773E-4</v>
      </c>
      <c r="AX138" s="619">
        <v>9.1620622979523907E-4</v>
      </c>
      <c r="AY138" s="619">
        <v>8.0174971809568191E-4</v>
      </c>
      <c r="AZ138" s="619">
        <v>7.0170941172812665E-4</v>
      </c>
      <c r="BA138" s="619">
        <v>9.9643653749748409E-4</v>
      </c>
      <c r="BB138" s="619">
        <v>9.2977677390384541E-4</v>
      </c>
      <c r="BC138" s="619">
        <v>8.0079631611768324E-4</v>
      </c>
      <c r="BD138" s="619">
        <v>1.0937158663996774E-3</v>
      </c>
      <c r="BE138" s="619">
        <v>1.0373595345005615E-3</v>
      </c>
      <c r="BF138" s="619">
        <v>9.4412697905841528E-4</v>
      </c>
      <c r="BG138" s="619"/>
      <c r="BH138" s="619"/>
      <c r="BI138" s="619"/>
      <c r="BJ138" s="619"/>
      <c r="BK138" s="619"/>
      <c r="BL138" s="619"/>
      <c r="BM138" s="619"/>
      <c r="BN138" s="619"/>
      <c r="BO138" s="619"/>
      <c r="BP138" s="619"/>
      <c r="BQ138" s="619"/>
      <c r="BR138" s="619"/>
      <c r="BS138" s="619"/>
      <c r="BT138" s="619"/>
      <c r="BU138" s="619"/>
      <c r="BV138" s="619"/>
      <c r="BW138" s="619"/>
      <c r="BX138" s="619"/>
      <c r="BY138" s="619"/>
      <c r="BZ138" s="619"/>
      <c r="CA138" s="619"/>
      <c r="CB138" s="619"/>
      <c r="CC138" s="619"/>
      <c r="CD138" s="619"/>
      <c r="CE138" s="619"/>
      <c r="CF138" s="619"/>
      <c r="CG138" s="619"/>
      <c r="CH138" s="619"/>
      <c r="CI138" s="619"/>
      <c r="CJ138" s="619"/>
      <c r="CK138" s="619"/>
      <c r="CL138" s="619"/>
    </row>
    <row r="139" spans="1:90" ht="12">
      <c r="A139" s="151">
        <f t="shared" ca="1" si="0"/>
        <v>12</v>
      </c>
      <c r="B139" s="113">
        <f t="shared" si="2"/>
        <v>215</v>
      </c>
      <c r="C139" s="150">
        <f t="shared" si="9"/>
        <v>25</v>
      </c>
      <c r="D139" s="565">
        <f t="shared" si="10"/>
        <v>9.5000000000000001E-2</v>
      </c>
      <c r="E139" s="306">
        <f t="shared" si="3"/>
        <v>6915.3839522476555</v>
      </c>
      <c r="F139" s="306">
        <f t="shared" si="15"/>
        <v>2699.9221027302174</v>
      </c>
      <c r="G139" s="307">
        <f t="shared" si="16"/>
        <v>9615.3060549778729</v>
      </c>
      <c r="H139" s="306">
        <f>IF(N138&lt;0.01,0,IF(Adm!$S$3=Adm!$S$13,Cal!$E$94,IF(Adm!$R$3=Adm!$R$6,0,IF(Cal!$E$91&gt;0,0,IF(Cal!$E$91=0,N138*Adm!$Y$3,N138*Adm!$X$3)))))</f>
        <v>0</v>
      </c>
      <c r="I139" s="306">
        <f>IF(N138&lt;0.01,0,IF(Adm!$R$4=Adm!$R$6,0,Cal!$E$89*Adm!$AA$3))</f>
        <v>573.58240000000001</v>
      </c>
      <c r="J139" s="306">
        <f>IF(N138&lt;0.01,0,Adm!$O$3*1.16)</f>
        <v>290</v>
      </c>
      <c r="K139" s="306">
        <f>IF(N138&lt;0.01,0,IF(Adm!$N$3&gt;0,E139*Adm!$N$3,0))</f>
        <v>0</v>
      </c>
      <c r="L139" s="306">
        <f t="shared" si="4"/>
        <v>10478.888454977872</v>
      </c>
      <c r="M139" s="306">
        <f>IF(Adm!$F$3="si",MIN(N138+E139+H139+I139+J139-L139,Z139),0)</f>
        <v>0</v>
      </c>
      <c r="N139" s="306">
        <f t="shared" si="5"/>
        <v>870822.26133907889</v>
      </c>
      <c r="O139" s="361"/>
      <c r="P139" s="114"/>
      <c r="V139" s="571">
        <f t="shared" si="6"/>
        <v>1</v>
      </c>
      <c r="W139" s="293">
        <f>IF(V139=1,Adm!$AN$2,0)</f>
        <v>0</v>
      </c>
      <c r="Y139" s="304">
        <f t="shared" si="11"/>
        <v>0</v>
      </c>
      <c r="Z139" s="345">
        <f t="shared" ca="1" si="7"/>
        <v>0</v>
      </c>
      <c r="AB139" s="640">
        <f t="shared" si="12"/>
        <v>0</v>
      </c>
      <c r="AC139" s="639">
        <f t="shared" si="13"/>
        <v>0</v>
      </c>
      <c r="AD139" s="641">
        <f t="shared" si="8"/>
        <v>0</v>
      </c>
      <c r="AE139" s="639">
        <f t="shared" si="14"/>
        <v>0</v>
      </c>
      <c r="AF139" s="636">
        <f t="shared" si="1"/>
        <v>0</v>
      </c>
      <c r="AG139" s="637" t="e">
        <f>HLOOKUP($AG$110,anticipado,26,0)</f>
        <v>#N/A</v>
      </c>
      <c r="AI139" s="614">
        <v>1.7885065068150171E-3</v>
      </c>
      <c r="AJ139" s="615">
        <v>1.6355745494978926E-3</v>
      </c>
      <c r="AK139" s="616">
        <v>1.5211569102735667E-3</v>
      </c>
      <c r="AL139" s="616">
        <v>1.8708241484073048E-3</v>
      </c>
      <c r="AM139" s="617">
        <v>1.7885065068150171E-3</v>
      </c>
      <c r="AN139" s="619">
        <v>1.6355745494978926E-3</v>
      </c>
      <c r="AO139" s="619">
        <v>2.0076896854823263E-3</v>
      </c>
      <c r="AP139" s="619">
        <v>1.8965962451590449E-3</v>
      </c>
      <c r="AQ139" s="619">
        <v>1.814466345356264E-3</v>
      </c>
      <c r="AR139" s="619">
        <v>2.1177635784779048E-3</v>
      </c>
      <c r="AS139" s="619">
        <v>2.0076896854823263E-3</v>
      </c>
      <c r="AT139" s="619">
        <v>1.8950249524241837E-3</v>
      </c>
      <c r="AU139" s="619">
        <v>9.0852150082552799E-4</v>
      </c>
      <c r="AV139" s="619">
        <v>8.3842267375139345E-4</v>
      </c>
      <c r="AW139" s="619">
        <v>7.2479238918999375E-4</v>
      </c>
      <c r="AX139" s="619">
        <v>1.0204555185284814E-3</v>
      </c>
      <c r="AY139" s="619">
        <v>9.0852150082552799E-4</v>
      </c>
      <c r="AZ139" s="619">
        <v>8.1087256125300287E-4</v>
      </c>
      <c r="BA139" s="619">
        <v>1.0985827201532208E-3</v>
      </c>
      <c r="BB139" s="619">
        <v>1.0338497083988011E-3</v>
      </c>
      <c r="BC139" s="619">
        <v>9.0799866101024397E-4</v>
      </c>
      <c r="BD139" s="619">
        <v>1.1937839361046418E-3</v>
      </c>
      <c r="BE139" s="619">
        <v>1.1385007326573222E-3</v>
      </c>
      <c r="BF139" s="619">
        <v>1.0475823789577556E-3</v>
      </c>
      <c r="BG139" s="619"/>
      <c r="BH139" s="619"/>
      <c r="BI139" s="619"/>
      <c r="BJ139" s="619"/>
      <c r="BK139" s="619"/>
      <c r="BL139" s="619"/>
      <c r="BM139" s="619"/>
      <c r="BN139" s="619"/>
      <c r="BO139" s="619"/>
      <c r="BP139" s="619"/>
      <c r="BQ139" s="619"/>
      <c r="BR139" s="619"/>
      <c r="BS139" s="619"/>
      <c r="BT139" s="619"/>
      <c r="BU139" s="619"/>
      <c r="BV139" s="619"/>
      <c r="BW139" s="619"/>
      <c r="BX139" s="619"/>
      <c r="BY139" s="619"/>
      <c r="BZ139" s="619"/>
      <c r="CA139" s="619"/>
      <c r="CB139" s="619"/>
      <c r="CC139" s="619"/>
      <c r="CD139" s="619"/>
      <c r="CE139" s="619"/>
      <c r="CF139" s="619"/>
      <c r="CG139" s="619"/>
      <c r="CH139" s="619"/>
      <c r="CI139" s="619"/>
      <c r="CJ139" s="619"/>
      <c r="CK139" s="619"/>
      <c r="CL139" s="619"/>
    </row>
    <row r="140" spans="1:90" ht="12">
      <c r="A140" s="151">
        <f t="shared" ca="1" si="0"/>
        <v>1</v>
      </c>
      <c r="B140" s="113">
        <f t="shared" si="2"/>
        <v>214</v>
      </c>
      <c r="C140" s="150">
        <f t="shared" si="9"/>
        <v>26</v>
      </c>
      <c r="D140" s="565">
        <f t="shared" si="10"/>
        <v>9.5000000000000001E-2</v>
      </c>
      <c r="E140" s="306">
        <f t="shared" si="3"/>
        <v>6894.0095689343752</v>
      </c>
      <c r="F140" s="306">
        <f t="shared" si="15"/>
        <v>2721.2964860434977</v>
      </c>
      <c r="G140" s="307">
        <f t="shared" si="16"/>
        <v>9615.3060549778729</v>
      </c>
      <c r="H140" s="306">
        <f>IF(N139&lt;0.01,0,IF(Adm!$S$3=Adm!$S$13,Cal!$E$94,IF(Adm!$R$3=Adm!$R$6,0,IF(Cal!$E$91&gt;0,0,IF(Cal!$E$91=0,N139*Adm!$Y$3,N139*Adm!$X$3)))))</f>
        <v>0</v>
      </c>
      <c r="I140" s="306">
        <f>IF(N139&lt;0.01,0,IF(Adm!$R$4=Adm!$R$6,0,Cal!$E$89*Adm!$AA$3))</f>
        <v>573.58240000000001</v>
      </c>
      <c r="J140" s="306">
        <f>IF(N139&lt;0.01,0,Adm!$O$3*1.16)</f>
        <v>290</v>
      </c>
      <c r="K140" s="306">
        <f>IF(N139&lt;0.01,0,IF(Adm!$N$3&gt;0,E140*Adm!$N$3,0))</f>
        <v>0</v>
      </c>
      <c r="L140" s="306">
        <f t="shared" si="4"/>
        <v>10478.888454977872</v>
      </c>
      <c r="M140" s="306">
        <f>IF(Adm!$F$3="si",MIN(N139+E140+H140+I140+J140-L140,Z140),0)</f>
        <v>0</v>
      </c>
      <c r="N140" s="306">
        <f t="shared" si="5"/>
        <v>868100.9648530354</v>
      </c>
      <c r="O140" s="361"/>
      <c r="P140" s="114"/>
      <c r="V140" s="571">
        <f t="shared" si="6"/>
        <v>2</v>
      </c>
      <c r="W140" s="293">
        <f>IF(V140=1,Adm!$AN$2,0)</f>
        <v>0</v>
      </c>
      <c r="Y140" s="304">
        <f t="shared" si="11"/>
        <v>0</v>
      </c>
      <c r="Z140" s="345">
        <f t="shared" ca="1" si="7"/>
        <v>0</v>
      </c>
      <c r="AB140" s="640">
        <f t="shared" si="12"/>
        <v>0</v>
      </c>
      <c r="AC140" s="639">
        <f t="shared" si="13"/>
        <v>0</v>
      </c>
      <c r="AD140" s="641">
        <f t="shared" si="8"/>
        <v>0</v>
      </c>
      <c r="AE140" s="639">
        <f t="shared" si="14"/>
        <v>0</v>
      </c>
      <c r="AF140" s="636">
        <f t="shared" si="1"/>
        <v>0</v>
      </c>
      <c r="AG140" s="637" t="e">
        <f>HLOOKUP($AG$110,anticipado,27,0)</f>
        <v>#N/A</v>
      </c>
      <c r="AI140" s="614">
        <v>1.8071645009050488E-3</v>
      </c>
      <c r="AJ140" s="615">
        <v>1.65312119148261E-3</v>
      </c>
      <c r="AK140" s="616">
        <v>1.5378077083599674E-3</v>
      </c>
      <c r="AL140" s="616">
        <v>1.8899344945340767E-3</v>
      </c>
      <c r="AM140" s="617">
        <v>1.8071645009050488E-3</v>
      </c>
      <c r="AN140" s="619">
        <v>1.65312119148261E-3</v>
      </c>
      <c r="AO140" s="619">
        <v>2.0276547971142815E-3</v>
      </c>
      <c r="AP140" s="619">
        <v>1.9159401489488915E-3</v>
      </c>
      <c r="AQ140" s="619">
        <v>1.8333670977180654E-3</v>
      </c>
      <c r="AR140" s="619">
        <v>2.1384402366116479E-3</v>
      </c>
      <c r="AS140" s="619">
        <v>2.0276547971142815E-3</v>
      </c>
      <c r="AT140" s="619">
        <v>1.9142707071628476E-3</v>
      </c>
      <c r="AU140" s="619">
        <v>9.1759999276810617E-4</v>
      </c>
      <c r="AV140" s="619">
        <v>8.4702099534791388E-4</v>
      </c>
      <c r="AW140" s="619">
        <v>7.3250478767470306E-4</v>
      </c>
      <c r="AX140" s="619">
        <v>1.030308331198147E-3</v>
      </c>
      <c r="AY140" s="619">
        <v>9.1759999276810617E-4</v>
      </c>
      <c r="AZ140" s="619">
        <v>8.1923338718849583E-4</v>
      </c>
      <c r="BA140" s="619">
        <v>1.1089008663486236E-3</v>
      </c>
      <c r="BB140" s="619">
        <v>1.043802720200463E-3</v>
      </c>
      <c r="BC140" s="619">
        <v>9.1710931616753263E-4</v>
      </c>
      <c r="BD140" s="619">
        <v>1.2046728446890556E-3</v>
      </c>
      <c r="BE140" s="619">
        <v>1.1490497575949391E-3</v>
      </c>
      <c r="BF140" s="619">
        <v>1.0575947467997228E-3</v>
      </c>
      <c r="BG140" s="619"/>
      <c r="BH140" s="619"/>
      <c r="BI140" s="619"/>
      <c r="BJ140" s="619"/>
      <c r="BK140" s="619"/>
      <c r="BL140" s="619"/>
      <c r="BM140" s="619"/>
      <c r="BN140" s="619"/>
      <c r="BO140" s="619"/>
      <c r="BP140" s="619"/>
      <c r="BQ140" s="619"/>
      <c r="BR140" s="619"/>
      <c r="BS140" s="619"/>
      <c r="BT140" s="619"/>
      <c r="BU140" s="619"/>
      <c r="BV140" s="619"/>
      <c r="BW140" s="619"/>
      <c r="BX140" s="619"/>
      <c r="BY140" s="619"/>
      <c r="BZ140" s="619"/>
      <c r="CA140" s="619"/>
      <c r="CB140" s="619"/>
      <c r="CC140" s="619"/>
      <c r="CD140" s="619"/>
      <c r="CE140" s="619"/>
      <c r="CF140" s="619"/>
      <c r="CG140" s="619"/>
      <c r="CH140" s="619"/>
      <c r="CI140" s="619"/>
      <c r="CJ140" s="619"/>
      <c r="CK140" s="619"/>
      <c r="CL140" s="619"/>
    </row>
    <row r="141" spans="1:90" ht="12">
      <c r="A141" s="151">
        <f t="shared" ca="1" si="0"/>
        <v>2</v>
      </c>
      <c r="B141" s="113">
        <f t="shared" si="2"/>
        <v>213</v>
      </c>
      <c r="C141" s="150">
        <f t="shared" si="9"/>
        <v>27</v>
      </c>
      <c r="D141" s="565">
        <f t="shared" si="10"/>
        <v>9.5000000000000001E-2</v>
      </c>
      <c r="E141" s="306">
        <f t="shared" si="3"/>
        <v>6872.4659717531968</v>
      </c>
      <c r="F141" s="306">
        <f t="shared" si="15"/>
        <v>2742.8400832246762</v>
      </c>
      <c r="G141" s="307">
        <f t="shared" si="16"/>
        <v>9615.3060549778729</v>
      </c>
      <c r="H141" s="306">
        <f>IF(N140&lt;0.01,0,IF(Adm!$S$3=Adm!$S$13,Cal!$E$94,IF(Adm!$R$3=Adm!$R$6,0,IF(Cal!$E$91&gt;0,0,IF(Cal!$E$91=0,N140*Adm!$Y$3,N140*Adm!$X$3)))))</f>
        <v>0</v>
      </c>
      <c r="I141" s="306">
        <f>IF(N140&lt;0.01,0,IF(Adm!$R$4=Adm!$R$6,0,Cal!$E$89*Adm!$AA$3))</f>
        <v>573.58240000000001</v>
      </c>
      <c r="J141" s="306">
        <f>IF(N140&lt;0.01,0,Adm!$O$3*1.16)</f>
        <v>290</v>
      </c>
      <c r="K141" s="306">
        <f>IF(N140&lt;0.01,0,IF(Adm!$N$3&gt;0,E141*Adm!$N$3,0))</f>
        <v>0</v>
      </c>
      <c r="L141" s="306">
        <f t="shared" si="4"/>
        <v>10478.888454977872</v>
      </c>
      <c r="M141" s="306">
        <f>IF(Adm!$F$3="si",MIN(N140+E141+H141+I141+J141-L141,Z141),0)</f>
        <v>0</v>
      </c>
      <c r="N141" s="306">
        <f t="shared" si="5"/>
        <v>865358.1247698107</v>
      </c>
      <c r="O141" s="361"/>
      <c r="P141" s="114"/>
      <c r="V141" s="571">
        <f t="shared" si="6"/>
        <v>3</v>
      </c>
      <c r="W141" s="293">
        <f>IF(V141=1,Adm!$AN$2,0)</f>
        <v>0</v>
      </c>
      <c r="Y141" s="304">
        <f t="shared" si="11"/>
        <v>0</v>
      </c>
      <c r="Z141" s="345">
        <f t="shared" ca="1" si="7"/>
        <v>0</v>
      </c>
      <c r="AB141" s="640">
        <f t="shared" si="12"/>
        <v>0</v>
      </c>
      <c r="AC141" s="639">
        <f t="shared" si="13"/>
        <v>0</v>
      </c>
      <c r="AD141" s="641">
        <f t="shared" si="8"/>
        <v>0</v>
      </c>
      <c r="AE141" s="639">
        <f t="shared" si="14"/>
        <v>0</v>
      </c>
      <c r="AF141" s="636">
        <f t="shared" si="1"/>
        <v>0</v>
      </c>
      <c r="AG141" s="637" t="e">
        <f>HLOOKUP($AG$110,anticipado,28,0)</f>
        <v>#N/A</v>
      </c>
      <c r="AI141" s="614">
        <v>1.8260512697568913E-3</v>
      </c>
      <c r="AJ141" s="615">
        <v>1.6708854424287332E-3</v>
      </c>
      <c r="AK141" s="616">
        <v>1.5546666943092246E-3</v>
      </c>
      <c r="AL141" s="616">
        <v>1.9092766069200994E-3</v>
      </c>
      <c r="AM141" s="617">
        <v>1.8260512697568913E-3</v>
      </c>
      <c r="AN141" s="619">
        <v>1.6708854424287332E-3</v>
      </c>
      <c r="AO141" s="619">
        <v>2.0478594162272323E-3</v>
      </c>
      <c r="AP141" s="619">
        <v>1.935518858138707E-3</v>
      </c>
      <c r="AQ141" s="619">
        <v>1.8524998108418711E-3</v>
      </c>
      <c r="AR141" s="619">
        <v>2.1593635132379886E-3</v>
      </c>
      <c r="AS141" s="619">
        <v>2.0478594162272323E-3</v>
      </c>
      <c r="AT141" s="619">
        <v>1.9337492077043563E-3</v>
      </c>
      <c r="AU141" s="619">
        <v>9.267776238434122E-4</v>
      </c>
      <c r="AV141" s="619">
        <v>8.5571485966464691E-4</v>
      </c>
      <c r="AW141" s="619">
        <v>7.4030496621133588E-4</v>
      </c>
      <c r="AX141" s="619">
        <v>1.0402665358332666E-3</v>
      </c>
      <c r="AY141" s="619">
        <v>9.267776238434122E-4</v>
      </c>
      <c r="AZ141" s="619">
        <v>8.2768734653032561E-4</v>
      </c>
      <c r="BA141" s="619">
        <v>1.119327485076139E-3</v>
      </c>
      <c r="BB141" s="619">
        <v>1.0538620509576875E-3</v>
      </c>
      <c r="BC141" s="619">
        <v>9.263198326481994E-4</v>
      </c>
      <c r="BD141" s="619">
        <v>1.2156743278936436E-3</v>
      </c>
      <c r="BE141" s="619">
        <v>1.1597087745470239E-3</v>
      </c>
      <c r="BF141" s="619">
        <v>1.0677135103471511E-3</v>
      </c>
      <c r="BG141" s="619"/>
      <c r="BH141" s="619"/>
      <c r="BI141" s="619"/>
      <c r="BJ141" s="619"/>
      <c r="BK141" s="619"/>
      <c r="BL141" s="619"/>
      <c r="BM141" s="619"/>
      <c r="BN141" s="619"/>
      <c r="BO141" s="619"/>
      <c r="BP141" s="619"/>
      <c r="BQ141" s="619"/>
      <c r="BR141" s="619"/>
      <c r="BS141" s="619"/>
      <c r="BT141" s="619"/>
      <c r="BU141" s="619"/>
      <c r="BV141" s="619"/>
      <c r="BW141" s="619"/>
      <c r="BX141" s="619"/>
      <c r="BY141" s="619"/>
      <c r="BZ141" s="619"/>
      <c r="CA141" s="619"/>
      <c r="CB141" s="619"/>
      <c r="CC141" s="619"/>
      <c r="CD141" s="619"/>
      <c r="CE141" s="619"/>
      <c r="CF141" s="619"/>
      <c r="CG141" s="619"/>
      <c r="CH141" s="619"/>
      <c r="CI141" s="619"/>
      <c r="CJ141" s="619"/>
      <c r="CK141" s="619"/>
      <c r="CL141" s="619"/>
    </row>
    <row r="142" spans="1:90" ht="12">
      <c r="A142" s="151">
        <f t="shared" ca="1" si="0"/>
        <v>3</v>
      </c>
      <c r="B142" s="113">
        <f t="shared" si="2"/>
        <v>212</v>
      </c>
      <c r="C142" s="150">
        <f t="shared" si="9"/>
        <v>28</v>
      </c>
      <c r="D142" s="565">
        <f t="shared" si="10"/>
        <v>9.5000000000000001E-2</v>
      </c>
      <c r="E142" s="306">
        <f t="shared" si="3"/>
        <v>6850.7518210943344</v>
      </c>
      <c r="F142" s="306">
        <f t="shared" si="15"/>
        <v>2764.5542338835385</v>
      </c>
      <c r="G142" s="307">
        <f t="shared" si="16"/>
        <v>9615.3060549778729</v>
      </c>
      <c r="H142" s="306">
        <f>IF(N141&lt;0.01,0,IF(Adm!$S$3=Adm!$S$13,Cal!$E$94,IF(Adm!$R$3=Adm!$R$6,0,IF(Cal!$E$91&gt;0,0,IF(Cal!$E$91=0,N141*Adm!$Y$3,N141*Adm!$X$3)))))</f>
        <v>0</v>
      </c>
      <c r="I142" s="306">
        <f>IF(N141&lt;0.01,0,IF(Adm!$R$4=Adm!$R$6,0,Cal!$E$89*Adm!$AA$3))</f>
        <v>573.58240000000001</v>
      </c>
      <c r="J142" s="306">
        <f>IF(N141&lt;0.01,0,Adm!$O$3*1.16)</f>
        <v>290</v>
      </c>
      <c r="K142" s="306">
        <f>IF(N141&lt;0.01,0,IF(Adm!$N$3&gt;0,E142*Adm!$N$3,0))</f>
        <v>0</v>
      </c>
      <c r="L142" s="306">
        <f t="shared" si="4"/>
        <v>10478.888454977872</v>
      </c>
      <c r="M142" s="306">
        <f>IF(Adm!$F$3="si",MIN(N141+E142+H142+I142+J142-L142,Z142),0)</f>
        <v>0</v>
      </c>
      <c r="N142" s="306">
        <f t="shared" si="5"/>
        <v>862593.5705359272</v>
      </c>
      <c r="O142" s="361"/>
      <c r="P142" s="114"/>
      <c r="V142" s="571">
        <f t="shared" si="6"/>
        <v>4</v>
      </c>
      <c r="W142" s="293">
        <f>IF(V142=1,Adm!$AN$2,0)</f>
        <v>0</v>
      </c>
      <c r="Y142" s="304">
        <f t="shared" si="11"/>
        <v>0</v>
      </c>
      <c r="Z142" s="345">
        <f t="shared" ca="1" si="7"/>
        <v>0</v>
      </c>
      <c r="AB142" s="640">
        <f t="shared" si="12"/>
        <v>0</v>
      </c>
      <c r="AC142" s="639">
        <f t="shared" si="13"/>
        <v>0</v>
      </c>
      <c r="AD142" s="641">
        <f t="shared" si="8"/>
        <v>0</v>
      </c>
      <c r="AE142" s="639">
        <f t="shared" si="14"/>
        <v>0</v>
      </c>
      <c r="AF142" s="636">
        <f t="shared" si="1"/>
        <v>0</v>
      </c>
      <c r="AG142" s="637" t="e">
        <f>HLOOKUP($AG$110,anticipado,29,0)</f>
        <v>#N/A</v>
      </c>
      <c r="AI142" s="614">
        <v>1.8451703375964312E-3</v>
      </c>
      <c r="AJ142" s="615">
        <v>1.6888706371805846E-3</v>
      </c>
      <c r="AK142" s="616">
        <v>1.5717370440260785E-3</v>
      </c>
      <c r="AL142" s="616">
        <v>1.9288540505896623E-3</v>
      </c>
      <c r="AM142" s="617">
        <v>1.8451703375964312E-3</v>
      </c>
      <c r="AN142" s="619">
        <v>1.6888706371805846E-3</v>
      </c>
      <c r="AO142" s="619">
        <v>2.0683072390608593E-3</v>
      </c>
      <c r="AP142" s="619">
        <v>1.9553359957073116E-3</v>
      </c>
      <c r="AQ142" s="619">
        <v>1.8718680694628643E-3</v>
      </c>
      <c r="AR142" s="619">
        <v>2.1805372325656882E-3</v>
      </c>
      <c r="AS142" s="619">
        <v>2.0683072390608593E-3</v>
      </c>
      <c r="AT142" s="619">
        <v>1.9534640336184741E-3</v>
      </c>
      <c r="AU142" s="619">
        <v>9.3605564620737036E-4</v>
      </c>
      <c r="AV142" s="619">
        <v>8.6450548048857179E-4</v>
      </c>
      <c r="AW142" s="619">
        <v>7.4819404635308488E-4</v>
      </c>
      <c r="AX142" s="619">
        <v>1.0503314593735455E-3</v>
      </c>
      <c r="AY142" s="619">
        <v>9.3605564620737036E-4</v>
      </c>
      <c r="AZ142" s="619">
        <v>8.3623562056967177E-4</v>
      </c>
      <c r="BA142" s="619">
        <v>1.1298639355015894E-3</v>
      </c>
      <c r="BB142" s="619">
        <v>1.0640290400548379E-3</v>
      </c>
      <c r="BC142" s="619">
        <v>9.356314757812418E-4</v>
      </c>
      <c r="BD142" s="619">
        <v>1.2267897931800926E-3</v>
      </c>
      <c r="BE142" s="619">
        <v>1.1704791590516083E-3</v>
      </c>
      <c r="BF142" s="619">
        <v>1.0779400062931651E-3</v>
      </c>
      <c r="BG142" s="619"/>
      <c r="BH142" s="619"/>
      <c r="BI142" s="619"/>
      <c r="BJ142" s="619"/>
      <c r="BK142" s="619"/>
      <c r="BL142" s="619"/>
      <c r="BM142" s="619"/>
      <c r="BN142" s="619"/>
      <c r="BO142" s="619"/>
      <c r="BP142" s="619"/>
      <c r="BQ142" s="619"/>
      <c r="BR142" s="619"/>
      <c r="BS142" s="619"/>
      <c r="BT142" s="619"/>
      <c r="BU142" s="619"/>
      <c r="BV142" s="619"/>
      <c r="BW142" s="619"/>
      <c r="BX142" s="619"/>
      <c r="BY142" s="619"/>
      <c r="BZ142" s="619"/>
      <c r="CA142" s="619"/>
      <c r="CB142" s="619"/>
      <c r="CC142" s="619"/>
      <c r="CD142" s="619"/>
      <c r="CE142" s="619"/>
      <c r="CF142" s="619"/>
      <c r="CG142" s="619"/>
      <c r="CH142" s="619"/>
      <c r="CI142" s="619"/>
      <c r="CJ142" s="619"/>
      <c r="CK142" s="619"/>
      <c r="CL142" s="619"/>
    </row>
    <row r="143" spans="1:90" ht="12">
      <c r="A143" s="151">
        <f t="shared" ca="1" si="0"/>
        <v>4</v>
      </c>
      <c r="B143" s="113">
        <f t="shared" si="2"/>
        <v>211</v>
      </c>
      <c r="C143" s="150">
        <f t="shared" si="9"/>
        <v>29</v>
      </c>
      <c r="D143" s="565">
        <f t="shared" si="10"/>
        <v>9.5000000000000001E-2</v>
      </c>
      <c r="E143" s="306">
        <f t="shared" si="3"/>
        <v>6828.8657667427569</v>
      </c>
      <c r="F143" s="306">
        <f t="shared" si="15"/>
        <v>2786.440288235116</v>
      </c>
      <c r="G143" s="307">
        <f t="shared" si="16"/>
        <v>9615.3060549778729</v>
      </c>
      <c r="H143" s="306">
        <f>IF(N142&lt;0.01,0,IF(Adm!$S$3=Adm!$S$13,Cal!$E$94,IF(Adm!$R$3=Adm!$R$6,0,IF(Cal!$E$91&gt;0,0,IF(Cal!$E$91=0,N142*Adm!$Y$3,N142*Adm!$X$3)))))</f>
        <v>0</v>
      </c>
      <c r="I143" s="306">
        <f>IF(N142&lt;0.01,0,IF(Adm!$R$4=Adm!$R$6,0,Cal!$E$89*Adm!$AA$3))</f>
        <v>573.58240000000001</v>
      </c>
      <c r="J143" s="306">
        <f>IF(N142&lt;0.01,0,Adm!$O$3*1.16)</f>
        <v>290</v>
      </c>
      <c r="K143" s="306">
        <f>IF(N142&lt;0.01,0,IF(Adm!$N$3&gt;0,E143*Adm!$N$3,0))</f>
        <v>0</v>
      </c>
      <c r="L143" s="306">
        <f t="shared" si="4"/>
        <v>10478.888454977872</v>
      </c>
      <c r="M143" s="306">
        <f>IF(Adm!$F$3="si",MIN(N142+E143+H143+I143+J143-L143,Z143),0)</f>
        <v>0</v>
      </c>
      <c r="N143" s="306">
        <f t="shared" si="5"/>
        <v>859807.13024769211</v>
      </c>
      <c r="O143" s="361"/>
      <c r="P143" s="114"/>
      <c r="V143" s="571">
        <f t="shared" si="6"/>
        <v>5</v>
      </c>
      <c r="W143" s="293">
        <f>IF(V143=1,Adm!$AN$2,0)</f>
        <v>0</v>
      </c>
      <c r="Y143" s="304">
        <f t="shared" si="11"/>
        <v>0</v>
      </c>
      <c r="Z143" s="345">
        <f t="shared" ca="1" si="7"/>
        <v>0</v>
      </c>
      <c r="AB143" s="640">
        <f t="shared" si="12"/>
        <v>0</v>
      </c>
      <c r="AC143" s="639">
        <f t="shared" si="13"/>
        <v>0</v>
      </c>
      <c r="AD143" s="641">
        <f t="shared" si="8"/>
        <v>0</v>
      </c>
      <c r="AE143" s="639">
        <f t="shared" si="14"/>
        <v>0</v>
      </c>
      <c r="AF143" s="636">
        <f t="shared" si="1"/>
        <v>0</v>
      </c>
      <c r="AG143" s="637" t="e">
        <f>HLOOKUP($AG$110,anticipado,30,0)</f>
        <v>#N/A</v>
      </c>
      <c r="AI143" s="614">
        <v>1.8645252985327514E-3</v>
      </c>
      <c r="AJ143" s="615">
        <v>1.7070801757972163E-3</v>
      </c>
      <c r="AK143" s="616">
        <v>1.589021994781593E-3</v>
      </c>
      <c r="AL143" s="616">
        <v>1.9486704614736982E-3</v>
      </c>
      <c r="AM143" s="617">
        <v>1.8645252985327514E-3</v>
      </c>
      <c r="AN143" s="619">
        <v>1.7070801757972163E-3</v>
      </c>
      <c r="AO143" s="619">
        <v>2.0890020360703754E-3</v>
      </c>
      <c r="AP143" s="619">
        <v>1.9753952569901631E-3</v>
      </c>
      <c r="AQ143" s="619">
        <v>1.8914755297073163E-3</v>
      </c>
      <c r="AR143" s="619">
        <v>2.2019652962773513E-3</v>
      </c>
      <c r="AS143" s="619">
        <v>2.0890020360703754E-3</v>
      </c>
      <c r="AT143" s="619">
        <v>1.9734188357477789E-3</v>
      </c>
      <c r="AU143" s="619">
        <v>9.4543533127666648E-4</v>
      </c>
      <c r="AV143" s="619">
        <v>8.7339409019510149E-4</v>
      </c>
      <c r="AW143" s="619">
        <v>7.5617316662364615E-4</v>
      </c>
      <c r="AX143" s="619">
        <v>1.0605044493966493E-3</v>
      </c>
      <c r="AY143" s="619">
        <v>9.4543533127666648E-4</v>
      </c>
      <c r="AZ143" s="619">
        <v>8.4487940859146317E-4</v>
      </c>
      <c r="BA143" s="619">
        <v>1.1405115980232887E-3</v>
      </c>
      <c r="BB143" s="619">
        <v>1.0743050477506602E-3</v>
      </c>
      <c r="BC143" s="619">
        <v>9.4504553041308231E-4</v>
      </c>
      <c r="BD143" s="619">
        <v>1.2380206701646712E-3</v>
      </c>
      <c r="BE143" s="619">
        <v>1.1813623081869326E-3</v>
      </c>
      <c r="BF143" s="619">
        <v>1.0882755921453019E-3</v>
      </c>
      <c r="BG143" s="619"/>
      <c r="BH143" s="619"/>
      <c r="BI143" s="619"/>
      <c r="BJ143" s="619"/>
      <c r="BK143" s="619"/>
      <c r="BL143" s="619"/>
      <c r="BM143" s="619"/>
      <c r="BN143" s="619"/>
      <c r="BO143" s="619"/>
      <c r="BP143" s="619"/>
      <c r="BQ143" s="619"/>
      <c r="BR143" s="619"/>
      <c r="BS143" s="619"/>
      <c r="BT143" s="619"/>
      <c r="BU143" s="619"/>
      <c r="BV143" s="619"/>
      <c r="BW143" s="619"/>
      <c r="BX143" s="619"/>
      <c r="BY143" s="619"/>
      <c r="BZ143" s="619"/>
      <c r="CA143" s="619"/>
      <c r="CB143" s="619"/>
      <c r="CC143" s="619"/>
      <c r="CD143" s="619"/>
      <c r="CE143" s="619"/>
      <c r="CF143" s="619"/>
      <c r="CG143" s="619"/>
      <c r="CH143" s="619"/>
      <c r="CI143" s="619"/>
      <c r="CJ143" s="619"/>
      <c r="CK143" s="619"/>
      <c r="CL143" s="619"/>
    </row>
    <row r="144" spans="1:90" ht="12">
      <c r="A144" s="151">
        <f t="shared" ca="1" si="0"/>
        <v>5</v>
      </c>
      <c r="B144" s="113">
        <f t="shared" si="2"/>
        <v>210</v>
      </c>
      <c r="C144" s="150">
        <f t="shared" si="9"/>
        <v>30</v>
      </c>
      <c r="D144" s="565">
        <f t="shared" si="10"/>
        <v>9.5000000000000001E-2</v>
      </c>
      <c r="E144" s="306">
        <f t="shared" si="3"/>
        <v>6806.8064477942289</v>
      </c>
      <c r="F144" s="306">
        <f t="shared" si="15"/>
        <v>2808.499607183644</v>
      </c>
      <c r="G144" s="307">
        <f t="shared" si="16"/>
        <v>9615.3060549778729</v>
      </c>
      <c r="H144" s="306">
        <f>IF(N143&lt;0.01,0,IF(Adm!$S$3=Adm!$S$13,Cal!$E$94,IF(Adm!$R$3=Adm!$R$6,0,IF(Cal!$E$91&gt;0,0,IF(Cal!$E$91=0,N143*Adm!$Y$3,N143*Adm!$X$3)))))</f>
        <v>0</v>
      </c>
      <c r="I144" s="306">
        <f>IF(N143&lt;0.01,0,IF(Adm!$R$4=Adm!$R$6,0,Cal!$E$89*Adm!$AA$3))</f>
        <v>573.58240000000001</v>
      </c>
      <c r="J144" s="306">
        <f>IF(N143&lt;0.01,0,Adm!$O$3*1.16)</f>
        <v>290</v>
      </c>
      <c r="K144" s="306">
        <f>IF(N143&lt;0.01,0,IF(Adm!$N$3&gt;0,E144*Adm!$N$3,0))</f>
        <v>0</v>
      </c>
      <c r="L144" s="306">
        <f t="shared" si="4"/>
        <v>10478.888454977872</v>
      </c>
      <c r="M144" s="306">
        <f>IF(Adm!$F$3="si",MIN(N143+E144+H144+I144+J144-L144,Z144),0)</f>
        <v>0</v>
      </c>
      <c r="N144" s="306">
        <f t="shared" si="5"/>
        <v>856998.63064050849</v>
      </c>
      <c r="O144" s="361"/>
      <c r="P144" s="114"/>
      <c r="V144" s="571">
        <f t="shared" si="6"/>
        <v>6</v>
      </c>
      <c r="W144" s="293">
        <f>IF(V144=1,Adm!$AN$2,0)</f>
        <v>0</v>
      </c>
      <c r="Y144" s="304">
        <f t="shared" si="11"/>
        <v>0</v>
      </c>
      <c r="Z144" s="345">
        <f t="shared" ca="1" si="7"/>
        <v>0</v>
      </c>
      <c r="AB144" s="640">
        <f t="shared" si="12"/>
        <v>0</v>
      </c>
      <c r="AC144" s="639">
        <f t="shared" si="13"/>
        <v>0</v>
      </c>
      <c r="AD144" s="641">
        <f t="shared" si="8"/>
        <v>0</v>
      </c>
      <c r="AE144" s="639">
        <f t="shared" si="14"/>
        <v>0</v>
      </c>
      <c r="AF144" s="636">
        <f t="shared" si="1"/>
        <v>0</v>
      </c>
      <c r="AG144" s="637" t="e">
        <f>HLOOKUP($AG$110,anticipado,31,0)</f>
        <v>#N/A</v>
      </c>
      <c r="AI144" s="614">
        <v>1.8841198182992817E-3</v>
      </c>
      <c r="AJ144" s="615">
        <v>1.7255175251527546E-3</v>
      </c>
      <c r="AK144" s="616">
        <v>1.6065248466990655E-3</v>
      </c>
      <c r="AL144" s="616">
        <v>1.9687295481826419E-3</v>
      </c>
      <c r="AM144" s="617">
        <v>1.8841198182992817E-3</v>
      </c>
      <c r="AN144" s="619">
        <v>1.7255175251527546E-3</v>
      </c>
      <c r="AO144" s="619">
        <v>2.1099476538007232E-3</v>
      </c>
      <c r="AP144" s="619">
        <v>1.9957004114961414E-3</v>
      </c>
      <c r="AQ144" s="619">
        <v>1.9113259208792762E-3</v>
      </c>
      <c r="AR144" s="619">
        <v>2.223651685503954E-3</v>
      </c>
      <c r="AS144" s="619">
        <v>2.1099476538007232E-3</v>
      </c>
      <c r="AT144" s="619">
        <v>1.9936173379917982E-3</v>
      </c>
      <c r="AU144" s="619">
        <v>9.5491797009540288E-4</v>
      </c>
      <c r="AV144" s="619">
        <v>8.8238194009879786E-4</v>
      </c>
      <c r="AW144" s="619">
        <v>7.6424348283075873E-4</v>
      </c>
      <c r="AX144" s="619">
        <v>1.070786874517478E-3</v>
      </c>
      <c r="AY144" s="619">
        <v>9.5491797009540288E-4</v>
      </c>
      <c r="AZ144" s="619">
        <v>8.5361992821145183E-4</v>
      </c>
      <c r="BA144" s="619">
        <v>1.1512718746858048E-3</v>
      </c>
      <c r="BB144" s="619">
        <v>1.0846914555831728E-3</v>
      </c>
      <c r="BC144" s="619">
        <v>9.5456330128005252E-4</v>
      </c>
      <c r="BD144" s="619">
        <v>1.2493684110543447E-3</v>
      </c>
      <c r="BE144" s="619">
        <v>1.1923596409927227E-3</v>
      </c>
      <c r="BF144" s="619">
        <v>1.0987216466291252E-3</v>
      </c>
      <c r="BG144" s="619"/>
      <c r="BH144" s="619"/>
      <c r="BI144" s="619"/>
      <c r="BJ144" s="619"/>
      <c r="BK144" s="619"/>
      <c r="BL144" s="619"/>
      <c r="BM144" s="619"/>
      <c r="BN144" s="619"/>
      <c r="BO144" s="619"/>
      <c r="BP144" s="619"/>
      <c r="BQ144" s="619"/>
      <c r="BR144" s="619"/>
      <c r="BS144" s="619"/>
      <c r="BT144" s="619"/>
      <c r="BU144" s="619"/>
      <c r="BV144" s="619"/>
      <c r="BW144" s="619"/>
      <c r="BX144" s="619"/>
      <c r="BY144" s="619"/>
      <c r="BZ144" s="619"/>
      <c r="CA144" s="619"/>
      <c r="CB144" s="619"/>
      <c r="CC144" s="619"/>
      <c r="CD144" s="619"/>
      <c r="CE144" s="619"/>
      <c r="CF144" s="619"/>
      <c r="CG144" s="619"/>
      <c r="CH144" s="619"/>
      <c r="CI144" s="619"/>
      <c r="CJ144" s="619"/>
      <c r="CK144" s="619"/>
      <c r="CL144" s="619"/>
    </row>
    <row r="145" spans="1:90" ht="12">
      <c r="A145" s="151">
        <f t="shared" ca="1" si="0"/>
        <v>6</v>
      </c>
      <c r="B145" s="113">
        <f t="shared" si="2"/>
        <v>209</v>
      </c>
      <c r="C145" s="150">
        <f t="shared" si="9"/>
        <v>31</v>
      </c>
      <c r="D145" s="565">
        <f t="shared" si="10"/>
        <v>9.5000000000000001E-2</v>
      </c>
      <c r="E145" s="306">
        <f t="shared" si="3"/>
        <v>6784.5724925706927</v>
      </c>
      <c r="F145" s="306">
        <f t="shared" si="15"/>
        <v>2830.7335624071802</v>
      </c>
      <c r="G145" s="307">
        <f t="shared" si="16"/>
        <v>9615.3060549778729</v>
      </c>
      <c r="H145" s="306">
        <f>IF(N144&lt;0.01,0,IF(Adm!$S$3=Adm!$S$13,Cal!$E$94,IF(Adm!$R$3=Adm!$R$6,0,IF(Cal!$E$91&gt;0,0,IF(Cal!$E$91=0,N144*Adm!$Y$3,N144*Adm!$X$3)))))</f>
        <v>0</v>
      </c>
      <c r="I145" s="306">
        <f>IF(N144&lt;0.01,0,IF(Adm!$R$4=Adm!$R$6,0,Cal!$E$89*Adm!$AA$3))</f>
        <v>573.58240000000001</v>
      </c>
      <c r="J145" s="306">
        <f>IF(N144&lt;0.01,0,Adm!$O$3*1.16)</f>
        <v>290</v>
      </c>
      <c r="K145" s="306">
        <f>IF(N144&lt;0.01,0,IF(Adm!$N$3&gt;0,E145*Adm!$N$3,0))</f>
        <v>0</v>
      </c>
      <c r="L145" s="306">
        <f t="shared" si="4"/>
        <v>10478.888454977872</v>
      </c>
      <c r="M145" s="306">
        <f>IF(Adm!$F$3="si",MIN(N144+E145+H145+I145+J145-L145,Z145),0)</f>
        <v>0</v>
      </c>
      <c r="N145" s="306">
        <f t="shared" si="5"/>
        <v>854167.89707810129</v>
      </c>
      <c r="O145" s="361"/>
      <c r="P145" s="114"/>
      <c r="V145" s="571">
        <f t="shared" si="6"/>
        <v>7</v>
      </c>
      <c r="W145" s="293">
        <f>IF(V145=1,Adm!$AN$2,0)</f>
        <v>0</v>
      </c>
      <c r="Y145" s="304">
        <f t="shared" si="11"/>
        <v>0</v>
      </c>
      <c r="Z145" s="345">
        <f t="shared" ca="1" si="7"/>
        <v>0</v>
      </c>
      <c r="AB145" s="640">
        <f t="shared" si="12"/>
        <v>0</v>
      </c>
      <c r="AC145" s="639">
        <f t="shared" si="13"/>
        <v>0</v>
      </c>
      <c r="AD145" s="641">
        <f t="shared" si="8"/>
        <v>0</v>
      </c>
      <c r="AE145" s="639">
        <f t="shared" si="14"/>
        <v>0</v>
      </c>
      <c r="AF145" s="636">
        <f t="shared" si="1"/>
        <v>0</v>
      </c>
      <c r="AG145" s="637" t="e">
        <f>HLOOKUP($AG$110,anticipado,32,0)</f>
        <v>#N/A</v>
      </c>
      <c r="AI145" s="614">
        <v>1.9039576360473927E-3</v>
      </c>
      <c r="AJ145" s="615">
        <v>1.744186220584264E-3</v>
      </c>
      <c r="AK145" s="616">
        <v>1.6242489642834378E-3</v>
      </c>
      <c r="AL145" s="616">
        <v>1.9890350938328635E-3</v>
      </c>
      <c r="AM145" s="617">
        <v>1.9039576360473927E-3</v>
      </c>
      <c r="AN145" s="619">
        <v>1.744186220584264E-3</v>
      </c>
      <c r="AO145" s="619">
        <v>2.1311480168179674E-3</v>
      </c>
      <c r="AP145" s="619">
        <v>2.0162553047794645E-3</v>
      </c>
      <c r="AQ145" s="619">
        <v>1.9314230473013135E-3</v>
      </c>
      <c r="AR145" s="619">
        <v>2.2456004628601291E-3</v>
      </c>
      <c r="AS145" s="619">
        <v>2.1311480168179674E-3</v>
      </c>
      <c r="AT145" s="619">
        <v>2.0140633391451473E-3</v>
      </c>
      <c r="AU145" s="619">
        <v>9.6450487371016783E-4</v>
      </c>
      <c r="AV145" s="619">
        <v>8.9147030081213182E-4</v>
      </c>
      <c r="AW145" s="619">
        <v>7.7240616838676049E-4</v>
      </c>
      <c r="AX145" s="619">
        <v>1.0811801247968119E-3</v>
      </c>
      <c r="AY145" s="619">
        <v>9.6450487371016783E-4</v>
      </c>
      <c r="AZ145" s="619">
        <v>8.6245841572097259E-4</v>
      </c>
      <c r="BA145" s="619">
        <v>1.1621461896034837E-3</v>
      </c>
      <c r="BB145" s="619">
        <v>1.0951896667840649E-3</v>
      </c>
      <c r="BC145" s="619">
        <v>9.6418611338950201E-4</v>
      </c>
      <c r="BD145" s="619">
        <v>1.260834491093263E-3</v>
      </c>
      <c r="BE145" s="619">
        <v>1.2034725989014167E-3</v>
      </c>
      <c r="BF145" s="619">
        <v>1.1092795701013061E-3</v>
      </c>
      <c r="BG145" s="619"/>
      <c r="BH145" s="619"/>
      <c r="BI145" s="619"/>
      <c r="BJ145" s="619"/>
      <c r="BK145" s="619"/>
      <c r="BL145" s="619"/>
      <c r="BM145" s="619"/>
      <c r="BN145" s="619"/>
      <c r="BO145" s="619"/>
      <c r="BP145" s="619"/>
      <c r="BQ145" s="619"/>
      <c r="BR145" s="619"/>
      <c r="BS145" s="619"/>
      <c r="BT145" s="619"/>
      <c r="BU145" s="619"/>
      <c r="BV145" s="619"/>
      <c r="BW145" s="619"/>
      <c r="BX145" s="619"/>
      <c r="BY145" s="619"/>
      <c r="BZ145" s="619"/>
      <c r="CA145" s="619"/>
      <c r="CB145" s="619"/>
      <c r="CC145" s="619"/>
      <c r="CD145" s="619"/>
      <c r="CE145" s="619"/>
      <c r="CF145" s="619"/>
      <c r="CG145" s="619"/>
      <c r="CH145" s="619"/>
      <c r="CI145" s="619"/>
      <c r="CJ145" s="619"/>
      <c r="CK145" s="619"/>
      <c r="CL145" s="619"/>
    </row>
    <row r="146" spans="1:90" ht="12">
      <c r="A146" s="151">
        <f t="shared" ca="1" si="0"/>
        <v>7</v>
      </c>
      <c r="B146" s="113">
        <f t="shared" si="2"/>
        <v>208</v>
      </c>
      <c r="C146" s="150">
        <f t="shared" si="9"/>
        <v>32</v>
      </c>
      <c r="D146" s="565">
        <f t="shared" si="10"/>
        <v>9.5000000000000001E-2</v>
      </c>
      <c r="E146" s="306">
        <f t="shared" si="3"/>
        <v>6762.1625185349685</v>
      </c>
      <c r="F146" s="306">
        <f t="shared" si="15"/>
        <v>2853.1435364429044</v>
      </c>
      <c r="G146" s="307">
        <f t="shared" si="16"/>
        <v>9615.3060549778729</v>
      </c>
      <c r="H146" s="306">
        <f>IF(N145&lt;0.01,0,IF(Adm!$S$3=Adm!$S$13,Cal!$E$94,IF(Adm!$R$3=Adm!$R$6,0,IF(Cal!$E$91&gt;0,0,IF(Cal!$E$91=0,N145*Adm!$Y$3,N145*Adm!$X$3)))))</f>
        <v>0</v>
      </c>
      <c r="I146" s="306">
        <f>IF(N145&lt;0.01,0,IF(Adm!$R$4=Adm!$R$6,0,Cal!$E$89*Adm!$AA$3))</f>
        <v>573.58240000000001</v>
      </c>
      <c r="J146" s="306">
        <f>IF(N145&lt;0.01,0,Adm!$O$3*1.16)</f>
        <v>290</v>
      </c>
      <c r="K146" s="306">
        <f>IF(N145&lt;0.01,0,IF(Adm!$N$3&gt;0,E146*Adm!$N$3,0))</f>
        <v>0</v>
      </c>
      <c r="L146" s="306">
        <f t="shared" si="4"/>
        <v>10478.888454977872</v>
      </c>
      <c r="M146" s="306">
        <f>IF(Adm!$F$3="si",MIN(N145+E146+H146+I146+J146-L146,Z146),0)</f>
        <v>0</v>
      </c>
      <c r="N146" s="306">
        <f t="shared" si="5"/>
        <v>851314.7535416584</v>
      </c>
      <c r="O146" s="361"/>
      <c r="P146" s="114"/>
      <c r="V146" s="571">
        <f t="shared" si="6"/>
        <v>8</v>
      </c>
      <c r="W146" s="293">
        <f>IF(V146=1,Adm!$AN$2,0)</f>
        <v>0</v>
      </c>
      <c r="Y146" s="304">
        <f t="shared" si="11"/>
        <v>0</v>
      </c>
      <c r="Z146" s="345">
        <f t="shared" ca="1" si="7"/>
        <v>0</v>
      </c>
      <c r="AB146" s="640">
        <f t="shared" si="12"/>
        <v>0</v>
      </c>
      <c r="AC146" s="639">
        <f t="shared" si="13"/>
        <v>0</v>
      </c>
      <c r="AD146" s="641">
        <f t="shared" si="8"/>
        <v>0</v>
      </c>
      <c r="AE146" s="639">
        <f t="shared" si="14"/>
        <v>0</v>
      </c>
      <c r="AF146" s="636">
        <f t="shared" si="1"/>
        <v>0</v>
      </c>
      <c r="AG146" s="637" t="e">
        <f>HLOOKUP($AG$110,anticipado,33,0)</f>
        <v>#N/A</v>
      </c>
      <c r="AI146" s="614">
        <v>1.9240425661942887E-3</v>
      </c>
      <c r="AJ146" s="615">
        <v>1.7630898675887669E-3</v>
      </c>
      <c r="AK146" s="616">
        <v>1.6421977779957973E-3</v>
      </c>
      <c r="AL146" s="616">
        <v>2.0095909579285914E-3</v>
      </c>
      <c r="AM146" s="617">
        <v>1.9240425661942887E-3</v>
      </c>
      <c r="AN146" s="619">
        <v>1.7630898675887669E-3</v>
      </c>
      <c r="AO146" s="619">
        <v>2.1526071296998905E-3</v>
      </c>
      <c r="AP146" s="619">
        <v>2.037063860368696E-3</v>
      </c>
      <c r="AQ146" s="619">
        <v>1.9517707902112472E-3</v>
      </c>
      <c r="AR146" s="619">
        <v>2.2678157745424313E-3</v>
      </c>
      <c r="AS146" s="619">
        <v>2.1526071296998905E-3</v>
      </c>
      <c r="AT146" s="619">
        <v>2.0347607147915298E-3</v>
      </c>
      <c r="AU146" s="619">
        <v>9.7419737355383695E-4</v>
      </c>
      <c r="AV146" s="619">
        <v>9.0066046261247563E-4</v>
      </c>
      <c r="AW146" s="619">
        <v>7.806624146363539E-4</v>
      </c>
      <c r="AX146" s="619">
        <v>1.0916856121595778E-3</v>
      </c>
      <c r="AY146" s="619">
        <v>9.7419737355383695E-4</v>
      </c>
      <c r="AZ146" s="619">
        <v>8.7139612643953026E-4</v>
      </c>
      <c r="BA146" s="619">
        <v>1.1731359893939928E-3</v>
      </c>
      <c r="BB146" s="619">
        <v>1.1058011067028744E-3</v>
      </c>
      <c r="BC146" s="619">
        <v>9.7391531240974521E-4</v>
      </c>
      <c r="BD146" s="619">
        <v>1.2724204090199492E-3</v>
      </c>
      <c r="BE146" s="619">
        <v>1.2147026461796571E-3</v>
      </c>
      <c r="BF146" s="619">
        <v>1.1199507849724575E-3</v>
      </c>
      <c r="BG146" s="619"/>
      <c r="BH146" s="619"/>
      <c r="BI146" s="619"/>
      <c r="BJ146" s="619"/>
      <c r="BK146" s="619"/>
      <c r="BL146" s="619"/>
      <c r="BM146" s="619"/>
      <c r="BN146" s="619"/>
      <c r="BO146" s="619"/>
      <c r="BP146" s="619"/>
      <c r="BQ146" s="619"/>
      <c r="BR146" s="619"/>
      <c r="BS146" s="619"/>
      <c r="BT146" s="619"/>
      <c r="BU146" s="619"/>
      <c r="BV146" s="619"/>
      <c r="BW146" s="619"/>
      <c r="BX146" s="619"/>
      <c r="BY146" s="619"/>
      <c r="BZ146" s="619"/>
      <c r="CA146" s="619"/>
      <c r="CB146" s="619"/>
      <c r="CC146" s="619"/>
      <c r="CD146" s="619"/>
      <c r="CE146" s="619"/>
      <c r="CF146" s="619"/>
      <c r="CG146" s="619"/>
      <c r="CH146" s="619"/>
      <c r="CI146" s="619"/>
      <c r="CJ146" s="619"/>
      <c r="CK146" s="619"/>
      <c r="CL146" s="619"/>
    </row>
    <row r="147" spans="1:90" ht="12">
      <c r="A147" s="151">
        <f t="shared" ca="1" si="0"/>
        <v>8</v>
      </c>
      <c r="B147" s="113">
        <f t="shared" si="2"/>
        <v>207</v>
      </c>
      <c r="C147" s="150">
        <f t="shared" si="9"/>
        <v>33</v>
      </c>
      <c r="D147" s="565">
        <f t="shared" si="10"/>
        <v>9.5000000000000001E-2</v>
      </c>
      <c r="E147" s="306">
        <f t="shared" si="3"/>
        <v>6739.5751322047954</v>
      </c>
      <c r="F147" s="306">
        <f t="shared" si="15"/>
        <v>2875.7309227730775</v>
      </c>
      <c r="G147" s="307">
        <f t="shared" si="16"/>
        <v>9615.3060549778729</v>
      </c>
      <c r="H147" s="306">
        <f>IF(N146&lt;0.01,0,IF(Adm!$S$3=Adm!$S$13,Cal!$E$94,IF(Adm!$R$3=Adm!$R$6,0,IF(Cal!$E$91&gt;0,0,IF(Cal!$E$91=0,N146*Adm!$Y$3,N146*Adm!$X$3)))))</f>
        <v>0</v>
      </c>
      <c r="I147" s="306">
        <f>IF(N146&lt;0.01,0,IF(Adm!$R$4=Adm!$R$6,0,Cal!$E$89*Adm!$AA$3))</f>
        <v>573.58240000000001</v>
      </c>
      <c r="J147" s="306">
        <f>IF(N146&lt;0.01,0,Adm!$O$3*1.16)</f>
        <v>290</v>
      </c>
      <c r="K147" s="306">
        <f>IF(N146&lt;0.01,0,IF(Adm!$N$3&gt;0,E147*Adm!$N$3,0))</f>
        <v>0</v>
      </c>
      <c r="L147" s="306">
        <f t="shared" si="4"/>
        <v>10478.888454977872</v>
      </c>
      <c r="M147" s="306">
        <f>IF(Adm!$F$3="si",MIN(N146+E147+H147+I147+J147-L147,Z147),0)</f>
        <v>0</v>
      </c>
      <c r="N147" s="306">
        <f t="shared" si="5"/>
        <v>848439.02261888527</v>
      </c>
      <c r="O147" s="361"/>
      <c r="P147" s="114"/>
      <c r="V147" s="571">
        <f t="shared" si="6"/>
        <v>9</v>
      </c>
      <c r="W147" s="293">
        <f>IF(V147=1,Adm!$AN$2,0)</f>
        <v>0</v>
      </c>
      <c r="Y147" s="304">
        <f t="shared" si="11"/>
        <v>0</v>
      </c>
      <c r="Z147" s="345">
        <f t="shared" ca="1" si="7"/>
        <v>0</v>
      </c>
      <c r="AB147" s="640">
        <f t="shared" si="12"/>
        <v>0</v>
      </c>
      <c r="AC147" s="639">
        <f t="shared" si="13"/>
        <v>0</v>
      </c>
      <c r="AD147" s="641">
        <f t="shared" si="8"/>
        <v>0</v>
      </c>
      <c r="AE147" s="639">
        <f t="shared" si="14"/>
        <v>0</v>
      </c>
      <c r="AF147" s="636">
        <f t="shared" si="1"/>
        <v>0</v>
      </c>
      <c r="AG147" s="637" t="e">
        <f>HLOOKUP($AG$110,anticipado,34,0)</f>
        <v>#N/A</v>
      </c>
      <c r="AI147" s="614">
        <v>1.9443785003271355E-3</v>
      </c>
      <c r="AJ147" s="615">
        <v>1.7822321435711547E-3</v>
      </c>
      <c r="AK147" s="616">
        <v>1.6603747858744428E-3</v>
      </c>
      <c r="AL147" s="616">
        <v>2.0304010783012694E-3</v>
      </c>
      <c r="AM147" s="617">
        <v>1.9443785003271355E-3</v>
      </c>
      <c r="AN147" s="619">
        <v>1.7822321435711547E-3</v>
      </c>
      <c r="AO147" s="619">
        <v>2.174329079087974E-3</v>
      </c>
      <c r="AP147" s="619">
        <v>2.0581300817548972E-3</v>
      </c>
      <c r="AQ147" s="619">
        <v>1.972373109716838E-3</v>
      </c>
      <c r="AR147" s="619">
        <v>2.2903018524928643E-3</v>
      </c>
      <c r="AS147" s="619">
        <v>2.174329079087974E-3</v>
      </c>
      <c r="AT147" s="619">
        <v>2.0557134192556417E-3</v>
      </c>
      <c r="AU147" s="619">
        <v>9.8399682183825609E-4</v>
      </c>
      <c r="AV147" s="619">
        <v>9.0995373581754569E-4</v>
      </c>
      <c r="AW147" s="619">
        <v>7.8901343119174992E-4</v>
      </c>
      <c r="AX147" s="619">
        <v>1.102304770822977E-3</v>
      </c>
      <c r="AY147" s="619">
        <v>9.8399682183825609E-4</v>
      </c>
      <c r="AZ147" s="619">
        <v>8.8043433507548952E-4</v>
      </c>
      <c r="BA147" s="619">
        <v>1.1842427436221949E-3</v>
      </c>
      <c r="BB147" s="619">
        <v>1.1165272232411974E-3</v>
      </c>
      <c r="BC147" s="619">
        <v>9.8375226506911559E-4</v>
      </c>
      <c r="BD147" s="619">
        <v>1.2841276875354311E-3</v>
      </c>
      <c r="BE147" s="619">
        <v>1.2260512703802977E-3</v>
      </c>
      <c r="BF147" s="619">
        <v>1.1307367361399591E-3</v>
      </c>
      <c r="BG147" s="619"/>
      <c r="BH147" s="619"/>
      <c r="BI147" s="619"/>
      <c r="BJ147" s="619"/>
      <c r="BK147" s="619"/>
      <c r="BL147" s="619"/>
      <c r="BM147" s="619"/>
      <c r="BN147" s="619"/>
      <c r="BO147" s="619"/>
      <c r="BP147" s="619"/>
      <c r="BQ147" s="619"/>
      <c r="BR147" s="619"/>
      <c r="BS147" s="619"/>
      <c r="BT147" s="619"/>
      <c r="BU147" s="619"/>
      <c r="BV147" s="619"/>
      <c r="BW147" s="619"/>
      <c r="BX147" s="619"/>
      <c r="BY147" s="619"/>
      <c r="BZ147" s="619"/>
      <c r="CA147" s="619"/>
      <c r="CB147" s="619"/>
      <c r="CC147" s="619"/>
      <c r="CD147" s="619"/>
      <c r="CE147" s="619"/>
      <c r="CF147" s="619"/>
      <c r="CG147" s="619"/>
      <c r="CH147" s="619"/>
      <c r="CI147" s="619"/>
      <c r="CJ147" s="619"/>
      <c r="CK147" s="619"/>
      <c r="CL147" s="619"/>
    </row>
    <row r="148" spans="1:90">
      <c r="A148" s="151">
        <f t="shared" ca="1" si="0"/>
        <v>9</v>
      </c>
      <c r="B148" s="113">
        <f t="shared" si="2"/>
        <v>206</v>
      </c>
      <c r="C148" s="150">
        <f t="shared" si="9"/>
        <v>34</v>
      </c>
      <c r="D148" s="565">
        <f t="shared" si="10"/>
        <v>9.5000000000000001E-2</v>
      </c>
      <c r="E148" s="306">
        <f t="shared" si="3"/>
        <v>6716.8089290661746</v>
      </c>
      <c r="F148" s="306">
        <f t="shared" si="15"/>
        <v>2898.4971259116983</v>
      </c>
      <c r="G148" s="307">
        <f t="shared" si="16"/>
        <v>9615.3060549778729</v>
      </c>
      <c r="H148" s="306">
        <f>IF(N147&lt;0.01,0,IF(Adm!$S$3=Adm!$S$13,Cal!$E$94,IF(Adm!$R$3=Adm!$R$6,0,IF(Cal!$E$91&gt;0,0,IF(Cal!$E$91=0,N147*Adm!$Y$3,N147*Adm!$X$3)))))</f>
        <v>0</v>
      </c>
      <c r="I148" s="306">
        <f>IF(N147&lt;0.01,0,IF(Adm!$R$4=Adm!$R$6,0,Cal!$E$89*Adm!$AA$3))</f>
        <v>573.58240000000001</v>
      </c>
      <c r="J148" s="306">
        <f>IF(N147&lt;0.01,0,Adm!$O$3*1.16)</f>
        <v>290</v>
      </c>
      <c r="K148" s="306">
        <f>IF(N147&lt;0.01,0,IF(Adm!$N$3&gt;0,E148*Adm!$N$3,0))</f>
        <v>0</v>
      </c>
      <c r="L148" s="306">
        <f t="shared" si="4"/>
        <v>10478.888454977872</v>
      </c>
      <c r="M148" s="306">
        <f>IF(Adm!$F$3="si",MIN(N147+E148+H148+I148+J148-L148,Z148),0)</f>
        <v>0</v>
      </c>
      <c r="N148" s="306">
        <f t="shared" si="5"/>
        <v>845540.52549297363</v>
      </c>
      <c r="O148" s="361"/>
      <c r="P148" s="114"/>
      <c r="V148" s="571">
        <f t="shared" si="6"/>
        <v>10</v>
      </c>
      <c r="W148" s="293">
        <f>IF(V148=1,Adm!$AN$2,0)</f>
        <v>0</v>
      </c>
      <c r="Y148" s="304">
        <f t="shared" si="11"/>
        <v>0</v>
      </c>
      <c r="Z148" s="345">
        <f t="shared" ca="1" si="7"/>
        <v>0</v>
      </c>
      <c r="AB148" s="640">
        <f t="shared" si="12"/>
        <v>0</v>
      </c>
      <c r="AC148" s="639">
        <f t="shared" si="13"/>
        <v>0</v>
      </c>
      <c r="AD148" s="641">
        <f t="shared" si="8"/>
        <v>0</v>
      </c>
      <c r="AE148" s="639">
        <f t="shared" si="14"/>
        <v>0</v>
      </c>
      <c r="AF148" s="636">
        <f t="shared" si="1"/>
        <v>0</v>
      </c>
      <c r="AG148" s="637" t="e">
        <f>HLOOKUP($AG$110,anticipado,35,0)</f>
        <v>#N/A</v>
      </c>
      <c r="AI148" s="614">
        <v>1.9649694091654398E-3</v>
      </c>
      <c r="AJ148" s="615">
        <v>1.8016167996447894E-3</v>
      </c>
      <c r="AK148" s="616">
        <v>1.6787835552042139E-3</v>
      </c>
      <c r="AL148" s="616">
        <v>2.0514694731084289E-3</v>
      </c>
      <c r="AM148" s="617">
        <v>1.9649694091654398E-3</v>
      </c>
      <c r="AN148" s="617">
        <v>1.8016167996447894E-3</v>
      </c>
      <c r="AO148" s="617">
        <v>2.1963180358029245E-3</v>
      </c>
      <c r="AP148" s="617">
        <v>2.0794580544410278E-3</v>
      </c>
      <c r="AQ148" s="617">
        <v>1.9932340468105407E-3</v>
      </c>
      <c r="AR148" s="617">
        <v>2.3130630166300434E-3</v>
      </c>
      <c r="AS148" s="617">
        <v>2.1963180358029245E-3</v>
      </c>
      <c r="AT148" s="618">
        <v>2.0769254876150242E-3</v>
      </c>
      <c r="AU148" s="618">
        <v>9.9390459195613417E-4</v>
      </c>
      <c r="AV148" s="618">
        <v>9.1935145116954866E-4</v>
      </c>
      <c r="AW148" s="618">
        <v>7.9746044627542921E-4</v>
      </c>
      <c r="AX148" s="618">
        <v>1.1130390577347785E-3</v>
      </c>
      <c r="AY148" s="618">
        <v>9.9390459195613417E-4</v>
      </c>
      <c r="AZ148" s="618">
        <v>8.8957433609501279E-4</v>
      </c>
      <c r="BA148" s="618">
        <v>1.1954679452545992E-3</v>
      </c>
      <c r="BB148" s="618">
        <v>1.1273694872972367E-3</v>
      </c>
      <c r="BC148" s="618">
        <v>9.936983595643452E-4</v>
      </c>
      <c r="BD148" s="618">
        <v>1.2959578737826909E-3</v>
      </c>
      <c r="BE148" s="617">
        <v>1.237519982805257E-3</v>
      </c>
      <c r="BF148" s="617">
        <v>1.1416388914310977E-3</v>
      </c>
      <c r="BG148" s="617"/>
      <c r="BH148" s="617"/>
      <c r="BI148" s="617"/>
      <c r="BJ148" s="617"/>
      <c r="BK148" s="617"/>
      <c r="BL148" s="617"/>
      <c r="BM148" s="617"/>
      <c r="BN148" s="617"/>
      <c r="BO148" s="617"/>
      <c r="BP148" s="617"/>
      <c r="BQ148" s="617"/>
      <c r="BR148" s="617"/>
      <c r="BS148" s="617"/>
      <c r="BT148" s="617"/>
      <c r="BU148" s="617"/>
      <c r="BV148" s="617"/>
      <c r="BW148" s="617"/>
      <c r="BX148" s="617"/>
      <c r="BY148" s="617"/>
      <c r="BZ148" s="617"/>
      <c r="CA148" s="617"/>
      <c r="CB148" s="617"/>
      <c r="CC148" s="617"/>
      <c r="CD148" s="617"/>
      <c r="CE148" s="617"/>
      <c r="CF148" s="617"/>
      <c r="CG148" s="617"/>
      <c r="CH148" s="617"/>
      <c r="CI148" s="617"/>
      <c r="CJ148" s="617"/>
      <c r="CK148" s="617"/>
      <c r="CL148" s="617"/>
    </row>
    <row r="149" spans="1:90">
      <c r="A149" s="151">
        <f t="shared" ca="1" si="0"/>
        <v>10</v>
      </c>
      <c r="B149" s="113">
        <f t="shared" si="2"/>
        <v>205</v>
      </c>
      <c r="C149" s="150">
        <f t="shared" si="9"/>
        <v>35</v>
      </c>
      <c r="D149" s="565">
        <f t="shared" si="10"/>
        <v>9.5000000000000001E-2</v>
      </c>
      <c r="E149" s="306">
        <f t="shared" si="3"/>
        <v>6693.8624934860418</v>
      </c>
      <c r="F149" s="306">
        <f t="shared" si="15"/>
        <v>2921.4435614918311</v>
      </c>
      <c r="G149" s="307">
        <f t="shared" si="16"/>
        <v>9615.3060549778729</v>
      </c>
      <c r="H149" s="306">
        <f>IF(N148&lt;0.01,0,IF(Adm!$S$3=Adm!$S$13,Cal!$E$94,IF(Adm!$R$3=Adm!$R$6,0,IF(Cal!$E$91&gt;0,0,IF(Cal!$E$91=0,N148*Adm!$Y$3,N148*Adm!$X$3)))))</f>
        <v>0</v>
      </c>
      <c r="I149" s="306">
        <f>IF(N148&lt;0.01,0,IF(Adm!$R$4=Adm!$R$6,0,Cal!$E$89*Adm!$AA$3))</f>
        <v>573.58240000000001</v>
      </c>
      <c r="J149" s="306">
        <f>IF(N148&lt;0.01,0,Adm!$O$3*1.16)</f>
        <v>290</v>
      </c>
      <c r="K149" s="306">
        <f>IF(N148&lt;0.01,0,IF(Adm!$N$3&gt;0,E149*Adm!$N$3,0))</f>
        <v>0</v>
      </c>
      <c r="L149" s="306">
        <f t="shared" si="4"/>
        <v>10478.888454977872</v>
      </c>
      <c r="M149" s="306">
        <f>IF(Adm!$F$3="si",MIN(N148+E149+H149+I149+J149-L149,Z149),0)</f>
        <v>0</v>
      </c>
      <c r="N149" s="306">
        <f t="shared" si="5"/>
        <v>842619.08193148184</v>
      </c>
      <c r="O149" s="361"/>
      <c r="P149" s="114"/>
      <c r="V149" s="571">
        <f t="shared" si="6"/>
        <v>11</v>
      </c>
      <c r="W149" s="293">
        <f>IF(V149=1,Adm!$AN$2,0)</f>
        <v>0</v>
      </c>
      <c r="Y149" s="304">
        <f t="shared" si="11"/>
        <v>0</v>
      </c>
      <c r="Z149" s="345">
        <f t="shared" ca="1" si="7"/>
        <v>0</v>
      </c>
      <c r="AB149" s="640">
        <f t="shared" si="12"/>
        <v>0</v>
      </c>
      <c r="AC149" s="639">
        <f t="shared" si="13"/>
        <v>0</v>
      </c>
      <c r="AD149" s="641">
        <f t="shared" si="8"/>
        <v>0</v>
      </c>
      <c r="AE149" s="639">
        <f t="shared" si="14"/>
        <v>0</v>
      </c>
      <c r="AF149" s="636">
        <f t="shared" si="1"/>
        <v>0</v>
      </c>
      <c r="AG149" s="637" t="e">
        <f>HLOOKUP($AG$110,anticipado,36,0)</f>
        <v>#N/A</v>
      </c>
      <c r="AI149" s="614">
        <v>1.9858193445837281E-3</v>
      </c>
      <c r="AJ149" s="615">
        <v>1.8212476624866138E-3</v>
      </c>
      <c r="AK149" s="616">
        <v>1.6974277242356873E-3</v>
      </c>
      <c r="AL149" s="616">
        <v>2.0728002428942061E-3</v>
      </c>
      <c r="AM149" s="617">
        <v>1.9858193445837281E-3</v>
      </c>
      <c r="AN149" s="617">
        <v>1.8212476624866138E-3</v>
      </c>
      <c r="AO149" s="617">
        <v>2.2185782570261102E-3</v>
      </c>
      <c r="AP149" s="617">
        <v>2.1010519480548296E-3</v>
      </c>
      <c r="AQ149" s="617">
        <v>2.0143577254464803E-3</v>
      </c>
      <c r="AR149" s="617">
        <v>2.3361036771504784E-3</v>
      </c>
      <c r="AS149" s="617">
        <v>2.2185782570261102E-3</v>
      </c>
      <c r="AT149" s="618">
        <v>2.0984010377740427E-3</v>
      </c>
      <c r="AU149" s="618">
        <v>1.0039220788923124E-3</v>
      </c>
      <c r="AV149" s="618">
        <v>9.2885496022824805E-4</v>
      </c>
      <c r="AW149" s="618">
        <v>8.0600470707067559E-4</v>
      </c>
      <c r="AX149" s="618">
        <v>1.1238899530220516E-3</v>
      </c>
      <c r="AY149" s="618">
        <v>1.0039220788923124E-3</v>
      </c>
      <c r="AZ149" s="618">
        <v>8.9881744409955335E-4</v>
      </c>
      <c r="BA149" s="618">
        <v>1.206813111124722E-3</v>
      </c>
      <c r="BB149" s="618">
        <v>1.1383293932209486E-3</v>
      </c>
      <c r="BC149" s="618">
        <v>1.0037550059785515E-3</v>
      </c>
      <c r="BD149" s="618">
        <v>1.3079125398376917E-3</v>
      </c>
      <c r="BE149" s="617">
        <v>1.2491103189794929E-3</v>
      </c>
      <c r="BF149" s="617">
        <v>1.1526587420567409E-3</v>
      </c>
      <c r="BG149" s="617"/>
      <c r="BH149" s="617"/>
      <c r="BI149" s="617"/>
      <c r="BJ149" s="617"/>
      <c r="BK149" s="617"/>
      <c r="BL149" s="617"/>
      <c r="BM149" s="617"/>
      <c r="BN149" s="617"/>
      <c r="BO149" s="617"/>
      <c r="BP149" s="617"/>
      <c r="BQ149" s="617"/>
      <c r="BR149" s="617"/>
      <c r="BS149" s="617"/>
      <c r="BT149" s="617"/>
      <c r="BU149" s="617"/>
      <c r="BV149" s="617"/>
      <c r="BW149" s="617"/>
      <c r="BX149" s="617"/>
      <c r="BY149" s="617"/>
      <c r="BZ149" s="617"/>
      <c r="CA149" s="617"/>
      <c r="CB149" s="617"/>
      <c r="CC149" s="617"/>
      <c r="CD149" s="617"/>
      <c r="CE149" s="617"/>
      <c r="CF149" s="617"/>
      <c r="CG149" s="617"/>
      <c r="CH149" s="617"/>
      <c r="CI149" s="617"/>
      <c r="CJ149" s="617"/>
      <c r="CK149" s="617"/>
      <c r="CL149" s="617"/>
    </row>
    <row r="150" spans="1:90">
      <c r="A150" s="151">
        <f t="shared" ca="1" si="0"/>
        <v>11</v>
      </c>
      <c r="B150" s="113">
        <f t="shared" si="2"/>
        <v>204</v>
      </c>
      <c r="C150" s="150">
        <f t="shared" si="9"/>
        <v>36</v>
      </c>
      <c r="D150" s="565">
        <f t="shared" si="10"/>
        <v>9.5000000000000001E-2</v>
      </c>
      <c r="E150" s="306">
        <f t="shared" si="3"/>
        <v>6670.7343986242313</v>
      </c>
      <c r="F150" s="306">
        <f t="shared" si="15"/>
        <v>2944.5716563536416</v>
      </c>
      <c r="G150" s="307">
        <f t="shared" si="16"/>
        <v>9615.3060549778729</v>
      </c>
      <c r="H150" s="306">
        <f>IF(N149&lt;0.01,0,IF(Adm!$S$3=Adm!$S$13,Cal!$E$94,IF(Adm!$R$3=Adm!$R$6,0,IF(Cal!$E$91&gt;0,0,IF(Cal!$E$91=0,N149*Adm!$Y$3,N149*Adm!$X$3)))))</f>
        <v>0</v>
      </c>
      <c r="I150" s="306">
        <f>IF(N149&lt;0.01,0,IF(Adm!$R$4=Adm!$R$6,0,Cal!$E$89*Adm!$AA$3))</f>
        <v>573.58240000000001</v>
      </c>
      <c r="J150" s="306">
        <f>IF(N149&lt;0.01,0,Adm!$O$3*1.16)</f>
        <v>290</v>
      </c>
      <c r="K150" s="306">
        <f>IF(N149&lt;0.01,0,IF(Adm!$N$3&gt;0,E150*Adm!$N$3,0))</f>
        <v>0</v>
      </c>
      <c r="L150" s="306">
        <f t="shared" si="4"/>
        <v>10478.888454977872</v>
      </c>
      <c r="M150" s="306">
        <f>IF(Adm!$F$3="si",MIN(N149+E150+H150+I150+J150-L150,Z150),0)</f>
        <v>0</v>
      </c>
      <c r="N150" s="306">
        <f t="shared" si="5"/>
        <v>839674.51027512818</v>
      </c>
      <c r="O150" s="361"/>
      <c r="P150" s="114"/>
      <c r="V150" s="571">
        <f t="shared" si="6"/>
        <v>12</v>
      </c>
      <c r="W150" s="293">
        <f>IF(V150=1,Adm!$AN$2,0)</f>
        <v>0</v>
      </c>
      <c r="Y150" s="304">
        <f t="shared" si="11"/>
        <v>0</v>
      </c>
      <c r="Z150" s="345">
        <f t="shared" ca="1" si="7"/>
        <v>0</v>
      </c>
      <c r="AB150" s="640">
        <f t="shared" si="12"/>
        <v>0</v>
      </c>
      <c r="AC150" s="639">
        <f t="shared" si="13"/>
        <v>0</v>
      </c>
      <c r="AD150" s="641">
        <f t="shared" si="8"/>
        <v>0</v>
      </c>
      <c r="AE150" s="639">
        <f t="shared" si="14"/>
        <v>0</v>
      </c>
      <c r="AF150" s="636">
        <f t="shared" si="1"/>
        <v>0</v>
      </c>
      <c r="AG150" s="637" t="e">
        <f>HLOOKUP($AG$110,anticipado,37,0)</f>
        <v>#N/A</v>
      </c>
      <c r="AI150" s="614">
        <v>2.0069324416967563E-3</v>
      </c>
      <c r="AJ150" s="615">
        <v>1.8411286362487861E-3</v>
      </c>
      <c r="AK150" s="616">
        <v>1.7163110039560652E-3</v>
      </c>
      <c r="AL150" s="616">
        <v>2.0943975727137389E-3</v>
      </c>
      <c r="AM150" s="617">
        <v>2.0069324416967563E-3</v>
      </c>
      <c r="AN150" s="617">
        <v>1.8411286362487861E-3</v>
      </c>
      <c r="AO150" s="617">
        <v>2.2411140885492701E-3</v>
      </c>
      <c r="AP150" s="617">
        <v>2.1229160185275001E-3</v>
      </c>
      <c r="AQ150" s="617">
        <v>2.0357483546818819E-3</v>
      </c>
      <c r="AR150" s="617">
        <v>2.3594283369025625E-3</v>
      </c>
      <c r="AS150" s="617">
        <v>2.2411140885492701E-3</v>
      </c>
      <c r="AT150" s="618">
        <v>2.1201442726022225E-3</v>
      </c>
      <c r="AU150" s="618">
        <v>1.0140506996447517E-3</v>
      </c>
      <c r="AV150" s="618">
        <v>9.3846563577318603E-4</v>
      </c>
      <c r="AW150" s="618">
        <v>8.1464748008011568E-4</v>
      </c>
      <c r="AX150" s="618">
        <v>1.1348589604506147E-3</v>
      </c>
      <c r="AY150" s="618">
        <v>1.0140506996447517E-3</v>
      </c>
      <c r="AZ150" s="618">
        <v>9.0816499421204845E-4</v>
      </c>
      <c r="BA150" s="618">
        <v>1.2182797824096348E-3</v>
      </c>
      <c r="BB150" s="618">
        <v>1.1494084592801096E-3</v>
      </c>
      <c r="BC150" s="618">
        <v>1.0139236367090842E-3</v>
      </c>
      <c r="BD150" s="618">
        <v>1.3199932832123559E-3</v>
      </c>
      <c r="BE150" s="617">
        <v>1.2608238391364237E-3</v>
      </c>
      <c r="BF150" s="617">
        <v>1.163797803075925E-3</v>
      </c>
      <c r="BG150" s="617"/>
      <c r="BH150" s="617"/>
      <c r="BI150" s="617"/>
      <c r="BJ150" s="617"/>
      <c r="BK150" s="617"/>
      <c r="BL150" s="617"/>
      <c r="BM150" s="617"/>
      <c r="BN150" s="617"/>
      <c r="BO150" s="617"/>
      <c r="BP150" s="617"/>
      <c r="BQ150" s="617"/>
      <c r="BR150" s="617"/>
      <c r="BS150" s="617"/>
      <c r="BT150" s="617"/>
      <c r="BU150" s="617"/>
      <c r="BV150" s="617"/>
      <c r="BW150" s="617"/>
      <c r="BX150" s="617"/>
      <c r="BY150" s="617"/>
      <c r="BZ150" s="617"/>
      <c r="CA150" s="617"/>
      <c r="CB150" s="617"/>
      <c r="CC150" s="617"/>
      <c r="CD150" s="617"/>
      <c r="CE150" s="617"/>
      <c r="CF150" s="617"/>
      <c r="CG150" s="617"/>
      <c r="CH150" s="617"/>
      <c r="CI150" s="617"/>
      <c r="CJ150" s="617"/>
      <c r="CK150" s="617"/>
      <c r="CL150" s="617"/>
    </row>
    <row r="151" spans="1:90">
      <c r="A151" s="151">
        <f t="shared" ca="1" si="0"/>
        <v>12</v>
      </c>
      <c r="B151" s="113">
        <f t="shared" si="2"/>
        <v>203</v>
      </c>
      <c r="C151" s="150">
        <f t="shared" si="9"/>
        <v>37</v>
      </c>
      <c r="D151" s="565">
        <f t="shared" si="10"/>
        <v>9.5000000000000001E-2</v>
      </c>
      <c r="E151" s="306">
        <f t="shared" si="3"/>
        <v>6647.4232063447644</v>
      </c>
      <c r="F151" s="306">
        <f t="shared" si="15"/>
        <v>2967.8828486331086</v>
      </c>
      <c r="G151" s="307">
        <f t="shared" si="16"/>
        <v>9615.3060549778729</v>
      </c>
      <c r="H151" s="306">
        <f>IF(N150&lt;0.01,0,IF(Adm!$S$3=Adm!$S$13,Cal!$E$94,IF(Adm!$R$3=Adm!$R$6,0,IF(Cal!$E$91&gt;0,0,IF(Cal!$E$91=0,N150*Adm!$Y$3,N150*Adm!$X$3)))))</f>
        <v>0</v>
      </c>
      <c r="I151" s="306">
        <f>IF(N150&lt;0.01,0,IF(Adm!$R$4=Adm!$R$6,0,Cal!$E$89*Adm!$AA$3))</f>
        <v>573.58240000000001</v>
      </c>
      <c r="J151" s="306">
        <f>IF(N150&lt;0.01,0,Adm!$O$3*1.16)</f>
        <v>290</v>
      </c>
      <c r="K151" s="306">
        <f>IF(N150&lt;0.01,0,IF(Adm!$N$3&gt;0,E151*Adm!$N$3,0))</f>
        <v>0</v>
      </c>
      <c r="L151" s="306">
        <f t="shared" si="4"/>
        <v>10478.888454977872</v>
      </c>
      <c r="M151" s="306">
        <f>IF(Adm!$F$3="si",MIN(N150+E151+H151+I151+J151-L151,Z151),0)</f>
        <v>0</v>
      </c>
      <c r="N151" s="306">
        <f t="shared" si="5"/>
        <v>836706.62742649508</v>
      </c>
      <c r="O151" s="361"/>
      <c r="P151" s="114"/>
      <c r="V151" s="571">
        <f t="shared" si="6"/>
        <v>1</v>
      </c>
      <c r="W151" s="293">
        <f>IF(V151=1,Adm!$AN$2,0)</f>
        <v>0</v>
      </c>
      <c r="Y151" s="304">
        <f t="shared" si="11"/>
        <v>0</v>
      </c>
      <c r="Z151" s="345">
        <f t="shared" ca="1" si="7"/>
        <v>0</v>
      </c>
      <c r="AB151" s="640">
        <f t="shared" si="12"/>
        <v>0</v>
      </c>
      <c r="AC151" s="639">
        <f t="shared" si="13"/>
        <v>0</v>
      </c>
      <c r="AD151" s="641">
        <f t="shared" si="8"/>
        <v>0</v>
      </c>
      <c r="AE151" s="639">
        <f t="shared" si="14"/>
        <v>0</v>
      </c>
      <c r="AF151" s="636">
        <f t="shared" si="1"/>
        <v>0</v>
      </c>
      <c r="AG151" s="637" t="e">
        <f>HLOOKUP($AG$110,anticipado,38,0)</f>
        <v>#N/A</v>
      </c>
      <c r="AI151" s="614">
        <v>2.2946457440347146E-3</v>
      </c>
      <c r="AJ151" s="615">
        <v>2.1346702971419803E-3</v>
      </c>
      <c r="AK151" s="616">
        <v>2.0140314427446824E-3</v>
      </c>
      <c r="AL151" s="616">
        <v>2.3772973776818597E-3</v>
      </c>
      <c r="AM151" s="617">
        <v>2.2946457440347146E-3</v>
      </c>
      <c r="AN151" s="617">
        <v>2.1346702971419803E-3</v>
      </c>
      <c r="AO151" s="617">
        <v>2.5184448829390737E-3</v>
      </c>
      <c r="AP151" s="617">
        <v>2.4057643089323904E-3</v>
      </c>
      <c r="AQ151" s="617">
        <v>2.3234288199907977E-3</v>
      </c>
      <c r="AR151" s="617">
        <v>2.6332426336818557E-3</v>
      </c>
      <c r="AS151" s="617">
        <v>2.5184448829390737E-3</v>
      </c>
      <c r="AT151" s="618">
        <v>2.4017551358594597E-3</v>
      </c>
      <c r="AU151" s="618">
        <v>1.125284812591982E-3</v>
      </c>
      <c r="AV151" s="618">
        <v>1.0517500542708415E-3</v>
      </c>
      <c r="AW151" s="618">
        <v>9.3070728534073977E-4</v>
      </c>
      <c r="AX151" s="618">
        <v>1.2436570839744828E-3</v>
      </c>
      <c r="AY151" s="618">
        <v>1.125284812591982E-3</v>
      </c>
      <c r="AZ151" s="618">
        <v>1.0217111925635142E-3</v>
      </c>
      <c r="BA151" s="618">
        <v>1.3250015537025605E-3</v>
      </c>
      <c r="BB151" s="618">
        <v>1.2580476437523038E-3</v>
      </c>
      <c r="BC151" s="618">
        <v>1.1256144306412189E-3</v>
      </c>
      <c r="BD151" s="618">
        <v>1.4246904113101625E-3</v>
      </c>
      <c r="BE151" s="617">
        <v>1.36655541666895E-3</v>
      </c>
      <c r="BF151" s="617">
        <v>1.2718081900102989E-3</v>
      </c>
      <c r="BG151" s="617"/>
      <c r="BH151" s="617"/>
      <c r="BI151" s="617"/>
      <c r="BJ151" s="617"/>
      <c r="BK151" s="617"/>
      <c r="BL151" s="617"/>
      <c r="BM151" s="617"/>
      <c r="BN151" s="617"/>
      <c r="BO151" s="617"/>
      <c r="BP151" s="617"/>
      <c r="BQ151" s="617"/>
      <c r="BR151" s="617"/>
      <c r="BS151" s="617"/>
      <c r="BT151" s="617"/>
      <c r="BU151" s="617"/>
      <c r="BV151" s="617"/>
      <c r="BW151" s="617"/>
      <c r="BX151" s="617"/>
      <c r="BY151" s="617"/>
      <c r="BZ151" s="617"/>
      <c r="CA151" s="617"/>
      <c r="CB151" s="617"/>
      <c r="CC151" s="617"/>
      <c r="CD151" s="617"/>
      <c r="CE151" s="617"/>
      <c r="CF151" s="617"/>
      <c r="CG151" s="617"/>
      <c r="CH151" s="617"/>
      <c r="CI151" s="617"/>
      <c r="CJ151" s="617"/>
      <c r="CK151" s="617"/>
      <c r="CL151" s="617"/>
    </row>
    <row r="152" spans="1:90">
      <c r="A152" s="151">
        <f t="shared" ca="1" si="0"/>
        <v>1</v>
      </c>
      <c r="B152" s="113">
        <f t="shared" si="2"/>
        <v>202</v>
      </c>
      <c r="C152" s="150">
        <f t="shared" si="9"/>
        <v>38</v>
      </c>
      <c r="D152" s="565">
        <f t="shared" si="10"/>
        <v>9.5000000000000001E-2</v>
      </c>
      <c r="E152" s="306">
        <f t="shared" si="3"/>
        <v>6623.9274671264202</v>
      </c>
      <c r="F152" s="306">
        <f t="shared" si="15"/>
        <v>2991.3785878514527</v>
      </c>
      <c r="G152" s="307">
        <f t="shared" si="16"/>
        <v>9615.3060549778729</v>
      </c>
      <c r="H152" s="306">
        <f>IF(N151&lt;0.01,0,IF(Adm!$S$3=Adm!$S$13,Cal!$E$94,IF(Adm!$R$3=Adm!$R$6,0,IF(Cal!$E$91&gt;0,0,IF(Cal!$E$91=0,N151*Adm!$Y$3,N151*Adm!$X$3)))))</f>
        <v>0</v>
      </c>
      <c r="I152" s="306">
        <f>IF(N151&lt;0.01,0,IF(Adm!$R$4=Adm!$R$6,0,Cal!$E$89*Adm!$AA$3))</f>
        <v>573.58240000000001</v>
      </c>
      <c r="J152" s="306">
        <f>IF(N151&lt;0.01,0,Adm!$O$3*1.16)</f>
        <v>290</v>
      </c>
      <c r="K152" s="306">
        <f>IF(N151&lt;0.01,0,IF(Adm!$N$3&gt;0,E152*Adm!$N$3,0))</f>
        <v>0</v>
      </c>
      <c r="L152" s="306">
        <f t="shared" si="4"/>
        <v>10478.888454977872</v>
      </c>
      <c r="M152" s="306">
        <f>IF(Adm!$F$3="si",MIN(N151+E152+H152+I152+J152-L152,Z152),0)</f>
        <v>0</v>
      </c>
      <c r="N152" s="306">
        <f t="shared" si="5"/>
        <v>833715.24883864366</v>
      </c>
      <c r="O152" s="361"/>
      <c r="P152" s="114"/>
      <c r="V152" s="571">
        <f t="shared" si="6"/>
        <v>2</v>
      </c>
      <c r="W152" s="293">
        <f>IF(V152=1,Adm!$AN$2,0)</f>
        <v>0</v>
      </c>
      <c r="Y152" s="304">
        <f t="shared" si="11"/>
        <v>0</v>
      </c>
      <c r="Z152" s="345">
        <f t="shared" ca="1" si="7"/>
        <v>0</v>
      </c>
      <c r="AB152" s="640">
        <f t="shared" si="12"/>
        <v>0</v>
      </c>
      <c r="AC152" s="639">
        <f t="shared" si="13"/>
        <v>0</v>
      </c>
      <c r="AD152" s="641">
        <f t="shared" si="8"/>
        <v>0</v>
      </c>
      <c r="AE152" s="639">
        <f t="shared" si="14"/>
        <v>0</v>
      </c>
      <c r="AF152" s="636">
        <f t="shared" si="1"/>
        <v>0</v>
      </c>
      <c r="AG152" s="637" t="e">
        <f>HLOOKUP($AG$110,anticipado,39,0)</f>
        <v>#N/A</v>
      </c>
      <c r="AI152" s="614">
        <v>2.3197600911974607E-3</v>
      </c>
      <c r="AJ152" s="615">
        <v>2.1586504370584465E-3</v>
      </c>
      <c r="AK152" s="616">
        <v>2.0370828708552178E-3</v>
      </c>
      <c r="AL152" s="616">
        <v>2.4028005497971853E-3</v>
      </c>
      <c r="AM152" s="617">
        <v>2.3197600911974607E-3</v>
      </c>
      <c r="AN152" s="617">
        <v>2.1586504370584465E-3</v>
      </c>
      <c r="AO152" s="617">
        <v>2.5447914886985346E-3</v>
      </c>
      <c r="AP152" s="617">
        <v>2.4315417730379676E-3</v>
      </c>
      <c r="AQ152" s="617">
        <v>2.3488289208369521E-3</v>
      </c>
      <c r="AR152" s="617">
        <v>2.6603263936429296E-3</v>
      </c>
      <c r="AS152" s="617">
        <v>2.5447914886985346E-3</v>
      </c>
      <c r="AT152" s="618">
        <v>2.4273795724590007E-3</v>
      </c>
      <c r="AU152" s="618">
        <v>1.1367759689994909E-3</v>
      </c>
      <c r="AV152" s="618">
        <v>1.0627630304397128E-3</v>
      </c>
      <c r="AW152" s="618">
        <v>9.4080465710811006E-4</v>
      </c>
      <c r="AX152" s="618">
        <v>1.2559455919562848E-3</v>
      </c>
      <c r="AY152" s="618">
        <v>1.1367759689994909E-3</v>
      </c>
      <c r="AZ152" s="618">
        <v>1.0324638144680871E-3</v>
      </c>
      <c r="BA152" s="618">
        <v>1.3377495034095461E-3</v>
      </c>
      <c r="BB152" s="618">
        <v>1.2704441653165392E-3</v>
      </c>
      <c r="BC152" s="618">
        <v>1.1371562817211645E-3</v>
      </c>
      <c r="BD152" s="618">
        <v>1.4380179407712105E-3</v>
      </c>
      <c r="BE152" s="617">
        <v>1.3795324990766634E-3</v>
      </c>
      <c r="BF152" s="617">
        <v>1.2842518816865518E-3</v>
      </c>
      <c r="BG152" s="617"/>
      <c r="BH152" s="617"/>
      <c r="BI152" s="617"/>
      <c r="BJ152" s="617"/>
      <c r="BK152" s="617"/>
      <c r="BL152" s="617"/>
      <c r="BM152" s="617"/>
      <c r="BN152" s="617"/>
      <c r="BO152" s="617"/>
      <c r="BP152" s="617"/>
      <c r="BQ152" s="617"/>
      <c r="BR152" s="617"/>
      <c r="BS152" s="617"/>
      <c r="BT152" s="617"/>
      <c r="BU152" s="617"/>
      <c r="BV152" s="617"/>
      <c r="BW152" s="617"/>
      <c r="BX152" s="617"/>
      <c r="BY152" s="617"/>
      <c r="BZ152" s="617"/>
      <c r="CA152" s="617"/>
      <c r="CB152" s="617"/>
      <c r="CC152" s="617"/>
      <c r="CD152" s="617"/>
      <c r="CE152" s="617"/>
      <c r="CF152" s="617"/>
      <c r="CG152" s="617"/>
      <c r="CH152" s="617"/>
      <c r="CI152" s="617"/>
      <c r="CJ152" s="617"/>
      <c r="CK152" s="617"/>
      <c r="CL152" s="617"/>
    </row>
    <row r="153" spans="1:90">
      <c r="A153" s="151">
        <f t="shared" ca="1" si="0"/>
        <v>2</v>
      </c>
      <c r="B153" s="113">
        <f t="shared" si="2"/>
        <v>201</v>
      </c>
      <c r="C153" s="150">
        <f t="shared" si="9"/>
        <v>39</v>
      </c>
      <c r="D153" s="565">
        <f t="shared" si="10"/>
        <v>9.5000000000000001E-2</v>
      </c>
      <c r="E153" s="306">
        <f t="shared" si="3"/>
        <v>6600.245719972595</v>
      </c>
      <c r="F153" s="306">
        <f t="shared" si="15"/>
        <v>3015.0603350052779</v>
      </c>
      <c r="G153" s="307">
        <f t="shared" si="16"/>
        <v>9615.3060549778729</v>
      </c>
      <c r="H153" s="306">
        <f>IF(N152&lt;0.01,0,IF(Adm!$S$3=Adm!$S$13,Cal!$E$94,IF(Adm!$R$3=Adm!$R$6,0,IF(Cal!$E$91&gt;0,0,IF(Cal!$E$91=0,N152*Adm!$Y$3,N152*Adm!$X$3)))))</f>
        <v>0</v>
      </c>
      <c r="I153" s="306">
        <f>IF(N152&lt;0.01,0,IF(Adm!$R$4=Adm!$R$6,0,Cal!$E$89*Adm!$AA$3))</f>
        <v>573.58240000000001</v>
      </c>
      <c r="J153" s="306">
        <f>IF(N152&lt;0.01,0,Adm!$O$3*1.16)</f>
        <v>290</v>
      </c>
      <c r="K153" s="306">
        <f>IF(N152&lt;0.01,0,IF(Adm!$N$3&gt;0,E153*Adm!$N$3,0))</f>
        <v>0</v>
      </c>
      <c r="L153" s="306">
        <f t="shared" si="4"/>
        <v>10478.888454977872</v>
      </c>
      <c r="M153" s="306">
        <f>IF(Adm!$F$3="si",MIN(N152+E153+H153+I153+J153-L153,Z153),0)</f>
        <v>0</v>
      </c>
      <c r="N153" s="306">
        <f t="shared" si="5"/>
        <v>830700.18850363838</v>
      </c>
      <c r="O153" s="361"/>
      <c r="P153" s="114"/>
      <c r="V153" s="571">
        <f t="shared" si="6"/>
        <v>3</v>
      </c>
      <c r="W153" s="293">
        <f>IF(V153=1,Adm!$AN$2,0)</f>
        <v>0</v>
      </c>
      <c r="Y153" s="304">
        <f t="shared" si="11"/>
        <v>0</v>
      </c>
      <c r="Z153" s="345">
        <f t="shared" ca="1" si="7"/>
        <v>0</v>
      </c>
      <c r="AB153" s="640">
        <f t="shared" si="12"/>
        <v>0</v>
      </c>
      <c r="AC153" s="639">
        <f t="shared" si="13"/>
        <v>0</v>
      </c>
      <c r="AD153" s="641">
        <f t="shared" si="8"/>
        <v>0</v>
      </c>
      <c r="AE153" s="639">
        <f t="shared" si="14"/>
        <v>0</v>
      </c>
      <c r="AF153" s="636">
        <f t="shared" si="1"/>
        <v>0</v>
      </c>
      <c r="AG153" s="637" t="e">
        <f>HLOOKUP($AG$110,anticipado,40,0)</f>
        <v>#N/A</v>
      </c>
      <c r="AI153" s="614">
        <v>2.3452083427029846E-3</v>
      </c>
      <c r="AJ153" s="615">
        <v>2.1829524209723626E-3</v>
      </c>
      <c r="AK153" s="616">
        <v>2.0604457242229886E-3</v>
      </c>
      <c r="AL153" s="616">
        <v>2.4286394004609337E-3</v>
      </c>
      <c r="AM153" s="617">
        <v>2.3452083427029846E-3</v>
      </c>
      <c r="AN153" s="617">
        <v>2.1829524209723626E-3</v>
      </c>
      <c r="AO153" s="617">
        <v>2.5714816392396122E-3</v>
      </c>
      <c r="AP153" s="617">
        <v>2.4576589444452652E-3</v>
      </c>
      <c r="AQ153" s="617">
        <v>2.3745671544142264E-3</v>
      </c>
      <c r="AR153" s="617">
        <v>2.6877617058002202E-3</v>
      </c>
      <c r="AS153" s="617">
        <v>2.5714816392396122E-3</v>
      </c>
      <c r="AT153" s="618">
        <v>2.4533404141743394E-3</v>
      </c>
      <c r="AU153" s="618">
        <v>1.1483976818056926E-3</v>
      </c>
      <c r="AV153" s="618">
        <v>1.0739031638652623E-3</v>
      </c>
      <c r="AW153" s="618">
        <v>9.5102118841535886E-4</v>
      </c>
      <c r="AX153" s="618">
        <v>1.2683711278138516E-3</v>
      </c>
      <c r="AY153" s="618">
        <v>1.1483976818056926E-3</v>
      </c>
      <c r="AZ153" s="618">
        <v>1.0433408284919881E-3</v>
      </c>
      <c r="BA153" s="618">
        <v>1.3506373428975361E-3</v>
      </c>
      <c r="BB153" s="618">
        <v>1.2829787639537292E-3</v>
      </c>
      <c r="BC153" s="618">
        <v>1.1488297554625745E-3</v>
      </c>
      <c r="BD153" s="618">
        <v>1.4514895174358958E-3</v>
      </c>
      <c r="BE153" s="617">
        <v>1.3926509117200901E-3</v>
      </c>
      <c r="BF153" s="617">
        <v>1.2968334835223355E-3</v>
      </c>
      <c r="BG153" s="617"/>
      <c r="BH153" s="617"/>
      <c r="BI153" s="617"/>
      <c r="BJ153" s="617"/>
      <c r="BK153" s="617"/>
      <c r="BL153" s="617"/>
      <c r="BM153" s="617"/>
      <c r="BN153" s="617"/>
      <c r="BO153" s="617"/>
      <c r="BP153" s="617"/>
      <c r="BQ153" s="617"/>
      <c r="BR153" s="617"/>
      <c r="BS153" s="617"/>
      <c r="BT153" s="617"/>
      <c r="BU153" s="617"/>
      <c r="BV153" s="617"/>
      <c r="BW153" s="617"/>
      <c r="BX153" s="617"/>
      <c r="BY153" s="617"/>
      <c r="BZ153" s="617"/>
      <c r="CA153" s="617"/>
      <c r="CB153" s="617"/>
      <c r="CC153" s="617"/>
      <c r="CD153" s="617"/>
      <c r="CE153" s="617"/>
      <c r="CF153" s="617"/>
      <c r="CG153" s="617"/>
      <c r="CH153" s="617"/>
      <c r="CI153" s="617"/>
      <c r="CJ153" s="617"/>
      <c r="CK153" s="617"/>
      <c r="CL153" s="617"/>
    </row>
    <row r="154" spans="1:90">
      <c r="A154" s="151">
        <f t="shared" ca="1" si="0"/>
        <v>3</v>
      </c>
      <c r="B154" s="113">
        <f t="shared" si="2"/>
        <v>200</v>
      </c>
      <c r="C154" s="150">
        <f t="shared" si="9"/>
        <v>40</v>
      </c>
      <c r="D154" s="565">
        <f t="shared" si="10"/>
        <v>9.5000000000000001E-2</v>
      </c>
      <c r="E154" s="306">
        <f t="shared" si="3"/>
        <v>6576.3764923204699</v>
      </c>
      <c r="F154" s="306">
        <f t="shared" si="15"/>
        <v>3038.929562657403</v>
      </c>
      <c r="G154" s="307">
        <f t="shared" si="16"/>
        <v>9615.3060549778729</v>
      </c>
      <c r="H154" s="306">
        <f>IF(N153&lt;0.01,0,IF(Adm!$S$3=Adm!$S$13,Cal!$E$94,IF(Adm!$R$3=Adm!$R$6,0,IF(Cal!$E$91&gt;0,0,IF(Cal!$E$91=0,N153*Adm!$Y$3,N153*Adm!$X$3)))))</f>
        <v>0</v>
      </c>
      <c r="I154" s="306">
        <f>IF(N153&lt;0.01,0,IF(Adm!$R$4=Adm!$R$6,0,Cal!$E$89*Adm!$AA$3))</f>
        <v>573.58240000000001</v>
      </c>
      <c r="J154" s="306">
        <f>IF(N153&lt;0.01,0,Adm!$O$3*1.16)</f>
        <v>290</v>
      </c>
      <c r="K154" s="306">
        <f>IF(N153&lt;0.01,0,IF(Adm!$N$3&gt;0,E154*Adm!$N$3,0))</f>
        <v>0</v>
      </c>
      <c r="L154" s="306">
        <f t="shared" si="4"/>
        <v>10478.888454977872</v>
      </c>
      <c r="M154" s="306">
        <f>IF(Adm!$F$3="si",MIN(N153+E154+H154+I154+J154-L154,Z154),0)</f>
        <v>0</v>
      </c>
      <c r="N154" s="306">
        <f t="shared" si="5"/>
        <v>827661.258940981</v>
      </c>
      <c r="O154" s="361"/>
      <c r="P154" s="114"/>
      <c r="V154" s="571">
        <f t="shared" si="6"/>
        <v>4</v>
      </c>
      <c r="W154" s="293">
        <f>IF(V154=1,Adm!$AN$2,0)</f>
        <v>0</v>
      </c>
      <c r="Y154" s="304">
        <f t="shared" si="11"/>
        <v>0</v>
      </c>
      <c r="Z154" s="345">
        <f t="shared" ca="1" si="7"/>
        <v>0</v>
      </c>
      <c r="AB154" s="640">
        <f t="shared" si="12"/>
        <v>0</v>
      </c>
      <c r="AC154" s="639">
        <f t="shared" si="13"/>
        <v>0</v>
      </c>
      <c r="AD154" s="641">
        <f t="shared" si="8"/>
        <v>0</v>
      </c>
      <c r="AE154" s="639">
        <f t="shared" si="14"/>
        <v>0</v>
      </c>
      <c r="AF154" s="636">
        <f t="shared" si="1"/>
        <v>0</v>
      </c>
      <c r="AG154" s="637" t="e">
        <f>HLOOKUP($AG$110,anticipado,41,0)</f>
        <v>#N/A</v>
      </c>
      <c r="AI154" s="614">
        <v>2.3709962448326973E-3</v>
      </c>
      <c r="AJ154" s="615">
        <v>2.207581760140478E-3</v>
      </c>
      <c r="AK154" s="616">
        <v>2.0841253114985405E-3</v>
      </c>
      <c r="AL154" s="616">
        <v>2.4548196953028101E-3</v>
      </c>
      <c r="AM154" s="617">
        <v>2.3709962448326973E-3</v>
      </c>
      <c r="AN154" s="617">
        <v>2.207581760140478E-3</v>
      </c>
      <c r="AO154" s="617">
        <v>2.5985212519053749E-3</v>
      </c>
      <c r="AP154" s="617">
        <v>2.4841216765592402E-3</v>
      </c>
      <c r="AQ154" s="617">
        <v>2.4006493589399532E-3</v>
      </c>
      <c r="AR154" s="617">
        <v>2.7155546526122462E-3</v>
      </c>
      <c r="AS154" s="617">
        <v>2.5985212519053749E-3</v>
      </c>
      <c r="AT154" s="618">
        <v>2.4796434375458994E-3</v>
      </c>
      <c r="AU154" s="618">
        <v>1.160151706298134E-3</v>
      </c>
      <c r="AV154" s="618">
        <v>1.0851721726281534E-3</v>
      </c>
      <c r="AW154" s="618">
        <v>9.6135849565627117E-4</v>
      </c>
      <c r="AX154" s="618">
        <v>1.2809355304346395E-3</v>
      </c>
      <c r="AY154" s="618">
        <v>1.160151706298134E-3</v>
      </c>
      <c r="AZ154" s="618">
        <v>1.0543439119063221E-3</v>
      </c>
      <c r="BA154" s="618">
        <v>1.3636669417159595E-3</v>
      </c>
      <c r="BB154" s="618">
        <v>1.2956532940059892E-3</v>
      </c>
      <c r="BC154" s="618">
        <v>1.1606366272925899E-3</v>
      </c>
      <c r="BD154" s="618">
        <v>1.4651070636604209E-3</v>
      </c>
      <c r="BE154" s="617">
        <v>1.4059125403346471E-3</v>
      </c>
      <c r="BF154" s="617">
        <v>1.3095548427007981E-3</v>
      </c>
      <c r="BG154" s="617"/>
      <c r="BH154" s="617"/>
      <c r="BI154" s="617"/>
      <c r="BJ154" s="617"/>
      <c r="BK154" s="617"/>
      <c r="BL154" s="617"/>
      <c r="BM154" s="617"/>
      <c r="BN154" s="617"/>
      <c r="BO154" s="617"/>
      <c r="BP154" s="617"/>
      <c r="BQ154" s="617"/>
      <c r="BR154" s="617"/>
      <c r="BS154" s="617"/>
      <c r="BT154" s="617"/>
      <c r="BU154" s="617"/>
      <c r="BV154" s="617"/>
      <c r="BW154" s="617"/>
      <c r="BX154" s="617"/>
      <c r="BY154" s="617"/>
      <c r="BZ154" s="617"/>
      <c r="CA154" s="617"/>
      <c r="CB154" s="617"/>
      <c r="CC154" s="617"/>
      <c r="CD154" s="617"/>
      <c r="CE154" s="617"/>
      <c r="CF154" s="617"/>
      <c r="CG154" s="617"/>
      <c r="CH154" s="617"/>
      <c r="CI154" s="617"/>
      <c r="CJ154" s="617"/>
      <c r="CK154" s="617"/>
      <c r="CL154" s="617"/>
    </row>
    <row r="155" spans="1:90">
      <c r="A155" s="151">
        <f t="shared" ca="1" si="0"/>
        <v>4</v>
      </c>
      <c r="B155" s="113">
        <f t="shared" si="2"/>
        <v>199</v>
      </c>
      <c r="C155" s="150">
        <f t="shared" si="9"/>
        <v>41</v>
      </c>
      <c r="D155" s="565">
        <f t="shared" si="10"/>
        <v>9.5000000000000001E-2</v>
      </c>
      <c r="E155" s="306">
        <f t="shared" si="3"/>
        <v>6552.3182999494338</v>
      </c>
      <c r="F155" s="306">
        <f t="shared" si="15"/>
        <v>3062.9877550284391</v>
      </c>
      <c r="G155" s="307">
        <f t="shared" si="16"/>
        <v>9615.3060549778729</v>
      </c>
      <c r="H155" s="306">
        <f>IF(N154&lt;0.01,0,IF(Adm!$S$3=Adm!$S$13,Cal!$E$94,IF(Adm!$R$3=Adm!$R$6,0,IF(Cal!$E$91&gt;0,0,IF(Cal!$E$91=0,N154*Adm!$Y$3,N154*Adm!$X$3)))))</f>
        <v>0</v>
      </c>
      <c r="I155" s="306">
        <f>IF(N154&lt;0.01,0,IF(Adm!$R$4=Adm!$R$6,0,Cal!$E$89*Adm!$AA$3))</f>
        <v>573.58240000000001</v>
      </c>
      <c r="J155" s="306">
        <f>IF(N154&lt;0.01,0,Adm!$O$3*1.16)</f>
        <v>290</v>
      </c>
      <c r="K155" s="306">
        <f>IF(N154&lt;0.01,0,IF(Adm!$N$3&gt;0,E155*Adm!$N$3,0))</f>
        <v>0</v>
      </c>
      <c r="L155" s="306">
        <f t="shared" si="4"/>
        <v>10478.888454977872</v>
      </c>
      <c r="M155" s="306">
        <f>IF(Adm!$F$3="si",MIN(N154+E155+H155+I155+J155-L155,Z155),0)</f>
        <v>0</v>
      </c>
      <c r="N155" s="306">
        <f t="shared" si="5"/>
        <v>824598.27118595259</v>
      </c>
      <c r="O155" s="361"/>
      <c r="P155" s="114"/>
      <c r="V155" s="571">
        <f t="shared" si="6"/>
        <v>5</v>
      </c>
      <c r="W155" s="293">
        <f>IF(V155=1,Adm!$AN$2,0)</f>
        <v>0</v>
      </c>
      <c r="Y155" s="304">
        <f t="shared" si="11"/>
        <v>0</v>
      </c>
      <c r="Z155" s="345">
        <f t="shared" ca="1" si="7"/>
        <v>0</v>
      </c>
      <c r="AB155" s="640">
        <f t="shared" si="12"/>
        <v>0</v>
      </c>
      <c r="AC155" s="639">
        <f t="shared" si="13"/>
        <v>0</v>
      </c>
      <c r="AD155" s="641">
        <f t="shared" si="8"/>
        <v>0</v>
      </c>
      <c r="AE155" s="639">
        <f t="shared" si="14"/>
        <v>0</v>
      </c>
      <c r="AF155" s="636">
        <f t="shared" si="1"/>
        <v>0</v>
      </c>
      <c r="AG155" s="637" t="e">
        <f>HLOOKUP($AG$110,anticipado,42,0)</f>
        <v>#N/A</v>
      </c>
      <c r="AI155" s="614">
        <v>2.3971296728971954E-3</v>
      </c>
      <c r="AJ155" s="615">
        <v>2.2325440882216205E-3</v>
      </c>
      <c r="AK155" s="616">
        <v>2.1081270580991952E-3</v>
      </c>
      <c r="AL155" s="616">
        <v>2.4813473295617022E-3</v>
      </c>
      <c r="AM155" s="617">
        <v>2.3971296728971954E-3</v>
      </c>
      <c r="AN155" s="617">
        <v>2.2325440882216205E-3</v>
      </c>
      <c r="AO155" s="617">
        <v>2.6259163779969092E-3</v>
      </c>
      <c r="AP155" s="617">
        <v>2.510935954880709E-3</v>
      </c>
      <c r="AQ155" s="617">
        <v>2.4270815042614878E-3</v>
      </c>
      <c r="AR155" s="617">
        <v>2.7437114552461318E-3</v>
      </c>
      <c r="AS155" s="617">
        <v>2.6259163779969092E-3</v>
      </c>
      <c r="AT155" s="618">
        <v>2.5062945490414274E-3</v>
      </c>
      <c r="AU155" s="618">
        <v>1.1720398270379784E-3</v>
      </c>
      <c r="AV155" s="618">
        <v>1.0965718033585879E-3</v>
      </c>
      <c r="AW155" s="618">
        <v>9.7181822178781636E-4</v>
      </c>
      <c r="AX155" s="618">
        <v>1.2936406696820498E-3</v>
      </c>
      <c r="AY155" s="618">
        <v>1.1720398270379784E-3</v>
      </c>
      <c r="AZ155" s="618">
        <v>1.0654747697068975E-3</v>
      </c>
      <c r="BA155" s="618">
        <v>1.3768402010159923E-3</v>
      </c>
      <c r="BB155" s="618">
        <v>1.3084696411134902E-3</v>
      </c>
      <c r="BC155" s="618">
        <v>1.1725787023350526E-3</v>
      </c>
      <c r="BD155" s="618">
        <v>1.4788725345109646E-3</v>
      </c>
      <c r="BE155" s="617">
        <v>1.4193193025932836E-3</v>
      </c>
      <c r="BF155" s="617">
        <v>1.3224178375469875E-3</v>
      </c>
      <c r="BG155" s="617"/>
      <c r="BH155" s="617"/>
      <c r="BI155" s="617"/>
      <c r="BJ155" s="617"/>
      <c r="BK155" s="617"/>
      <c r="BL155" s="617"/>
      <c r="BM155" s="617"/>
      <c r="BN155" s="617"/>
      <c r="BO155" s="617"/>
      <c r="BP155" s="617"/>
      <c r="BQ155" s="617"/>
      <c r="BR155" s="617"/>
      <c r="BS155" s="617"/>
      <c r="BT155" s="617"/>
      <c r="BU155" s="617"/>
      <c r="BV155" s="617"/>
      <c r="BW155" s="617"/>
      <c r="BX155" s="617"/>
      <c r="BY155" s="617"/>
      <c r="BZ155" s="617"/>
      <c r="CA155" s="617"/>
      <c r="CB155" s="617"/>
      <c r="CC155" s="617"/>
      <c r="CD155" s="617"/>
      <c r="CE155" s="617"/>
      <c r="CF155" s="617"/>
      <c r="CG155" s="617"/>
      <c r="CH155" s="617"/>
      <c r="CI155" s="617"/>
      <c r="CJ155" s="617"/>
      <c r="CK155" s="617"/>
      <c r="CL155" s="617"/>
    </row>
    <row r="156" spans="1:90">
      <c r="A156" s="151">
        <f t="shared" ca="1" si="0"/>
        <v>5</v>
      </c>
      <c r="B156" s="113">
        <f t="shared" si="2"/>
        <v>198</v>
      </c>
      <c r="C156" s="150">
        <f t="shared" si="9"/>
        <v>42</v>
      </c>
      <c r="D156" s="565">
        <f t="shared" si="10"/>
        <v>9.5000000000000001E-2</v>
      </c>
      <c r="E156" s="306">
        <f t="shared" si="3"/>
        <v>6528.0696468887909</v>
      </c>
      <c r="F156" s="306">
        <f t="shared" si="15"/>
        <v>3087.236408089082</v>
      </c>
      <c r="G156" s="307">
        <f t="shared" si="16"/>
        <v>9615.3060549778729</v>
      </c>
      <c r="H156" s="306">
        <f>IF(N155&lt;0.01,0,IF(Adm!$S$3=Adm!$S$13,Cal!$E$94,IF(Adm!$R$3=Adm!$R$6,0,IF(Cal!$E$91&gt;0,0,IF(Cal!$E$91=0,N155*Adm!$Y$3,N155*Adm!$X$3)))))</f>
        <v>0</v>
      </c>
      <c r="I156" s="306">
        <f>IF(N155&lt;0.01,0,IF(Adm!$R$4=Adm!$R$6,0,Cal!$E$89*Adm!$AA$3))</f>
        <v>573.58240000000001</v>
      </c>
      <c r="J156" s="306">
        <f>IF(N155&lt;0.01,0,Adm!$O$3*1.16)</f>
        <v>290</v>
      </c>
      <c r="K156" s="306">
        <f>IF(N155&lt;0.01,0,IF(Adm!$N$3&gt;0,E156*Adm!$N$3,0))</f>
        <v>0</v>
      </c>
      <c r="L156" s="306">
        <f t="shared" si="4"/>
        <v>10478.888454977872</v>
      </c>
      <c r="M156" s="306">
        <f>IF(Adm!$F$3="si",MIN(N155+E156+H156+I156+J156-L156,Z156),0)</f>
        <v>0</v>
      </c>
      <c r="N156" s="306">
        <f t="shared" si="5"/>
        <v>821511.03477786353</v>
      </c>
      <c r="O156" s="361"/>
      <c r="P156" s="114"/>
      <c r="V156" s="571">
        <f t="shared" si="6"/>
        <v>6</v>
      </c>
      <c r="W156" s="293">
        <f>IF(V156=1,Adm!$AN$2,0)</f>
        <v>0</v>
      </c>
      <c r="Y156" s="304">
        <f t="shared" si="11"/>
        <v>0</v>
      </c>
      <c r="Z156" s="345">
        <f t="shared" ca="1" si="7"/>
        <v>0</v>
      </c>
      <c r="AB156" s="640">
        <f t="shared" si="12"/>
        <v>0</v>
      </c>
      <c r="AC156" s="639">
        <f t="shared" si="13"/>
        <v>0</v>
      </c>
      <c r="AD156" s="641">
        <f t="shared" si="8"/>
        <v>0</v>
      </c>
      <c r="AE156" s="639">
        <f t="shared" si="14"/>
        <v>0</v>
      </c>
      <c r="AF156" s="636">
        <f t="shared" si="1"/>
        <v>0</v>
      </c>
      <c r="AG156" s="637" t="e">
        <f>HLOOKUP($AG$110,anticipado,43,0)</f>
        <v>#N/A</v>
      </c>
      <c r="AI156" s="614">
        <v>2.4236146348828791E-3</v>
      </c>
      <c r="AJ156" s="615">
        <v>2.2578451646967971E-3</v>
      </c>
      <c r="AK156" s="616">
        <v>2.1324565094385799E-3</v>
      </c>
      <c r="AL156" s="616">
        <v>2.5082283317532303E-3</v>
      </c>
      <c r="AM156" s="617">
        <v>2.4236146348828791E-3</v>
      </c>
      <c r="AN156" s="617">
        <v>2.2578451646967971E-3</v>
      </c>
      <c r="AO156" s="617">
        <v>2.6536732065910915E-3</v>
      </c>
      <c r="AP156" s="617">
        <v>2.5381079007590211E-3</v>
      </c>
      <c r="AQ156" s="617">
        <v>2.4538696955917708E-3</v>
      </c>
      <c r="AR156" s="617">
        <v>2.7722384775599389E-3</v>
      </c>
      <c r="AS156" s="617">
        <v>2.6536732065910915E-3</v>
      </c>
      <c r="AT156" s="618">
        <v>2.533299788734704E-3</v>
      </c>
      <c r="AU156" s="618">
        <v>1.1840638584682283E-3</v>
      </c>
      <c r="AV156" s="618">
        <v>1.1081038318256958E-3</v>
      </c>
      <c r="AW156" s="618">
        <v>9.8240203686924816E-4</v>
      </c>
      <c r="AX156" s="618">
        <v>1.3064884470476276E-3</v>
      </c>
      <c r="AY156" s="618">
        <v>1.1840638584682283E-3</v>
      </c>
      <c r="AZ156" s="618">
        <v>1.076735135182893E-3</v>
      </c>
      <c r="BA156" s="618">
        <v>1.3901590542193978E-3</v>
      </c>
      <c r="BB156" s="618">
        <v>1.32142972287496E-3</v>
      </c>
      <c r="BC156" s="618">
        <v>1.1846578160293044E-3</v>
      </c>
      <c r="BD156" s="618">
        <v>1.4927879184616405E-3</v>
      </c>
      <c r="BE156" s="617">
        <v>1.4328731487842363E-3</v>
      </c>
      <c r="BF156" s="617">
        <v>1.335424378184544E-3</v>
      </c>
      <c r="BG156" s="617"/>
      <c r="BH156" s="617"/>
      <c r="BI156" s="617"/>
      <c r="BJ156" s="617"/>
      <c r="BK156" s="617"/>
      <c r="BL156" s="617"/>
      <c r="BM156" s="617"/>
      <c r="BN156" s="617"/>
      <c r="BO156" s="617"/>
      <c r="BP156" s="617"/>
      <c r="BQ156" s="617"/>
      <c r="BR156" s="617"/>
      <c r="BS156" s="617"/>
      <c r="BT156" s="617"/>
      <c r="BU156" s="617"/>
      <c r="BV156" s="617"/>
      <c r="BW156" s="617"/>
      <c r="BX156" s="617"/>
      <c r="BY156" s="617"/>
      <c r="BZ156" s="617"/>
      <c r="CA156" s="617"/>
      <c r="CB156" s="617"/>
      <c r="CC156" s="617"/>
      <c r="CD156" s="617"/>
      <c r="CE156" s="617"/>
      <c r="CF156" s="617"/>
      <c r="CG156" s="617"/>
      <c r="CH156" s="617"/>
      <c r="CI156" s="617"/>
      <c r="CJ156" s="617"/>
      <c r="CK156" s="617"/>
      <c r="CL156" s="617"/>
    </row>
    <row r="157" spans="1:90">
      <c r="A157" s="151">
        <f t="shared" ca="1" si="0"/>
        <v>6</v>
      </c>
      <c r="B157" s="113">
        <f t="shared" si="2"/>
        <v>197</v>
      </c>
      <c r="C157" s="150">
        <f t="shared" si="9"/>
        <v>43</v>
      </c>
      <c r="D157" s="565">
        <f t="shared" si="10"/>
        <v>9.5000000000000001E-2</v>
      </c>
      <c r="E157" s="306">
        <f t="shared" si="3"/>
        <v>6503.6290253247535</v>
      </c>
      <c r="F157" s="306">
        <f t="shared" si="15"/>
        <v>3111.6770296531195</v>
      </c>
      <c r="G157" s="307">
        <f t="shared" si="16"/>
        <v>9615.3060549778729</v>
      </c>
      <c r="H157" s="306">
        <f>IF(N156&lt;0.01,0,IF(Adm!$S$3=Adm!$S$13,Cal!$E$94,IF(Adm!$R$3=Adm!$R$6,0,IF(Cal!$E$91&gt;0,0,IF(Cal!$E$91=0,N156*Adm!$Y$3,N156*Adm!$X$3)))))</f>
        <v>0</v>
      </c>
      <c r="I157" s="306">
        <f>IF(N156&lt;0.01,0,IF(Adm!$R$4=Adm!$R$6,0,Cal!$E$89*Adm!$AA$3))</f>
        <v>573.58240000000001</v>
      </c>
      <c r="J157" s="306">
        <f>IF(N156&lt;0.01,0,Adm!$O$3*1.16)</f>
        <v>290</v>
      </c>
      <c r="K157" s="306">
        <f>IF(N156&lt;0.01,0,IF(Adm!$N$3&gt;0,E157*Adm!$N$3,0))</f>
        <v>0</v>
      </c>
      <c r="L157" s="306">
        <f t="shared" si="4"/>
        <v>10478.888454977872</v>
      </c>
      <c r="M157" s="306">
        <f>IF(Adm!$F$3="si",MIN(N156+E157+H157+I157+J157-L157,Z157),0)</f>
        <v>0</v>
      </c>
      <c r="N157" s="306">
        <f t="shared" si="5"/>
        <v>818399.35774821043</v>
      </c>
      <c r="O157" s="361"/>
      <c r="P157" s="114"/>
      <c r="V157" s="571">
        <f t="shared" si="6"/>
        <v>7</v>
      </c>
      <c r="W157" s="293">
        <f>IF(V157=1,Adm!$AN$2,0)</f>
        <v>0</v>
      </c>
      <c r="Y157" s="304">
        <f t="shared" si="11"/>
        <v>0</v>
      </c>
      <c r="Z157" s="345">
        <f t="shared" ca="1" si="7"/>
        <v>0</v>
      </c>
      <c r="AB157" s="640">
        <f t="shared" si="12"/>
        <v>0</v>
      </c>
      <c r="AC157" s="639">
        <f t="shared" si="13"/>
        <v>0</v>
      </c>
      <c r="AD157" s="641">
        <f t="shared" si="8"/>
        <v>0</v>
      </c>
      <c r="AE157" s="639">
        <f t="shared" si="14"/>
        <v>0</v>
      </c>
      <c r="AF157" s="636">
        <f t="shared" si="1"/>
        <v>0</v>
      </c>
      <c r="AG157" s="637" t="e">
        <f>HLOOKUP($AG$110,anticipado,44,0)</f>
        <v>#N/A</v>
      </c>
      <c r="AI157" s="614">
        <v>2.4504572752231291E-3</v>
      </c>
      <c r="AJ157" s="615">
        <v>2.2834908784048558E-3</v>
      </c>
      <c r="AK157" s="616">
        <v>2.1571193342642013E-3</v>
      </c>
      <c r="AL157" s="616">
        <v>2.5354688674627244E-3</v>
      </c>
      <c r="AM157" s="617">
        <v>2.4504572752231291E-3</v>
      </c>
      <c r="AN157" s="617">
        <v>2.2834908784048558E-3</v>
      </c>
      <c r="AO157" s="617">
        <v>2.681798068489775E-3</v>
      </c>
      <c r="AP157" s="617">
        <v>2.5656437752735301E-3</v>
      </c>
      <c r="AQ157" s="617">
        <v>2.4810201773730069E-3</v>
      </c>
      <c r="AR157" s="617">
        <v>2.8011422302230749E-3</v>
      </c>
      <c r="AS157" s="617">
        <v>2.681798068489775E-3</v>
      </c>
      <c r="AT157" s="618">
        <v>2.560665334110113E-3</v>
      </c>
      <c r="AU157" s="618">
        <v>1.1962256455372807E-3</v>
      </c>
      <c r="AV157" s="618">
        <v>1.1197700635416287E-3</v>
      </c>
      <c r="AW157" s="618">
        <v>9.9311163861450749E-4</v>
      </c>
      <c r="AX157" s="618">
        <v>1.3194807963199078E-3</v>
      </c>
      <c r="AY157" s="618">
        <v>1.1962256455372807E-3</v>
      </c>
      <c r="AZ157" s="618">
        <v>1.0881267704996684E-3</v>
      </c>
      <c r="BA157" s="618">
        <v>1.4036254677045109E-3</v>
      </c>
      <c r="BB157" s="618">
        <v>1.3345354895250613E-3</v>
      </c>
      <c r="BC157" s="618">
        <v>1.1968758347645754E-3</v>
      </c>
      <c r="BD157" s="618">
        <v>1.5068552381104492E-3</v>
      </c>
      <c r="BE157" s="617">
        <v>1.4465760625061745E-3</v>
      </c>
      <c r="BF157" s="617">
        <v>1.3485764072091449E-3</v>
      </c>
      <c r="BG157" s="617"/>
      <c r="BH157" s="617"/>
      <c r="BI157" s="617"/>
      <c r="BJ157" s="617"/>
      <c r="BK157" s="617"/>
      <c r="BL157" s="617"/>
      <c r="BM157" s="617"/>
      <c r="BN157" s="617"/>
      <c r="BO157" s="617"/>
      <c r="BP157" s="617"/>
      <c r="BQ157" s="617"/>
      <c r="BR157" s="617"/>
      <c r="BS157" s="617"/>
      <c r="BT157" s="617"/>
      <c r="BU157" s="617"/>
      <c r="BV157" s="617"/>
      <c r="BW157" s="617"/>
      <c r="BX157" s="617"/>
      <c r="BY157" s="617"/>
      <c r="BZ157" s="617"/>
      <c r="CA157" s="617"/>
      <c r="CB157" s="617"/>
      <c r="CC157" s="617"/>
      <c r="CD157" s="617"/>
      <c r="CE157" s="617"/>
      <c r="CF157" s="617"/>
      <c r="CG157" s="617"/>
      <c r="CH157" s="617"/>
      <c r="CI157" s="617"/>
      <c r="CJ157" s="617"/>
      <c r="CK157" s="617"/>
      <c r="CL157" s="617"/>
    </row>
    <row r="158" spans="1:90">
      <c r="A158" s="151">
        <f t="shared" ca="1" si="0"/>
        <v>7</v>
      </c>
      <c r="B158" s="113">
        <f t="shared" si="2"/>
        <v>196</v>
      </c>
      <c r="C158" s="150">
        <f t="shared" si="9"/>
        <v>44</v>
      </c>
      <c r="D158" s="565">
        <f t="shared" si="10"/>
        <v>9.5000000000000001E-2</v>
      </c>
      <c r="E158" s="306">
        <f t="shared" si="3"/>
        <v>6478.9949155066652</v>
      </c>
      <c r="F158" s="306">
        <f t="shared" si="15"/>
        <v>3136.3111394712078</v>
      </c>
      <c r="G158" s="307">
        <f t="shared" si="16"/>
        <v>9615.3060549778729</v>
      </c>
      <c r="H158" s="306">
        <f>IF(N157&lt;0.01,0,IF(Adm!$S$3=Adm!$S$13,Cal!$E$94,IF(Adm!$R$3=Adm!$R$6,0,IF(Cal!$E$91&gt;0,0,IF(Cal!$E$91=0,N157*Adm!$Y$3,N157*Adm!$X$3)))))</f>
        <v>0</v>
      </c>
      <c r="I158" s="306">
        <f>IF(N157&lt;0.01,0,IF(Adm!$R$4=Adm!$R$6,0,Cal!$E$89*Adm!$AA$3))</f>
        <v>573.58240000000001</v>
      </c>
      <c r="J158" s="306">
        <f>IF(N157&lt;0.01,0,Adm!$O$3*1.16)</f>
        <v>290</v>
      </c>
      <c r="K158" s="306">
        <f>IF(N157&lt;0.01,0,IF(Adm!$N$3&gt;0,E158*Adm!$N$3,0))</f>
        <v>0</v>
      </c>
      <c r="L158" s="306">
        <f t="shared" si="4"/>
        <v>10478.888454977872</v>
      </c>
      <c r="M158" s="306">
        <f>IF(Adm!$F$3="si",MIN(N157+E158+H158+I158+J158-L158,Z158),0)</f>
        <v>0</v>
      </c>
      <c r="N158" s="306">
        <f t="shared" si="5"/>
        <v>815263.04660873918</v>
      </c>
      <c r="O158" s="361"/>
      <c r="P158" s="114"/>
      <c r="V158" s="571">
        <f t="shared" si="6"/>
        <v>8</v>
      </c>
      <c r="W158" s="293">
        <f>IF(V158=1,Adm!$AN$2,0)</f>
        <v>0</v>
      </c>
      <c r="Y158" s="304">
        <f t="shared" si="11"/>
        <v>0</v>
      </c>
      <c r="Z158" s="345">
        <f t="shared" ca="1" si="7"/>
        <v>0</v>
      </c>
      <c r="AB158" s="640">
        <f t="shared" si="12"/>
        <v>0</v>
      </c>
      <c r="AC158" s="639">
        <f t="shared" si="13"/>
        <v>0</v>
      </c>
      <c r="AD158" s="641">
        <f t="shared" si="8"/>
        <v>0</v>
      </c>
      <c r="AE158" s="639">
        <f t="shared" si="14"/>
        <v>0</v>
      </c>
      <c r="AF158" s="636">
        <f t="shared" si="1"/>
        <v>0</v>
      </c>
      <c r="AG158" s="637" t="e">
        <f>HLOOKUP($AG$110,anticipado,45,0)</f>
        <v>#N/A</v>
      </c>
      <c r="AI158" s="614">
        <v>2.4776638786990447E-3</v>
      </c>
      <c r="AJ158" s="615">
        <v>2.3094872511982838E-3</v>
      </c>
      <c r="AK158" s="616">
        <v>2.1821213281073087E-3</v>
      </c>
      <c r="AL158" s="616">
        <v>2.5630752432686229E-3</v>
      </c>
      <c r="AM158" s="617">
        <v>2.4776638786990447E-3</v>
      </c>
      <c r="AN158" s="617">
        <v>2.3094872511982838E-3</v>
      </c>
      <c r="AO158" s="617">
        <v>2.7102974403057658E-3</v>
      </c>
      <c r="AP158" s="617">
        <v>2.5935499832490968E-3</v>
      </c>
      <c r="AQ158" s="617">
        <v>2.5085393372736358E-3</v>
      </c>
      <c r="AR158" s="617">
        <v>2.8304293749804484E-3</v>
      </c>
      <c r="AS158" s="617">
        <v>2.7102974403057658E-3</v>
      </c>
      <c r="AT158" s="618">
        <v>2.5883975039981233E-3</v>
      </c>
      <c r="AU158" s="618">
        <v>1.2085270643382184E-3</v>
      </c>
      <c r="AV158" s="618">
        <v>1.1315723343808873E-3</v>
      </c>
      <c r="AW158" s="618">
        <v>1.003948752958248E-3</v>
      </c>
      <c r="AX158" s="618">
        <v>1.3326196842703595E-3</v>
      </c>
      <c r="AY158" s="618">
        <v>1.2085270643382184E-3</v>
      </c>
      <c r="AZ158" s="618">
        <v>1.0996514672961116E-3</v>
      </c>
      <c r="BA158" s="618">
        <v>1.4172414415098531E-3</v>
      </c>
      <c r="BB158" s="618">
        <v>1.3477889246291234E-3</v>
      </c>
      <c r="BC158" s="618">
        <v>1.2092346565304741E-3</v>
      </c>
      <c r="BD158" s="618">
        <v>1.5210765509138017E-3</v>
      </c>
      <c r="BE158" s="617">
        <v>1.4604300613812742E-3</v>
      </c>
      <c r="BF158" s="617">
        <v>1.3618759003792209E-3</v>
      </c>
      <c r="BG158" s="617"/>
      <c r="BH158" s="617"/>
      <c r="BI158" s="617"/>
      <c r="BJ158" s="617"/>
      <c r="BK158" s="617"/>
      <c r="BL158" s="617"/>
      <c r="BM158" s="617"/>
      <c r="BN158" s="617"/>
      <c r="BO158" s="617"/>
      <c r="BP158" s="617"/>
      <c r="BQ158" s="617"/>
      <c r="BR158" s="617"/>
      <c r="BS158" s="617"/>
      <c r="BT158" s="617"/>
      <c r="BU158" s="617"/>
      <c r="BV158" s="617"/>
      <c r="BW158" s="617"/>
      <c r="BX158" s="617"/>
      <c r="BY158" s="617"/>
      <c r="BZ158" s="617"/>
      <c r="CA158" s="617"/>
      <c r="CB158" s="617"/>
      <c r="CC158" s="617"/>
      <c r="CD158" s="617"/>
      <c r="CE158" s="617"/>
      <c r="CF158" s="617"/>
      <c r="CG158" s="617"/>
      <c r="CH158" s="617"/>
      <c r="CI158" s="617"/>
      <c r="CJ158" s="617"/>
      <c r="CK158" s="617"/>
      <c r="CL158" s="617"/>
    </row>
    <row r="159" spans="1:90">
      <c r="A159" s="151">
        <f t="shared" ca="1" si="0"/>
        <v>8</v>
      </c>
      <c r="B159" s="113">
        <f t="shared" si="2"/>
        <v>195</v>
      </c>
      <c r="C159" s="150">
        <f t="shared" si="9"/>
        <v>45</v>
      </c>
      <c r="D159" s="565">
        <f t="shared" si="10"/>
        <v>9.5000000000000001E-2</v>
      </c>
      <c r="E159" s="306">
        <f t="shared" si="3"/>
        <v>6454.1657856525189</v>
      </c>
      <c r="F159" s="306">
        <f t="shared" si="15"/>
        <v>3161.140269325354</v>
      </c>
      <c r="G159" s="307">
        <f t="shared" si="16"/>
        <v>9615.3060549778729</v>
      </c>
      <c r="H159" s="306">
        <f>IF(N158&lt;0.01,0,IF(Adm!$S$3=Adm!$S$13,Cal!$E$94,IF(Adm!$R$3=Adm!$R$6,0,IF(Cal!$E$91&gt;0,0,IF(Cal!$E$91=0,N158*Adm!$Y$3,N158*Adm!$X$3)))))</f>
        <v>0</v>
      </c>
      <c r="I159" s="306">
        <f>IF(N158&lt;0.01,0,IF(Adm!$R$4=Adm!$R$6,0,Cal!$E$89*Adm!$AA$3))</f>
        <v>573.58240000000001</v>
      </c>
      <c r="J159" s="306">
        <f>IF(N158&lt;0.01,0,Adm!$O$3*1.16)</f>
        <v>290</v>
      </c>
      <c r="K159" s="306">
        <f>IF(N158&lt;0.01,0,IF(Adm!$N$3&gt;0,E159*Adm!$N$3,0))</f>
        <v>0</v>
      </c>
      <c r="L159" s="306">
        <f t="shared" si="4"/>
        <v>10478.888454977872</v>
      </c>
      <c r="M159" s="306">
        <f>IF(Adm!$F$3="si",MIN(N158+E159+H159+I159+J159-L159,Z159),0)</f>
        <v>0</v>
      </c>
      <c r="N159" s="306">
        <f t="shared" si="5"/>
        <v>812101.90633941384</v>
      </c>
      <c r="O159" s="361"/>
      <c r="P159" s="114"/>
      <c r="V159" s="571">
        <f t="shared" si="6"/>
        <v>9</v>
      </c>
      <c r="W159" s="293">
        <f>IF(V159=1,Adm!$AN$2,0)</f>
        <v>0</v>
      </c>
      <c r="Y159" s="304">
        <f t="shared" si="11"/>
        <v>0</v>
      </c>
      <c r="Z159" s="345">
        <f t="shared" ca="1" si="7"/>
        <v>0</v>
      </c>
      <c r="AB159" s="640">
        <f t="shared" si="12"/>
        <v>0</v>
      </c>
      <c r="AC159" s="639">
        <f t="shared" si="13"/>
        <v>0</v>
      </c>
      <c r="AD159" s="641">
        <f t="shared" si="8"/>
        <v>0</v>
      </c>
      <c r="AE159" s="639">
        <f t="shared" si="14"/>
        <v>0</v>
      </c>
      <c r="AF159" s="636">
        <f t="shared" si="1"/>
        <v>0</v>
      </c>
      <c r="AG159" s="637" t="e">
        <f>HLOOKUP($AG$110,anticipado,46,0)</f>
        <v>#N/A</v>
      </c>
      <c r="AI159" s="614">
        <v>2.5052408744749501E-3</v>
      </c>
      <c r="AJ159" s="615">
        <v>2.3358404417239027E-3</v>
      </c>
      <c r="AK159" s="616">
        <v>2.2074684168494475E-3</v>
      </c>
      <c r="AL159" s="616">
        <v>2.5910539108015846E-3</v>
      </c>
      <c r="AM159" s="617">
        <v>2.5052408744749501E-3</v>
      </c>
      <c r="AN159" s="617">
        <v>2.3358404417239027E-3</v>
      </c>
      <c r="AO159" s="617">
        <v>2.7391779486910651E-3</v>
      </c>
      <c r="AP159" s="617">
        <v>2.6218330774110113E-3</v>
      </c>
      <c r="AQ159" s="617">
        <v>2.5364337103239683E-3</v>
      </c>
      <c r="AR159" s="617">
        <v>2.8601067290662018E-3</v>
      </c>
      <c r="AS159" s="617">
        <v>2.7391779486910651E-3</v>
      </c>
      <c r="AT159" s="618">
        <v>2.616502762646947E-3</v>
      </c>
      <c r="AU159" s="618">
        <v>1.2209700227643441E-3</v>
      </c>
      <c r="AV159" s="618">
        <v>1.1435125112152324E-3</v>
      </c>
      <c r="AW159" s="618">
        <v>1.0149151346359195E-3</v>
      </c>
      <c r="AX159" s="618">
        <v>1.345907111356985E-3</v>
      </c>
      <c r="AY159" s="618">
        <v>1.2209700227643441E-3</v>
      </c>
      <c r="AZ159" s="618">
        <v>1.1113110472969799E-3</v>
      </c>
      <c r="BA159" s="618">
        <v>1.4310090100559184E-3</v>
      </c>
      <c r="BB159" s="618">
        <v>1.3611920457958092E-3</v>
      </c>
      <c r="BC159" s="618">
        <v>1.22173621158403E-3</v>
      </c>
      <c r="BD159" s="618">
        <v>1.5354539499401324E-3</v>
      </c>
      <c r="BE159" s="617">
        <v>1.4744371977867524E-3</v>
      </c>
      <c r="BF159" s="617">
        <v>1.3753248673244456E-3</v>
      </c>
      <c r="BG159" s="617"/>
      <c r="BH159" s="617"/>
      <c r="BI159" s="617"/>
      <c r="BJ159" s="617"/>
      <c r="BK159" s="617"/>
      <c r="BL159" s="617"/>
      <c r="BM159" s="617"/>
      <c r="BN159" s="617"/>
      <c r="BO159" s="617"/>
      <c r="BP159" s="617"/>
      <c r="BQ159" s="617"/>
      <c r="BR159" s="617"/>
      <c r="BS159" s="617"/>
      <c r="BT159" s="617"/>
      <c r="BU159" s="617"/>
      <c r="BV159" s="617"/>
      <c r="BW159" s="617"/>
      <c r="BX159" s="617"/>
      <c r="BY159" s="617"/>
      <c r="BZ159" s="617"/>
      <c r="CA159" s="617"/>
      <c r="CB159" s="617"/>
      <c r="CC159" s="617"/>
      <c r="CD159" s="617"/>
      <c r="CE159" s="617"/>
      <c r="CF159" s="617"/>
      <c r="CG159" s="617"/>
      <c r="CH159" s="617"/>
      <c r="CI159" s="617"/>
      <c r="CJ159" s="617"/>
      <c r="CK159" s="617"/>
      <c r="CL159" s="617"/>
    </row>
    <row r="160" spans="1:90">
      <c r="A160" s="151">
        <f t="shared" ca="1" si="0"/>
        <v>9</v>
      </c>
      <c r="B160" s="113">
        <f t="shared" si="2"/>
        <v>194</v>
      </c>
      <c r="C160" s="150">
        <f t="shared" si="9"/>
        <v>46</v>
      </c>
      <c r="D160" s="565">
        <f t="shared" si="10"/>
        <v>9.5000000000000001E-2</v>
      </c>
      <c r="E160" s="306">
        <f t="shared" si="3"/>
        <v>6429.1400918536929</v>
      </c>
      <c r="F160" s="306">
        <f t="shared" si="15"/>
        <v>3186.1659631241801</v>
      </c>
      <c r="G160" s="307">
        <f t="shared" si="16"/>
        <v>9615.3060549778729</v>
      </c>
      <c r="H160" s="306">
        <f>IF(N159&lt;0.01,0,IF(Adm!$S$3=Adm!$S$13,Cal!$E$94,IF(Adm!$R$3=Adm!$R$6,0,IF(Cal!$E$91&gt;0,0,IF(Cal!$E$91=0,N159*Adm!$Y$3,N159*Adm!$X$3)))))</f>
        <v>0</v>
      </c>
      <c r="I160" s="306">
        <f>IF(N159&lt;0.01,0,IF(Adm!$R$4=Adm!$R$6,0,Cal!$E$89*Adm!$AA$3))</f>
        <v>573.58240000000001</v>
      </c>
      <c r="J160" s="306">
        <f>IF(N159&lt;0.01,0,Adm!$O$3*1.16)</f>
        <v>290</v>
      </c>
      <c r="K160" s="306">
        <f>IF(N159&lt;0.01,0,IF(Adm!$N$3&gt;0,E160*Adm!$N$3,0))</f>
        <v>0</v>
      </c>
      <c r="L160" s="306">
        <f t="shared" si="4"/>
        <v>10478.888454977872</v>
      </c>
      <c r="M160" s="306">
        <f>IF(Adm!$F$3="si",MIN(N159+E160+H160+I160+J160-L160,Z160),0)</f>
        <v>0</v>
      </c>
      <c r="N160" s="306">
        <f t="shared" si="5"/>
        <v>808915.7403762897</v>
      </c>
      <c r="O160" s="361"/>
      <c r="P160" s="114"/>
      <c r="V160" s="571">
        <f t="shared" si="6"/>
        <v>10</v>
      </c>
      <c r="W160" s="293">
        <f>IF(V160=1,Adm!$AN$2,0)</f>
        <v>0</v>
      </c>
      <c r="Y160" s="304">
        <f t="shared" si="11"/>
        <v>0</v>
      </c>
      <c r="Z160" s="345">
        <f t="shared" ca="1" si="7"/>
        <v>0</v>
      </c>
      <c r="AB160" s="640">
        <f t="shared" si="12"/>
        <v>0</v>
      </c>
      <c r="AC160" s="639">
        <f t="shared" si="13"/>
        <v>0</v>
      </c>
      <c r="AD160" s="641">
        <f t="shared" si="8"/>
        <v>0</v>
      </c>
      <c r="AE160" s="639">
        <f t="shared" si="14"/>
        <v>0</v>
      </c>
      <c r="AF160" s="636">
        <f t="shared" si="1"/>
        <v>0</v>
      </c>
      <c r="AG160" s="637" t="e">
        <f>HLOOKUP($AG$110,anticipado,47,0)</f>
        <v>#N/A</v>
      </c>
      <c r="AI160" s="614">
        <v>2.53319484027416E-3</v>
      </c>
      <c r="AJ160" s="615">
        <v>2.3625567493335059E-3</v>
      </c>
      <c r="AK160" s="616">
        <v>2.2331666604103895E-3</v>
      </c>
      <c r="AL160" s="616">
        <v>2.6194114709447961E-3</v>
      </c>
      <c r="AM160" s="617">
        <v>2.53319484027416E-3</v>
      </c>
      <c r="AN160" s="617">
        <v>2.3625567493335059E-3</v>
      </c>
      <c r="AO160" s="617">
        <v>2.7684463747132838E-3</v>
      </c>
      <c r="AP160" s="617">
        <v>2.6504997626850438E-3</v>
      </c>
      <c r="AQ160" s="617">
        <v>2.5647099831961661E-3</v>
      </c>
      <c r="AR160" s="617">
        <v>2.890181269773231E-3</v>
      </c>
      <c r="AS160" s="617">
        <v>2.7684463747132838E-3</v>
      </c>
      <c r="AT160" s="618">
        <v>2.6449877239359413E-3</v>
      </c>
      <c r="AU160" s="618">
        <v>1.2335564611814201E-3</v>
      </c>
      <c r="AV160" s="618">
        <v>1.1555924925646963E-3</v>
      </c>
      <c r="AW160" s="618">
        <v>1.0260125677783018E-3</v>
      </c>
      <c r="AX160" s="618">
        <v>1.3593451124460682E-3</v>
      </c>
      <c r="AY160" s="618">
        <v>1.2335564611814201E-3</v>
      </c>
      <c r="AZ160" s="618">
        <v>1.1231073629406447E-3</v>
      </c>
      <c r="BA160" s="618">
        <v>1.4449302428856865E-3</v>
      </c>
      <c r="BB160" s="618">
        <v>1.3747469054081788E-3</v>
      </c>
      <c r="BC160" s="618">
        <v>1.2343824631337937E-3</v>
      </c>
      <c r="BD160" s="618">
        <v>1.5499895646432203E-3</v>
      </c>
      <c r="BE160" s="617">
        <v>1.4885995596054121E-3</v>
      </c>
      <c r="BF160" s="617">
        <v>1.3889253522725419E-3</v>
      </c>
      <c r="BG160" s="617"/>
      <c r="BH160" s="617"/>
      <c r="BI160" s="617"/>
      <c r="BJ160" s="617"/>
      <c r="BK160" s="617"/>
      <c r="BL160" s="617"/>
      <c r="BM160" s="617"/>
      <c r="BN160" s="617"/>
      <c r="BO160" s="617"/>
      <c r="BP160" s="617"/>
      <c r="BQ160" s="617"/>
      <c r="BR160" s="617"/>
      <c r="BS160" s="617"/>
      <c r="BT160" s="617"/>
      <c r="BU160" s="617"/>
      <c r="BV160" s="617"/>
      <c r="BW160" s="617"/>
      <c r="BX160" s="617"/>
      <c r="BY160" s="617"/>
      <c r="BZ160" s="617"/>
      <c r="CA160" s="617"/>
      <c r="CB160" s="617"/>
      <c r="CC160" s="617"/>
      <c r="CD160" s="617"/>
      <c r="CE160" s="617"/>
      <c r="CF160" s="617"/>
      <c r="CG160" s="617"/>
      <c r="CH160" s="617"/>
      <c r="CI160" s="617"/>
      <c r="CJ160" s="617"/>
      <c r="CK160" s="617"/>
      <c r="CL160" s="617"/>
    </row>
    <row r="161" spans="1:90">
      <c r="A161" s="151">
        <f t="shared" ca="1" si="0"/>
        <v>10</v>
      </c>
      <c r="B161" s="113">
        <f t="shared" si="2"/>
        <v>193</v>
      </c>
      <c r="C161" s="150">
        <f t="shared" si="9"/>
        <v>47</v>
      </c>
      <c r="D161" s="565">
        <f t="shared" si="10"/>
        <v>9.5000000000000001E-2</v>
      </c>
      <c r="E161" s="306">
        <f t="shared" si="3"/>
        <v>6403.9162779789594</v>
      </c>
      <c r="F161" s="306">
        <f t="shared" si="15"/>
        <v>3211.3897769989135</v>
      </c>
      <c r="G161" s="307">
        <f t="shared" si="16"/>
        <v>9615.3060549778729</v>
      </c>
      <c r="H161" s="306">
        <f>IF(N160&lt;0.01,0,IF(Adm!$S$3=Adm!$S$13,Cal!$E$94,IF(Adm!$R$3=Adm!$R$6,0,IF(Cal!$E$91&gt;0,0,IF(Cal!$E$91=0,N160*Adm!$Y$3,N160*Adm!$X$3)))))</f>
        <v>0</v>
      </c>
      <c r="I161" s="306">
        <f>IF(N160&lt;0.01,0,IF(Adm!$R$4=Adm!$R$6,0,Cal!$E$89*Adm!$AA$3))</f>
        <v>573.58240000000001</v>
      </c>
      <c r="J161" s="306">
        <f>IF(N160&lt;0.01,0,Adm!$O$3*1.16)</f>
        <v>290</v>
      </c>
      <c r="K161" s="306">
        <f>IF(N160&lt;0.01,0,IF(Adm!$N$3&gt;0,E161*Adm!$N$3,0))</f>
        <v>0</v>
      </c>
      <c r="L161" s="306">
        <f t="shared" si="4"/>
        <v>10478.888454977872</v>
      </c>
      <c r="M161" s="306">
        <f>IF(Adm!$F$3="si",MIN(N160+E161+H161+I161+J161-L161,Z161),0)</f>
        <v>0</v>
      </c>
      <c r="N161" s="306">
        <f t="shared" si="5"/>
        <v>805704.3505992908</v>
      </c>
      <c r="O161" s="361"/>
      <c r="P161" s="114"/>
      <c r="V161" s="571">
        <f t="shared" si="6"/>
        <v>11</v>
      </c>
      <c r="W161" s="293">
        <f>IF(V161=1,Adm!$AN$2,0)</f>
        <v>0</v>
      </c>
      <c r="Y161" s="304">
        <f t="shared" si="11"/>
        <v>0</v>
      </c>
      <c r="Z161" s="345">
        <f t="shared" ca="1" si="7"/>
        <v>0</v>
      </c>
      <c r="AB161" s="640">
        <f t="shared" si="12"/>
        <v>0</v>
      </c>
      <c r="AC161" s="639">
        <f t="shared" si="13"/>
        <v>0</v>
      </c>
      <c r="AD161" s="641">
        <f t="shared" si="8"/>
        <v>0</v>
      </c>
      <c r="AE161" s="639">
        <f t="shared" si="14"/>
        <v>0</v>
      </c>
      <c r="AF161" s="636">
        <f t="shared" si="1"/>
        <v>0</v>
      </c>
      <c r="AG161" s="637" t="e">
        <f>HLOOKUP($AG$110,anticipado,48,0)</f>
        <v>#N/A</v>
      </c>
      <c r="AI161" s="614">
        <v>2.5615325067006945E-3</v>
      </c>
      <c r="AJ161" s="615">
        <v>2.3896426181296655E-3</v>
      </c>
      <c r="AK161" s="616">
        <v>2.2592222565622285E-3</v>
      </c>
      <c r="AL161" s="616">
        <v>2.6481546781812757E-3</v>
      </c>
      <c r="AM161" s="617">
        <v>2.5615325067006945E-3</v>
      </c>
      <c r="AN161" s="617">
        <v>2.3896426181296655E-3</v>
      </c>
      <c r="AO161" s="617">
        <v>2.7981096583862405E-3</v>
      </c>
      <c r="AP161" s="617">
        <v>2.679556900648554E-3</v>
      </c>
      <c r="AQ161" s="617">
        <v>2.5933749986344358E-3</v>
      </c>
      <c r="AR161" s="617">
        <v>2.9206601391848983E-3</v>
      </c>
      <c r="AS161" s="617">
        <v>2.7981096583862405E-3</v>
      </c>
      <c r="AT161" s="618">
        <v>2.6738591557365029E-3</v>
      </c>
      <c r="AU161" s="618">
        <v>1.2462883531171236E-3</v>
      </c>
      <c r="AV161" s="618">
        <v>1.1678142092651788E-3</v>
      </c>
      <c r="AW161" s="618">
        <v>1.0372428665209273E-3</v>
      </c>
      <c r="AX161" s="618">
        <v>1.3729357575526472E-3</v>
      </c>
      <c r="AY161" s="618">
        <v>1.2462883531171236E-3</v>
      </c>
      <c r="AZ161" s="618">
        <v>1.1350422980227134E-3</v>
      </c>
      <c r="BA161" s="618">
        <v>1.4590072454244269E-3</v>
      </c>
      <c r="BB161" s="618">
        <v>1.3884555913738041E-3</v>
      </c>
      <c r="BC161" s="618">
        <v>1.2471754080415011E-3</v>
      </c>
      <c r="BD161" s="618">
        <v>1.5646855616558274E-3</v>
      </c>
      <c r="BE161" s="617">
        <v>1.5029192709958023E-3</v>
      </c>
      <c r="BF161" s="617">
        <v>1.4026794347949559E-3</v>
      </c>
      <c r="BG161" s="617"/>
      <c r="BH161" s="617"/>
      <c r="BI161" s="617"/>
      <c r="BJ161" s="617"/>
      <c r="BK161" s="617"/>
      <c r="BL161" s="617"/>
      <c r="BM161" s="617"/>
      <c r="BN161" s="617"/>
      <c r="BO161" s="617"/>
      <c r="BP161" s="617"/>
      <c r="BQ161" s="617"/>
      <c r="BR161" s="617"/>
      <c r="BS161" s="617"/>
      <c r="BT161" s="617"/>
      <c r="BU161" s="617"/>
      <c r="BV161" s="617"/>
      <c r="BW161" s="617"/>
      <c r="BX161" s="617"/>
      <c r="BY161" s="617"/>
      <c r="BZ161" s="617"/>
      <c r="CA161" s="617"/>
      <c r="CB161" s="617"/>
      <c r="CC161" s="617"/>
      <c r="CD161" s="617"/>
      <c r="CE161" s="617"/>
      <c r="CF161" s="617"/>
      <c r="CG161" s="617"/>
      <c r="CH161" s="617"/>
      <c r="CI161" s="617"/>
      <c r="CJ161" s="617"/>
      <c r="CK161" s="617"/>
      <c r="CL161" s="617"/>
    </row>
    <row r="162" spans="1:90">
      <c r="A162" s="151">
        <f t="shared" ca="1" si="0"/>
        <v>11</v>
      </c>
      <c r="B162" s="113">
        <f t="shared" si="2"/>
        <v>192</v>
      </c>
      <c r="C162" s="150">
        <f t="shared" si="9"/>
        <v>48</v>
      </c>
      <c r="D162" s="565">
        <f t="shared" si="10"/>
        <v>9.5000000000000001E-2</v>
      </c>
      <c r="E162" s="306">
        <f t="shared" si="3"/>
        <v>6378.4927755777198</v>
      </c>
      <c r="F162" s="306">
        <f t="shared" si="15"/>
        <v>3236.8132794001531</v>
      </c>
      <c r="G162" s="307">
        <f t="shared" si="16"/>
        <v>9615.3060549778729</v>
      </c>
      <c r="H162" s="306">
        <f>IF(N161&lt;0.01,0,IF(Adm!$S$3=Adm!$S$13,Cal!$E$94,IF(Adm!$R$3=Adm!$R$6,0,IF(Cal!$E$91&gt;0,0,IF(Cal!$E$91=0,N161*Adm!$Y$3,N161*Adm!$X$3)))))</f>
        <v>0</v>
      </c>
      <c r="I162" s="306">
        <f>IF(N161&lt;0.01,0,IF(Adm!$R$4=Adm!$R$6,0,Cal!$E$89*Adm!$AA$3))</f>
        <v>573.58240000000001</v>
      </c>
      <c r="J162" s="306">
        <f>IF(N161&lt;0.01,0,Adm!$O$3*1.16)</f>
        <v>290</v>
      </c>
      <c r="K162" s="306">
        <f>IF(N161&lt;0.01,0,IF(Adm!$N$3&gt;0,E162*Adm!$N$3,0))</f>
        <v>0</v>
      </c>
      <c r="L162" s="306">
        <f t="shared" si="4"/>
        <v>10478.888454977872</v>
      </c>
      <c r="M162" s="306">
        <f>IF(Adm!$F$3="si",MIN(N161+E162+H162+I162+J162-L162,Z162),0)</f>
        <v>0</v>
      </c>
      <c r="N162" s="306">
        <f t="shared" si="5"/>
        <v>802467.53731989069</v>
      </c>
      <c r="O162" s="361"/>
      <c r="P162" s="114"/>
      <c r="V162" s="571">
        <f t="shared" si="6"/>
        <v>12</v>
      </c>
      <c r="W162" s="293">
        <f>IF(V162=1,Adm!$AN$2,0)</f>
        <v>0</v>
      </c>
      <c r="Y162" s="304">
        <f t="shared" si="11"/>
        <v>0</v>
      </c>
      <c r="Z162" s="345">
        <f t="shared" ca="1" si="7"/>
        <v>0</v>
      </c>
      <c r="AB162" s="640">
        <f t="shared" si="12"/>
        <v>0</v>
      </c>
      <c r="AC162" s="639">
        <f t="shared" si="13"/>
        <v>0</v>
      </c>
      <c r="AD162" s="641">
        <f t="shared" si="8"/>
        <v>0</v>
      </c>
      <c r="AE162" s="639">
        <f t="shared" si="14"/>
        <v>0</v>
      </c>
      <c r="AF162" s="636">
        <f t="shared" si="1"/>
        <v>0</v>
      </c>
      <c r="AG162" s="637" t="e">
        <f>HLOOKUP($AG$110,anticipado,49,0)</f>
        <v>#N/A</v>
      </c>
      <c r="AI162" s="614">
        <v>2.5902607617129462E-3</v>
      </c>
      <c r="AJ162" s="615">
        <v>2.417104641152168E-3</v>
      </c>
      <c r="AK162" s="616">
        <v>2.2856415448747574E-3</v>
      </c>
      <c r="AL162" s="616">
        <v>2.6772904450941605E-3</v>
      </c>
      <c r="AM162" s="617">
        <v>2.5902607617129462E-3</v>
      </c>
      <c r="AN162" s="617">
        <v>2.417104641152168E-3</v>
      </c>
      <c r="AO162" s="617">
        <v>2.828174903361166E-3</v>
      </c>
      <c r="AP162" s="617">
        <v>2.7090115141389084E-3</v>
      </c>
      <c r="AQ162" s="617">
        <v>2.6224357600416644E-3</v>
      </c>
      <c r="AR162" s="617">
        <v>2.9515506490757236E-3</v>
      </c>
      <c r="AS162" s="617">
        <v>2.828174903361166E-3</v>
      </c>
      <c r="AT162" s="618">
        <v>2.7031239844265472E-3</v>
      </c>
      <c r="AU162" s="618">
        <v>1.259167705968231E-3</v>
      </c>
      <c r="AV162" s="618">
        <v>1.1801796251530875E-3</v>
      </c>
      <c r="AW162" s="618">
        <v>1.0486078756288125E-3</v>
      </c>
      <c r="AX162" s="618">
        <v>1.3866811526002684E-3</v>
      </c>
      <c r="AY162" s="618">
        <v>1.259167705968231E-3</v>
      </c>
      <c r="AZ162" s="618">
        <v>1.1471177683560108E-3</v>
      </c>
      <c r="BA162" s="618">
        <v>1.47324215975938E-3</v>
      </c>
      <c r="BB162" s="618">
        <v>1.4023202278944122E-3</v>
      </c>
      <c r="BC162" s="618">
        <v>1.260117077541843E-3</v>
      </c>
      <c r="BD162" s="618">
        <v>1.5795441456042279E-3</v>
      </c>
      <c r="BE162" s="617">
        <v>1.51739849318257E-3</v>
      </c>
      <c r="BF162" s="617">
        <v>1.4165892305719892E-3</v>
      </c>
      <c r="BG162" s="617"/>
      <c r="BH162" s="617"/>
      <c r="BI162" s="617"/>
      <c r="BJ162" s="617"/>
      <c r="BK162" s="617"/>
      <c r="BL162" s="617"/>
      <c r="BM162" s="617"/>
      <c r="BN162" s="617"/>
      <c r="BO162" s="617"/>
      <c r="BP162" s="617"/>
      <c r="BQ162" s="617"/>
      <c r="BR162" s="617"/>
      <c r="BS162" s="617"/>
      <c r="BT162" s="617"/>
      <c r="BU162" s="617"/>
      <c r="BV162" s="617"/>
      <c r="BW162" s="617"/>
      <c r="BX162" s="617"/>
      <c r="BY162" s="617"/>
      <c r="BZ162" s="617"/>
      <c r="CA162" s="617"/>
      <c r="CB162" s="617"/>
      <c r="CC162" s="617"/>
      <c r="CD162" s="617"/>
      <c r="CE162" s="617"/>
      <c r="CF162" s="617"/>
      <c r="CG162" s="617"/>
      <c r="CH162" s="617"/>
      <c r="CI162" s="617"/>
      <c r="CJ162" s="617"/>
      <c r="CK162" s="617"/>
      <c r="CL162" s="617"/>
    </row>
    <row r="163" spans="1:90">
      <c r="A163" s="151">
        <f t="shared" ca="1" si="0"/>
        <v>12</v>
      </c>
      <c r="B163" s="113">
        <f t="shared" si="2"/>
        <v>191</v>
      </c>
      <c r="C163" s="150">
        <f t="shared" si="9"/>
        <v>49</v>
      </c>
      <c r="D163" s="565">
        <f t="shared" si="10"/>
        <v>9.5000000000000001E-2</v>
      </c>
      <c r="E163" s="306">
        <f t="shared" si="3"/>
        <v>6352.8680037824679</v>
      </c>
      <c r="F163" s="306">
        <f t="shared" si="15"/>
        <v>3262.438051195405</v>
      </c>
      <c r="G163" s="307">
        <f t="shared" si="16"/>
        <v>9615.3060549778729</v>
      </c>
      <c r="H163" s="306">
        <f>IF(N162&lt;0.01,0,IF(Adm!$S$3=Adm!$S$13,Cal!$E$94,IF(Adm!$R$3=Adm!$R$6,0,IF(Cal!$E$91=0,N162*Adm!$Y$3,N162*Adm!$X$3))))</f>
        <v>345.06104104755298</v>
      </c>
      <c r="I163" s="306">
        <f>IF(N162&lt;0.01,0,IF(Adm!$R$4=Adm!$R$6,0,Cal!$E$89*Adm!$AA$3))</f>
        <v>573.58240000000001</v>
      </c>
      <c r="J163" s="306">
        <f>IF(N162&lt;0.01,0,Adm!$O$3*1.16)</f>
        <v>290</v>
      </c>
      <c r="K163" s="306">
        <f>IF(N162&lt;0.01,0,IF(Adm!$N$3&gt;0,E163*Adm!$N$3,0))</f>
        <v>0</v>
      </c>
      <c r="L163" s="306">
        <f t="shared" si="4"/>
        <v>10823.949496025425</v>
      </c>
      <c r="M163" s="306">
        <f>IF(Adm!$F$3="si",MIN(N162+E163+H163+I163+J163-L163,Z163),0)</f>
        <v>0</v>
      </c>
      <c r="N163" s="306">
        <f t="shared" si="5"/>
        <v>799205.09926869534</v>
      </c>
      <c r="O163" s="361"/>
      <c r="P163" s="114"/>
      <c r="V163" s="571">
        <f t="shared" si="6"/>
        <v>1</v>
      </c>
      <c r="W163" s="293">
        <f>IF(V163=1,Adm!$AN$2,0)</f>
        <v>0</v>
      </c>
      <c r="Y163" s="304">
        <f t="shared" si="11"/>
        <v>0</v>
      </c>
      <c r="Z163" s="345">
        <f t="shared" ca="1" si="7"/>
        <v>0</v>
      </c>
      <c r="AB163" s="640">
        <f t="shared" si="12"/>
        <v>0</v>
      </c>
      <c r="AC163" s="639">
        <f t="shared" si="13"/>
        <v>0</v>
      </c>
      <c r="AD163" s="641">
        <f t="shared" si="8"/>
        <v>0</v>
      </c>
      <c r="AE163" s="639">
        <f t="shared" si="14"/>
        <v>0</v>
      </c>
      <c r="AF163" s="636">
        <f t="shared" si="1"/>
        <v>0</v>
      </c>
      <c r="AG163" s="637" t="e">
        <f>HLOOKUP($AG$110,anticipado,50,0)</f>
        <v>#N/A</v>
      </c>
      <c r="AI163" s="614">
        <v>2.9004963216369716E-3</v>
      </c>
      <c r="AJ163" s="615">
        <v>2.7329483038286417E-3</v>
      </c>
      <c r="AK163" s="616">
        <v>2.6054501194006543E-3</v>
      </c>
      <c r="AL163" s="616">
        <v>2.9826214932020061E-3</v>
      </c>
      <c r="AM163" s="617">
        <v>2.9004963216369716E-3</v>
      </c>
      <c r="AN163" s="617">
        <v>2.7329483038286417E-3</v>
      </c>
      <c r="AO163" s="617">
        <v>3.1280322829964772E-3</v>
      </c>
      <c r="AP163" s="617">
        <v>3.0144258951596684E-3</v>
      </c>
      <c r="AQ163" s="617">
        <v>2.9327802554680133E-3</v>
      </c>
      <c r="AR163" s="617">
        <v>3.2480567931378384E-3</v>
      </c>
      <c r="AS163" s="617">
        <v>3.1280322829964772E-3</v>
      </c>
      <c r="AT163" s="618">
        <v>3.0071506987206908E-3</v>
      </c>
      <c r="AU163" s="618">
        <v>1.375668527343322E-3</v>
      </c>
      <c r="AV163" s="618">
        <v>1.2987009784785654E-3</v>
      </c>
      <c r="AW163" s="618">
        <v>1.169793899181667E-3</v>
      </c>
      <c r="AX163" s="618">
        <v>1.5008392746026216E-3</v>
      </c>
      <c r="AY163" s="618">
        <v>1.375668527343322E-3</v>
      </c>
      <c r="AZ163" s="618">
        <v>1.2658457463385064E-3</v>
      </c>
      <c r="BA163" s="618">
        <v>1.5853468704276692E-3</v>
      </c>
      <c r="BB163" s="618">
        <v>1.5163397393516359E-3</v>
      </c>
      <c r="BC163" s="618">
        <v>1.3771083000273397E-3</v>
      </c>
      <c r="BD163" s="618">
        <v>1.6896799022104525E-3</v>
      </c>
      <c r="BE163" s="617">
        <v>1.6285264861869739E-3</v>
      </c>
      <c r="BF163" s="617">
        <v>1.529963461099734E-3</v>
      </c>
      <c r="BG163" s="617"/>
      <c r="BH163" s="617"/>
      <c r="BI163" s="617"/>
      <c r="BJ163" s="617"/>
      <c r="BK163" s="617"/>
      <c r="BL163" s="617"/>
      <c r="BM163" s="617"/>
      <c r="BN163" s="617"/>
      <c r="BO163" s="617"/>
      <c r="BP163" s="617"/>
      <c r="BQ163" s="617"/>
      <c r="BR163" s="617"/>
      <c r="BS163" s="617"/>
      <c r="BT163" s="617"/>
      <c r="BU163" s="617"/>
      <c r="BV163" s="617"/>
      <c r="BW163" s="617"/>
      <c r="BX163" s="617"/>
      <c r="BY163" s="617"/>
      <c r="BZ163" s="617"/>
      <c r="CA163" s="617"/>
      <c r="CB163" s="617"/>
      <c r="CC163" s="617"/>
      <c r="CD163" s="617"/>
      <c r="CE163" s="617"/>
      <c r="CF163" s="617"/>
      <c r="CG163" s="617"/>
      <c r="CH163" s="617"/>
      <c r="CI163" s="617"/>
      <c r="CJ163" s="617"/>
      <c r="CK163" s="617"/>
      <c r="CL163" s="617"/>
    </row>
    <row r="164" spans="1:90">
      <c r="A164" s="151">
        <f t="shared" ca="1" si="0"/>
        <v>1</v>
      </c>
      <c r="B164" s="113">
        <f t="shared" si="2"/>
        <v>190</v>
      </c>
      <c r="C164" s="150">
        <f t="shared" si="9"/>
        <v>50</v>
      </c>
      <c r="D164" s="565">
        <f t="shared" si="10"/>
        <v>9.5000000000000001E-2</v>
      </c>
      <c r="E164" s="306">
        <f t="shared" si="3"/>
        <v>6327.0403692105056</v>
      </c>
      <c r="F164" s="306">
        <f t="shared" si="15"/>
        <v>3288.2656857673674</v>
      </c>
      <c r="G164" s="307">
        <f t="shared" si="16"/>
        <v>9615.3060549778729</v>
      </c>
      <c r="H164" s="306">
        <f>IF(N163&lt;0.01,0,IF(Adm!$S$3=Adm!$S$13,Cal!$E$94,IF(Adm!$R$3=Adm!$R$6,0,IF(Cal!$E$91=0,N163*Adm!$Y$3,N163*Adm!$X$3))))</f>
        <v>343.65819268553901</v>
      </c>
      <c r="I164" s="306">
        <f>IF(N163&lt;0.01,0,IF(Adm!$R$4=Adm!$R$6,0,Cal!$E$89*Adm!$AA$3))</f>
        <v>573.58240000000001</v>
      </c>
      <c r="J164" s="306">
        <f>IF(N163&lt;0.01,0,Adm!$O$3*1.16)</f>
        <v>290</v>
      </c>
      <c r="K164" s="306">
        <f>IF(N163&lt;0.01,0,IF(Adm!$N$3&gt;0,E164*Adm!$N$3,0))</f>
        <v>0</v>
      </c>
      <c r="L164" s="306">
        <f t="shared" si="4"/>
        <v>10822.546647663412</v>
      </c>
      <c r="M164" s="306">
        <f>IF(Adm!$F$3="si",MIN(N163+E164+H164+I164+J164-L164,Z164),0)</f>
        <v>0</v>
      </c>
      <c r="N164" s="306">
        <f t="shared" si="5"/>
        <v>795916.83358292794</v>
      </c>
      <c r="O164" s="361"/>
      <c r="P164" s="114"/>
      <c r="V164" s="571">
        <f t="shared" si="6"/>
        <v>2</v>
      </c>
      <c r="W164" s="293">
        <f>IF(V164=1,Adm!$AN$2,0)</f>
        <v>0</v>
      </c>
      <c r="Y164" s="304">
        <f t="shared" si="11"/>
        <v>0</v>
      </c>
      <c r="Z164" s="345">
        <f t="shared" ca="1" si="7"/>
        <v>0</v>
      </c>
      <c r="AB164" s="640">
        <f t="shared" si="12"/>
        <v>0</v>
      </c>
      <c r="AC164" s="639">
        <f t="shared" si="13"/>
        <v>0</v>
      </c>
      <c r="AD164" s="641">
        <f t="shared" si="8"/>
        <v>0</v>
      </c>
      <c r="AE164" s="639">
        <f t="shared" si="14"/>
        <v>0</v>
      </c>
      <c r="AF164" s="636">
        <f t="shared" si="1"/>
        <v>0</v>
      </c>
      <c r="AG164" s="637" t="e">
        <f>HLOOKUP($AG$110,anticipado,51,0)</f>
        <v>#N/A</v>
      </c>
      <c r="AI164" s="614">
        <v>2.9340232259856608E-3</v>
      </c>
      <c r="AJ164" s="615">
        <v>2.7653072514482973E-3</v>
      </c>
      <c r="AK164" s="616">
        <v>2.6368331999830851E-3</v>
      </c>
      <c r="AL164" s="616">
        <v>3.0164487419838955E-3</v>
      </c>
      <c r="AM164" s="617">
        <v>2.9340232259856608E-3</v>
      </c>
      <c r="AN164" s="617">
        <v>2.7653072514482973E-3</v>
      </c>
      <c r="AO164" s="617">
        <v>3.1626888647736176E-3</v>
      </c>
      <c r="AP164" s="617">
        <v>3.0485851235980805E-3</v>
      </c>
      <c r="AQ164" s="617">
        <v>2.9666538297708749E-3</v>
      </c>
      <c r="AR164" s="617">
        <v>3.2834881822811609E-3</v>
      </c>
      <c r="AS164" s="617">
        <v>3.1626888647736176E-3</v>
      </c>
      <c r="AT164" s="618">
        <v>3.041079617091381E-3</v>
      </c>
      <c r="AU164" s="618">
        <v>1.3900649878837575E-3</v>
      </c>
      <c r="AV164" s="618">
        <v>1.3126242966428436E-3</v>
      </c>
      <c r="AW164" s="618">
        <v>1.1827682020930138E-3</v>
      </c>
      <c r="AX164" s="618">
        <v>1.5160593747983965E-3</v>
      </c>
      <c r="AY164" s="618">
        <v>1.3900649878837575E-3</v>
      </c>
      <c r="AZ164" s="618">
        <v>1.2794803569815788E-3</v>
      </c>
      <c r="BA164" s="618">
        <v>1.6010169942857722E-3</v>
      </c>
      <c r="BB164" s="618">
        <v>1.5316775322911566E-3</v>
      </c>
      <c r="BC164" s="618">
        <v>1.3915792927567904E-3</v>
      </c>
      <c r="BD164" s="618">
        <v>1.7059390256556643E-3</v>
      </c>
      <c r="BE164" s="617">
        <v>1.6444226787199737E-3</v>
      </c>
      <c r="BF164" s="617">
        <v>1.5453324527069754E-3</v>
      </c>
      <c r="BG164" s="617"/>
      <c r="BH164" s="617"/>
      <c r="BI164" s="617"/>
      <c r="BJ164" s="617"/>
      <c r="BK164" s="617"/>
      <c r="BL164" s="617"/>
      <c r="BM164" s="617"/>
      <c r="BN164" s="617"/>
      <c r="BO164" s="617"/>
      <c r="BP164" s="617"/>
      <c r="BQ164" s="617"/>
      <c r="BR164" s="617"/>
      <c r="BS164" s="617"/>
      <c r="BT164" s="617"/>
      <c r="BU164" s="617"/>
      <c r="BV164" s="617"/>
      <c r="BW164" s="617"/>
      <c r="BX164" s="617"/>
      <c r="BY164" s="617"/>
      <c r="BZ164" s="617"/>
      <c r="CA164" s="617"/>
      <c r="CB164" s="617"/>
      <c r="CC164" s="617"/>
      <c r="CD164" s="617"/>
      <c r="CE164" s="617"/>
      <c r="CF164" s="617"/>
      <c r="CG164" s="617"/>
      <c r="CH164" s="617"/>
      <c r="CI164" s="617"/>
      <c r="CJ164" s="617"/>
      <c r="CK164" s="617"/>
      <c r="CL164" s="617"/>
    </row>
    <row r="165" spans="1:90">
      <c r="A165" s="151">
        <f t="shared" ca="1" si="0"/>
        <v>2</v>
      </c>
      <c r="B165" s="113">
        <f t="shared" si="2"/>
        <v>189</v>
      </c>
      <c r="C165" s="150">
        <f t="shared" si="9"/>
        <v>51</v>
      </c>
      <c r="D165" s="565">
        <f t="shared" si="10"/>
        <v>9.5000000000000001E-2</v>
      </c>
      <c r="E165" s="306">
        <f t="shared" si="3"/>
        <v>6301.0082658648462</v>
      </c>
      <c r="F165" s="306">
        <f t="shared" si="15"/>
        <v>3314.2977891130267</v>
      </c>
      <c r="G165" s="307">
        <f t="shared" si="16"/>
        <v>9615.3060549778729</v>
      </c>
      <c r="H165" s="306">
        <f>IF(N164&lt;0.01,0,IF(Adm!$S$3=Adm!$S$13,Cal!$E$94,IF(Adm!$R$3=Adm!$R$6,0,IF(Cal!$E$91=0,N164*Adm!$Y$3,N164*Adm!$X$3))))</f>
        <v>342.24423844065899</v>
      </c>
      <c r="I165" s="306">
        <f>IF(N164&lt;0.01,0,IF(Adm!$R$4=Adm!$R$6,0,Cal!$E$89*Adm!$AA$3))</f>
        <v>573.58240000000001</v>
      </c>
      <c r="J165" s="306">
        <f>IF(N164&lt;0.01,0,Adm!$O$3*1.16)</f>
        <v>290</v>
      </c>
      <c r="K165" s="306">
        <f>IF(N164&lt;0.01,0,IF(Adm!$N$3&gt;0,E165*Adm!$N$3,0))</f>
        <v>0</v>
      </c>
      <c r="L165" s="306">
        <f t="shared" si="4"/>
        <v>10821.132693418531</v>
      </c>
      <c r="M165" s="306">
        <f>IF(Adm!$F$3="si",MIN(N164+E165+H165+I165+J165-L165,Z165),0)</f>
        <v>0</v>
      </c>
      <c r="N165" s="306">
        <f t="shared" si="5"/>
        <v>792602.53579381492</v>
      </c>
      <c r="O165" s="361"/>
      <c r="P165" s="114"/>
      <c r="V165" s="571">
        <f t="shared" si="6"/>
        <v>3</v>
      </c>
      <c r="W165" s="293">
        <f>IF(V165=1,Adm!$AN$2,0)</f>
        <v>0</v>
      </c>
      <c r="Y165" s="304">
        <f t="shared" si="11"/>
        <v>0</v>
      </c>
      <c r="Z165" s="345">
        <f t="shared" ca="1" si="7"/>
        <v>0</v>
      </c>
      <c r="AB165" s="640">
        <f t="shared" si="12"/>
        <v>0</v>
      </c>
      <c r="AC165" s="639">
        <f t="shared" si="13"/>
        <v>0</v>
      </c>
      <c r="AD165" s="641">
        <f t="shared" si="8"/>
        <v>0</v>
      </c>
      <c r="AE165" s="639">
        <f t="shared" si="14"/>
        <v>0</v>
      </c>
      <c r="AF165" s="636">
        <f t="shared" si="1"/>
        <v>0</v>
      </c>
      <c r="AG165" s="637" t="e">
        <f>HLOOKUP($AG$110,anticipado,52,0)</f>
        <v>#N/A</v>
      </c>
      <c r="AI165" s="614">
        <v>2.9680374671740709E-3</v>
      </c>
      <c r="AJ165" s="615">
        <v>2.7981401319526473E-3</v>
      </c>
      <c r="AK165" s="616">
        <v>2.668678265122472E-3</v>
      </c>
      <c r="AL165" s="616">
        <v>3.0507631484220604E-3</v>
      </c>
      <c r="AM165" s="617">
        <v>2.9680374671740709E-3</v>
      </c>
      <c r="AN165" s="617">
        <v>2.7981401319526473E-3</v>
      </c>
      <c r="AO165" s="617">
        <v>3.1978405931215948E-3</v>
      </c>
      <c r="AP165" s="617">
        <v>3.0832370810697581E-3</v>
      </c>
      <c r="AQ165" s="617">
        <v>3.0010205977258719E-3</v>
      </c>
      <c r="AR165" s="617">
        <v>3.3194240693748267E-3</v>
      </c>
      <c r="AS165" s="617">
        <v>3.1978405931215948E-3</v>
      </c>
      <c r="AT165" s="618">
        <v>3.0754960098301832E-3</v>
      </c>
      <c r="AU165" s="618">
        <v>1.4046323579103815E-3</v>
      </c>
      <c r="AV165" s="618">
        <v>1.3267153824127753E-3</v>
      </c>
      <c r="AW165" s="618">
        <v>1.1959019384810768E-3</v>
      </c>
      <c r="AX165" s="618">
        <v>1.5314571669010138E-3</v>
      </c>
      <c r="AY165" s="618">
        <v>1.4046323579103815E-3</v>
      </c>
      <c r="AZ165" s="618">
        <v>1.2932794837321184E-3</v>
      </c>
      <c r="BA165" s="618">
        <v>1.616867383880871E-3</v>
      </c>
      <c r="BB165" s="618">
        <v>1.5471942337559224E-3</v>
      </c>
      <c r="BC165" s="618">
        <v>1.4062227277380139E-3</v>
      </c>
      <c r="BD165" s="618">
        <v>1.7223826560655328E-3</v>
      </c>
      <c r="BE165" s="617">
        <v>1.6605004740998875E-3</v>
      </c>
      <c r="BF165" s="617">
        <v>1.560879856852556E-3</v>
      </c>
      <c r="BG165" s="617"/>
      <c r="BH165" s="617"/>
      <c r="BI165" s="617"/>
      <c r="BJ165" s="617"/>
      <c r="BK165" s="617"/>
      <c r="BL165" s="617"/>
      <c r="BM165" s="617"/>
      <c r="BN165" s="617"/>
      <c r="BO165" s="617"/>
      <c r="BP165" s="617"/>
      <c r="BQ165" s="617"/>
      <c r="BR165" s="617"/>
      <c r="BS165" s="617"/>
      <c r="BT165" s="617"/>
      <c r="BU165" s="617"/>
      <c r="BV165" s="617"/>
      <c r="BW165" s="617"/>
      <c r="BX165" s="617"/>
      <c r="BY165" s="617"/>
      <c r="BZ165" s="617"/>
      <c r="CA165" s="617"/>
      <c r="CB165" s="617"/>
      <c r="CC165" s="617"/>
      <c r="CD165" s="617"/>
      <c r="CE165" s="617"/>
      <c r="CF165" s="617"/>
      <c r="CG165" s="617"/>
      <c r="CH165" s="617"/>
      <c r="CI165" s="617"/>
      <c r="CJ165" s="617"/>
      <c r="CK165" s="617"/>
      <c r="CL165" s="617"/>
    </row>
    <row r="166" spans="1:90">
      <c r="A166" s="151">
        <f t="shared" ca="1" si="0"/>
        <v>3</v>
      </c>
      <c r="B166" s="113">
        <f t="shared" si="2"/>
        <v>188</v>
      </c>
      <c r="C166" s="150">
        <f t="shared" si="9"/>
        <v>52</v>
      </c>
      <c r="D166" s="565">
        <f t="shared" si="10"/>
        <v>9.5000000000000001E-2</v>
      </c>
      <c r="E166" s="306">
        <f t="shared" si="3"/>
        <v>6274.7700750343683</v>
      </c>
      <c r="F166" s="306">
        <f t="shared" si="15"/>
        <v>3340.5359799435046</v>
      </c>
      <c r="G166" s="307">
        <f t="shared" si="16"/>
        <v>9615.3060549778729</v>
      </c>
      <c r="H166" s="306">
        <f>IF(N165&lt;0.01,0,IF(Adm!$S$3=Adm!$S$13,Cal!$E$94,IF(Adm!$R$3=Adm!$R$6,0,IF(Cal!$E$91=0,N165*Adm!$Y$3,N165*Adm!$X$3))))</f>
        <v>340.81909039134041</v>
      </c>
      <c r="I166" s="306">
        <f>IF(N165&lt;0.01,0,IF(Adm!$R$4=Adm!$R$6,0,Cal!$E$89*Adm!$AA$3))</f>
        <v>573.58240000000001</v>
      </c>
      <c r="J166" s="306">
        <f>IF(N165&lt;0.01,0,Adm!$O$3*1.16)</f>
        <v>290</v>
      </c>
      <c r="K166" s="306">
        <f>IF(N165&lt;0.01,0,IF(Adm!$N$3&gt;0,E166*Adm!$N$3,0))</f>
        <v>0</v>
      </c>
      <c r="L166" s="306">
        <f t="shared" si="4"/>
        <v>10819.707545369212</v>
      </c>
      <c r="M166" s="306">
        <f>IF(Adm!$F$3="si",MIN(N165+E166+H166+I166+J166-L166,Z166),0)</f>
        <v>0</v>
      </c>
      <c r="N166" s="306">
        <f t="shared" si="5"/>
        <v>789261.99981387146</v>
      </c>
      <c r="O166" s="361"/>
      <c r="P166" s="114"/>
      <c r="V166" s="571">
        <f t="shared" si="6"/>
        <v>4</v>
      </c>
      <c r="W166" s="293">
        <f>IF(V166=1,Adm!$AN$2,0)</f>
        <v>0</v>
      </c>
      <c r="Y166" s="304">
        <f t="shared" si="11"/>
        <v>0</v>
      </c>
      <c r="Z166" s="345">
        <f t="shared" ca="1" si="7"/>
        <v>0</v>
      </c>
      <c r="AB166" s="640">
        <f t="shared" si="12"/>
        <v>0</v>
      </c>
      <c r="AC166" s="639">
        <f t="shared" si="13"/>
        <v>0</v>
      </c>
      <c r="AD166" s="641">
        <f t="shared" si="8"/>
        <v>0</v>
      </c>
      <c r="AE166" s="639">
        <f t="shared" si="14"/>
        <v>0</v>
      </c>
      <c r="AF166" s="636">
        <f t="shared" si="1"/>
        <v>0</v>
      </c>
      <c r="AG166" s="637" t="e">
        <f>HLOOKUP($AG$110,anticipado,53,0)</f>
        <v>#N/A</v>
      </c>
      <c r="AI166" s="614">
        <v>3.0025484666745439E-3</v>
      </c>
      <c r="AJ166" s="615">
        <v>2.8314560644960448E-3</v>
      </c>
      <c r="AK166" s="616">
        <v>2.7009941642204441E-3</v>
      </c>
      <c r="AL166" s="616">
        <v>3.0855741074112906E-3</v>
      </c>
      <c r="AM166" s="617">
        <v>3.0025484666745439E-3</v>
      </c>
      <c r="AN166" s="617">
        <v>2.8314560644960448E-3</v>
      </c>
      <c r="AO166" s="617">
        <v>3.2334970392402947E-3</v>
      </c>
      <c r="AP166" s="617">
        <v>3.1183913012512565E-3</v>
      </c>
      <c r="AQ166" s="617">
        <v>3.0358901266588885E-3</v>
      </c>
      <c r="AR166" s="617">
        <v>3.3558742476552713E-3</v>
      </c>
      <c r="AS166" s="617">
        <v>3.2334970392402947E-3</v>
      </c>
      <c r="AT166" s="618">
        <v>3.1104092740892671E-3</v>
      </c>
      <c r="AU166" s="618">
        <v>1.4193730939341053E-3</v>
      </c>
      <c r="AV166" s="618">
        <v>1.3409766573277096E-3</v>
      </c>
      <c r="AW166" s="618">
        <v>1.2091974150541963E-3</v>
      </c>
      <c r="AX166" s="618">
        <v>1.5470352031147945E-3</v>
      </c>
      <c r="AY166" s="618">
        <v>1.4193730939341053E-3</v>
      </c>
      <c r="AZ166" s="618">
        <v>1.3072454952777863E-3</v>
      </c>
      <c r="BA166" s="618">
        <v>1.6329006191295418E-3</v>
      </c>
      <c r="BB166" s="618">
        <v>1.5628924157292583E-3</v>
      </c>
      <c r="BC166" s="618">
        <v>1.4210410918863523E-3</v>
      </c>
      <c r="BD166" s="618">
        <v>1.7390134319999943E-3</v>
      </c>
      <c r="BE166" s="617">
        <v>1.6767624678207661E-3</v>
      </c>
      <c r="BF166" s="617">
        <v>1.576608231666758E-3</v>
      </c>
      <c r="BG166" s="617"/>
      <c r="BH166" s="617"/>
      <c r="BI166" s="617"/>
      <c r="BJ166" s="617"/>
      <c r="BK166" s="617"/>
      <c r="BL166" s="617"/>
      <c r="BM166" s="617"/>
      <c r="BN166" s="617"/>
      <c r="BO166" s="617"/>
      <c r="BP166" s="617"/>
      <c r="BQ166" s="617"/>
      <c r="BR166" s="617"/>
      <c r="BS166" s="617"/>
      <c r="BT166" s="617"/>
      <c r="BU166" s="617"/>
      <c r="BV166" s="617"/>
      <c r="BW166" s="617"/>
      <c r="BX166" s="617"/>
      <c r="BY166" s="617"/>
      <c r="BZ166" s="617"/>
      <c r="CA166" s="617"/>
      <c r="CB166" s="617"/>
      <c r="CC166" s="617"/>
      <c r="CD166" s="617"/>
      <c r="CE166" s="617"/>
      <c r="CF166" s="617"/>
      <c r="CG166" s="617"/>
      <c r="CH166" s="617"/>
      <c r="CI166" s="617"/>
      <c r="CJ166" s="617"/>
      <c r="CK166" s="617"/>
      <c r="CL166" s="617"/>
    </row>
    <row r="167" spans="1:90">
      <c r="A167" s="151">
        <f t="shared" ca="1" si="0"/>
        <v>4</v>
      </c>
      <c r="B167" s="113">
        <f t="shared" si="2"/>
        <v>187</v>
      </c>
      <c r="C167" s="150">
        <f t="shared" si="9"/>
        <v>53</v>
      </c>
      <c r="D167" s="565">
        <f t="shared" si="10"/>
        <v>9.5000000000000001E-2</v>
      </c>
      <c r="E167" s="306">
        <f t="shared" si="3"/>
        <v>6248.3241651931494</v>
      </c>
      <c r="F167" s="306">
        <f t="shared" si="15"/>
        <v>3366.9818897847235</v>
      </c>
      <c r="G167" s="307">
        <f t="shared" si="16"/>
        <v>9615.3060549778729</v>
      </c>
      <c r="H167" s="306">
        <f>IF(N166&lt;0.01,0,IF(Adm!$S$3=Adm!$S$13,Cal!$E$94,IF(Adm!$R$3=Adm!$R$6,0,IF(Cal!$E$91=0,N166*Adm!$Y$3,N166*Adm!$X$3))))</f>
        <v>339.38265991996474</v>
      </c>
      <c r="I167" s="306">
        <f>IF(N166&lt;0.01,0,IF(Adm!$R$4=Adm!$R$6,0,Cal!$E$89*Adm!$AA$3))</f>
        <v>573.58240000000001</v>
      </c>
      <c r="J167" s="306">
        <f>IF(N166&lt;0.01,0,Adm!$O$3*1.16)</f>
        <v>290</v>
      </c>
      <c r="K167" s="306">
        <f>IF(N166&lt;0.01,0,IF(Adm!$N$3&gt;0,E167*Adm!$N$3,0))</f>
        <v>0</v>
      </c>
      <c r="L167" s="306">
        <f t="shared" si="4"/>
        <v>10818.271114897838</v>
      </c>
      <c r="M167" s="306">
        <f>IF(Adm!$F$3="si",MIN(N166+E167+H167+I167+J167-L167,Z167),0)</f>
        <v>0</v>
      </c>
      <c r="N167" s="306">
        <f t="shared" si="5"/>
        <v>785895.01792408677</v>
      </c>
      <c r="O167" s="361"/>
      <c r="P167" s="114"/>
      <c r="V167" s="571">
        <f t="shared" si="6"/>
        <v>5</v>
      </c>
      <c r="W167" s="293">
        <f>IF(V167=1,Adm!$AN$2,0)</f>
        <v>0</v>
      </c>
      <c r="Y167" s="304">
        <f t="shared" si="11"/>
        <v>0</v>
      </c>
      <c r="Z167" s="345">
        <f t="shared" ca="1" si="7"/>
        <v>0</v>
      </c>
      <c r="AB167" s="640">
        <f t="shared" si="12"/>
        <v>0</v>
      </c>
      <c r="AC167" s="639">
        <f t="shared" si="13"/>
        <v>0</v>
      </c>
      <c r="AD167" s="641">
        <f t="shared" si="8"/>
        <v>0</v>
      </c>
      <c r="AE167" s="639">
        <f t="shared" si="14"/>
        <v>0</v>
      </c>
      <c r="AF167" s="636">
        <f t="shared" si="1"/>
        <v>0</v>
      </c>
      <c r="AG167" s="637" t="e">
        <f>HLOOKUP($AG$110,anticipado,54,0)</f>
        <v>#N/A</v>
      </c>
      <c r="AI167" s="614">
        <v>3.0375658859930228E-3</v>
      </c>
      <c r="AJ167" s="615">
        <v>2.865264398538975E-3</v>
      </c>
      <c r="AK167" s="616">
        <v>2.7337899683996694E-3</v>
      </c>
      <c r="AL167" s="616">
        <v>3.1208912530980965E-3</v>
      </c>
      <c r="AM167" s="617">
        <v>3.0375658859930228E-3</v>
      </c>
      <c r="AN167" s="617">
        <v>2.865264398538975E-3</v>
      </c>
      <c r="AO167" s="617">
        <v>3.2696680193274076E-3</v>
      </c>
      <c r="AP167" s="617">
        <v>3.1540575615267986E-3</v>
      </c>
      <c r="AQ167" s="617">
        <v>3.0712722286145096E-3</v>
      </c>
      <c r="AR167" s="617">
        <v>3.3928487625821823E-3</v>
      </c>
      <c r="AS167" s="617">
        <v>3.2696680193274076E-3</v>
      </c>
      <c r="AT167" s="618">
        <v>3.1458290463637281E-3</v>
      </c>
      <c r="AU167" s="618">
        <v>1.4342896969663382E-3</v>
      </c>
      <c r="AV167" s="618">
        <v>1.3554105866698874E-3</v>
      </c>
      <c r="AW167" s="618">
        <v>1.2226569797677916E-3</v>
      </c>
      <c r="AX167" s="618">
        <v>1.562796082296262E-3</v>
      </c>
      <c r="AY167" s="618">
        <v>1.4342896969663382E-3</v>
      </c>
      <c r="AZ167" s="618">
        <v>1.3213808028725669E-3</v>
      </c>
      <c r="BA167" s="618">
        <v>1.6491193272284482E-3</v>
      </c>
      <c r="BB167" s="618">
        <v>1.5787746972981537E-3</v>
      </c>
      <c r="BC167" s="618">
        <v>1.4360369173096799E-3</v>
      </c>
      <c r="BD167" s="618">
        <v>1.7558340406510487E-3</v>
      </c>
      <c r="BE167" s="617">
        <v>1.693211303014229E-3</v>
      </c>
      <c r="BF167" s="617">
        <v>1.5925201820640635E-3</v>
      </c>
      <c r="BG167" s="617"/>
      <c r="BH167" s="617"/>
      <c r="BI167" s="617"/>
      <c r="BJ167" s="617"/>
      <c r="BK167" s="617"/>
      <c r="BL167" s="617"/>
      <c r="BM167" s="617"/>
      <c r="BN167" s="617"/>
      <c r="BO167" s="617"/>
      <c r="BP167" s="617"/>
      <c r="BQ167" s="617"/>
      <c r="BR167" s="617"/>
      <c r="BS167" s="617"/>
      <c r="BT167" s="617"/>
      <c r="BU167" s="617"/>
      <c r="BV167" s="617"/>
      <c r="BW167" s="617"/>
      <c r="BX167" s="617"/>
      <c r="BY167" s="617"/>
      <c r="BZ167" s="617"/>
      <c r="CA167" s="617"/>
      <c r="CB167" s="617"/>
      <c r="CC167" s="617"/>
      <c r="CD167" s="617"/>
      <c r="CE167" s="617"/>
      <c r="CF167" s="617"/>
      <c r="CG167" s="617"/>
      <c r="CH167" s="617"/>
      <c r="CI167" s="617"/>
      <c r="CJ167" s="617"/>
      <c r="CK167" s="617"/>
      <c r="CL167" s="617"/>
    </row>
    <row r="168" spans="1:90">
      <c r="A168" s="151">
        <f t="shared" ca="1" si="0"/>
        <v>5</v>
      </c>
      <c r="B168" s="113">
        <f t="shared" si="2"/>
        <v>186</v>
      </c>
      <c r="C168" s="150">
        <f t="shared" si="9"/>
        <v>54</v>
      </c>
      <c r="D168" s="565">
        <f t="shared" si="10"/>
        <v>9.5000000000000001E-2</v>
      </c>
      <c r="E168" s="306">
        <f t="shared" si="3"/>
        <v>6221.6688918990212</v>
      </c>
      <c r="F168" s="306">
        <f t="shared" si="15"/>
        <v>3393.6371630788517</v>
      </c>
      <c r="G168" s="307">
        <f t="shared" si="16"/>
        <v>9615.3060549778729</v>
      </c>
      <c r="H168" s="306">
        <f>IF(N167&lt;0.01,0,IF(Adm!$S$3=Adm!$S$13,Cal!$E$94,IF(Adm!$R$3=Adm!$R$6,0,IF(Cal!$E$91=0,N167*Adm!$Y$3,N167*Adm!$X$3))))</f>
        <v>337.93485770735731</v>
      </c>
      <c r="I168" s="306">
        <f>IF(N167&lt;0.01,0,IF(Adm!$R$4=Adm!$R$6,0,Cal!$E$89*Adm!$AA$3))</f>
        <v>573.58240000000001</v>
      </c>
      <c r="J168" s="306">
        <f>IF(N167&lt;0.01,0,Adm!$O$3*1.16)</f>
        <v>290</v>
      </c>
      <c r="K168" s="306">
        <f>IF(N167&lt;0.01,0,IF(Adm!$N$3&gt;0,E168*Adm!$N$3,0))</f>
        <v>0</v>
      </c>
      <c r="L168" s="306">
        <f t="shared" si="4"/>
        <v>10816.82331268523</v>
      </c>
      <c r="M168" s="306">
        <f>IF(Adm!$F$3="si",MIN(N167+E168+H168+I168+J168-L168,Z168),0)</f>
        <v>0</v>
      </c>
      <c r="N168" s="306">
        <f t="shared" si="5"/>
        <v>782501.38076100789</v>
      </c>
      <c r="O168" s="361"/>
      <c r="P168" s="114"/>
      <c r="V168" s="571">
        <f t="shared" si="6"/>
        <v>6</v>
      </c>
      <c r="W168" s="293">
        <f>IF(V168=1,Adm!$AN$2,0)</f>
        <v>0</v>
      </c>
      <c r="Y168" s="304">
        <f t="shared" si="11"/>
        <v>0</v>
      </c>
      <c r="Z168" s="345">
        <f t="shared" ca="1" si="7"/>
        <v>0</v>
      </c>
      <c r="AB168" s="640">
        <f t="shared" si="12"/>
        <v>0</v>
      </c>
      <c r="AC168" s="639">
        <f t="shared" si="13"/>
        <v>0</v>
      </c>
      <c r="AD168" s="641">
        <f t="shared" si="8"/>
        <v>0</v>
      </c>
      <c r="AE168" s="639">
        <f t="shared" si="14"/>
        <v>0</v>
      </c>
      <c r="AF168" s="636">
        <f t="shared" si="1"/>
        <v>0</v>
      </c>
      <c r="AG168" s="637" t="e">
        <f>HLOOKUP($AG$110,anticipado,55,0)</f>
        <v>#N/A</v>
      </c>
      <c r="AI168" s="614">
        <v>3.0730996343733422E-3</v>
      </c>
      <c r="AJ168" s="615">
        <v>2.8995747211752014E-3</v>
      </c>
      <c r="AK168" s="616">
        <v>2.7670749775009981E-3</v>
      </c>
      <c r="AL168" s="616">
        <v>3.1567244665562546E-3</v>
      </c>
      <c r="AM168" s="617">
        <v>3.0730996343733422E-3</v>
      </c>
      <c r="AN168" s="617">
        <v>2.8995747211752014E-3</v>
      </c>
      <c r="AO168" s="617">
        <v>3.3063636024783754E-3</v>
      </c>
      <c r="AP168" s="617">
        <v>3.1902458908365685E-3</v>
      </c>
      <c r="AQ168" s="617">
        <v>3.1071769682420713E-3</v>
      </c>
      <c r="AR168" s="617">
        <v>3.4303579200210287E-3</v>
      </c>
      <c r="AS168" s="617">
        <v>3.3063636024783754E-3</v>
      </c>
      <c r="AT168" s="618">
        <v>3.1817652101710403E-3</v>
      </c>
      <c r="AU168" s="618">
        <v>1.4493847135278609E-3</v>
      </c>
      <c r="AV168" s="618">
        <v>1.3700196804516359E-3</v>
      </c>
      <c r="AW168" s="618">
        <v>1.2362830227423808E-3</v>
      </c>
      <c r="AX168" s="618">
        <v>1.5787424510234809E-3</v>
      </c>
      <c r="AY168" s="618">
        <v>1.4493847135278609E-3</v>
      </c>
      <c r="AZ168" s="618">
        <v>1.3356878612917056E-3</v>
      </c>
      <c r="BA168" s="618">
        <v>1.6655261837419369E-3</v>
      </c>
      <c r="BB168" s="618">
        <v>1.5948437457352063E-3</v>
      </c>
      <c r="BC168" s="618">
        <v>1.4512127823361255E-3</v>
      </c>
      <c r="BD168" s="618">
        <v>1.7728472189688089E-3</v>
      </c>
      <c r="BE168" s="617">
        <v>1.7098496715473482E-3</v>
      </c>
      <c r="BF168" s="617">
        <v>1.6086183608164484E-3</v>
      </c>
      <c r="BG168" s="617"/>
      <c r="BH168" s="617"/>
      <c r="BI168" s="617"/>
      <c r="BJ168" s="617"/>
      <c r="BK168" s="617"/>
      <c r="BL168" s="617"/>
      <c r="BM168" s="617"/>
      <c r="BN168" s="617"/>
      <c r="BO168" s="617"/>
      <c r="BP168" s="617"/>
      <c r="BQ168" s="617"/>
      <c r="BR168" s="617"/>
      <c r="BS168" s="617"/>
      <c r="BT168" s="617"/>
      <c r="BU168" s="617"/>
      <c r="BV168" s="617"/>
      <c r="BW168" s="617"/>
      <c r="BX168" s="617"/>
      <c r="BY168" s="617"/>
      <c r="BZ168" s="617"/>
      <c r="CA168" s="617"/>
      <c r="CB168" s="617"/>
      <c r="CC168" s="617"/>
      <c r="CD168" s="617"/>
      <c r="CE168" s="617"/>
      <c r="CF168" s="617"/>
      <c r="CG168" s="617"/>
      <c r="CH168" s="617"/>
      <c r="CI168" s="617"/>
      <c r="CJ168" s="617"/>
      <c r="CK168" s="617"/>
      <c r="CL168" s="617"/>
    </row>
    <row r="169" spans="1:90">
      <c r="A169" s="151">
        <f t="shared" ca="1" si="0"/>
        <v>6</v>
      </c>
      <c r="B169" s="113">
        <f t="shared" si="2"/>
        <v>185</v>
      </c>
      <c r="C169" s="150">
        <f t="shared" si="9"/>
        <v>55</v>
      </c>
      <c r="D169" s="565">
        <f t="shared" si="10"/>
        <v>9.5000000000000001E-2</v>
      </c>
      <c r="E169" s="306">
        <f t="shared" si="3"/>
        <v>6194.8025976913123</v>
      </c>
      <c r="F169" s="306">
        <f t="shared" si="15"/>
        <v>3420.5034572865607</v>
      </c>
      <c r="G169" s="307">
        <f t="shared" si="16"/>
        <v>9615.3060549778729</v>
      </c>
      <c r="H169" s="306">
        <f>IF(N168&lt;0.01,0,IF(Adm!$S$3=Adm!$S$13,Cal!$E$94,IF(Adm!$R$3=Adm!$R$6,0,IF(Cal!$E$91=0,N168*Adm!$Y$3,N168*Adm!$X$3))))</f>
        <v>336.47559372723339</v>
      </c>
      <c r="I169" s="306">
        <f>IF(N168&lt;0.01,0,IF(Adm!$R$4=Adm!$R$6,0,Cal!$E$89*Adm!$AA$3))</f>
        <v>573.58240000000001</v>
      </c>
      <c r="J169" s="306">
        <f>IF(N168&lt;0.01,0,Adm!$O$3*1.16)</f>
        <v>290</v>
      </c>
      <c r="K169" s="306">
        <f>IF(N168&lt;0.01,0,IF(Adm!$N$3&gt;0,E169*Adm!$N$3,0))</f>
        <v>0</v>
      </c>
      <c r="L169" s="306">
        <f t="shared" si="4"/>
        <v>10815.364048705105</v>
      </c>
      <c r="M169" s="306">
        <f>IF(Adm!$F$3="si",MIN(N168+E169+H169+I169+J169-L169,Z169),0)</f>
        <v>0</v>
      </c>
      <c r="N169" s="306">
        <f t="shared" si="5"/>
        <v>779080.87730372138</v>
      </c>
      <c r="O169" s="361"/>
      <c r="P169" s="114"/>
      <c r="V169" s="571">
        <f t="shared" si="6"/>
        <v>7</v>
      </c>
      <c r="W169" s="293">
        <f>IF(V169=1,Adm!$AN$2,0)</f>
        <v>0</v>
      </c>
      <c r="Y169" s="304">
        <f t="shared" si="11"/>
        <v>0</v>
      </c>
      <c r="Z169" s="345">
        <f t="shared" ca="1" si="7"/>
        <v>0</v>
      </c>
      <c r="AB169" s="640">
        <f t="shared" si="12"/>
        <v>0</v>
      </c>
      <c r="AC169" s="639">
        <f t="shared" si="13"/>
        <v>0</v>
      </c>
      <c r="AD169" s="641">
        <f t="shared" si="8"/>
        <v>0</v>
      </c>
      <c r="AE169" s="639">
        <f t="shared" si="14"/>
        <v>0</v>
      </c>
      <c r="AF169" s="636">
        <f t="shared" si="1"/>
        <v>0</v>
      </c>
      <c r="AG169" s="637" t="e">
        <f>HLOOKUP($AG$110,anticipado,56,0)</f>
        <v>#N/A</v>
      </c>
      <c r="AI169" s="614">
        <v>3.1091598768004155E-3</v>
      </c>
      <c r="AJ169" s="615">
        <v>2.9343968647407665E-3</v>
      </c>
      <c r="AK169" s="616">
        <v>2.8008587273476116E-3</v>
      </c>
      <c r="AL169" s="616">
        <v>3.1930838837599665E-3</v>
      </c>
      <c r="AM169" s="617">
        <v>3.1091598768004155E-3</v>
      </c>
      <c r="AN169" s="617">
        <v>2.9343968647407665E-3</v>
      </c>
      <c r="AO169" s="617">
        <v>3.3435941188941672E-3</v>
      </c>
      <c r="AP169" s="617">
        <v>3.2269665778304549E-3</v>
      </c>
      <c r="AQ169" s="617">
        <v>3.1436146709888733E-3</v>
      </c>
      <c r="AR169" s="617">
        <v>3.4684122947463716E-3</v>
      </c>
      <c r="AS169" s="617">
        <v>3.3435941188941672E-3</v>
      </c>
      <c r="AT169" s="618">
        <v>3.2182279040283068E-3</v>
      </c>
      <c r="AU169" s="618">
        <v>1.464660736685382E-3</v>
      </c>
      <c r="AV169" s="618">
        <v>1.3848064944295378E-3</v>
      </c>
      <c r="AW169" s="618">
        <v>1.2500779772063773E-3</v>
      </c>
      <c r="AX169" s="618">
        <v>1.5948770046950308E-3</v>
      </c>
      <c r="AY169" s="618">
        <v>1.464660736685382E-3</v>
      </c>
      <c r="AZ169" s="618">
        <v>1.350169169812608E-3</v>
      </c>
      <c r="BA169" s="618">
        <v>1.6821239137198654E-3</v>
      </c>
      <c r="BB169" s="618">
        <v>1.611102277610621E-3</v>
      </c>
      <c r="BC169" s="618">
        <v>1.4665713125700992E-3</v>
      </c>
      <c r="BD169" s="618">
        <v>1.7900557548190413E-3</v>
      </c>
      <c r="BE169" s="617">
        <v>1.7266803151511358E-3</v>
      </c>
      <c r="BF169" s="617">
        <v>1.6249054696564679E-3</v>
      </c>
      <c r="BG169" s="617"/>
      <c r="BH169" s="617"/>
      <c r="BI169" s="617"/>
      <c r="BJ169" s="617"/>
      <c r="BK169" s="617"/>
      <c r="BL169" s="617"/>
      <c r="BM169" s="617"/>
      <c r="BN169" s="617"/>
      <c r="BO169" s="617"/>
      <c r="BP169" s="617"/>
      <c r="BQ169" s="617"/>
      <c r="BR169" s="617"/>
      <c r="BS169" s="617"/>
      <c r="BT169" s="617"/>
      <c r="BU169" s="617"/>
      <c r="BV169" s="617"/>
      <c r="BW169" s="617"/>
      <c r="BX169" s="617"/>
      <c r="BY169" s="617"/>
      <c r="BZ169" s="617"/>
      <c r="CA169" s="617"/>
      <c r="CB169" s="617"/>
      <c r="CC169" s="617"/>
      <c r="CD169" s="617"/>
      <c r="CE169" s="617"/>
      <c r="CF169" s="617"/>
      <c r="CG169" s="617"/>
      <c r="CH169" s="617"/>
      <c r="CI169" s="617"/>
      <c r="CJ169" s="617"/>
      <c r="CK169" s="617"/>
      <c r="CL169" s="617"/>
    </row>
    <row r="170" spans="1:90">
      <c r="A170" s="151">
        <f t="shared" ca="1" si="0"/>
        <v>7</v>
      </c>
      <c r="B170" s="113">
        <f t="shared" si="2"/>
        <v>184</v>
      </c>
      <c r="C170" s="150">
        <f t="shared" si="9"/>
        <v>56</v>
      </c>
      <c r="D170" s="565">
        <f t="shared" si="10"/>
        <v>9.5000000000000001E-2</v>
      </c>
      <c r="E170" s="306">
        <f t="shared" si="3"/>
        <v>6167.7236119877934</v>
      </c>
      <c r="F170" s="306">
        <f t="shared" si="15"/>
        <v>3447.5824429900795</v>
      </c>
      <c r="G170" s="307">
        <f t="shared" si="16"/>
        <v>9615.3060549778729</v>
      </c>
      <c r="H170" s="306">
        <f>IF(N169&lt;0.01,0,IF(Adm!$S$3=Adm!$S$13,Cal!$E$94,IF(Adm!$R$3=Adm!$R$6,0,IF(Cal!$E$91=0,N169*Adm!$Y$3,N169*Adm!$X$3))))</f>
        <v>335.00477724060016</v>
      </c>
      <c r="I170" s="306">
        <f>IF(N169&lt;0.01,0,IF(Adm!$R$4=Adm!$R$6,0,Cal!$E$89*Adm!$AA$3))</f>
        <v>573.58240000000001</v>
      </c>
      <c r="J170" s="306">
        <f>IF(N169&lt;0.01,0,Adm!$O$3*1.16)</f>
        <v>290</v>
      </c>
      <c r="K170" s="306">
        <f>IF(N169&lt;0.01,0,IF(Adm!$N$3&gt;0,E170*Adm!$N$3,0))</f>
        <v>0</v>
      </c>
      <c r="L170" s="306">
        <f t="shared" si="4"/>
        <v>10813.893232218472</v>
      </c>
      <c r="M170" s="306">
        <f>IF(Adm!$F$3="si",MIN(N169+E170+H170+I170+J170-L170,Z170),0)</f>
        <v>0</v>
      </c>
      <c r="N170" s="306">
        <f t="shared" si="5"/>
        <v>775633.29486073134</v>
      </c>
      <c r="O170" s="361"/>
      <c r="P170" s="114"/>
      <c r="V170" s="571">
        <f t="shared" si="6"/>
        <v>8</v>
      </c>
      <c r="W170" s="293">
        <f>IF(V170=1,Adm!$AN$2,0)</f>
        <v>0</v>
      </c>
      <c r="Y170" s="304">
        <f t="shared" si="11"/>
        <v>0</v>
      </c>
      <c r="Z170" s="345">
        <f t="shared" ca="1" si="7"/>
        <v>0</v>
      </c>
      <c r="AB170" s="640">
        <f t="shared" si="12"/>
        <v>0</v>
      </c>
      <c r="AC170" s="639">
        <f t="shared" si="13"/>
        <v>0</v>
      </c>
      <c r="AD170" s="641">
        <f t="shared" si="8"/>
        <v>0</v>
      </c>
      <c r="AE170" s="639">
        <f t="shared" si="14"/>
        <v>0</v>
      </c>
      <c r="AF170" s="636">
        <f t="shared" si="1"/>
        <v>0</v>
      </c>
      <c r="AG170" s="637" t="e">
        <f>HLOOKUP($AG$110,anticipado,57,0)</f>
        <v>#N/A</v>
      </c>
      <c r="AI170" s="614">
        <v>3.1457570423159514E-3</v>
      </c>
      <c r="AJ170" s="615">
        <v>2.9697409147175276E-3</v>
      </c>
      <c r="AK170" s="616">
        <v>2.8351509972881768E-3</v>
      </c>
      <c r="AL170" s="616">
        <v>3.2299799038681765E-3</v>
      </c>
      <c r="AM170" s="617">
        <v>3.1457570423159514E-3</v>
      </c>
      <c r="AN170" s="617">
        <v>2.9697409147175276E-3</v>
      </c>
      <c r="AO170" s="617">
        <v>3.3813701684109829E-3</v>
      </c>
      <c r="AP170" s="617">
        <v>3.2642301793412306E-3</v>
      </c>
      <c r="AQ170" s="617">
        <v>3.1805959316146392E-3</v>
      </c>
      <c r="AR170" s="617">
        <v>3.5070227392806894E-3</v>
      </c>
      <c r="AS170" s="617">
        <v>3.3813701684109829E-3</v>
      </c>
      <c r="AT170" s="618">
        <v>3.2552275297408461E-3</v>
      </c>
      <c r="AU170" s="618">
        <v>1.4801204071166723E-3</v>
      </c>
      <c r="AV170" s="618">
        <v>1.3997736311464381E-3</v>
      </c>
      <c r="AW170" s="618">
        <v>1.2640443204644236E-3</v>
      </c>
      <c r="AX170" s="618">
        <v>1.611202488659596E-3</v>
      </c>
      <c r="AY170" s="618">
        <v>1.4801204071166723E-3</v>
      </c>
      <c r="AZ170" s="618">
        <v>1.3648272732225042E-3</v>
      </c>
      <c r="BA170" s="618">
        <v>1.6989152928466604E-3</v>
      </c>
      <c r="BB170" s="618">
        <v>1.6275530599352383E-3</v>
      </c>
      <c r="BC170" s="618">
        <v>1.4821151819775092E-3</v>
      </c>
      <c r="BD170" s="618">
        <v>1.8074624881732654E-3</v>
      </c>
      <c r="BE170" s="617">
        <v>1.7437060265806188E-3</v>
      </c>
      <c r="BF170" s="617">
        <v>1.6413842604110984E-3</v>
      </c>
      <c r="BG170" s="617"/>
      <c r="BH170" s="617"/>
      <c r="BI170" s="617"/>
      <c r="BJ170" s="617"/>
      <c r="BK170" s="617"/>
      <c r="BL170" s="617"/>
      <c r="BM170" s="617"/>
      <c r="BN170" s="617"/>
      <c r="BO170" s="617"/>
      <c r="BP170" s="617"/>
      <c r="BQ170" s="617"/>
      <c r="BR170" s="617"/>
      <c r="BS170" s="617"/>
      <c r="BT170" s="617"/>
      <c r="BU170" s="617"/>
      <c r="BV170" s="617"/>
      <c r="BW170" s="617"/>
      <c r="BX170" s="617"/>
      <c r="BY170" s="617"/>
      <c r="BZ170" s="617"/>
      <c r="CA170" s="617"/>
      <c r="CB170" s="617"/>
      <c r="CC170" s="617"/>
      <c r="CD170" s="617"/>
      <c r="CE170" s="617"/>
      <c r="CF170" s="617"/>
      <c r="CG170" s="617"/>
      <c r="CH170" s="617"/>
      <c r="CI170" s="617"/>
      <c r="CJ170" s="617"/>
      <c r="CK170" s="617"/>
      <c r="CL170" s="617"/>
    </row>
    <row r="171" spans="1:90">
      <c r="A171" s="151">
        <f t="shared" ca="1" si="0"/>
        <v>8</v>
      </c>
      <c r="B171" s="113">
        <f t="shared" si="2"/>
        <v>183</v>
      </c>
      <c r="C171" s="150">
        <f t="shared" si="9"/>
        <v>57</v>
      </c>
      <c r="D171" s="565">
        <f t="shared" si="10"/>
        <v>9.5000000000000001E-2</v>
      </c>
      <c r="E171" s="306">
        <f t="shared" si="3"/>
        <v>6140.4302509807894</v>
      </c>
      <c r="F171" s="306">
        <f t="shared" si="15"/>
        <v>3474.8758039970835</v>
      </c>
      <c r="G171" s="307">
        <f t="shared" si="16"/>
        <v>9615.3060549778729</v>
      </c>
      <c r="H171" s="306">
        <f>IF(N170&lt;0.01,0,IF(Adm!$S$3=Adm!$S$13,Cal!$E$94,IF(Adm!$R$3=Adm!$R$6,0,IF(Cal!$E$91=0,N170*Adm!$Y$3,N170*Adm!$X$3))))</f>
        <v>333.52231679011447</v>
      </c>
      <c r="I171" s="306">
        <f>IF(N170&lt;0.01,0,IF(Adm!$R$4=Adm!$R$6,0,Cal!$E$89*Adm!$AA$3))</f>
        <v>573.58240000000001</v>
      </c>
      <c r="J171" s="306">
        <f>IF(N170&lt;0.01,0,Adm!$O$3*1.16)</f>
        <v>290</v>
      </c>
      <c r="K171" s="306">
        <f>IF(N170&lt;0.01,0,IF(Adm!$N$3&gt;0,E171*Adm!$N$3,0))</f>
        <v>0</v>
      </c>
      <c r="L171" s="306">
        <f t="shared" si="4"/>
        <v>10812.410771767987</v>
      </c>
      <c r="M171" s="306">
        <f>IF(Adm!$F$3="si",MIN(N170+E171+H171+I171+J171-L171,Z171),0)</f>
        <v>0</v>
      </c>
      <c r="N171" s="306">
        <f t="shared" si="5"/>
        <v>772158.4190567343</v>
      </c>
      <c r="O171" s="361"/>
      <c r="P171" s="114"/>
      <c r="V171" s="571">
        <f t="shared" si="6"/>
        <v>9</v>
      </c>
      <c r="W171" s="293">
        <f>IF(V171=1,Adm!$AN$2,0)</f>
        <v>0</v>
      </c>
      <c r="Y171" s="304">
        <f t="shared" si="11"/>
        <v>0</v>
      </c>
      <c r="Z171" s="345">
        <f t="shared" ca="1" si="7"/>
        <v>0</v>
      </c>
      <c r="AB171" s="640">
        <f t="shared" si="12"/>
        <v>0</v>
      </c>
      <c r="AC171" s="639">
        <f t="shared" si="13"/>
        <v>0</v>
      </c>
      <c r="AD171" s="641">
        <f t="shared" si="8"/>
        <v>0</v>
      </c>
      <c r="AE171" s="639">
        <f t="shared" si="14"/>
        <v>0</v>
      </c>
      <c r="AF171" s="636">
        <f t="shared" si="1"/>
        <v>0</v>
      </c>
      <c r="AG171" s="637" t="e">
        <f>HLOOKUP($AG$110,anticipado,58,0)</f>
        <v>#N/A</v>
      </c>
      <c r="AI171" s="614">
        <v>3.1829018326610197E-3</v>
      </c>
      <c r="AJ171" s="615">
        <v>3.0056172179446987E-3</v>
      </c>
      <c r="AK171" s="616">
        <v>2.8699618180315681E-3</v>
      </c>
      <c r="AL171" s="616">
        <v>3.2674231978343164E-3</v>
      </c>
      <c r="AM171" s="617">
        <v>3.1829018326610197E-3</v>
      </c>
      <c r="AN171" s="617">
        <v>3.0056172179446987E-3</v>
      </c>
      <c r="AO171" s="617">
        <v>3.4197026293666809E-3</v>
      </c>
      <c r="AP171" s="617">
        <v>3.3020475291918481E-3</v>
      </c>
      <c r="AQ171" s="617">
        <v>3.2181316230419795E-3</v>
      </c>
      <c r="AR171" s="617">
        <v>3.5462003930842967E-3</v>
      </c>
      <c r="AS171" s="617">
        <v>3.4197026293666809E-3</v>
      </c>
      <c r="AT171" s="618">
        <v>3.2927747610164227E-3</v>
      </c>
      <c r="AU171" s="618">
        <v>1.4957664142052009E-3</v>
      </c>
      <c r="AV171" s="618">
        <v>1.414923741002211E-3</v>
      </c>
      <c r="AW171" s="618">
        <v>1.2781845748920904E-3</v>
      </c>
      <c r="AX171" s="618">
        <v>1.6277216993771657E-3</v>
      </c>
      <c r="AY171" s="618">
        <v>1.4957664142052009E-3</v>
      </c>
      <c r="AZ171" s="618">
        <v>1.3796647628537538E-3</v>
      </c>
      <c r="BA171" s="618">
        <v>1.7159031486226437E-3</v>
      </c>
      <c r="BB171" s="618">
        <v>1.644198911335636E-3</v>
      </c>
      <c r="BC171" s="618">
        <v>1.4978471140011456E-3</v>
      </c>
      <c r="BD171" s="618">
        <v>1.8250703123324572E-3</v>
      </c>
      <c r="BE171" s="617">
        <v>1.7609296508075286E-3</v>
      </c>
      <c r="BF171" s="617">
        <v>1.6580575361673131E-3</v>
      </c>
      <c r="BG171" s="617"/>
      <c r="BH171" s="617"/>
      <c r="BI171" s="617"/>
      <c r="BJ171" s="617"/>
      <c r="BK171" s="617"/>
      <c r="BL171" s="617"/>
      <c r="BM171" s="617"/>
      <c r="BN171" s="617"/>
      <c r="BO171" s="617"/>
      <c r="BP171" s="617"/>
      <c r="BQ171" s="617"/>
      <c r="BR171" s="617"/>
      <c r="BS171" s="617"/>
      <c r="BT171" s="617"/>
      <c r="BU171" s="617"/>
      <c r="BV171" s="617"/>
      <c r="BW171" s="617"/>
      <c r="BX171" s="617"/>
      <c r="BY171" s="617"/>
      <c r="BZ171" s="617"/>
      <c r="CA171" s="617"/>
      <c r="CB171" s="617"/>
      <c r="CC171" s="617"/>
      <c r="CD171" s="617"/>
      <c r="CE171" s="617"/>
      <c r="CF171" s="617"/>
      <c r="CG171" s="617"/>
      <c r="CH171" s="617"/>
      <c r="CI171" s="617"/>
      <c r="CJ171" s="617"/>
      <c r="CK171" s="617"/>
      <c r="CL171" s="617"/>
    </row>
    <row r="172" spans="1:90">
      <c r="A172" s="151">
        <f t="shared" ca="1" si="0"/>
        <v>9</v>
      </c>
      <c r="B172" s="113">
        <f t="shared" si="2"/>
        <v>182</v>
      </c>
      <c r="C172" s="150">
        <f t="shared" si="9"/>
        <v>58</v>
      </c>
      <c r="D172" s="565">
        <f t="shared" si="10"/>
        <v>9.5000000000000001E-2</v>
      </c>
      <c r="E172" s="306">
        <f t="shared" si="3"/>
        <v>6112.9208175324793</v>
      </c>
      <c r="F172" s="306">
        <f t="shared" si="15"/>
        <v>3502.3852374453936</v>
      </c>
      <c r="G172" s="307">
        <f t="shared" si="16"/>
        <v>9615.3060549778729</v>
      </c>
      <c r="H172" s="306">
        <f>IF(N171&lt;0.01,0,IF(Adm!$S$3=Adm!$S$13,Cal!$E$94,IF(Adm!$R$3=Adm!$R$6,0,IF(Cal!$E$91=0,N171*Adm!$Y$3,N171*Adm!$X$3))))</f>
        <v>332.02812019439574</v>
      </c>
      <c r="I172" s="306">
        <f>IF(N171&lt;0.01,0,IF(Adm!$R$4=Adm!$R$6,0,Cal!$E$89*Adm!$AA$3))</f>
        <v>573.58240000000001</v>
      </c>
      <c r="J172" s="306">
        <f>IF(N171&lt;0.01,0,Adm!$O$3*1.16)</f>
        <v>290</v>
      </c>
      <c r="K172" s="306">
        <f>IF(N171&lt;0.01,0,IF(Adm!$N$3&gt;0,E172*Adm!$N$3,0))</f>
        <v>0</v>
      </c>
      <c r="L172" s="306">
        <f t="shared" si="4"/>
        <v>10810.916575172268</v>
      </c>
      <c r="M172" s="306">
        <f>IF(Adm!$F$3="si",MIN(N171+E172+H172+I172+J172-L172,Z172),0)</f>
        <v>0</v>
      </c>
      <c r="N172" s="306">
        <f t="shared" si="5"/>
        <v>768656.03381928895</v>
      </c>
      <c r="O172" s="361"/>
      <c r="P172" s="114"/>
      <c r="V172" s="571">
        <f t="shared" si="6"/>
        <v>10</v>
      </c>
      <c r="W172" s="293">
        <f>IF(V172=1,Adm!$AN$2,0)</f>
        <v>0</v>
      </c>
      <c r="Y172" s="304">
        <f t="shared" si="11"/>
        <v>0</v>
      </c>
      <c r="Z172" s="345">
        <f t="shared" ca="1" si="7"/>
        <v>0</v>
      </c>
      <c r="AB172" s="640">
        <f t="shared" si="12"/>
        <v>0</v>
      </c>
      <c r="AC172" s="639">
        <f t="shared" si="13"/>
        <v>0</v>
      </c>
      <c r="AD172" s="641">
        <f t="shared" si="8"/>
        <v>0</v>
      </c>
      <c r="AE172" s="639">
        <f t="shared" si="14"/>
        <v>0</v>
      </c>
      <c r="AF172" s="636">
        <f t="shared" si="1"/>
        <v>0</v>
      </c>
      <c r="AG172" s="637" t="e">
        <f>HLOOKUP($AG$110,anticipado,59,0)</f>
        <v>#N/A</v>
      </c>
      <c r="AI172" s="614">
        <v>3.2206052312605767E-3</v>
      </c>
      <c r="AJ172" s="615">
        <v>3.0420363911524096E-3</v>
      </c>
      <c r="AK172" s="616">
        <v>2.9053014797864045E-3</v>
      </c>
      <c r="AL172" s="616">
        <v>3.3054247173564728E-3</v>
      </c>
      <c r="AM172" s="617">
        <v>3.2206052312605767E-3</v>
      </c>
      <c r="AN172" s="617">
        <v>3.0420363911524096E-3</v>
      </c>
      <c r="AO172" s="617">
        <v>3.4586026678195777E-3</v>
      </c>
      <c r="AP172" s="617">
        <v>3.3404297473523374E-3</v>
      </c>
      <c r="AQ172" s="617">
        <v>3.2562329055584563E-3</v>
      </c>
      <c r="AR172" s="617">
        <v>3.5859566921127169E-3</v>
      </c>
      <c r="AS172" s="617">
        <v>3.4586026678195777E-3</v>
      </c>
      <c r="AT172" s="618">
        <v>3.3308805524201015E-3</v>
      </c>
      <c r="AU172" s="618">
        <v>1.5116014971652343E-3</v>
      </c>
      <c r="AV172" s="618">
        <v>1.4302595233541954E-3</v>
      </c>
      <c r="AW172" s="618">
        <v>1.2925013089577838E-3</v>
      </c>
      <c r="AX172" s="618">
        <v>1.6444374856128948E-3</v>
      </c>
      <c r="AY172" s="618">
        <v>1.5116014971652343E-3</v>
      </c>
      <c r="AZ172" s="618">
        <v>1.3946842776476852E-3</v>
      </c>
      <c r="BA172" s="618">
        <v>1.7330903615786822E-3</v>
      </c>
      <c r="BB172" s="618">
        <v>1.6610427032623194E-3</v>
      </c>
      <c r="BC172" s="618">
        <v>1.5137698827071982E-3</v>
      </c>
      <c r="BD172" s="618">
        <v>1.8428821751854802E-3</v>
      </c>
      <c r="BE172" s="617">
        <v>1.7783540862466886E-3</v>
      </c>
      <c r="BF172" s="617">
        <v>1.6749281524704781E-3</v>
      </c>
      <c r="BG172" s="617"/>
      <c r="BH172" s="617"/>
      <c r="BI172" s="617"/>
      <c r="BJ172" s="617"/>
      <c r="BK172" s="617"/>
      <c r="BL172" s="617"/>
      <c r="BM172" s="617"/>
      <c r="BN172" s="617"/>
      <c r="BO172" s="617"/>
      <c r="BP172" s="617"/>
      <c r="BQ172" s="617"/>
      <c r="BR172" s="617"/>
      <c r="BS172" s="617"/>
      <c r="BT172" s="617"/>
      <c r="BU172" s="617"/>
      <c r="BV172" s="617"/>
      <c r="BW172" s="617"/>
      <c r="BX172" s="617"/>
      <c r="BY172" s="617"/>
      <c r="BZ172" s="617"/>
      <c r="CA172" s="617"/>
      <c r="CB172" s="617"/>
      <c r="CC172" s="617"/>
      <c r="CD172" s="617"/>
      <c r="CE172" s="617"/>
      <c r="CF172" s="617"/>
      <c r="CG172" s="617"/>
      <c r="CH172" s="617"/>
      <c r="CI172" s="617"/>
      <c r="CJ172" s="617"/>
      <c r="CK172" s="617"/>
      <c r="CL172" s="617"/>
    </row>
    <row r="173" spans="1:90">
      <c r="A173" s="151">
        <f t="shared" ca="1" si="0"/>
        <v>10</v>
      </c>
      <c r="B173" s="113">
        <f t="shared" si="2"/>
        <v>181</v>
      </c>
      <c r="C173" s="150">
        <f t="shared" si="9"/>
        <v>59</v>
      </c>
      <c r="D173" s="565">
        <f t="shared" si="10"/>
        <v>9.5000000000000001E-2</v>
      </c>
      <c r="E173" s="306">
        <f t="shared" si="3"/>
        <v>6085.1936010693707</v>
      </c>
      <c r="F173" s="306">
        <f t="shared" si="15"/>
        <v>3530.1124539085022</v>
      </c>
      <c r="G173" s="307">
        <f t="shared" si="16"/>
        <v>9615.3060549778729</v>
      </c>
      <c r="H173" s="306">
        <f>IF(N172&lt;0.01,0,IF(Adm!$S$3=Adm!$S$13,Cal!$E$94,IF(Adm!$R$3=Adm!$R$6,0,IF(Cal!$E$91=0,N172*Adm!$Y$3,N172*Adm!$X$3))))</f>
        <v>330.52209454229421</v>
      </c>
      <c r="I173" s="306">
        <f>IF(N172&lt;0.01,0,IF(Adm!$R$4=Adm!$R$6,0,Cal!$E$89*Adm!$AA$3))</f>
        <v>573.58240000000001</v>
      </c>
      <c r="J173" s="306">
        <f>IF(N172&lt;0.01,0,Adm!$O$3*1.16)</f>
        <v>290</v>
      </c>
      <c r="K173" s="306">
        <f>IF(N172&lt;0.01,0,IF(Adm!$N$3&gt;0,E173*Adm!$N$3,0))</f>
        <v>0</v>
      </c>
      <c r="L173" s="306">
        <f t="shared" si="4"/>
        <v>10809.410549520166</v>
      </c>
      <c r="M173" s="306">
        <f>IF(Adm!$F$3="si",MIN(N172+E173+H173+I173+J173-L173,Z173),0)</f>
        <v>0</v>
      </c>
      <c r="N173" s="306">
        <f t="shared" si="5"/>
        <v>765125.9213653804</v>
      </c>
      <c r="O173" s="361"/>
      <c r="P173" s="114"/>
      <c r="V173" s="571">
        <f t="shared" si="6"/>
        <v>11</v>
      </c>
      <c r="W173" s="293">
        <f>IF(V173=1,Adm!$AN$2,0)</f>
        <v>0</v>
      </c>
      <c r="Y173" s="304">
        <f t="shared" si="11"/>
        <v>0</v>
      </c>
      <c r="Z173" s="345">
        <f t="shared" ca="1" si="7"/>
        <v>0</v>
      </c>
      <c r="AB173" s="640">
        <f t="shared" si="12"/>
        <v>0</v>
      </c>
      <c r="AC173" s="639">
        <f t="shared" si="13"/>
        <v>0</v>
      </c>
      <c r="AD173" s="641">
        <f t="shared" si="8"/>
        <v>0</v>
      </c>
      <c r="AE173" s="639">
        <f t="shared" si="14"/>
        <v>0</v>
      </c>
      <c r="AF173" s="636">
        <f t="shared" si="1"/>
        <v>0</v>
      </c>
      <c r="AG173" s="637" t="e">
        <f>HLOOKUP($AG$110,anticipado,60,0)</f>
        <v>#N/A</v>
      </c>
      <c r="AI173" s="614">
        <v>3.2588785125658121E-3</v>
      </c>
      <c r="AJ173" s="615">
        <v>3.0790093298321639E-3</v>
      </c>
      <c r="AK173" s="616">
        <v>2.9411805407193337E-3</v>
      </c>
      <c r="AL173" s="616">
        <v>3.3439957041838078E-3</v>
      </c>
      <c r="AM173" s="617">
        <v>3.2588785125658121E-3</v>
      </c>
      <c r="AN173" s="617">
        <v>3.0790093298321639E-3</v>
      </c>
      <c r="AO173" s="617">
        <v>3.4980817471360471E-3</v>
      </c>
      <c r="AP173" s="617">
        <v>3.3793882494625982E-3</v>
      </c>
      <c r="AQ173" s="617">
        <v>3.2949112363866496E-3</v>
      </c>
      <c r="AR173" s="617">
        <v>3.6263033787587674E-3</v>
      </c>
      <c r="AS173" s="617">
        <v>3.4980817471360471E-3</v>
      </c>
      <c r="AT173" s="618">
        <v>3.3695561486855744E-3</v>
      </c>
      <c r="AU173" s="618">
        <v>1.5276284461983949E-3</v>
      </c>
      <c r="AV173" s="618">
        <v>1.4457837276482671E-3</v>
      </c>
      <c r="AW173" s="618">
        <v>1.3069971382727295E-3</v>
      </c>
      <c r="AX173" s="618">
        <v>1.6613527496646809E-3</v>
      </c>
      <c r="AY173" s="618">
        <v>1.5276284461983949E-3</v>
      </c>
      <c r="AZ173" s="618">
        <v>1.4098885052478631E-3</v>
      </c>
      <c r="BA173" s="618">
        <v>1.7504798665252379E-3</v>
      </c>
      <c r="BB173" s="618">
        <v>1.6780873612321321E-3</v>
      </c>
      <c r="BC173" s="618">
        <v>1.5298863139639233E-3</v>
      </c>
      <c r="BD173" s="618">
        <v>1.8609010805034081E-3</v>
      </c>
      <c r="BE173" s="617">
        <v>1.7959822860172231E-3</v>
      </c>
      <c r="BF173" s="617">
        <v>1.6919990185566105E-3</v>
      </c>
      <c r="BG173" s="617"/>
      <c r="BH173" s="617"/>
      <c r="BI173" s="617"/>
      <c r="BJ173" s="617"/>
      <c r="BK173" s="617"/>
      <c r="BL173" s="617"/>
      <c r="BM173" s="617"/>
      <c r="BN173" s="617"/>
      <c r="BO173" s="617"/>
      <c r="BP173" s="617"/>
      <c r="BQ173" s="617"/>
      <c r="BR173" s="617"/>
      <c r="BS173" s="617"/>
      <c r="BT173" s="617"/>
      <c r="BU173" s="617"/>
      <c r="BV173" s="617"/>
      <c r="BW173" s="617"/>
      <c r="BX173" s="617"/>
      <c r="BY173" s="617"/>
      <c r="BZ173" s="617"/>
      <c r="CA173" s="617"/>
      <c r="CB173" s="617"/>
      <c r="CC173" s="617"/>
      <c r="CD173" s="617"/>
      <c r="CE173" s="617"/>
      <c r="CF173" s="617"/>
      <c r="CG173" s="617"/>
      <c r="CH173" s="617"/>
      <c r="CI173" s="617"/>
      <c r="CJ173" s="617"/>
      <c r="CK173" s="617"/>
      <c r="CL173" s="617"/>
    </row>
    <row r="174" spans="1:90">
      <c r="A174" s="151">
        <f t="shared" ca="1" si="0"/>
        <v>11</v>
      </c>
      <c r="B174" s="113">
        <f t="shared" si="2"/>
        <v>180</v>
      </c>
      <c r="C174" s="150">
        <f t="shared" si="9"/>
        <v>60</v>
      </c>
      <c r="D174" s="565">
        <f t="shared" si="10"/>
        <v>9.5000000000000001E-2</v>
      </c>
      <c r="E174" s="306">
        <f t="shared" si="3"/>
        <v>6057.2468774759282</v>
      </c>
      <c r="F174" s="306">
        <f t="shared" si="15"/>
        <v>3558.0591775019448</v>
      </c>
      <c r="G174" s="307">
        <f t="shared" si="16"/>
        <v>9615.3060549778729</v>
      </c>
      <c r="H174" s="306">
        <f>IF(N173&lt;0.01,0,IF(Adm!$S$3=Adm!$S$13,Cal!$E$94,IF(Adm!$R$3=Adm!$R$6,0,IF(Cal!$E$91=0,N173*Adm!$Y$3,N173*Adm!$X$3))))</f>
        <v>329.00414618711358</v>
      </c>
      <c r="I174" s="306">
        <f>IF(N173&lt;0.01,0,IF(Adm!$R$4=Adm!$R$6,0,Cal!$E$89*Adm!$AA$3))</f>
        <v>573.58240000000001</v>
      </c>
      <c r="J174" s="306">
        <f>IF(N173&lt;0.01,0,Adm!$O$3*1.16)</f>
        <v>290</v>
      </c>
      <c r="K174" s="306">
        <f>IF(N173&lt;0.01,0,IF(Adm!$N$3&gt;0,E174*Adm!$N$3,0))</f>
        <v>0</v>
      </c>
      <c r="L174" s="306">
        <f t="shared" si="4"/>
        <v>10807.892601164986</v>
      </c>
      <c r="M174" s="306">
        <f>IF(Adm!$F$3="si",MIN(N173+E174+H174+I174+J174-L174,Z174),0)</f>
        <v>0</v>
      </c>
      <c r="N174" s="306">
        <f t="shared" si="5"/>
        <v>761567.86218787846</v>
      </c>
      <c r="O174" s="361"/>
      <c r="P174" s="114"/>
      <c r="V174" s="571">
        <f t="shared" si="6"/>
        <v>12</v>
      </c>
      <c r="W174" s="293">
        <f>IF(V174=1,Adm!$AN$2,0)</f>
        <v>0</v>
      </c>
      <c r="Y174" s="304">
        <f t="shared" si="11"/>
        <v>0</v>
      </c>
      <c r="Z174" s="345">
        <f t="shared" ca="1" si="7"/>
        <v>0</v>
      </c>
      <c r="AB174" s="640">
        <f t="shared" si="12"/>
        <v>0</v>
      </c>
      <c r="AC174" s="639">
        <f t="shared" si="13"/>
        <v>0</v>
      </c>
      <c r="AD174" s="641">
        <f t="shared" si="8"/>
        <v>0</v>
      </c>
      <c r="AE174" s="639">
        <f t="shared" si="14"/>
        <v>0</v>
      </c>
      <c r="AF174" s="636">
        <f t="shared" si="1"/>
        <v>0</v>
      </c>
      <c r="AG174" s="637" t="e">
        <f>HLOOKUP($AG$110,anticipado,61,0)</f>
        <v>#N/A</v>
      </c>
      <c r="AI174" s="614">
        <v>3.2977332517710638E-3</v>
      </c>
      <c r="AJ174" s="615">
        <v>3.1165472174598118E-3</v>
      </c>
      <c r="AK174" s="616">
        <v>2.9776098357466854E-3</v>
      </c>
      <c r="AL174" s="616">
        <v>3.3831476997958753E-3</v>
      </c>
      <c r="AM174" s="617">
        <v>3.2977332517710638E-3</v>
      </c>
      <c r="AN174" s="617">
        <v>3.1165472174598118E-3</v>
      </c>
      <c r="AO174" s="617">
        <v>3.5381516379642359E-3</v>
      </c>
      <c r="AP174" s="617">
        <v>3.4189347567382474E-3</v>
      </c>
      <c r="AQ174" s="617">
        <v>3.3341783796394927E-3</v>
      </c>
      <c r="AR174" s="617">
        <v>3.6672525121975463E-3</v>
      </c>
      <c r="AS174" s="617">
        <v>3.5381516379642359E-3</v>
      </c>
      <c r="AT174" s="618">
        <v>3.4088130943996132E-3</v>
      </c>
      <c r="AU174" s="618">
        <v>1.5438501036826977E-3</v>
      </c>
      <c r="AV174" s="618">
        <v>1.4614991545815565E-3</v>
      </c>
      <c r="AW174" s="618">
        <v>1.3216747266699312E-3</v>
      </c>
      <c r="AX174" s="618">
        <v>1.6784704486255938E-3</v>
      </c>
      <c r="AY174" s="618">
        <v>1.5438501036826977E-3</v>
      </c>
      <c r="AZ174" s="618">
        <v>1.4252801831237836E-3</v>
      </c>
      <c r="BA174" s="618">
        <v>1.768074653837012E-3</v>
      </c>
      <c r="BB174" s="618">
        <v>1.6953358661059969E-3</v>
      </c>
      <c r="BC174" s="618">
        <v>1.5461992866535391E-3</v>
      </c>
      <c r="BD174" s="618">
        <v>1.8791300892709241E-3</v>
      </c>
      <c r="BE174" s="617">
        <v>1.8138172592397307E-3</v>
      </c>
      <c r="BF174" s="617">
        <v>1.7092730986196503E-3</v>
      </c>
      <c r="BG174" s="617"/>
      <c r="BH174" s="617"/>
      <c r="BI174" s="617"/>
      <c r="BJ174" s="617"/>
      <c r="BK174" s="617"/>
      <c r="BL174" s="617"/>
      <c r="BM174" s="617"/>
      <c r="BN174" s="617"/>
      <c r="BO174" s="617"/>
      <c r="BP174" s="617"/>
      <c r="BQ174" s="617"/>
      <c r="BR174" s="617"/>
      <c r="BS174" s="617"/>
      <c r="BT174" s="617"/>
      <c r="BU174" s="617"/>
      <c r="BV174" s="617"/>
      <c r="BW174" s="617"/>
      <c r="BX174" s="617"/>
      <c r="BY174" s="617"/>
      <c r="BZ174" s="617"/>
      <c r="CA174" s="617"/>
      <c r="CB174" s="617"/>
      <c r="CC174" s="617"/>
      <c r="CD174" s="617"/>
      <c r="CE174" s="617"/>
      <c r="CF174" s="617"/>
      <c r="CG174" s="617"/>
      <c r="CH174" s="617"/>
      <c r="CI174" s="617"/>
      <c r="CJ174" s="617"/>
      <c r="CK174" s="617"/>
      <c r="CL174" s="617"/>
    </row>
    <row r="175" spans="1:90">
      <c r="A175" s="151">
        <f t="shared" ca="1" si="0"/>
        <v>12</v>
      </c>
      <c r="B175" s="113">
        <f t="shared" si="2"/>
        <v>179</v>
      </c>
      <c r="C175" s="150">
        <f t="shared" si="9"/>
        <v>61</v>
      </c>
      <c r="D175" s="565">
        <f t="shared" si="10"/>
        <v>9.5000000000000001E-2</v>
      </c>
      <c r="E175" s="306">
        <f t="shared" si="3"/>
        <v>6029.0789089873715</v>
      </c>
      <c r="F175" s="306">
        <f t="shared" si="15"/>
        <v>3586.2271459905014</v>
      </c>
      <c r="G175" s="307">
        <f t="shared" si="16"/>
        <v>9615.3060549778729</v>
      </c>
      <c r="H175" s="306">
        <f>IF(N174&lt;0.01,0,IF(Adm!$S$3=Adm!$S$13,Cal!$E$94,IF(Adm!$R$3=Adm!$R$6,0,IF(Cal!$E$91=0,N174*Adm!$Y$3,N174*Adm!$X$3))))</f>
        <v>327.47418074078774</v>
      </c>
      <c r="I175" s="306">
        <f>IF(N174&lt;0.01,0,IF(Adm!$R$4=Adm!$R$6,0,Cal!$E$89*Adm!$AA$3))</f>
        <v>573.58240000000001</v>
      </c>
      <c r="J175" s="306">
        <f>IF(N174&lt;0.01,0,Adm!$O$3*1.16)</f>
        <v>290</v>
      </c>
      <c r="K175" s="306">
        <f>IF(N174&lt;0.01,0,IF(Adm!$N$3&gt;0,E175*Adm!$N$3,0))</f>
        <v>0</v>
      </c>
      <c r="L175" s="306">
        <f t="shared" si="4"/>
        <v>10806.36263571866</v>
      </c>
      <c r="M175" s="306">
        <f>IF(Adm!$F$3="si",MIN(N174+E175+H175+I175+J175-L175,Z175),0)</f>
        <v>0</v>
      </c>
      <c r="N175" s="306">
        <f t="shared" si="5"/>
        <v>757981.63504188799</v>
      </c>
      <c r="O175" s="361"/>
      <c r="P175" s="114"/>
      <c r="V175" s="571">
        <f t="shared" si="6"/>
        <v>1</v>
      </c>
      <c r="W175" s="293">
        <f>IF(V175=1,Adm!$AN$2,0)</f>
        <v>0</v>
      </c>
      <c r="Y175" s="304">
        <f t="shared" si="11"/>
        <v>0</v>
      </c>
      <c r="Z175" s="345">
        <f t="shared" ca="1" si="7"/>
        <v>0</v>
      </c>
      <c r="AB175" s="640">
        <f t="shared" si="12"/>
        <v>0</v>
      </c>
      <c r="AC175" s="639">
        <f t="shared" si="13"/>
        <v>0</v>
      </c>
      <c r="AD175" s="641">
        <f t="shared" si="8"/>
        <v>0</v>
      </c>
      <c r="AE175" s="639">
        <f t="shared" si="14"/>
        <v>0</v>
      </c>
      <c r="AF175" s="636">
        <f t="shared" si="1"/>
        <v>0</v>
      </c>
      <c r="AG175" s="637" t="e">
        <f>HLOOKUP($AG$110,anticipado,62,0)</f>
        <v>#N/A</v>
      </c>
      <c r="AI175" s="614">
        <v>3.6362358682960273E-3</v>
      </c>
      <c r="AJ175" s="615">
        <v>3.4604030734646514E-3</v>
      </c>
      <c r="AK175" s="616">
        <v>3.3251738311502015E-3</v>
      </c>
      <c r="AL175" s="616">
        <v>3.7165898693591781E-3</v>
      </c>
      <c r="AM175" s="617">
        <v>3.6362358682960273E-3</v>
      </c>
      <c r="AN175" s="617">
        <v>3.4604030734646514E-3</v>
      </c>
      <c r="AO175" s="617">
        <v>3.8662117059941707E-3</v>
      </c>
      <c r="AP175" s="617">
        <v>3.7526416722679181E-3</v>
      </c>
      <c r="AQ175" s="617">
        <v>3.6729809104294351E-3</v>
      </c>
      <c r="AR175" s="617">
        <v>3.9921618911323469E-3</v>
      </c>
      <c r="AS175" s="617">
        <v>3.8662117059941707E-3</v>
      </c>
      <c r="AT175" s="618">
        <v>3.7409214918458032E-3</v>
      </c>
      <c r="AU175" s="618">
        <v>1.6666220590491102E-3</v>
      </c>
      <c r="AV175" s="618">
        <v>1.5862660772041689E-3</v>
      </c>
      <c r="AW175" s="618">
        <v>1.4489854885195419E-3</v>
      </c>
      <c r="AX175" s="618">
        <v>1.799001531639133E-3</v>
      </c>
      <c r="AY175" s="618">
        <v>1.6666220590491102E-3</v>
      </c>
      <c r="AZ175" s="618">
        <v>1.5501873873898806E-3</v>
      </c>
      <c r="BA175" s="618">
        <v>1.8865698818153944E-3</v>
      </c>
      <c r="BB175" s="618">
        <v>1.815752501290545E-3</v>
      </c>
      <c r="BC175" s="618">
        <v>1.6695055179242783E-3</v>
      </c>
      <c r="BD175" s="618">
        <v>1.995714710933278E-3</v>
      </c>
      <c r="BE175" s="617">
        <v>1.9313473597610128E-3</v>
      </c>
      <c r="BF175" s="617">
        <v>1.8290209472460539E-3</v>
      </c>
      <c r="BG175" s="617"/>
      <c r="BH175" s="617"/>
      <c r="BI175" s="617"/>
      <c r="BJ175" s="617"/>
      <c r="BK175" s="617"/>
      <c r="BL175" s="617"/>
      <c r="BM175" s="617"/>
      <c r="BN175" s="617"/>
      <c r="BO175" s="617"/>
      <c r="BP175" s="617"/>
      <c r="BQ175" s="617"/>
      <c r="BR175" s="617"/>
      <c r="BS175" s="617"/>
      <c r="BT175" s="617"/>
      <c r="BU175" s="617"/>
      <c r="BV175" s="617"/>
      <c r="BW175" s="617"/>
      <c r="BX175" s="617"/>
      <c r="BY175" s="617"/>
      <c r="BZ175" s="617"/>
      <c r="CA175" s="617"/>
      <c r="CB175" s="617"/>
      <c r="CC175" s="617"/>
      <c r="CD175" s="617"/>
      <c r="CE175" s="617"/>
      <c r="CF175" s="617"/>
      <c r="CG175" s="617"/>
      <c r="CH175" s="617"/>
      <c r="CI175" s="617"/>
      <c r="CJ175" s="617"/>
      <c r="CK175" s="617"/>
      <c r="CL175" s="617"/>
    </row>
    <row r="176" spans="1:90">
      <c r="A176" s="151">
        <f t="shared" ca="1" si="0"/>
        <v>1</v>
      </c>
      <c r="B176" s="113">
        <f t="shared" si="2"/>
        <v>178</v>
      </c>
      <c r="C176" s="150">
        <f t="shared" si="9"/>
        <v>62</v>
      </c>
      <c r="D176" s="565">
        <f t="shared" si="10"/>
        <v>9.5000000000000001E-2</v>
      </c>
      <c r="E176" s="306">
        <f t="shared" si="3"/>
        <v>6000.6879440816128</v>
      </c>
      <c r="F176" s="306">
        <f t="shared" si="15"/>
        <v>3614.6181108962601</v>
      </c>
      <c r="G176" s="307">
        <f t="shared" si="16"/>
        <v>9615.3060549778729</v>
      </c>
      <c r="H176" s="306">
        <f>IF(N175&lt;0.01,0,IF(Adm!$S$3=Adm!$S$13,Cal!$E$94,IF(Adm!$R$3=Adm!$R$6,0,IF(Cal!$E$91=0,N175*Adm!$Y$3,N175*Adm!$X$3))))</f>
        <v>325.93210306801183</v>
      </c>
      <c r="I176" s="306">
        <f>IF(N175&lt;0.01,0,IF(Adm!$R$4=Adm!$R$6,0,Cal!$E$89*Adm!$AA$3))</f>
        <v>573.58240000000001</v>
      </c>
      <c r="J176" s="306">
        <f>IF(N175&lt;0.01,0,Adm!$O$3*1.16)</f>
        <v>290</v>
      </c>
      <c r="K176" s="306">
        <f>IF(N175&lt;0.01,0,IF(Adm!$N$3&gt;0,E176*Adm!$N$3,0))</f>
        <v>0</v>
      </c>
      <c r="L176" s="306">
        <f t="shared" si="4"/>
        <v>10804.820558045883</v>
      </c>
      <c r="M176" s="306">
        <f>IF(Adm!$F$3="si",MIN(N175+E176+H176+I176+J176-L176,Z176),0)</f>
        <v>0</v>
      </c>
      <c r="N176" s="306">
        <f t="shared" si="5"/>
        <v>754367.01693099178</v>
      </c>
      <c r="O176" s="361"/>
      <c r="P176" s="114"/>
      <c r="V176" s="571">
        <f t="shared" si="6"/>
        <v>2</v>
      </c>
      <c r="W176" s="293">
        <f>IF(V176=1,Adm!$AN$2,0)</f>
        <v>0</v>
      </c>
      <c r="Y176" s="304">
        <f t="shared" si="11"/>
        <v>0</v>
      </c>
      <c r="Z176" s="345">
        <f t="shared" ca="1" si="7"/>
        <v>0</v>
      </c>
      <c r="AB176" s="640">
        <f t="shared" si="12"/>
        <v>0</v>
      </c>
      <c r="AC176" s="639">
        <f t="shared" si="13"/>
        <v>0</v>
      </c>
      <c r="AD176" s="641">
        <f t="shared" si="8"/>
        <v>0</v>
      </c>
      <c r="AE176" s="639">
        <f t="shared" si="14"/>
        <v>0</v>
      </c>
      <c r="AF176" s="636">
        <f t="shared" si="1"/>
        <v>0</v>
      </c>
      <c r="AG176" s="637" t="e">
        <f>HLOOKUP($AG$110,anticipado,63,0)</f>
        <v>#N/A</v>
      </c>
      <c r="AI176" s="614">
        <v>3.6809833262616311E-3</v>
      </c>
      <c r="AJ176" s="615">
        <v>3.5039312458085485E-3</v>
      </c>
      <c r="AK176" s="616">
        <v>3.3676562172709193E-3</v>
      </c>
      <c r="AL176" s="616">
        <v>3.7615104717343278E-3</v>
      </c>
      <c r="AM176" s="617">
        <v>3.6809833262616311E-3</v>
      </c>
      <c r="AN176" s="617">
        <v>3.5039312458085485E-3</v>
      </c>
      <c r="AO176" s="617">
        <v>3.9119436175406152E-3</v>
      </c>
      <c r="AP176" s="617">
        <v>3.797978506533867E-3</v>
      </c>
      <c r="AQ176" s="617">
        <v>3.71816407558208E-3</v>
      </c>
      <c r="AR176" s="617">
        <v>4.0387253710673539E-3</v>
      </c>
      <c r="AS176" s="617">
        <v>3.9119436175406152E-3</v>
      </c>
      <c r="AT176" s="618">
        <v>3.7859157333409391E-3</v>
      </c>
      <c r="AU176" s="618">
        <v>1.684554169373322E-3</v>
      </c>
      <c r="AV176" s="618">
        <v>1.6037341462869733E-3</v>
      </c>
      <c r="AW176" s="618">
        <v>1.4654659586429491E-3</v>
      </c>
      <c r="AX176" s="618">
        <v>1.8177881234678343E-3</v>
      </c>
      <c r="AY176" s="618">
        <v>1.684554169373322E-3</v>
      </c>
      <c r="AZ176" s="618">
        <v>1.5673309059441166E-3</v>
      </c>
      <c r="BA176" s="618">
        <v>1.9057923795072699E-3</v>
      </c>
      <c r="BB176" s="618">
        <v>1.8346690151131858E-3</v>
      </c>
      <c r="BC176" s="618">
        <v>1.6875432059233792E-3</v>
      </c>
      <c r="BD176" s="618">
        <v>2.0155365550147651E-3</v>
      </c>
      <c r="BE176" s="617">
        <v>1.9507911177724939E-3</v>
      </c>
      <c r="BF176" s="617">
        <v>1.8479475600944714E-3</v>
      </c>
      <c r="BG176" s="617"/>
      <c r="BH176" s="617"/>
      <c r="BI176" s="617"/>
      <c r="BJ176" s="617"/>
      <c r="BK176" s="617"/>
      <c r="BL176" s="617"/>
      <c r="BM176" s="617"/>
      <c r="BN176" s="617"/>
      <c r="BO176" s="617"/>
      <c r="BP176" s="617"/>
      <c r="BQ176" s="617"/>
      <c r="BR176" s="617"/>
      <c r="BS176" s="617"/>
      <c r="BT176" s="617"/>
      <c r="BU176" s="617"/>
      <c r="BV176" s="617"/>
      <c r="BW176" s="617"/>
      <c r="BX176" s="617"/>
      <c r="BY176" s="617"/>
      <c r="BZ176" s="617"/>
      <c r="CA176" s="617"/>
      <c r="CB176" s="617"/>
      <c r="CC176" s="617"/>
      <c r="CD176" s="617"/>
      <c r="CE176" s="617"/>
      <c r="CF176" s="617"/>
      <c r="CG176" s="617"/>
      <c r="CH176" s="617"/>
      <c r="CI176" s="617"/>
      <c r="CJ176" s="617"/>
      <c r="CK176" s="617"/>
      <c r="CL176" s="617"/>
    </row>
    <row r="177" spans="1:90">
      <c r="A177" s="151">
        <f t="shared" ca="1" si="0"/>
        <v>2</v>
      </c>
      <c r="B177" s="113">
        <f t="shared" si="2"/>
        <v>177</v>
      </c>
      <c r="C177" s="150">
        <f t="shared" si="9"/>
        <v>63</v>
      </c>
      <c r="D177" s="565">
        <f t="shared" si="10"/>
        <v>9.5000000000000001E-2</v>
      </c>
      <c r="E177" s="306">
        <f t="shared" si="3"/>
        <v>5972.0722173703516</v>
      </c>
      <c r="F177" s="306">
        <f t="shared" si="15"/>
        <v>3643.2338376075213</v>
      </c>
      <c r="G177" s="307">
        <f t="shared" si="16"/>
        <v>9615.3060549778729</v>
      </c>
      <c r="H177" s="306">
        <f>IF(N176&lt;0.01,0,IF(Adm!$S$3=Adm!$S$13,Cal!$E$94,IF(Adm!$R$3=Adm!$R$6,0,IF(Cal!$E$91=0,N176*Adm!$Y$3,N176*Adm!$X$3))))</f>
        <v>324.37781728032644</v>
      </c>
      <c r="I177" s="306">
        <f>IF(N176&lt;0.01,0,IF(Adm!$R$4=Adm!$R$6,0,Cal!$E$89*Adm!$AA$3))</f>
        <v>573.58240000000001</v>
      </c>
      <c r="J177" s="306">
        <f>IF(N176&lt;0.01,0,Adm!$O$3*1.16)</f>
        <v>290</v>
      </c>
      <c r="K177" s="306">
        <f>IF(N176&lt;0.01,0,IF(Adm!$N$3&gt;0,E177*Adm!$N$3,0))</f>
        <v>0</v>
      </c>
      <c r="L177" s="306">
        <f t="shared" si="4"/>
        <v>10803.266272258199</v>
      </c>
      <c r="M177" s="306">
        <f>IF(Adm!$F$3="si",MIN(N176+E177+H177+I177+J177-L177,Z177),0)</f>
        <v>0</v>
      </c>
      <c r="N177" s="306">
        <f t="shared" si="5"/>
        <v>750723.78309338423</v>
      </c>
      <c r="O177" s="361"/>
      <c r="P177" s="114"/>
      <c r="V177" s="571">
        <f t="shared" si="6"/>
        <v>3</v>
      </c>
      <c r="W177" s="293">
        <f>IF(V177=1,Adm!$AN$2,0)</f>
        <v>0</v>
      </c>
      <c r="Y177" s="304">
        <f t="shared" si="11"/>
        <v>0</v>
      </c>
      <c r="Z177" s="345">
        <f t="shared" ca="1" si="7"/>
        <v>0</v>
      </c>
      <c r="AB177" s="640">
        <f t="shared" si="12"/>
        <v>0</v>
      </c>
      <c r="AC177" s="639">
        <f t="shared" si="13"/>
        <v>0</v>
      </c>
      <c r="AD177" s="641">
        <f t="shared" si="8"/>
        <v>0</v>
      </c>
      <c r="AE177" s="639">
        <f t="shared" si="14"/>
        <v>0</v>
      </c>
      <c r="AF177" s="636">
        <f t="shared" si="1"/>
        <v>0</v>
      </c>
      <c r="AG177" s="637" t="e">
        <f>HLOOKUP($AG$110,anticipado,64,0)</f>
        <v>#N/A</v>
      </c>
      <c r="AI177" s="614">
        <v>3.7264488033619809E-3</v>
      </c>
      <c r="AJ177" s="615">
        <v>3.5481619373416997E-3</v>
      </c>
      <c r="AK177" s="616">
        <v>3.4108267413967748E-3</v>
      </c>
      <c r="AL177" s="616">
        <v>3.8071456646966918E-3</v>
      </c>
      <c r="AM177" s="617">
        <v>3.7264488033619809E-3</v>
      </c>
      <c r="AN177" s="617">
        <v>3.5481619373416997E-3</v>
      </c>
      <c r="AO177" s="617">
        <v>3.9583982017605398E-3</v>
      </c>
      <c r="AP177" s="617">
        <v>3.8440380022070047E-3</v>
      </c>
      <c r="AQ177" s="617">
        <v>3.7640737610670659E-3</v>
      </c>
      <c r="AR177" s="617">
        <v>4.0860229766844424E-3</v>
      </c>
      <c r="AS177" s="617">
        <v>3.9583982017605398E-3</v>
      </c>
      <c r="AT177" s="618">
        <v>3.8316241951679604E-3</v>
      </c>
      <c r="AU177" s="618">
        <v>1.7027098053622408E-3</v>
      </c>
      <c r="AV177" s="618">
        <v>1.6214229430526368E-3</v>
      </c>
      <c r="AW177" s="618">
        <v>1.4821583364372029E-3</v>
      </c>
      <c r="AX177" s="618">
        <v>1.8368054691997771E-3</v>
      </c>
      <c r="AY177" s="618">
        <v>1.7027098053622408E-3</v>
      </c>
      <c r="AZ177" s="618">
        <v>1.5846912239914426E-3</v>
      </c>
      <c r="BA177" s="618">
        <v>1.9252478156666154E-3</v>
      </c>
      <c r="BB177" s="618">
        <v>1.8538177327802401E-3</v>
      </c>
      <c r="BC177" s="618">
        <v>1.7058065971510222E-3</v>
      </c>
      <c r="BD177" s="618">
        <v>2.0355957036271911E-3</v>
      </c>
      <c r="BE177" s="617">
        <v>1.9704690124590983E-3</v>
      </c>
      <c r="BF177" s="617">
        <v>1.8671054272740449E-3</v>
      </c>
      <c r="BG177" s="617"/>
      <c r="BH177" s="617"/>
      <c r="BI177" s="617"/>
      <c r="BJ177" s="617"/>
      <c r="BK177" s="617"/>
      <c r="BL177" s="617"/>
      <c r="BM177" s="617"/>
      <c r="BN177" s="617"/>
      <c r="BO177" s="617"/>
      <c r="BP177" s="617"/>
      <c r="BQ177" s="617"/>
      <c r="BR177" s="617"/>
      <c r="BS177" s="617"/>
      <c r="BT177" s="617"/>
      <c r="BU177" s="617"/>
      <c r="BV177" s="617"/>
      <c r="BW177" s="617"/>
      <c r="BX177" s="617"/>
      <c r="BY177" s="617"/>
      <c r="BZ177" s="617"/>
      <c r="CA177" s="617"/>
      <c r="CB177" s="617"/>
      <c r="CC177" s="617"/>
      <c r="CD177" s="617"/>
      <c r="CE177" s="617"/>
      <c r="CF177" s="617"/>
      <c r="CG177" s="617"/>
      <c r="CH177" s="617"/>
      <c r="CI177" s="617"/>
      <c r="CJ177" s="617"/>
      <c r="CK177" s="617"/>
      <c r="CL177" s="617"/>
    </row>
    <row r="178" spans="1:90">
      <c r="A178" s="151">
        <f t="shared" ca="1" si="0"/>
        <v>3</v>
      </c>
      <c r="B178" s="113">
        <f t="shared" si="2"/>
        <v>176</v>
      </c>
      <c r="C178" s="150">
        <f t="shared" si="9"/>
        <v>64</v>
      </c>
      <c r="D178" s="565">
        <f t="shared" si="10"/>
        <v>9.5000000000000001E-2</v>
      </c>
      <c r="E178" s="306">
        <f t="shared" si="3"/>
        <v>5943.2299494892914</v>
      </c>
      <c r="F178" s="306">
        <f t="shared" si="15"/>
        <v>3672.0761054885816</v>
      </c>
      <c r="G178" s="307">
        <f t="shared" si="16"/>
        <v>9615.3060549778729</v>
      </c>
      <c r="H178" s="306">
        <f>IF(N177&lt;0.01,0,IF(Adm!$S$3=Adm!$S$13,Cal!$E$94,IF(Adm!$R$3=Adm!$R$6,0,IF(Cal!$E$91=0,N177*Adm!$Y$3,N177*Adm!$X$3))))</f>
        <v>322.81122673015523</v>
      </c>
      <c r="I178" s="306">
        <f>IF(N177&lt;0.01,0,IF(Adm!$R$4=Adm!$R$6,0,Cal!$E$89*Adm!$AA$3))</f>
        <v>573.58240000000001</v>
      </c>
      <c r="J178" s="306">
        <f>IF(N177&lt;0.01,0,Adm!$O$3*1.16)</f>
        <v>290</v>
      </c>
      <c r="K178" s="306">
        <f>IF(N177&lt;0.01,0,IF(Adm!$N$3&gt;0,E178*Adm!$N$3,0))</f>
        <v>0</v>
      </c>
      <c r="L178" s="306">
        <f t="shared" si="4"/>
        <v>10801.699681708027</v>
      </c>
      <c r="M178" s="306">
        <f>IF(Adm!$F$3="si",MIN(N177+E178+H178+I178+J178-L178,Z178),0)</f>
        <v>0</v>
      </c>
      <c r="N178" s="306">
        <f t="shared" si="5"/>
        <v>747051.70698789565</v>
      </c>
      <c r="O178" s="361"/>
      <c r="P178" s="114"/>
      <c r="V178" s="571">
        <f t="shared" si="6"/>
        <v>4</v>
      </c>
      <c r="W178" s="293">
        <f>IF(V178=1,Adm!$AN$2,0)</f>
        <v>0</v>
      </c>
      <c r="Y178" s="304">
        <f t="shared" si="11"/>
        <v>0</v>
      </c>
      <c r="Z178" s="345">
        <f t="shared" ca="1" si="7"/>
        <v>0</v>
      </c>
      <c r="AB178" s="640">
        <f t="shared" si="12"/>
        <v>0</v>
      </c>
      <c r="AC178" s="639">
        <f t="shared" si="13"/>
        <v>0</v>
      </c>
      <c r="AD178" s="641">
        <f t="shared" si="8"/>
        <v>0</v>
      </c>
      <c r="AE178" s="639">
        <f t="shared" si="14"/>
        <v>0</v>
      </c>
      <c r="AF178" s="636">
        <f t="shared" si="1"/>
        <v>0</v>
      </c>
      <c r="AG178" s="637" t="e">
        <f>HLOOKUP($AG$110,anticipado,65,0)</f>
        <v>#N/A</v>
      </c>
      <c r="AI178" s="614">
        <v>3.7726480039307316E-3</v>
      </c>
      <c r="AJ178" s="615">
        <v>3.5931104446394108E-3</v>
      </c>
      <c r="AK178" s="616">
        <v>3.4547003205589598E-3</v>
      </c>
      <c r="AL178" s="616">
        <v>3.8535110301676548E-3</v>
      </c>
      <c r="AM178" s="617">
        <v>3.7726480039307316E-3</v>
      </c>
      <c r="AN178" s="617">
        <v>3.5931104446394108E-3</v>
      </c>
      <c r="AO178" s="617">
        <v>4.0055912460431357E-3</v>
      </c>
      <c r="AP178" s="617">
        <v>3.8908359716607038E-3</v>
      </c>
      <c r="AQ178" s="617">
        <v>3.8107259142740948E-3</v>
      </c>
      <c r="AR178" s="617">
        <v>4.1340708101993773E-3</v>
      </c>
      <c r="AS178" s="617">
        <v>4.0055912460431357E-3</v>
      </c>
      <c r="AT178" s="618">
        <v>3.8780624424613764E-3</v>
      </c>
      <c r="AU178" s="618">
        <v>1.7210924177815949E-3</v>
      </c>
      <c r="AV178" s="618">
        <v>1.6393358873943828E-3</v>
      </c>
      <c r="AW178" s="618">
        <v>1.4990659083202879E-3</v>
      </c>
      <c r="AX178" s="618">
        <v>1.8560571322633124E-3</v>
      </c>
      <c r="AY178" s="618">
        <v>1.7210924177815949E-3</v>
      </c>
      <c r="AZ178" s="618">
        <v>1.6022716907459361E-3</v>
      </c>
      <c r="BA178" s="618">
        <v>1.9449397761286498E-3</v>
      </c>
      <c r="BB178" s="618">
        <v>1.8732022438566838E-3</v>
      </c>
      <c r="BC178" s="618">
        <v>1.7242991882257862E-3</v>
      </c>
      <c r="BD178" s="618">
        <v>2.0558958089567248E-3</v>
      </c>
      <c r="BE178" s="617">
        <v>1.9903846438738531E-3</v>
      </c>
      <c r="BF178" s="617">
        <v>1.8864981142735762E-3</v>
      </c>
      <c r="BG178" s="617"/>
      <c r="BH178" s="617"/>
      <c r="BI178" s="617"/>
      <c r="BJ178" s="617"/>
      <c r="BK178" s="617"/>
      <c r="BL178" s="617"/>
      <c r="BM178" s="617"/>
      <c r="BN178" s="617"/>
      <c r="BO178" s="617"/>
      <c r="BP178" s="617"/>
      <c r="BQ178" s="617"/>
      <c r="BR178" s="617"/>
      <c r="BS178" s="617"/>
      <c r="BT178" s="617"/>
      <c r="BU178" s="617"/>
      <c r="BV178" s="617"/>
      <c r="BW178" s="617"/>
      <c r="BX178" s="617"/>
      <c r="BY178" s="617"/>
      <c r="BZ178" s="617"/>
      <c r="CA178" s="617"/>
      <c r="CB178" s="617"/>
      <c r="CC178" s="617"/>
      <c r="CD178" s="617"/>
      <c r="CE178" s="617"/>
      <c r="CF178" s="617"/>
      <c r="CG178" s="617"/>
      <c r="CH178" s="617"/>
      <c r="CI178" s="617"/>
      <c r="CJ178" s="617"/>
      <c r="CK178" s="617"/>
      <c r="CL178" s="617"/>
    </row>
    <row r="179" spans="1:90">
      <c r="A179" s="151">
        <f t="shared" ref="A179:A242" ca="1" si="17">IF(A178=12,1,A178+1)</f>
        <v>4</v>
      </c>
      <c r="B179" s="113">
        <f t="shared" si="2"/>
        <v>175</v>
      </c>
      <c r="C179" s="150">
        <f t="shared" si="9"/>
        <v>65</v>
      </c>
      <c r="D179" s="565">
        <f t="shared" si="10"/>
        <v>9.5000000000000001E-2</v>
      </c>
      <c r="E179" s="306">
        <f t="shared" si="3"/>
        <v>5914.1593469875079</v>
      </c>
      <c r="F179" s="306">
        <f t="shared" si="15"/>
        <v>3701.146707990365</v>
      </c>
      <c r="G179" s="307">
        <f t="shared" si="16"/>
        <v>9615.3060549778729</v>
      </c>
      <c r="H179" s="306">
        <f>IF(N178&lt;0.01,0,IF(Adm!$S$3=Adm!$S$13,Cal!$E$94,IF(Adm!$R$3=Adm!$R$6,0,IF(Cal!$E$91=0,N178*Adm!$Y$3,N178*Adm!$X$3))))</f>
        <v>321.23223400479515</v>
      </c>
      <c r="I179" s="306">
        <f>IF(N178&lt;0.01,0,IF(Adm!$R$4=Adm!$R$6,0,Cal!$E$89*Adm!$AA$3))</f>
        <v>573.58240000000001</v>
      </c>
      <c r="J179" s="306">
        <f>IF(N178&lt;0.01,0,Adm!$O$3*1.16)</f>
        <v>290</v>
      </c>
      <c r="K179" s="306">
        <f>IF(N178&lt;0.01,0,IF(Adm!$N$3&gt;0,E179*Adm!$N$3,0))</f>
        <v>0</v>
      </c>
      <c r="L179" s="306">
        <f t="shared" si="4"/>
        <v>10800.120688982668</v>
      </c>
      <c r="M179" s="306">
        <f>IF(Adm!$F$3="si",MIN(N178+E179+H179+I179+J179-L179,Z179),0)</f>
        <v>0</v>
      </c>
      <c r="N179" s="306">
        <f t="shared" si="5"/>
        <v>743350.56027990533</v>
      </c>
      <c r="O179" s="361"/>
      <c r="P179" s="114"/>
      <c r="V179" s="571">
        <f t="shared" si="6"/>
        <v>5</v>
      </c>
      <c r="W179" s="293">
        <f>IF(V179=1,Adm!$AN$2,0)</f>
        <v>0</v>
      </c>
      <c r="Y179" s="304">
        <f t="shared" si="11"/>
        <v>0</v>
      </c>
      <c r="Z179" s="345">
        <f t="shared" ca="1" si="7"/>
        <v>0</v>
      </c>
      <c r="AB179" s="640">
        <f t="shared" si="12"/>
        <v>0</v>
      </c>
      <c r="AC179" s="639">
        <f t="shared" si="13"/>
        <v>0</v>
      </c>
      <c r="AD179" s="641">
        <f t="shared" si="8"/>
        <v>0</v>
      </c>
      <c r="AE179" s="639">
        <f t="shared" si="14"/>
        <v>0</v>
      </c>
      <c r="AF179" s="636">
        <f t="shared" ref="AF179:AF242" si="18">IF(AND($AD$109=2,O178&lt;0.01),0,IF($AD$109=2,(N178*AG179)+E179,0))</f>
        <v>0</v>
      </c>
      <c r="AG179" s="637" t="e">
        <f>HLOOKUP($AG$110,anticipado,66,0)</f>
        <v>#N/A</v>
      </c>
      <c r="AI179" s="614">
        <v>3.8195970882956114E-3</v>
      </c>
      <c r="AJ179" s="615">
        <v>3.6387925052811148E-3</v>
      </c>
      <c r="AK179" s="616">
        <v>3.4992922989685272E-3</v>
      </c>
      <c r="AL179" s="616">
        <v>3.9006226017140257E-3</v>
      </c>
      <c r="AM179" s="617">
        <v>3.8195970882956114E-3</v>
      </c>
      <c r="AN179" s="617">
        <v>3.6387925052811148E-3</v>
      </c>
      <c r="AO179" s="617">
        <v>4.0535389970631072E-3</v>
      </c>
      <c r="AP179" s="617">
        <v>3.9383886873343562E-3</v>
      </c>
      <c r="AQ179" s="617">
        <v>3.8581369474848795E-3</v>
      </c>
      <c r="AR179" s="617">
        <v>4.1828854447466838E-3</v>
      </c>
      <c r="AS179" s="617">
        <v>4.0535389970631072E-3</v>
      </c>
      <c r="AT179" s="618">
        <v>3.9252464914204428E-3</v>
      </c>
      <c r="AU179" s="618">
        <v>1.7397055254620088E-3</v>
      </c>
      <c r="AV179" s="618">
        <v>1.6574764665223654E-3</v>
      </c>
      <c r="AW179" s="618">
        <v>1.5161920248034119E-3</v>
      </c>
      <c r="AX179" s="618">
        <v>1.8755467469456471E-3</v>
      </c>
      <c r="AY179" s="618">
        <v>1.7397055254620088E-3</v>
      </c>
      <c r="AZ179" s="618">
        <v>1.6200757210085702E-3</v>
      </c>
      <c r="BA179" s="618">
        <v>1.9648719181562017E-3</v>
      </c>
      <c r="BB179" s="618">
        <v>1.8928262094191674E-3</v>
      </c>
      <c r="BC179" s="618">
        <v>1.7430245449663879E-3</v>
      </c>
      <c r="BD179" s="618">
        <v>2.0764405962971056E-3</v>
      </c>
      <c r="BE179" s="617">
        <v>2.010541683860053E-3</v>
      </c>
      <c r="BF179" s="617">
        <v>1.9061292574947279E-3</v>
      </c>
      <c r="BG179" s="617"/>
      <c r="BH179" s="617"/>
      <c r="BI179" s="617"/>
      <c r="BJ179" s="617"/>
      <c r="BK179" s="617"/>
      <c r="BL179" s="617"/>
      <c r="BM179" s="617"/>
      <c r="BN179" s="617"/>
      <c r="BO179" s="617"/>
      <c r="BP179" s="617"/>
      <c r="BQ179" s="617"/>
      <c r="BR179" s="617"/>
      <c r="BS179" s="617"/>
      <c r="BT179" s="617"/>
      <c r="BU179" s="617"/>
      <c r="BV179" s="617"/>
      <c r="BW179" s="617"/>
      <c r="BX179" s="617"/>
      <c r="BY179" s="617"/>
      <c r="BZ179" s="617"/>
      <c r="CA179" s="617"/>
      <c r="CB179" s="617"/>
      <c r="CC179" s="617"/>
      <c r="CD179" s="617"/>
      <c r="CE179" s="617"/>
      <c r="CF179" s="617"/>
      <c r="CG179" s="617"/>
      <c r="CH179" s="617"/>
      <c r="CI179" s="617"/>
      <c r="CJ179" s="617"/>
      <c r="CK179" s="617"/>
      <c r="CL179" s="617"/>
    </row>
    <row r="180" spans="1:90">
      <c r="A180" s="151">
        <f t="shared" ca="1" si="17"/>
        <v>5</v>
      </c>
      <c r="B180" s="113">
        <f t="shared" ref="B180:B243" si="19">IF(N179&gt;0,B179-1,0)</f>
        <v>174</v>
      </c>
      <c r="C180" s="150">
        <f t="shared" si="9"/>
        <v>66</v>
      </c>
      <c r="D180" s="565">
        <f t="shared" si="10"/>
        <v>9.5000000000000001E-2</v>
      </c>
      <c r="E180" s="306">
        <f t="shared" ref="E180:E243" si="20">IF(N179&lt;0.01,0,N179*D180/12)</f>
        <v>5884.858602215917</v>
      </c>
      <c r="F180" s="306">
        <f t="shared" si="15"/>
        <v>3730.4474527619559</v>
      </c>
      <c r="G180" s="307">
        <f t="shared" si="16"/>
        <v>9615.3060549778729</v>
      </c>
      <c r="H180" s="306">
        <f>IF(N179&lt;0.01,0,IF(Adm!$S$3=Adm!$S$13,Cal!$E$94,IF(Adm!$R$3=Adm!$R$6,0,IF(Cal!$E$91=0,N179*Adm!$Y$3,N179*Adm!$X$3))))</f>
        <v>319.64074092035929</v>
      </c>
      <c r="I180" s="306">
        <f>IF(N179&lt;0.01,0,IF(Adm!$R$4=Adm!$R$6,0,Cal!$E$89*Adm!$AA$3))</f>
        <v>573.58240000000001</v>
      </c>
      <c r="J180" s="306">
        <f>IF(N179&lt;0.01,0,Adm!$O$3*1.16)</f>
        <v>290</v>
      </c>
      <c r="K180" s="306">
        <f>IF(N179&lt;0.01,0,IF(Adm!$N$3&gt;0,E180*Adm!$N$3,0))</f>
        <v>0</v>
      </c>
      <c r="L180" s="306">
        <f t="shared" ref="L180:L243" si="21">G180+H180+I180+J180+K180</f>
        <v>10798.529195898231</v>
      </c>
      <c r="M180" s="306">
        <f>IF(Adm!$F$3="si",MIN(N179+E180+H180+I180+J180-L180,Z180),0)</f>
        <v>0</v>
      </c>
      <c r="N180" s="306">
        <f t="shared" ref="N180:N243" si="22">IF(N179&lt;0.001,0,+N179-F180-M180-O180)</f>
        <v>739620.1128271434</v>
      </c>
      <c r="O180" s="361"/>
      <c r="P180" s="114"/>
      <c r="V180" s="571">
        <f t="shared" ref="V180:V243" si="23">IF(V179=12,1,V179+1)</f>
        <v>6</v>
      </c>
      <c r="W180" s="293">
        <f>IF(V180=1,Adm!$AN$2,0)</f>
        <v>0</v>
      </c>
      <c r="Y180" s="304">
        <f t="shared" si="11"/>
        <v>0</v>
      </c>
      <c r="Z180" s="345">
        <f t="shared" ref="Z180:Z243" ca="1" si="24">IF(MOD(A180,2)=0,Y180*0.05*2,0)</f>
        <v>0</v>
      </c>
      <c r="AB180" s="640">
        <f t="shared" si="12"/>
        <v>0</v>
      </c>
      <c r="AC180" s="639">
        <f t="shared" si="13"/>
        <v>0</v>
      </c>
      <c r="AD180" s="641">
        <f t="shared" ref="AD180:AD243" si="25">IF(AND($AD$109=1,$AB$109=2),PMT($G$107/12,B179,-N179),0)</f>
        <v>0</v>
      </c>
      <c r="AE180" s="639">
        <f t="shared" si="14"/>
        <v>0</v>
      </c>
      <c r="AF180" s="636">
        <f t="shared" si="18"/>
        <v>0</v>
      </c>
      <c r="AG180" s="637" t="e">
        <f>HLOOKUP($AG$110,anticipado,67,0)</f>
        <v>#N/A</v>
      </c>
      <c r="AI180" s="614">
        <v>3.8673126894703904E-3</v>
      </c>
      <c r="AJ180" s="615">
        <v>3.6852243138801666E-3</v>
      </c>
      <c r="AK180" s="616">
        <v>3.5446184634398857E-3</v>
      </c>
      <c r="AL180" s="616">
        <v>3.948496881050317E-3</v>
      </c>
      <c r="AM180" s="617">
        <v>3.8673126894703904E-3</v>
      </c>
      <c r="AN180" s="617">
        <v>3.6852243138801666E-3</v>
      </c>
      <c r="AO180" s="617">
        <v>4.1022581776222035E-3</v>
      </c>
      <c r="AP180" s="617">
        <v>3.9867128986073004E-3</v>
      </c>
      <c r="AQ180" s="617">
        <v>3.9063237549586353E-3</v>
      </c>
      <c r="AR180" s="617">
        <v>4.2324839417378964E-3</v>
      </c>
      <c r="AS180" s="617">
        <v>4.1022581776222035E-3</v>
      </c>
      <c r="AT180" s="618">
        <v>3.9731928257863876E-3</v>
      </c>
      <c r="AU180" s="618">
        <v>1.7585527169841284E-3</v>
      </c>
      <c r="AV180" s="618">
        <v>1.6758482366252343E-3</v>
      </c>
      <c r="AW180" s="618">
        <v>1.5335401020549558E-3</v>
      </c>
      <c r="AX180" s="618">
        <v>1.8952780201633278E-3</v>
      </c>
      <c r="AY180" s="618">
        <v>1.7585527169841284E-3</v>
      </c>
      <c r="AZ180" s="618">
        <v>1.6381067967770205E-3</v>
      </c>
      <c r="BA180" s="618">
        <v>1.9850479722284199E-3</v>
      </c>
      <c r="BB180" s="618">
        <v>1.912693363846353E-3</v>
      </c>
      <c r="BC180" s="618">
        <v>1.7619863041106252E-3</v>
      </c>
      <c r="BD180" s="618">
        <v>2.0972338658901881E-3</v>
      </c>
      <c r="BE180" s="617">
        <v>2.0309438778513848E-3</v>
      </c>
      <c r="BF180" s="617">
        <v>1.9260025660245426E-3</v>
      </c>
      <c r="BG180" s="617"/>
      <c r="BH180" s="617"/>
      <c r="BI180" s="617"/>
      <c r="BJ180" s="617"/>
      <c r="BK180" s="617"/>
      <c r="BL180" s="617"/>
      <c r="BM180" s="617"/>
      <c r="BN180" s="617"/>
      <c r="BO180" s="617"/>
      <c r="BP180" s="617"/>
      <c r="BQ180" s="617"/>
      <c r="BR180" s="617"/>
      <c r="BS180" s="617"/>
      <c r="BT180" s="617"/>
      <c r="BU180" s="617"/>
      <c r="BV180" s="617"/>
      <c r="BW180" s="617"/>
      <c r="BX180" s="617"/>
      <c r="BY180" s="617"/>
      <c r="BZ180" s="617"/>
      <c r="CA180" s="617"/>
      <c r="CB180" s="617"/>
      <c r="CC180" s="617"/>
      <c r="CD180" s="617"/>
      <c r="CE180" s="617"/>
      <c r="CF180" s="617"/>
      <c r="CG180" s="617"/>
      <c r="CH180" s="617"/>
      <c r="CI180" s="617"/>
      <c r="CJ180" s="617"/>
      <c r="CK180" s="617"/>
      <c r="CL180" s="617"/>
    </row>
    <row r="181" spans="1:90">
      <c r="A181" s="151">
        <f t="shared" ca="1" si="17"/>
        <v>6</v>
      </c>
      <c r="B181" s="113">
        <f t="shared" si="19"/>
        <v>173</v>
      </c>
      <c r="C181" s="150">
        <f t="shared" ref="C181:C244" si="26">IF(N180&lt;0.01,0,C180+1)</f>
        <v>67</v>
      </c>
      <c r="D181" s="565">
        <f t="shared" ref="D181:D244" si="27">IF(N180&lt;0.01,0,D180)</f>
        <v>9.5000000000000001E-2</v>
      </c>
      <c r="E181" s="306">
        <f t="shared" si="20"/>
        <v>5855.3258932148856</v>
      </c>
      <c r="F181" s="306">
        <f t="shared" si="15"/>
        <v>3759.9801617629873</v>
      </c>
      <c r="G181" s="307">
        <f t="shared" si="16"/>
        <v>9615.3060549778729</v>
      </c>
      <c r="H181" s="306">
        <f>IF(N180&lt;0.01,0,IF(Adm!$S$3=Adm!$S$13,Cal!$E$94,IF(Adm!$R$3=Adm!$R$6,0,IF(Cal!$E$91=0,N180*Adm!$Y$3,N180*Adm!$X$3))))</f>
        <v>318.03664851567163</v>
      </c>
      <c r="I181" s="306">
        <f>IF(N180&lt;0.01,0,IF(Adm!$R$4=Adm!$R$6,0,Cal!$E$89*Adm!$AA$3))</f>
        <v>573.58240000000001</v>
      </c>
      <c r="J181" s="306">
        <f>IF(N180&lt;0.01,0,Adm!$O$3*1.16)</f>
        <v>290</v>
      </c>
      <c r="K181" s="306">
        <f>IF(N180&lt;0.01,0,IF(Adm!$N$3&gt;0,E181*Adm!$N$3,0))</f>
        <v>0</v>
      </c>
      <c r="L181" s="306">
        <f t="shared" si="21"/>
        <v>10796.925103493544</v>
      </c>
      <c r="M181" s="306">
        <f>IF(Adm!$F$3="si",MIN(N180+E181+H181+I181+J181-L181,Z181),0)</f>
        <v>0</v>
      </c>
      <c r="N181" s="306">
        <f t="shared" si="22"/>
        <v>735860.13266538037</v>
      </c>
      <c r="O181" s="361"/>
      <c r="P181" s="114"/>
      <c r="V181" s="571">
        <f t="shared" si="23"/>
        <v>7</v>
      </c>
      <c r="W181" s="293">
        <f>IF(V181=1,Adm!$AN$2,0)</f>
        <v>0</v>
      </c>
      <c r="Y181" s="304">
        <f t="shared" ref="Y181:Y244" si="28">Y180</f>
        <v>0</v>
      </c>
      <c r="Z181" s="345">
        <f t="shared" ca="1" si="24"/>
        <v>0</v>
      </c>
      <c r="AB181" s="640">
        <f t="shared" ref="AB181:AB244" si="29">IF(AC181&gt;1,AC181,IF(AE181&gt;1,AE181,0))</f>
        <v>0</v>
      </c>
      <c r="AC181" s="639">
        <f t="shared" ref="AC181:AC244" si="30">IF(AND($AD$109=1,O180&gt;0.1),AD181,0)</f>
        <v>0</v>
      </c>
      <c r="AD181" s="641">
        <f t="shared" si="25"/>
        <v>0</v>
      </c>
      <c r="AE181" s="639">
        <f t="shared" ref="AE181:AE244" si="31">IF(AND(AF181&gt;0.01,$AB$109=2),AF181,0)</f>
        <v>0</v>
      </c>
      <c r="AF181" s="636">
        <f t="shared" si="18"/>
        <v>0</v>
      </c>
      <c r="AG181" s="637" t="e">
        <f>HLOOKUP($AG$110,anticipado,68,0)</f>
        <v>#N/A</v>
      </c>
      <c r="AI181" s="614">
        <v>3.9158119305858054E-3</v>
      </c>
      <c r="AJ181" s="615">
        <v>3.7324225388183562E-3</v>
      </c>
      <c r="AK181" s="616">
        <v>3.5906950594878596E-3</v>
      </c>
      <c r="AL181" s="616">
        <v>3.9971508552701825E-3</v>
      </c>
      <c r="AM181" s="617">
        <v>3.9158119305858054E-3</v>
      </c>
      <c r="AN181" s="617">
        <v>3.7324225388183562E-3</v>
      </c>
      <c r="AO181" s="617">
        <v>4.151766004237503E-3</v>
      </c>
      <c r="AP181" s="617">
        <v>4.0358258494211843E-3</v>
      </c>
      <c r="AQ181" s="617">
        <v>3.9553037307769748E-3</v>
      </c>
      <c r="AR181" s="617">
        <v>4.2828838689934895E-3</v>
      </c>
      <c r="AS181" s="617">
        <v>4.151766004237503E-3</v>
      </c>
      <c r="AT181" s="618">
        <v>4.0219184140475031E-3</v>
      </c>
      <c r="AU181" s="618">
        <v>1.7776376524142267E-3</v>
      </c>
      <c r="AV181" s="618">
        <v>1.6944548245812997E-3</v>
      </c>
      <c r="AW181" s="618">
        <v>1.5511136235106487E-3</v>
      </c>
      <c r="AX181" s="618">
        <v>1.9152547332862478E-3</v>
      </c>
      <c r="AY181" s="618">
        <v>1.7776376524142267E-3</v>
      </c>
      <c r="AZ181" s="618">
        <v>1.656368468903306E-3</v>
      </c>
      <c r="BA181" s="618">
        <v>2.0054717438836018E-3</v>
      </c>
      <c r="BB181" s="618">
        <v>1.9328075166634138E-3</v>
      </c>
      <c r="BC181" s="618">
        <v>1.7811881750859789E-3</v>
      </c>
      <c r="BD181" s="618">
        <v>2.1182794948224489E-3</v>
      </c>
      <c r="BE181" s="617">
        <v>2.0515950467265916E-3</v>
      </c>
      <c r="BF181" s="617">
        <v>1.9461218234615354E-3</v>
      </c>
      <c r="BG181" s="617"/>
      <c r="BH181" s="617"/>
      <c r="BI181" s="617"/>
      <c r="BJ181" s="617"/>
      <c r="BK181" s="617"/>
      <c r="BL181" s="617"/>
      <c r="BM181" s="617"/>
      <c r="BN181" s="617"/>
      <c r="BO181" s="617"/>
      <c r="BP181" s="617"/>
      <c r="BQ181" s="617"/>
      <c r="BR181" s="617"/>
      <c r="BS181" s="617"/>
      <c r="BT181" s="617"/>
      <c r="BU181" s="617"/>
      <c r="BV181" s="617"/>
      <c r="BW181" s="617"/>
      <c r="BX181" s="617"/>
      <c r="BY181" s="617"/>
      <c r="BZ181" s="617"/>
      <c r="CA181" s="617"/>
      <c r="CB181" s="617"/>
      <c r="CC181" s="617"/>
      <c r="CD181" s="617"/>
      <c r="CE181" s="617"/>
      <c r="CF181" s="617"/>
      <c r="CG181" s="617"/>
      <c r="CH181" s="617"/>
      <c r="CI181" s="617"/>
      <c r="CJ181" s="617"/>
      <c r="CK181" s="617"/>
      <c r="CL181" s="617"/>
    </row>
    <row r="182" spans="1:90">
      <c r="A182" s="151">
        <f t="shared" ca="1" si="17"/>
        <v>7</v>
      </c>
      <c r="B182" s="113">
        <f t="shared" si="19"/>
        <v>172</v>
      </c>
      <c r="C182" s="150">
        <f t="shared" si="26"/>
        <v>68</v>
      </c>
      <c r="D182" s="565">
        <f t="shared" si="27"/>
        <v>9.5000000000000001E-2</v>
      </c>
      <c r="E182" s="306">
        <f t="shared" si="20"/>
        <v>5825.5593836009284</v>
      </c>
      <c r="F182" s="306">
        <f t="shared" si="15"/>
        <v>3789.7466713769445</v>
      </c>
      <c r="G182" s="307">
        <f t="shared" si="16"/>
        <v>9615.3060549778729</v>
      </c>
      <c r="H182" s="306">
        <f>IF(N181&lt;0.01,0,IF(Adm!$S$3=Adm!$S$13,Cal!$E$94,IF(Adm!$R$3=Adm!$R$6,0,IF(Cal!$E$91=0,N181*Adm!$Y$3,N181*Adm!$X$3))))</f>
        <v>316.41985704611358</v>
      </c>
      <c r="I182" s="306">
        <f>IF(N181&lt;0.01,0,IF(Adm!$R$4=Adm!$R$6,0,Cal!$E$89*Adm!$AA$3))</f>
        <v>573.58240000000001</v>
      </c>
      <c r="J182" s="306">
        <f>IF(N181&lt;0.01,0,Adm!$O$3*1.16)</f>
        <v>290</v>
      </c>
      <c r="K182" s="306">
        <f>IF(N181&lt;0.01,0,IF(Adm!$N$3&gt;0,E182*Adm!$N$3,0))</f>
        <v>0</v>
      </c>
      <c r="L182" s="306">
        <f t="shared" si="21"/>
        <v>10795.308312023986</v>
      </c>
      <c r="M182" s="306">
        <f>IF(Adm!$F$3="si",MIN(N181+E182+H182+I182+J182-L182,Z182),0)</f>
        <v>0</v>
      </c>
      <c r="N182" s="306">
        <f t="shared" si="22"/>
        <v>732070.38599400339</v>
      </c>
      <c r="O182" s="361"/>
      <c r="P182" s="114"/>
      <c r="V182" s="571">
        <f t="shared" si="23"/>
        <v>8</v>
      </c>
      <c r="W182" s="293">
        <f>IF(V182=1,Adm!$AN$2,0)</f>
        <v>0</v>
      </c>
      <c r="Y182" s="304">
        <f t="shared" si="28"/>
        <v>0</v>
      </c>
      <c r="Z182" s="345">
        <f t="shared" ca="1" si="24"/>
        <v>0</v>
      </c>
      <c r="AB182" s="640">
        <f t="shared" si="29"/>
        <v>0</v>
      </c>
      <c r="AC182" s="639">
        <f t="shared" si="30"/>
        <v>0</v>
      </c>
      <c r="AD182" s="641">
        <f t="shared" si="25"/>
        <v>0</v>
      </c>
      <c r="AE182" s="639">
        <f t="shared" si="31"/>
        <v>0</v>
      </c>
      <c r="AF182" s="636">
        <f t="shared" si="18"/>
        <v>0</v>
      </c>
      <c r="AG182" s="637" t="e">
        <f>HLOOKUP($AG$110,anticipado,69,0)</f>
        <v>#N/A</v>
      </c>
      <c r="AI182" s="614">
        <v>3.9651124430979063E-3</v>
      </c>
      <c r="AJ182" s="615">
        <v>3.7804043397215567E-3</v>
      </c>
      <c r="AK182" s="616">
        <v>3.6375388081329326E-3</v>
      </c>
      <c r="AL182" s="616">
        <v>4.0466020148448812E-3</v>
      </c>
      <c r="AM182" s="617">
        <v>3.9651124430979063E-3</v>
      </c>
      <c r="AN182" s="617">
        <v>3.7804043397215567E-3</v>
      </c>
      <c r="AO182" s="617">
        <v>4.2020802055153864E-3</v>
      </c>
      <c r="AP182" s="617">
        <v>4.0857452966897552E-3</v>
      </c>
      <c r="AQ182" s="617">
        <v>4.0050947874878777E-3</v>
      </c>
      <c r="AR182" s="617">
        <v>4.3341033196890128E-3</v>
      </c>
      <c r="AS182" s="617">
        <v>4.2020802055153864E-3</v>
      </c>
      <c r="AT182" s="618">
        <v>4.071440727409884E-3</v>
      </c>
      <c r="AU182" s="618">
        <v>1.7969640650920306E-3</v>
      </c>
      <c r="AV182" s="618">
        <v>1.7132999297211039E-3</v>
      </c>
      <c r="AW182" s="618">
        <v>1.5689161415315411E-3</v>
      </c>
      <c r="AX182" s="618">
        <v>1.9354807440170047E-3</v>
      </c>
      <c r="AY182" s="618">
        <v>1.7969640650920306E-3</v>
      </c>
      <c r="AZ182" s="618">
        <v>1.6748643588009222E-3</v>
      </c>
      <c r="BA182" s="618">
        <v>2.0261471156180961E-3</v>
      </c>
      <c r="BB182" s="618">
        <v>1.953172554442674E-3</v>
      </c>
      <c r="BC182" s="618">
        <v>1.8006339418336985E-3</v>
      </c>
      <c r="BD182" s="618">
        <v>2.1395814389794853E-3</v>
      </c>
      <c r="BE182" s="617">
        <v>2.0724990887206209E-3</v>
      </c>
      <c r="BF182" s="617">
        <v>1.9664908897972307E-3</v>
      </c>
      <c r="BG182" s="617"/>
      <c r="BH182" s="617"/>
      <c r="BI182" s="617"/>
      <c r="BJ182" s="617"/>
      <c r="BK182" s="617"/>
      <c r="BL182" s="617"/>
      <c r="BM182" s="617"/>
      <c r="BN182" s="617"/>
      <c r="BO182" s="617"/>
      <c r="BP182" s="617"/>
      <c r="BQ182" s="617"/>
      <c r="BR182" s="617"/>
      <c r="BS182" s="617"/>
      <c r="BT182" s="617"/>
      <c r="BU182" s="617"/>
      <c r="BV182" s="617"/>
      <c r="BW182" s="617"/>
      <c r="BX182" s="617"/>
      <c r="BY182" s="617"/>
      <c r="BZ182" s="617"/>
      <c r="CA182" s="617"/>
      <c r="CB182" s="617"/>
      <c r="CC182" s="617"/>
      <c r="CD182" s="617"/>
      <c r="CE182" s="617"/>
      <c r="CF182" s="617"/>
      <c r="CG182" s="617"/>
      <c r="CH182" s="617"/>
      <c r="CI182" s="617"/>
      <c r="CJ182" s="617"/>
      <c r="CK182" s="617"/>
      <c r="CL182" s="617"/>
    </row>
    <row r="183" spans="1:90">
      <c r="A183" s="151">
        <f t="shared" ca="1" si="17"/>
        <v>8</v>
      </c>
      <c r="B183" s="113">
        <f t="shared" si="19"/>
        <v>171</v>
      </c>
      <c r="C183" s="150">
        <f t="shared" si="26"/>
        <v>69</v>
      </c>
      <c r="D183" s="565">
        <f t="shared" si="27"/>
        <v>9.5000000000000001E-2</v>
      </c>
      <c r="E183" s="306">
        <f t="shared" si="20"/>
        <v>5795.5572224525267</v>
      </c>
      <c r="F183" s="306">
        <f t="shared" si="15"/>
        <v>3819.7488325253462</v>
      </c>
      <c r="G183" s="307">
        <f t="shared" si="16"/>
        <v>9615.3060549778729</v>
      </c>
      <c r="H183" s="306">
        <f>IF(N182&lt;0.01,0,IF(Adm!$S$3=Adm!$S$13,Cal!$E$94,IF(Adm!$R$3=Adm!$R$6,0,IF(Cal!$E$91=0,N182*Adm!$Y$3,N182*Adm!$X$3))))</f>
        <v>314.79026597742143</v>
      </c>
      <c r="I183" s="306">
        <f>IF(N182&lt;0.01,0,IF(Adm!$R$4=Adm!$R$6,0,Cal!$E$89*Adm!$AA$3))</f>
        <v>573.58240000000001</v>
      </c>
      <c r="J183" s="306">
        <f>IF(N182&lt;0.01,0,Adm!$O$3*1.16)</f>
        <v>290</v>
      </c>
      <c r="K183" s="306">
        <f>IF(N182&lt;0.01,0,IF(Adm!$N$3&gt;0,E183*Adm!$N$3,0))</f>
        <v>0</v>
      </c>
      <c r="L183" s="306">
        <f t="shared" si="21"/>
        <v>10793.678720955293</v>
      </c>
      <c r="M183" s="306">
        <f>IF(Adm!$F$3="si",MIN(N182+E183+H183+I183+J183-L183,Z183),0)</f>
        <v>0</v>
      </c>
      <c r="N183" s="306">
        <f t="shared" si="22"/>
        <v>728250.63716147805</v>
      </c>
      <c r="O183" s="361"/>
      <c r="P183" s="114"/>
      <c r="V183" s="571">
        <f t="shared" si="23"/>
        <v>9</v>
      </c>
      <c r="W183" s="293">
        <f>IF(V183=1,Adm!$AN$2,0)</f>
        <v>0</v>
      </c>
      <c r="Y183" s="304">
        <f t="shared" si="28"/>
        <v>0</v>
      </c>
      <c r="Z183" s="345">
        <f t="shared" ca="1" si="24"/>
        <v>0</v>
      </c>
      <c r="AB183" s="640">
        <f t="shared" si="29"/>
        <v>0</v>
      </c>
      <c r="AC183" s="639">
        <f t="shared" si="30"/>
        <v>0</v>
      </c>
      <c r="AD183" s="641">
        <f t="shared" si="25"/>
        <v>0</v>
      </c>
      <c r="AE183" s="639">
        <f t="shared" si="31"/>
        <v>0</v>
      </c>
      <c r="AF183" s="636">
        <f t="shared" si="18"/>
        <v>0</v>
      </c>
      <c r="AG183" s="637" t="e">
        <f>HLOOKUP($AG$110,anticipado,70,0)</f>
        <v>#N/A</v>
      </c>
      <c r="AI183" s="614">
        <v>4.0152323858145475E-3</v>
      </c>
      <c r="AJ183" s="615">
        <v>3.8291873857150935E-3</v>
      </c>
      <c r="AK183" s="616">
        <v>3.6851669234512856E-3</v>
      </c>
      <c r="AL183" s="616">
        <v>4.0968683724288907E-3</v>
      </c>
      <c r="AM183" s="617">
        <v>4.0152323858145475E-3</v>
      </c>
      <c r="AN183" s="617">
        <v>3.8291873857150935E-3</v>
      </c>
      <c r="AO183" s="617">
        <v>4.2532190413524396E-3</v>
      </c>
      <c r="AP183" s="617">
        <v>4.1364895295374488E-3</v>
      </c>
      <c r="AQ183" s="617">
        <v>4.0557153755907951E-3</v>
      </c>
      <c r="AR183" s="617">
        <v>4.3861609321583991E-3</v>
      </c>
      <c r="AS183" s="617">
        <v>4.2532190413524396E-3</v>
      </c>
      <c r="AT183" s="618">
        <v>4.1217777585738783E-3</v>
      </c>
      <c r="AU183" s="618">
        <v>1.8165357634726547E-3</v>
      </c>
      <c r="AV183" s="618">
        <v>1.7323873256431727E-3</v>
      </c>
      <c r="AW183" s="618">
        <v>1.5869512791115063E-3</v>
      </c>
      <c r="AX183" s="618">
        <v>1.9559599883276269E-3</v>
      </c>
      <c r="AY183" s="618">
        <v>1.8165357634726547E-3</v>
      </c>
      <c r="AZ183" s="618">
        <v>1.6935981602031957E-3</v>
      </c>
      <c r="BA183" s="618">
        <v>2.0470780488432414E-3</v>
      </c>
      <c r="BB183" s="618">
        <v>1.9737924427623453E-3</v>
      </c>
      <c r="BC183" s="618">
        <v>1.8203274646882523E-3</v>
      </c>
      <c r="BD183" s="618">
        <v>2.1611437350605753E-3</v>
      </c>
      <c r="BE183" s="617">
        <v>2.0936599813942661E-3</v>
      </c>
      <c r="BF183" s="617">
        <v>1.9871137033551471E-3</v>
      </c>
      <c r="BG183" s="617"/>
      <c r="BH183" s="617"/>
      <c r="BI183" s="617"/>
      <c r="BJ183" s="617"/>
      <c r="BK183" s="617"/>
      <c r="BL183" s="617"/>
      <c r="BM183" s="617"/>
      <c r="BN183" s="617"/>
      <c r="BO183" s="617"/>
      <c r="BP183" s="617"/>
      <c r="BQ183" s="617"/>
      <c r="BR183" s="617"/>
      <c r="BS183" s="617"/>
      <c r="BT183" s="617"/>
      <c r="BU183" s="617"/>
      <c r="BV183" s="617"/>
      <c r="BW183" s="617"/>
      <c r="BX183" s="617"/>
      <c r="BY183" s="617"/>
      <c r="BZ183" s="617"/>
      <c r="CA183" s="617"/>
      <c r="CB183" s="617"/>
      <c r="CC183" s="617"/>
      <c r="CD183" s="617"/>
      <c r="CE183" s="617"/>
      <c r="CF183" s="617"/>
      <c r="CG183" s="617"/>
      <c r="CH183" s="617"/>
      <c r="CI183" s="617"/>
      <c r="CJ183" s="617"/>
      <c r="CK183" s="617"/>
      <c r="CL183" s="617"/>
    </row>
    <row r="184" spans="1:90">
      <c r="A184" s="151">
        <f t="shared" ca="1" si="17"/>
        <v>9</v>
      </c>
      <c r="B184" s="113">
        <f t="shared" si="19"/>
        <v>170</v>
      </c>
      <c r="C184" s="150">
        <f t="shared" si="26"/>
        <v>70</v>
      </c>
      <c r="D184" s="565">
        <f t="shared" si="27"/>
        <v>9.5000000000000001E-2</v>
      </c>
      <c r="E184" s="306">
        <f t="shared" si="20"/>
        <v>5765.3175441950343</v>
      </c>
      <c r="F184" s="306">
        <f t="shared" si="15"/>
        <v>3849.9885107828386</v>
      </c>
      <c r="G184" s="307">
        <f t="shared" si="16"/>
        <v>9615.3060549778729</v>
      </c>
      <c r="H184" s="306">
        <f>IF(N183&lt;0.01,0,IF(Adm!$S$3=Adm!$S$13,Cal!$E$94,IF(Adm!$R$3=Adm!$R$6,0,IF(Cal!$E$91=0,N183*Adm!$Y$3,N183*Adm!$X$3))))</f>
        <v>313.14777397943556</v>
      </c>
      <c r="I184" s="306">
        <f>IF(N183&lt;0.01,0,IF(Adm!$R$4=Adm!$R$6,0,Cal!$E$89*Adm!$AA$3))</f>
        <v>573.58240000000001</v>
      </c>
      <c r="J184" s="306">
        <f>IF(N183&lt;0.01,0,Adm!$O$3*1.16)</f>
        <v>290</v>
      </c>
      <c r="K184" s="306">
        <f>IF(N183&lt;0.01,0,IF(Adm!$N$3&gt;0,E184*Adm!$N$3,0))</f>
        <v>0</v>
      </c>
      <c r="L184" s="306">
        <f t="shared" si="21"/>
        <v>10792.036228957308</v>
      </c>
      <c r="M184" s="306">
        <f>IF(Adm!$F$3="si",MIN(N183+E184+H184+I184+J184-L184,Z184),0)</f>
        <v>0</v>
      </c>
      <c r="N184" s="306">
        <f t="shared" si="22"/>
        <v>724400.64865069522</v>
      </c>
      <c r="O184" s="361"/>
      <c r="P184" s="114"/>
      <c r="V184" s="571">
        <f t="shared" si="23"/>
        <v>10</v>
      </c>
      <c r="W184" s="293">
        <f>IF(V184=1,Adm!$AN$2,0)</f>
        <v>0</v>
      </c>
      <c r="Y184" s="304">
        <f t="shared" si="28"/>
        <v>0</v>
      </c>
      <c r="Z184" s="345">
        <f t="shared" ca="1" si="24"/>
        <v>0</v>
      </c>
      <c r="AB184" s="640">
        <f t="shared" si="29"/>
        <v>0</v>
      </c>
      <c r="AC184" s="639">
        <f t="shared" si="30"/>
        <v>0</v>
      </c>
      <c r="AD184" s="641">
        <f t="shared" si="25"/>
        <v>0</v>
      </c>
      <c r="AE184" s="639">
        <f t="shared" si="31"/>
        <v>0</v>
      </c>
      <c r="AF184" s="636">
        <f t="shared" si="18"/>
        <v>0</v>
      </c>
      <c r="AG184" s="637" t="e">
        <f>HLOOKUP($AG$110,anticipado,71,0)</f>
        <v>#N/A</v>
      </c>
      <c r="AI184" s="614">
        <v>4.0661904647832873E-3</v>
      </c>
      <c r="AJ184" s="615">
        <v>3.8787898744997332E-3</v>
      </c>
      <c r="AK184" s="616">
        <v>3.733597130908406E-3</v>
      </c>
      <c r="AL184" s="616">
        <v>4.1479684825152085E-3</v>
      </c>
      <c r="AM184" s="617">
        <v>4.0661904647832873E-3</v>
      </c>
      <c r="AN184" s="617">
        <v>3.8787898744997332E-3</v>
      </c>
      <c r="AO184" s="617">
        <v>4.3052013230070151E-3</v>
      </c>
      <c r="AP184" s="617">
        <v>4.1880773894106401E-3</v>
      </c>
      <c r="AQ184" s="617">
        <v>4.1071845039075024E-3</v>
      </c>
      <c r="AR184" s="617">
        <v>4.4390759106000656E-3</v>
      </c>
      <c r="AS184" s="617">
        <v>4.3052013230070151E-3</v>
      </c>
      <c r="AT184" s="618">
        <v>4.1729480413586813E-3</v>
      </c>
      <c r="AU184" s="618">
        <v>1.8363566330245474E-3</v>
      </c>
      <c r="AV184" s="618">
        <v>1.7517208620848048E-3</v>
      </c>
      <c r="AW184" s="618">
        <v>1.6052227316359308E-3</v>
      </c>
      <c r="AX184" s="618">
        <v>1.9766964824557043E-3</v>
      </c>
      <c r="AY184" s="618">
        <v>1.8363566330245474E-3</v>
      </c>
      <c r="AZ184" s="618">
        <v>1.7125736409746904E-3</v>
      </c>
      <c r="BA184" s="618">
        <v>2.0682685859024718E-3</v>
      </c>
      <c r="BB184" s="618">
        <v>1.994671228225455E-3</v>
      </c>
      <c r="BC184" s="618">
        <v>1.8402726823141277E-3</v>
      </c>
      <c r="BD184" s="618">
        <v>2.1829705026554405E-3</v>
      </c>
      <c r="BE184" s="617">
        <v>2.1150817836644168E-3</v>
      </c>
      <c r="BF184" s="617">
        <v>2.0079942827892546E-3</v>
      </c>
      <c r="BG184" s="617"/>
      <c r="BH184" s="617"/>
      <c r="BI184" s="617"/>
      <c r="BJ184" s="617"/>
      <c r="BK184" s="617"/>
      <c r="BL184" s="617"/>
      <c r="BM184" s="617"/>
      <c r="BN184" s="617"/>
      <c r="BO184" s="617"/>
      <c r="BP184" s="617"/>
      <c r="BQ184" s="617"/>
      <c r="BR184" s="617"/>
      <c r="BS184" s="617"/>
      <c r="BT184" s="617"/>
      <c r="BU184" s="617"/>
      <c r="BV184" s="617"/>
      <c r="BW184" s="617"/>
      <c r="BX184" s="617"/>
      <c r="BY184" s="617"/>
      <c r="BZ184" s="617"/>
      <c r="CA184" s="617"/>
      <c r="CB184" s="617"/>
      <c r="CC184" s="617"/>
      <c r="CD184" s="617"/>
      <c r="CE184" s="617"/>
      <c r="CF184" s="617"/>
      <c r="CG184" s="617"/>
      <c r="CH184" s="617"/>
      <c r="CI184" s="617"/>
      <c r="CJ184" s="617"/>
      <c r="CK184" s="617"/>
      <c r="CL184" s="617"/>
    </row>
    <row r="185" spans="1:90">
      <c r="A185" s="151">
        <f t="shared" ca="1" si="17"/>
        <v>10</v>
      </c>
      <c r="B185" s="113">
        <f t="shared" si="19"/>
        <v>169</v>
      </c>
      <c r="C185" s="150">
        <f t="shared" si="26"/>
        <v>71</v>
      </c>
      <c r="D185" s="565">
        <f t="shared" si="27"/>
        <v>9.5000000000000001E-2</v>
      </c>
      <c r="E185" s="306">
        <f t="shared" si="20"/>
        <v>5734.8384684846706</v>
      </c>
      <c r="F185" s="306">
        <f t="shared" si="15"/>
        <v>3880.4675864932024</v>
      </c>
      <c r="G185" s="307">
        <f t="shared" si="16"/>
        <v>9615.3060549778729</v>
      </c>
      <c r="H185" s="306">
        <f>IF(N184&lt;0.01,0,IF(Adm!$S$3=Adm!$S$13,Cal!$E$94,IF(Adm!$R$3=Adm!$R$6,0,IF(Cal!$E$91=0,N184*Adm!$Y$3,N184*Adm!$X$3))))</f>
        <v>311.49227891979893</v>
      </c>
      <c r="I185" s="306">
        <f>IF(N184&lt;0.01,0,IF(Adm!$R$4=Adm!$R$6,0,Cal!$E$89*Adm!$AA$3))</f>
        <v>573.58240000000001</v>
      </c>
      <c r="J185" s="306">
        <f>IF(N184&lt;0.01,0,Adm!$O$3*1.16)</f>
        <v>290</v>
      </c>
      <c r="K185" s="306">
        <f>IF(N184&lt;0.01,0,IF(Adm!$N$3&gt;0,E185*Adm!$N$3,0))</f>
        <v>0</v>
      </c>
      <c r="L185" s="306">
        <f t="shared" si="21"/>
        <v>10790.380733897671</v>
      </c>
      <c r="M185" s="306">
        <f>IF(Adm!$F$3="si",MIN(N184+E185+H185+I185+J185-L185,Z185),0)</f>
        <v>0</v>
      </c>
      <c r="N185" s="306">
        <f t="shared" si="22"/>
        <v>720520.18106420198</v>
      </c>
      <c r="O185" s="361"/>
      <c r="P185" s="114"/>
      <c r="V185" s="571">
        <f t="shared" si="23"/>
        <v>11</v>
      </c>
      <c r="W185" s="293">
        <f>IF(V185=1,Adm!$AN$2,0)</f>
        <v>0</v>
      </c>
      <c r="Y185" s="304">
        <f t="shared" si="28"/>
        <v>0</v>
      </c>
      <c r="Z185" s="345">
        <f t="shared" ca="1" si="24"/>
        <v>0</v>
      </c>
      <c r="AB185" s="640">
        <f t="shared" si="29"/>
        <v>0</v>
      </c>
      <c r="AC185" s="639">
        <f t="shared" si="30"/>
        <v>0</v>
      </c>
      <c r="AD185" s="641">
        <f t="shared" si="25"/>
        <v>0</v>
      </c>
      <c r="AE185" s="639">
        <f t="shared" si="31"/>
        <v>0</v>
      </c>
      <c r="AF185" s="636">
        <f t="shared" si="18"/>
        <v>0</v>
      </c>
      <c r="AG185" s="637" t="e">
        <f>HLOOKUP($AG$110,anticipado,72,0)</f>
        <v>#N/A</v>
      </c>
      <c r="AI185" s="614">
        <v>4.1180059540864688E-3</v>
      </c>
      <c r="AJ185" s="615">
        <v>3.9292305522916201E-3</v>
      </c>
      <c r="AK185" s="616">
        <v>3.7828476865174152E-3</v>
      </c>
      <c r="AL185" s="616">
        <v>4.1999214619855025E-3</v>
      </c>
      <c r="AM185" s="617">
        <v>4.1180059540864688E-3</v>
      </c>
      <c r="AN185" s="617">
        <v>3.9292305522916201E-3</v>
      </c>
      <c r="AO185" s="617">
        <v>4.3580464340879132E-3</v>
      </c>
      <c r="AP185" s="617">
        <v>4.2405282911080703E-3</v>
      </c>
      <c r="AQ185" s="617">
        <v>4.1595217608860185E-3</v>
      </c>
      <c r="AR185" s="617">
        <v>4.4928680467341536E-3</v>
      </c>
      <c r="AS185" s="617">
        <v>4.3580464340879132E-3</v>
      </c>
      <c r="AT185" s="618">
        <v>4.2249706712201443E-3</v>
      </c>
      <c r="AU185" s="618">
        <v>1.8564306381854267E-3</v>
      </c>
      <c r="AV185" s="618">
        <v>1.7713044668499389E-3</v>
      </c>
      <c r="AW185" s="618">
        <v>1.6237342686934676E-3</v>
      </c>
      <c r="AX185" s="618">
        <v>1.9976943249620598E-3</v>
      </c>
      <c r="AY185" s="618">
        <v>1.8564306381854267E-3</v>
      </c>
      <c r="AZ185" s="618">
        <v>1.7317946449775126E-3</v>
      </c>
      <c r="BA185" s="618">
        <v>2.0897228521507098E-3</v>
      </c>
      <c r="BB185" s="618">
        <v>2.0158130405411728E-3</v>
      </c>
      <c r="BC185" s="618">
        <v>1.8604736137020198E-3</v>
      </c>
      <c r="BD185" s="618">
        <v>2.205065946385499E-3</v>
      </c>
      <c r="BE185" s="617">
        <v>2.1367686378970809E-3</v>
      </c>
      <c r="BF185" s="617">
        <v>2.0291367291440836E-3</v>
      </c>
      <c r="BG185" s="617"/>
      <c r="BH185" s="617"/>
      <c r="BI185" s="617"/>
      <c r="BJ185" s="617"/>
      <c r="BK185" s="617"/>
      <c r="BL185" s="617"/>
      <c r="BM185" s="617"/>
      <c r="BN185" s="617"/>
      <c r="BO185" s="617"/>
      <c r="BP185" s="617"/>
      <c r="BQ185" s="617"/>
      <c r="BR185" s="617"/>
      <c r="BS185" s="617"/>
      <c r="BT185" s="617"/>
      <c r="BU185" s="617"/>
      <c r="BV185" s="617"/>
      <c r="BW185" s="617"/>
      <c r="BX185" s="617"/>
      <c r="BY185" s="617"/>
      <c r="BZ185" s="617"/>
      <c r="CA185" s="617"/>
      <c r="CB185" s="617"/>
      <c r="CC185" s="617"/>
      <c r="CD185" s="617"/>
      <c r="CE185" s="617"/>
      <c r="CF185" s="617"/>
      <c r="CG185" s="617"/>
      <c r="CH185" s="617"/>
      <c r="CI185" s="617"/>
      <c r="CJ185" s="617"/>
      <c r="CK185" s="617"/>
      <c r="CL185" s="617"/>
    </row>
    <row r="186" spans="1:90">
      <c r="A186" s="151">
        <f t="shared" ca="1" si="17"/>
        <v>11</v>
      </c>
      <c r="B186" s="113">
        <f t="shared" si="19"/>
        <v>168</v>
      </c>
      <c r="C186" s="150">
        <f t="shared" si="26"/>
        <v>72</v>
      </c>
      <c r="D186" s="565">
        <f t="shared" si="27"/>
        <v>9.5000000000000001E-2</v>
      </c>
      <c r="E186" s="306">
        <f t="shared" si="20"/>
        <v>5704.1181000915994</v>
      </c>
      <c r="F186" s="306">
        <f t="shared" si="15"/>
        <v>3911.1879548862735</v>
      </c>
      <c r="G186" s="307">
        <f t="shared" si="16"/>
        <v>9615.3060549778729</v>
      </c>
      <c r="H186" s="306">
        <f>IF(N185&lt;0.01,0,IF(Adm!$S$3=Adm!$S$13,Cal!$E$94,IF(Adm!$R$3=Adm!$R$6,0,IF(Cal!$E$91=0,N185*Adm!$Y$3,N185*Adm!$X$3))))</f>
        <v>309.82367785760687</v>
      </c>
      <c r="I186" s="306">
        <f>IF(N185&lt;0.01,0,IF(Adm!$R$4=Adm!$R$6,0,Cal!$E$89*Adm!$AA$3))</f>
        <v>573.58240000000001</v>
      </c>
      <c r="J186" s="306">
        <f>IF(N185&lt;0.01,0,Adm!$O$3*1.16)</f>
        <v>290</v>
      </c>
      <c r="K186" s="306">
        <f>IF(N185&lt;0.01,0,IF(Adm!$N$3&gt;0,E186*Adm!$N$3,0))</f>
        <v>0</v>
      </c>
      <c r="L186" s="306">
        <f t="shared" si="21"/>
        <v>10788.712132835479</v>
      </c>
      <c r="M186" s="306">
        <f>IF(Adm!$F$3="si",MIN(N185+E186+H186+I186+J186-L186,Z186),0)</f>
        <v>0</v>
      </c>
      <c r="N186" s="306">
        <f t="shared" si="22"/>
        <v>716608.99310931575</v>
      </c>
      <c r="O186" s="361"/>
      <c r="P186" s="114"/>
      <c r="V186" s="571">
        <f t="shared" si="23"/>
        <v>12</v>
      </c>
      <c r="W186" s="293">
        <f>IF(V186=1,Adm!$AN$2,0)</f>
        <v>0</v>
      </c>
      <c r="Y186" s="304">
        <f t="shared" si="28"/>
        <v>0</v>
      </c>
      <c r="Z186" s="345">
        <f t="shared" ca="1" si="24"/>
        <v>0</v>
      </c>
      <c r="AB186" s="640">
        <f t="shared" si="29"/>
        <v>0</v>
      </c>
      <c r="AC186" s="639">
        <f t="shared" si="30"/>
        <v>0</v>
      </c>
      <c r="AD186" s="641">
        <f t="shared" si="25"/>
        <v>0</v>
      </c>
      <c r="AE186" s="639">
        <f t="shared" si="31"/>
        <v>0</v>
      </c>
      <c r="AF186" s="636">
        <f t="shared" si="18"/>
        <v>0</v>
      </c>
      <c r="AG186" s="637" t="e">
        <f>HLOOKUP($AG$110,anticipado,73,0)</f>
        <v>#N/A</v>
      </c>
      <c r="AI186" s="614">
        <v>4.1706987175922101E-3</v>
      </c>
      <c r="AJ186" s="615">
        <v>3.9805287346722168E-3</v>
      </c>
      <c r="AK186" s="616">
        <v>3.8329373968656985E-3</v>
      </c>
      <c r="AL186" s="616">
        <v>4.2527470116029576E-3</v>
      </c>
      <c r="AM186" s="617">
        <v>4.1706987175922101E-3</v>
      </c>
      <c r="AN186" s="617">
        <v>3.9805287346722168E-3</v>
      </c>
      <c r="AO186" s="617">
        <v>4.4117743525093987E-3</v>
      </c>
      <c r="AP186" s="617">
        <v>4.2938622447798586E-3</v>
      </c>
      <c r="AQ186" s="617">
        <v>4.2127473368878555E-3</v>
      </c>
      <c r="AR186" s="617">
        <v>4.5475577424622885E-3</v>
      </c>
      <c r="AS186" s="617">
        <v>4.4117743525093987E-3</v>
      </c>
      <c r="AT186" s="618">
        <v>4.2778653267095618E-3</v>
      </c>
      <c r="AU186" s="618">
        <v>1.8767618243783117E-3</v>
      </c>
      <c r="AV186" s="618">
        <v>1.7911421477960386E-3</v>
      </c>
      <c r="AW186" s="618">
        <v>1.6424897359426653E-3</v>
      </c>
      <c r="AX186" s="618">
        <v>2.0189576988521919E-3</v>
      </c>
      <c r="AY186" s="618">
        <v>1.8767618243783117E-3</v>
      </c>
      <c r="AZ186" s="618">
        <v>1.7512650939944727E-3</v>
      </c>
      <c r="BA186" s="618">
        <v>2.1114450580983274E-3</v>
      </c>
      <c r="BB186" s="618">
        <v>2.0372220946707348E-3</v>
      </c>
      <c r="BC186" s="618">
        <v>1.880934360226577E-3</v>
      </c>
      <c r="BD186" s="618">
        <v>2.2274343581119337E-3</v>
      </c>
      <c r="BE186" s="617">
        <v>2.1587247720654804E-3</v>
      </c>
      <c r="BF186" s="617">
        <v>2.0505452279786715E-3</v>
      </c>
      <c r="BG186" s="617"/>
      <c r="BH186" s="617"/>
      <c r="BI186" s="617"/>
      <c r="BJ186" s="617"/>
      <c r="BK186" s="617"/>
      <c r="BL186" s="617"/>
      <c r="BM186" s="617"/>
      <c r="BN186" s="617"/>
      <c r="BO186" s="617"/>
      <c r="BP186" s="617"/>
      <c r="BQ186" s="617"/>
      <c r="BR186" s="617"/>
      <c r="BS186" s="617"/>
      <c r="BT186" s="617"/>
      <c r="BU186" s="617"/>
      <c r="BV186" s="617"/>
      <c r="BW186" s="617"/>
      <c r="BX186" s="617"/>
      <c r="BY186" s="617"/>
      <c r="BZ186" s="617"/>
      <c r="CA186" s="617"/>
      <c r="CB186" s="617"/>
      <c r="CC186" s="617"/>
      <c r="CD186" s="617"/>
      <c r="CE186" s="617"/>
      <c r="CF186" s="617"/>
      <c r="CG186" s="617"/>
      <c r="CH186" s="617"/>
      <c r="CI186" s="617"/>
      <c r="CJ186" s="617"/>
      <c r="CK186" s="617"/>
      <c r="CL186" s="617"/>
    </row>
    <row r="187" spans="1:90">
      <c r="A187" s="151">
        <f t="shared" ca="1" si="17"/>
        <v>12</v>
      </c>
      <c r="B187" s="113">
        <f t="shared" si="19"/>
        <v>167</v>
      </c>
      <c r="C187" s="150">
        <f t="shared" si="26"/>
        <v>73</v>
      </c>
      <c r="D187" s="565">
        <f t="shared" si="27"/>
        <v>9.5000000000000001E-2</v>
      </c>
      <c r="E187" s="306">
        <f t="shared" si="20"/>
        <v>5673.1545287820836</v>
      </c>
      <c r="F187" s="306">
        <f t="shared" si="15"/>
        <v>3942.1515261957893</v>
      </c>
      <c r="G187" s="307">
        <f t="shared" si="16"/>
        <v>9615.3060549778729</v>
      </c>
      <c r="H187" s="306">
        <f>IF(N186&lt;0.01,0,IF(Adm!$S$3=Adm!$S$13,Cal!$E$94,IF(Adm!$R$3=Adm!$R$6,0,IF(Cal!$E$91=0,N186*Adm!$Y$3,N186*Adm!$X$3))))</f>
        <v>308.14186703700574</v>
      </c>
      <c r="I187" s="306">
        <f>IF(N186&lt;0.01,0,IF(Adm!$R$4=Adm!$R$6,0,Cal!$E$89*Adm!$AA$3))</f>
        <v>573.58240000000001</v>
      </c>
      <c r="J187" s="306">
        <f>IF(N186&lt;0.01,0,Adm!$O$3*1.16)</f>
        <v>290</v>
      </c>
      <c r="K187" s="306">
        <f>IF(N186&lt;0.01,0,IF(Adm!$N$3&gt;0,E187*Adm!$N$3,0))</f>
        <v>0</v>
      </c>
      <c r="L187" s="306">
        <f t="shared" si="21"/>
        <v>10787.030322014878</v>
      </c>
      <c r="M187" s="306">
        <f>IF(Adm!$F$3="si",MIN(N186+E187+H187+I187+J187-L187,Z187),0)</f>
        <v>0</v>
      </c>
      <c r="N187" s="306">
        <f t="shared" si="22"/>
        <v>712666.84158311994</v>
      </c>
      <c r="O187" s="361"/>
      <c r="P187" s="114"/>
      <c r="V187" s="571">
        <f t="shared" si="23"/>
        <v>1</v>
      </c>
      <c r="W187" s="293">
        <f>IF(V187=1,Adm!$AN$2,0)</f>
        <v>0</v>
      </c>
      <c r="Y187" s="304">
        <f t="shared" si="28"/>
        <v>0</v>
      </c>
      <c r="Z187" s="345">
        <f t="shared" ca="1" si="24"/>
        <v>0</v>
      </c>
      <c r="AB187" s="640">
        <f t="shared" si="29"/>
        <v>0</v>
      </c>
      <c r="AC187" s="639">
        <f t="shared" si="30"/>
        <v>0</v>
      </c>
      <c r="AD187" s="641">
        <f t="shared" si="25"/>
        <v>0</v>
      </c>
      <c r="AE187" s="639">
        <f t="shared" si="31"/>
        <v>0</v>
      </c>
      <c r="AF187" s="636">
        <f t="shared" si="18"/>
        <v>0</v>
      </c>
      <c r="AG187" s="637" t="e">
        <f>HLOOKUP($AG$110,anticipado,74,0)</f>
        <v>#N/A</v>
      </c>
      <c r="AI187" s="614">
        <v>4.5455214625057076E-3</v>
      </c>
      <c r="AJ187" s="615">
        <v>4.3603969366069126E-3</v>
      </c>
      <c r="AK187" s="616">
        <v>4.2161911143908659E-3</v>
      </c>
      <c r="AL187" s="616">
        <v>4.6222520744611658E-3</v>
      </c>
      <c r="AM187" s="617">
        <v>4.5455214625057076E-3</v>
      </c>
      <c r="AN187" s="617">
        <v>4.3603969366069126E-3</v>
      </c>
      <c r="AO187" s="617">
        <v>4.7759824819681457E-3</v>
      </c>
      <c r="AP187" s="617">
        <v>4.6638857092545505E-3</v>
      </c>
      <c r="AQ187" s="617">
        <v>4.5881374320330785E-3</v>
      </c>
      <c r="AR187" s="617">
        <v>4.9088701844240377E-3</v>
      </c>
      <c r="AS187" s="617">
        <v>4.7759824819681457E-3</v>
      </c>
      <c r="AT187" s="618">
        <v>4.6459852658889472E-3</v>
      </c>
      <c r="AU187" s="618">
        <v>2.0070778632907097E-3</v>
      </c>
      <c r="AV187" s="618">
        <v>1.923433708164365E-3</v>
      </c>
      <c r="AW187" s="618">
        <v>1.7771913209391726E-3</v>
      </c>
      <c r="AX187" s="618">
        <v>2.1471457825014539E-3</v>
      </c>
      <c r="AY187" s="618">
        <v>2.0070778632907097E-3</v>
      </c>
      <c r="AZ187" s="618">
        <v>1.8836155462749434E-3</v>
      </c>
      <c r="BA187" s="618">
        <v>2.2376072299715795E-3</v>
      </c>
      <c r="BB187" s="618">
        <v>2.1653250533041003E-3</v>
      </c>
      <c r="BC187" s="618">
        <v>2.0118423655122253E-3</v>
      </c>
      <c r="BD187" s="618">
        <v>2.3517475870718221E-3</v>
      </c>
      <c r="BE187" s="617">
        <v>2.2839307136619967E-3</v>
      </c>
      <c r="BF187" s="617">
        <v>2.1779462920722787E-3</v>
      </c>
      <c r="BG187" s="617"/>
      <c r="BH187" s="617"/>
      <c r="BI187" s="617"/>
      <c r="BJ187" s="617"/>
      <c r="BK187" s="617"/>
      <c r="BL187" s="617"/>
      <c r="BM187" s="617"/>
      <c r="BN187" s="617"/>
      <c r="BO187" s="617"/>
      <c r="BP187" s="617"/>
      <c r="BQ187" s="617"/>
      <c r="BR187" s="617"/>
      <c r="BS187" s="617"/>
      <c r="BT187" s="617"/>
      <c r="BU187" s="617"/>
      <c r="BV187" s="617"/>
      <c r="BW187" s="617"/>
      <c r="BX187" s="617"/>
      <c r="BY187" s="617"/>
      <c r="BZ187" s="617"/>
      <c r="CA187" s="617"/>
      <c r="CB187" s="617"/>
      <c r="CC187" s="617"/>
      <c r="CD187" s="617"/>
      <c r="CE187" s="617"/>
      <c r="CF187" s="617"/>
      <c r="CG187" s="617"/>
      <c r="CH187" s="617"/>
      <c r="CI187" s="617"/>
      <c r="CJ187" s="617"/>
      <c r="CK187" s="617"/>
      <c r="CL187" s="617"/>
    </row>
    <row r="188" spans="1:90">
      <c r="A188" s="151">
        <f t="shared" ca="1" si="17"/>
        <v>1</v>
      </c>
      <c r="B188" s="113">
        <f t="shared" si="19"/>
        <v>166</v>
      </c>
      <c r="C188" s="150">
        <f t="shared" si="26"/>
        <v>74</v>
      </c>
      <c r="D188" s="565">
        <f t="shared" si="27"/>
        <v>9.5000000000000001E-2</v>
      </c>
      <c r="E188" s="306">
        <f t="shared" si="20"/>
        <v>5641.9458291996998</v>
      </c>
      <c r="F188" s="306">
        <f t="shared" si="15"/>
        <v>3973.3602257781731</v>
      </c>
      <c r="G188" s="307">
        <f t="shared" si="16"/>
        <v>9615.3060549778729</v>
      </c>
      <c r="H188" s="306">
        <f>IF(N187&lt;0.01,0,IF(Adm!$S$3=Adm!$S$13,Cal!$E$94,IF(Adm!$R$3=Adm!$R$6,0,IF(Cal!$E$91=0,N187*Adm!$Y$3,N187*Adm!$X$3))))</f>
        <v>306.44674188074157</v>
      </c>
      <c r="I188" s="306">
        <f>IF(N187&lt;0.01,0,IF(Adm!$R$4=Adm!$R$6,0,Cal!$E$89*Adm!$AA$3))</f>
        <v>573.58240000000001</v>
      </c>
      <c r="J188" s="306">
        <f>IF(N187&lt;0.01,0,Adm!$O$3*1.16)</f>
        <v>290</v>
      </c>
      <c r="K188" s="306">
        <f>IF(N187&lt;0.01,0,IF(Adm!$N$3&gt;0,E188*Adm!$N$3,0))</f>
        <v>0</v>
      </c>
      <c r="L188" s="306">
        <f t="shared" si="21"/>
        <v>10785.335196858614</v>
      </c>
      <c r="M188" s="306">
        <f>IF(Adm!$F$3="si",MIN(N187+E188+H188+I188+J188-L188,Z188),0)</f>
        <v>0</v>
      </c>
      <c r="N188" s="306">
        <f t="shared" si="22"/>
        <v>708693.48135734175</v>
      </c>
      <c r="O188" s="361"/>
      <c r="P188" s="114"/>
      <c r="V188" s="571">
        <f t="shared" si="23"/>
        <v>2</v>
      </c>
      <c r="W188" s="293">
        <f>IF(V188=1,Adm!$AN$2,0)</f>
        <v>0</v>
      </c>
      <c r="Y188" s="304">
        <f t="shared" si="28"/>
        <v>0</v>
      </c>
      <c r="Z188" s="345">
        <f t="shared" ca="1" si="24"/>
        <v>0</v>
      </c>
      <c r="AB188" s="640">
        <f t="shared" si="29"/>
        <v>0</v>
      </c>
      <c r="AC188" s="639">
        <f t="shared" si="30"/>
        <v>0</v>
      </c>
      <c r="AD188" s="641">
        <f t="shared" si="25"/>
        <v>0</v>
      </c>
      <c r="AE188" s="639">
        <f t="shared" si="31"/>
        <v>0</v>
      </c>
      <c r="AF188" s="636">
        <f t="shared" si="18"/>
        <v>0</v>
      </c>
      <c r="AG188" s="637" t="e">
        <f>HLOOKUP($AG$110,anticipado,75,0)</f>
        <v>#N/A</v>
      </c>
      <c r="AI188" s="614">
        <v>4.6056617193140029E-3</v>
      </c>
      <c r="AJ188" s="615">
        <v>4.4192371670117988E-3</v>
      </c>
      <c r="AK188" s="616">
        <v>4.2738779319527838E-3</v>
      </c>
      <c r="AL188" s="616">
        <v>4.6823754425839434E-3</v>
      </c>
      <c r="AM188" s="617">
        <v>4.6056617193140029E-3</v>
      </c>
      <c r="AN188" s="617">
        <v>4.4192371670117988E-3</v>
      </c>
      <c r="AO188" s="617">
        <v>4.836893260764287E-3</v>
      </c>
      <c r="AP188" s="617">
        <v>4.7245530044529582E-3</v>
      </c>
      <c r="AQ188" s="617">
        <v>4.6488485008137964E-3</v>
      </c>
      <c r="AR188" s="617">
        <v>4.9707008447527701E-3</v>
      </c>
      <c r="AS188" s="617">
        <v>4.836893260764287E-3</v>
      </c>
      <c r="AT188" s="618">
        <v>4.7061405876179232E-3</v>
      </c>
      <c r="AU188" s="618">
        <v>2.0293651888471406E-3</v>
      </c>
      <c r="AV188" s="618">
        <v>1.9452716146304582E-3</v>
      </c>
      <c r="AW188" s="618">
        <v>1.7979957073102628E-3</v>
      </c>
      <c r="AX188" s="618">
        <v>2.170324918871743E-3</v>
      </c>
      <c r="AY188" s="618">
        <v>2.0293651888471406E-3</v>
      </c>
      <c r="AZ188" s="618">
        <v>1.9050826404468212E-3</v>
      </c>
      <c r="BA188" s="618">
        <v>2.2612017579284761E-3</v>
      </c>
      <c r="BB188" s="618">
        <v>2.1886498984696945E-3</v>
      </c>
      <c r="BC188" s="618">
        <v>2.0342763049980318E-3</v>
      </c>
      <c r="BD188" s="618">
        <v>2.3759532310809977E-3</v>
      </c>
      <c r="BE188" s="617">
        <v>2.3077393347002021E-3</v>
      </c>
      <c r="BF188" s="617">
        <v>2.2012530464653552E-3</v>
      </c>
      <c r="BG188" s="617"/>
      <c r="BH188" s="617"/>
      <c r="BI188" s="617"/>
      <c r="BJ188" s="617"/>
      <c r="BK188" s="617"/>
      <c r="BL188" s="617"/>
      <c r="BM188" s="617"/>
      <c r="BN188" s="617"/>
      <c r="BO188" s="617"/>
      <c r="BP188" s="617"/>
      <c r="BQ188" s="617"/>
      <c r="BR188" s="617"/>
      <c r="BS188" s="617"/>
      <c r="BT188" s="617"/>
      <c r="BU188" s="617"/>
      <c r="BV188" s="617"/>
      <c r="BW188" s="617"/>
      <c r="BX188" s="617"/>
      <c r="BY188" s="617"/>
      <c r="BZ188" s="617"/>
      <c r="CA188" s="617"/>
      <c r="CB188" s="617"/>
      <c r="CC188" s="617"/>
      <c r="CD188" s="617"/>
      <c r="CE188" s="617"/>
      <c r="CF188" s="617"/>
      <c r="CG188" s="617"/>
      <c r="CH188" s="617"/>
      <c r="CI188" s="617"/>
      <c r="CJ188" s="617"/>
      <c r="CK188" s="617"/>
      <c r="CL188" s="617"/>
    </row>
    <row r="189" spans="1:90">
      <c r="A189" s="151">
        <f t="shared" ca="1" si="17"/>
        <v>2</v>
      </c>
      <c r="B189" s="113">
        <f t="shared" si="19"/>
        <v>165</v>
      </c>
      <c r="C189" s="150">
        <f t="shared" si="26"/>
        <v>75</v>
      </c>
      <c r="D189" s="565">
        <f t="shared" si="27"/>
        <v>9.5000000000000001E-2</v>
      </c>
      <c r="E189" s="306">
        <f t="shared" si="20"/>
        <v>5610.490060745622</v>
      </c>
      <c r="F189" s="306">
        <f t="shared" si="15"/>
        <v>4004.8159942322509</v>
      </c>
      <c r="G189" s="307">
        <f t="shared" si="16"/>
        <v>9615.3060549778729</v>
      </c>
      <c r="H189" s="306">
        <f>IF(N188&lt;0.01,0,IF(Adm!$S$3=Adm!$S$13,Cal!$E$94,IF(Adm!$R$3=Adm!$R$6,0,IF(Cal!$E$91=0,N188*Adm!$Y$3,N188*Adm!$X$3))))</f>
        <v>304.73819698365696</v>
      </c>
      <c r="I189" s="306">
        <f>IF(N188&lt;0.01,0,IF(Adm!$R$4=Adm!$R$6,0,Cal!$E$89*Adm!$AA$3))</f>
        <v>573.58240000000001</v>
      </c>
      <c r="J189" s="306">
        <f>IF(N188&lt;0.01,0,Adm!$O$3*1.16)</f>
        <v>290</v>
      </c>
      <c r="K189" s="306">
        <f>IF(N188&lt;0.01,0,IF(Adm!$N$3&gt;0,E189*Adm!$N$3,0))</f>
        <v>0</v>
      </c>
      <c r="L189" s="306">
        <f t="shared" si="21"/>
        <v>10783.626651961529</v>
      </c>
      <c r="M189" s="306">
        <f>IF(Adm!$F$3="si",MIN(N188+E189+H189+I189+J189-L189,Z189),0)</f>
        <v>0</v>
      </c>
      <c r="N189" s="306">
        <f t="shared" si="22"/>
        <v>704688.66536310955</v>
      </c>
      <c r="O189" s="361"/>
      <c r="P189" s="114"/>
      <c r="V189" s="571">
        <f t="shared" si="23"/>
        <v>3</v>
      </c>
      <c r="W189" s="293">
        <f>IF(V189=1,Adm!$AN$2,0)</f>
        <v>0</v>
      </c>
      <c r="Y189" s="304">
        <f t="shared" si="28"/>
        <v>0</v>
      </c>
      <c r="Z189" s="345">
        <f t="shared" ca="1" si="24"/>
        <v>0</v>
      </c>
      <c r="AB189" s="640">
        <f t="shared" si="29"/>
        <v>0</v>
      </c>
      <c r="AC189" s="639">
        <f t="shared" si="30"/>
        <v>0</v>
      </c>
      <c r="AD189" s="641">
        <f t="shared" si="25"/>
        <v>0</v>
      </c>
      <c r="AE189" s="639">
        <f t="shared" si="31"/>
        <v>0</v>
      </c>
      <c r="AF189" s="636">
        <f t="shared" si="18"/>
        <v>0</v>
      </c>
      <c r="AG189" s="637" t="e">
        <f>HLOOKUP($AG$110,anticipado,76,0)</f>
        <v>#N/A</v>
      </c>
      <c r="AI189" s="614">
        <v>4.666879620459685E-3</v>
      </c>
      <c r="AJ189" s="615">
        <v>4.4791361090717446E-3</v>
      </c>
      <c r="AK189" s="616">
        <v>4.3326050251675042E-3</v>
      </c>
      <c r="AL189" s="616">
        <v>4.7435673815611184E-3</v>
      </c>
      <c r="AM189" s="617">
        <v>4.666879620459685E-3</v>
      </c>
      <c r="AN189" s="617">
        <v>4.4791361090717446E-3</v>
      </c>
      <c r="AO189" s="617">
        <v>4.8988806954330328E-3</v>
      </c>
      <c r="AP189" s="617">
        <v>4.7863011854859484E-3</v>
      </c>
      <c r="AQ189" s="617">
        <v>4.7106502163083899E-3</v>
      </c>
      <c r="AR189" s="617">
        <v>5.0336230731559128E-3</v>
      </c>
      <c r="AS189" s="617">
        <v>4.8988806954330328E-3</v>
      </c>
      <c r="AT189" s="618">
        <v>4.7673629097128439E-3</v>
      </c>
      <c r="AU189" s="618">
        <v>2.0519458253633219E-3</v>
      </c>
      <c r="AV189" s="618">
        <v>1.9674005067651947E-3</v>
      </c>
      <c r="AW189" s="618">
        <v>1.8190815489264112E-3</v>
      </c>
      <c r="AX189" s="618">
        <v>2.1938052414797468E-3</v>
      </c>
      <c r="AY189" s="618">
        <v>2.0519458253633219E-3</v>
      </c>
      <c r="AZ189" s="618">
        <v>1.9268358313356646E-3</v>
      </c>
      <c r="BA189" s="618">
        <v>2.2850991159613695E-3</v>
      </c>
      <c r="BB189" s="618">
        <v>2.2122777114868585E-3</v>
      </c>
      <c r="BC189" s="618">
        <v>2.0570066438534138E-3</v>
      </c>
      <c r="BD189" s="618">
        <v>2.4004662563850139E-3</v>
      </c>
      <c r="BE189" s="617">
        <v>2.3318517917359977E-3</v>
      </c>
      <c r="BF189" s="617">
        <v>2.2248611798103305E-3</v>
      </c>
      <c r="BG189" s="617"/>
      <c r="BH189" s="617"/>
      <c r="BI189" s="617"/>
      <c r="BJ189" s="617"/>
      <c r="BK189" s="617"/>
      <c r="BL189" s="617"/>
      <c r="BM189" s="617"/>
      <c r="BN189" s="617"/>
      <c r="BO189" s="617"/>
      <c r="BP189" s="617"/>
      <c r="BQ189" s="617"/>
      <c r="BR189" s="617"/>
      <c r="BS189" s="617"/>
      <c r="BT189" s="617"/>
      <c r="BU189" s="617"/>
      <c r="BV189" s="617"/>
      <c r="BW189" s="617"/>
      <c r="BX189" s="617"/>
      <c r="BY189" s="617"/>
      <c r="BZ189" s="617"/>
      <c r="CA189" s="617"/>
      <c r="CB189" s="617"/>
      <c r="CC189" s="617"/>
      <c r="CD189" s="617"/>
      <c r="CE189" s="617"/>
      <c r="CF189" s="617"/>
      <c r="CG189" s="617"/>
      <c r="CH189" s="617"/>
      <c r="CI189" s="617"/>
      <c r="CJ189" s="617"/>
      <c r="CK189" s="617"/>
      <c r="CL189" s="617"/>
    </row>
    <row r="190" spans="1:90">
      <c r="A190" s="151">
        <f t="shared" ca="1" si="17"/>
        <v>3</v>
      </c>
      <c r="B190" s="113">
        <f t="shared" si="19"/>
        <v>164</v>
      </c>
      <c r="C190" s="150">
        <f t="shared" si="26"/>
        <v>76</v>
      </c>
      <c r="D190" s="565">
        <f t="shared" si="27"/>
        <v>9.5000000000000001E-2</v>
      </c>
      <c r="E190" s="306">
        <f t="shared" si="20"/>
        <v>5578.7852674579508</v>
      </c>
      <c r="F190" s="306">
        <f t="shared" si="15"/>
        <v>4036.5207875199221</v>
      </c>
      <c r="G190" s="307">
        <f t="shared" si="16"/>
        <v>9615.3060549778729</v>
      </c>
      <c r="H190" s="306">
        <f>IF(N189&lt;0.01,0,IF(Adm!$S$3=Adm!$S$13,Cal!$E$94,IF(Adm!$R$3=Adm!$R$6,0,IF(Cal!$E$91=0,N189*Adm!$Y$3,N189*Adm!$X$3))))</f>
        <v>303.01612610613711</v>
      </c>
      <c r="I190" s="306">
        <f>IF(N189&lt;0.01,0,IF(Adm!$R$4=Adm!$R$6,0,Cal!$E$89*Adm!$AA$3))</f>
        <v>573.58240000000001</v>
      </c>
      <c r="J190" s="306">
        <f>IF(N189&lt;0.01,0,Adm!$O$3*1.16)</f>
        <v>290</v>
      </c>
      <c r="K190" s="306">
        <f>IF(N189&lt;0.01,0,IF(Adm!$N$3&gt;0,E190*Adm!$N$3,0))</f>
        <v>0</v>
      </c>
      <c r="L190" s="306">
        <f t="shared" si="21"/>
        <v>10781.904581084009</v>
      </c>
      <c r="M190" s="306">
        <f>IF(Adm!$F$3="si",MIN(N189+E190+H190+I190+J190-L190,Z190),0)</f>
        <v>0</v>
      </c>
      <c r="N190" s="306">
        <f t="shared" si="22"/>
        <v>700652.14457558969</v>
      </c>
      <c r="O190" s="361"/>
      <c r="P190" s="114"/>
      <c r="V190" s="571">
        <f t="shared" si="23"/>
        <v>4</v>
      </c>
      <c r="W190" s="293">
        <f>IF(V190=1,Adm!$AN$2,0)</f>
        <v>0</v>
      </c>
      <c r="Y190" s="304">
        <f t="shared" si="28"/>
        <v>0</v>
      </c>
      <c r="Z190" s="345">
        <f t="shared" ca="1" si="24"/>
        <v>0</v>
      </c>
      <c r="AB190" s="640">
        <f t="shared" si="29"/>
        <v>0</v>
      </c>
      <c r="AC190" s="639">
        <f t="shared" si="30"/>
        <v>0</v>
      </c>
      <c r="AD190" s="641">
        <f t="shared" si="25"/>
        <v>0</v>
      </c>
      <c r="AE190" s="639">
        <f t="shared" si="31"/>
        <v>0</v>
      </c>
      <c r="AF190" s="636">
        <f t="shared" si="18"/>
        <v>0</v>
      </c>
      <c r="AG190" s="637" t="e">
        <f>HLOOKUP($AG$110,anticipado,77,0)</f>
        <v>#N/A</v>
      </c>
      <c r="AI190" s="614">
        <v>4.729202073966177E-3</v>
      </c>
      <c r="AJ190" s="615">
        <v>4.540120085074149E-3</v>
      </c>
      <c r="AK190" s="616">
        <v>4.3923981437159563E-3</v>
      </c>
      <c r="AL190" s="616">
        <v>4.8058544745385656E-3</v>
      </c>
      <c r="AM190" s="617">
        <v>4.729202073966177E-3</v>
      </c>
      <c r="AN190" s="617">
        <v>4.540120085074149E-3</v>
      </c>
      <c r="AO190" s="617">
        <v>4.9619716078595751E-3</v>
      </c>
      <c r="AP190" s="617">
        <v>4.8491572406887742E-3</v>
      </c>
      <c r="AQ190" s="617">
        <v>4.7735699154866562E-3</v>
      </c>
      <c r="AR190" s="617">
        <v>5.097664169069354E-3</v>
      </c>
      <c r="AS190" s="617">
        <v>4.9619716078595751E-3</v>
      </c>
      <c r="AT190" s="618">
        <v>4.8296787570659937E-3</v>
      </c>
      <c r="AU190" s="618">
        <v>2.0748246615310815E-3</v>
      </c>
      <c r="AV190" s="618">
        <v>1.989825249737719E-3</v>
      </c>
      <c r="AW190" s="618">
        <v>1.8404535503688229E-3</v>
      </c>
      <c r="AX190" s="618">
        <v>2.2175917761494885E-3</v>
      </c>
      <c r="AY190" s="618">
        <v>2.0748246615310815E-3</v>
      </c>
      <c r="AZ190" s="618">
        <v>1.9488798863641088E-3</v>
      </c>
      <c r="BA190" s="618">
        <v>2.3093043429511452E-3</v>
      </c>
      <c r="BB190" s="618">
        <v>2.2362135539139025E-3</v>
      </c>
      <c r="BC190" s="618">
        <v>2.080038340442303E-3</v>
      </c>
      <c r="BD190" s="618">
        <v>2.4252917786579519E-3</v>
      </c>
      <c r="BE190" s="617">
        <v>2.3562731351776727E-3</v>
      </c>
      <c r="BF190" s="617">
        <v>2.248775713626066E-3</v>
      </c>
      <c r="BG190" s="617"/>
      <c r="BH190" s="617"/>
      <c r="BI190" s="617"/>
      <c r="BJ190" s="617"/>
      <c r="BK190" s="617"/>
      <c r="BL190" s="617"/>
      <c r="BM190" s="617"/>
      <c r="BN190" s="617"/>
      <c r="BO190" s="617"/>
      <c r="BP190" s="617"/>
      <c r="BQ190" s="617"/>
      <c r="BR190" s="617"/>
      <c r="BS190" s="617"/>
      <c r="BT190" s="617"/>
      <c r="BU190" s="617"/>
      <c r="BV190" s="617"/>
      <c r="BW190" s="617"/>
      <c r="BX190" s="617"/>
      <c r="BY190" s="617"/>
      <c r="BZ190" s="617"/>
      <c r="CA190" s="617"/>
      <c r="CB190" s="617"/>
      <c r="CC190" s="617"/>
      <c r="CD190" s="617"/>
      <c r="CE190" s="617"/>
      <c r="CF190" s="617"/>
      <c r="CG190" s="617"/>
      <c r="CH190" s="617"/>
      <c r="CI190" s="617"/>
      <c r="CJ190" s="617"/>
      <c r="CK190" s="617"/>
      <c r="CL190" s="617"/>
    </row>
    <row r="191" spans="1:90">
      <c r="A191" s="151">
        <f t="shared" ca="1" si="17"/>
        <v>4</v>
      </c>
      <c r="B191" s="113">
        <f t="shared" si="19"/>
        <v>163</v>
      </c>
      <c r="C191" s="150">
        <f t="shared" si="26"/>
        <v>77</v>
      </c>
      <c r="D191" s="565">
        <f t="shared" si="27"/>
        <v>9.5000000000000001E-2</v>
      </c>
      <c r="E191" s="306">
        <f t="shared" si="20"/>
        <v>5546.8294778900854</v>
      </c>
      <c r="F191" s="306">
        <f t="shared" si="15"/>
        <v>4068.4765770877875</v>
      </c>
      <c r="G191" s="307">
        <f t="shared" si="16"/>
        <v>9615.3060549778729</v>
      </c>
      <c r="H191" s="306">
        <f>IF(N190&lt;0.01,0,IF(Adm!$S$3=Adm!$S$13,Cal!$E$94,IF(Adm!$R$3=Adm!$R$6,0,IF(Cal!$E$91=0,N190*Adm!$Y$3,N190*Adm!$X$3))))</f>
        <v>301.28042216750356</v>
      </c>
      <c r="I191" s="306">
        <f>IF(N190&lt;0.01,0,IF(Adm!$R$4=Adm!$R$6,0,Cal!$E$89*Adm!$AA$3))</f>
        <v>573.58240000000001</v>
      </c>
      <c r="J191" s="306">
        <f>IF(N190&lt;0.01,0,Adm!$O$3*1.16)</f>
        <v>290</v>
      </c>
      <c r="K191" s="306">
        <f>IF(N190&lt;0.01,0,IF(Adm!$N$3&gt;0,E191*Adm!$N$3,0))</f>
        <v>0</v>
      </c>
      <c r="L191" s="306">
        <f t="shared" si="21"/>
        <v>10780.168877145376</v>
      </c>
      <c r="M191" s="306">
        <f>IF(Adm!$F$3="si",MIN(N190+E191+H191+I191+J191-L191,Z191),0)</f>
        <v>0</v>
      </c>
      <c r="N191" s="306">
        <f t="shared" si="22"/>
        <v>696583.66799850191</v>
      </c>
      <c r="O191" s="361"/>
      <c r="P191" s="114"/>
      <c r="V191" s="571">
        <f t="shared" si="23"/>
        <v>5</v>
      </c>
      <c r="W191" s="293">
        <f>IF(V191=1,Adm!$AN$2,0)</f>
        <v>0</v>
      </c>
      <c r="Y191" s="304">
        <f t="shared" si="28"/>
        <v>0</v>
      </c>
      <c r="Z191" s="345">
        <f t="shared" ca="1" si="24"/>
        <v>0</v>
      </c>
      <c r="AB191" s="640">
        <f t="shared" si="29"/>
        <v>0</v>
      </c>
      <c r="AC191" s="639">
        <f t="shared" si="30"/>
        <v>0</v>
      </c>
      <c r="AD191" s="641">
        <f t="shared" si="25"/>
        <v>0</v>
      </c>
      <c r="AE191" s="639">
        <f t="shared" si="31"/>
        <v>0</v>
      </c>
      <c r="AF191" s="636">
        <f t="shared" si="18"/>
        <v>0</v>
      </c>
      <c r="AG191" s="637" t="e">
        <f>HLOOKUP($AG$110,anticipado,78,0)</f>
        <v>#N/A</v>
      </c>
      <c r="AI191" s="614">
        <v>4.7926568847332218E-3</v>
      </c>
      <c r="AJ191" s="615">
        <v>4.6022162894578189E-3</v>
      </c>
      <c r="AK191" s="616">
        <v>4.4532838854566712E-3</v>
      </c>
      <c r="AL191" s="616">
        <v>4.8692641881253121E-3</v>
      </c>
      <c r="AM191" s="617">
        <v>4.7926568847332218E-3</v>
      </c>
      <c r="AN191" s="617">
        <v>4.6022162894578189E-3</v>
      </c>
      <c r="AO191" s="617">
        <v>5.0261937135909034E-3</v>
      </c>
      <c r="AP191" s="617">
        <v>4.9131490588323664E-3</v>
      </c>
      <c r="AQ191" s="617">
        <v>4.8376358502179298E-3</v>
      </c>
      <c r="AR191" s="617">
        <v>5.1628523457717436E-3</v>
      </c>
      <c r="AS191" s="617">
        <v>5.0261937135909034E-3</v>
      </c>
      <c r="AT191" s="618">
        <v>4.8931155356471967E-3</v>
      </c>
      <c r="AU191" s="618">
        <v>2.0980066913577613E-3</v>
      </c>
      <c r="AV191" s="618">
        <v>2.0125508133871915E-3</v>
      </c>
      <c r="AW191" s="618">
        <v>1.8621165165845436E-3</v>
      </c>
      <c r="AX191" s="618">
        <v>2.2416896577685248E-3</v>
      </c>
      <c r="AY191" s="618">
        <v>2.0980066913577613E-3</v>
      </c>
      <c r="AZ191" s="618">
        <v>1.9712196749950518E-3</v>
      </c>
      <c r="BA191" s="618">
        <v>2.3338225872282879E-3</v>
      </c>
      <c r="BB191" s="618">
        <v>2.2604625973499733E-3</v>
      </c>
      <c r="BC191" s="618">
        <v>2.1033764603278693E-3</v>
      </c>
      <c r="BD191" s="618">
        <v>2.4504350251596503E-3</v>
      </c>
      <c r="BE191" s="617">
        <v>2.3810085252141226E-3</v>
      </c>
      <c r="BF191" s="617">
        <v>2.2730017783881558E-3</v>
      </c>
      <c r="BG191" s="617"/>
      <c r="BH191" s="617"/>
      <c r="BI191" s="617"/>
      <c r="BJ191" s="617"/>
      <c r="BK191" s="617"/>
      <c r="BL191" s="617"/>
      <c r="BM191" s="617"/>
      <c r="BN191" s="617"/>
      <c r="BO191" s="617"/>
      <c r="BP191" s="617"/>
      <c r="BQ191" s="617"/>
      <c r="BR191" s="617"/>
      <c r="BS191" s="617"/>
      <c r="BT191" s="617"/>
      <c r="BU191" s="617"/>
      <c r="BV191" s="617"/>
      <c r="BW191" s="617"/>
      <c r="BX191" s="617"/>
      <c r="BY191" s="617"/>
      <c r="BZ191" s="617"/>
      <c r="CA191" s="617"/>
      <c r="CB191" s="617"/>
      <c r="CC191" s="617"/>
      <c r="CD191" s="617"/>
      <c r="CE191" s="617"/>
      <c r="CF191" s="617"/>
      <c r="CG191" s="617"/>
      <c r="CH191" s="617"/>
      <c r="CI191" s="617"/>
      <c r="CJ191" s="617"/>
      <c r="CK191" s="617"/>
      <c r="CL191" s="617"/>
    </row>
    <row r="192" spans="1:90">
      <c r="A192" s="151">
        <f t="shared" ca="1" si="17"/>
        <v>5</v>
      </c>
      <c r="B192" s="113">
        <f t="shared" si="19"/>
        <v>162</v>
      </c>
      <c r="C192" s="150">
        <f t="shared" si="26"/>
        <v>78</v>
      </c>
      <c r="D192" s="565">
        <f t="shared" si="27"/>
        <v>9.5000000000000001E-2</v>
      </c>
      <c r="E192" s="306">
        <f t="shared" si="20"/>
        <v>5514.6207049881405</v>
      </c>
      <c r="F192" s="306">
        <f t="shared" ref="F192:F255" si="32">IF(N191&lt;0.01,0,G192-E192)</f>
        <v>4100.6853499897325</v>
      </c>
      <c r="G192" s="307">
        <f t="shared" si="16"/>
        <v>9615.3060549778729</v>
      </c>
      <c r="H192" s="306">
        <f>IF(N191&lt;0.01,0,IF(Adm!$S$3=Adm!$S$13,Cal!$E$94,IF(Adm!$R$3=Adm!$R$6,0,IF(Cal!$E$91=0,N191*Adm!$Y$3,N191*Adm!$X$3))))</f>
        <v>299.53097723935582</v>
      </c>
      <c r="I192" s="306">
        <f>IF(N191&lt;0.01,0,IF(Adm!$R$4=Adm!$R$6,0,Cal!$E$89*Adm!$AA$3))</f>
        <v>573.58240000000001</v>
      </c>
      <c r="J192" s="306">
        <f>IF(N191&lt;0.01,0,Adm!$O$3*1.16)</f>
        <v>290</v>
      </c>
      <c r="K192" s="306">
        <f>IF(N191&lt;0.01,0,IF(Adm!$N$3&gt;0,E192*Adm!$N$3,0))</f>
        <v>0</v>
      </c>
      <c r="L192" s="306">
        <f t="shared" si="21"/>
        <v>10778.419432217228</v>
      </c>
      <c r="M192" s="306">
        <f>IF(Adm!$F$3="si",MIN(N191+E192+H192+I192+J192-L192,Z192),0)</f>
        <v>0</v>
      </c>
      <c r="N192" s="306">
        <f t="shared" si="22"/>
        <v>692482.98264851223</v>
      </c>
      <c r="O192" s="361"/>
      <c r="P192" s="114"/>
      <c r="V192" s="571">
        <f t="shared" si="23"/>
        <v>6</v>
      </c>
      <c r="W192" s="293">
        <f>IF(V192=1,Adm!$AN$2,0)</f>
        <v>0</v>
      </c>
      <c r="Y192" s="304">
        <f t="shared" si="28"/>
        <v>0</v>
      </c>
      <c r="Z192" s="345">
        <f t="shared" ca="1" si="24"/>
        <v>0</v>
      </c>
      <c r="AB192" s="640">
        <f t="shared" si="29"/>
        <v>0</v>
      </c>
      <c r="AC192" s="639">
        <f t="shared" si="30"/>
        <v>0</v>
      </c>
      <c r="AD192" s="641">
        <f t="shared" si="25"/>
        <v>0</v>
      </c>
      <c r="AE192" s="639">
        <f t="shared" si="31"/>
        <v>0</v>
      </c>
      <c r="AF192" s="636">
        <f t="shared" si="18"/>
        <v>0</v>
      </c>
      <c r="AG192" s="637" t="e">
        <f>HLOOKUP($AG$110,anticipado,79,0)</f>
        <v>#N/A</v>
      </c>
      <c r="AI192" s="614">
        <v>4.8572727922528659E-3</v>
      </c>
      <c r="AJ192" s="615">
        <v>4.6654528252748247E-3</v>
      </c>
      <c r="AK192" s="616">
        <v>4.5152897316792645E-3</v>
      </c>
      <c r="AL192" s="616">
        <v>4.9338249094334399E-3</v>
      </c>
      <c r="AM192" s="617">
        <v>4.8572727922528659E-3</v>
      </c>
      <c r="AN192" s="617">
        <v>4.6654528252748247E-3</v>
      </c>
      <c r="AO192" s="617">
        <v>5.0915756593950222E-3</v>
      </c>
      <c r="AP192" s="617">
        <v>4.9783054670229114E-3</v>
      </c>
      <c r="AQ192" s="617">
        <v>4.9028772259028788E-3</v>
      </c>
      <c r="AR192" s="617">
        <v>5.2292167689704828E-3</v>
      </c>
      <c r="AS192" s="617">
        <v>5.0915756593950222E-3</v>
      </c>
      <c r="AT192" s="618">
        <v>4.9577015694239395E-3</v>
      </c>
      <c r="AU192" s="618">
        <v>2.1214970170192354E-3</v>
      </c>
      <c r="AV192" s="618">
        <v>2.0355822750531853E-3</v>
      </c>
      <c r="AW192" s="618">
        <v>1.884075355574472E-3</v>
      </c>
      <c r="AX192" s="618">
        <v>2.2661041332657475E-3</v>
      </c>
      <c r="AY192" s="618">
        <v>2.1214970170192354E-3</v>
      </c>
      <c r="AZ192" s="618">
        <v>1.9938601714760821E-3</v>
      </c>
      <c r="BA192" s="618">
        <v>2.3586591095646346E-3</v>
      </c>
      <c r="BB192" s="618">
        <v>2.2850301264452071E-3</v>
      </c>
      <c r="BC192" s="618">
        <v>2.1270261791869944E-3</v>
      </c>
      <c r="BD192" s="618">
        <v>2.4759013377991467E-3</v>
      </c>
      <c r="BE192" s="617">
        <v>2.4060632348180825E-3</v>
      </c>
      <c r="BF192" s="617">
        <v>2.2975446165036948E-3</v>
      </c>
      <c r="BG192" s="617"/>
      <c r="BH192" s="617"/>
      <c r="BI192" s="617"/>
      <c r="BJ192" s="617"/>
      <c r="BK192" s="617"/>
      <c r="BL192" s="617"/>
      <c r="BM192" s="617"/>
      <c r="BN192" s="617"/>
      <c r="BO192" s="617"/>
      <c r="BP192" s="617"/>
      <c r="BQ192" s="617"/>
      <c r="BR192" s="617"/>
      <c r="BS192" s="617"/>
      <c r="BT192" s="617"/>
      <c r="BU192" s="617"/>
      <c r="BV192" s="617"/>
      <c r="BW192" s="617"/>
      <c r="BX192" s="617"/>
      <c r="BY192" s="617"/>
      <c r="BZ192" s="617"/>
      <c r="CA192" s="617"/>
      <c r="CB192" s="617"/>
      <c r="CC192" s="617"/>
      <c r="CD192" s="617"/>
      <c r="CE192" s="617"/>
      <c r="CF192" s="617"/>
      <c r="CG192" s="617"/>
      <c r="CH192" s="617"/>
      <c r="CI192" s="617"/>
      <c r="CJ192" s="617"/>
      <c r="CK192" s="617"/>
      <c r="CL192" s="617"/>
    </row>
    <row r="193" spans="1:90">
      <c r="A193" s="151">
        <f t="shared" ca="1" si="17"/>
        <v>6</v>
      </c>
      <c r="B193" s="113">
        <f t="shared" si="19"/>
        <v>161</v>
      </c>
      <c r="C193" s="150">
        <f t="shared" si="26"/>
        <v>79</v>
      </c>
      <c r="D193" s="565">
        <f t="shared" si="27"/>
        <v>9.5000000000000001E-2</v>
      </c>
      <c r="E193" s="306">
        <f t="shared" si="20"/>
        <v>5482.1569459673883</v>
      </c>
      <c r="F193" s="306">
        <f t="shared" si="32"/>
        <v>4133.1491090104846</v>
      </c>
      <c r="G193" s="307">
        <f t="shared" ref="G193:G256" si="33">IF(N192&lt;0.1,0,MIN(N192+E193,IF(AB193&gt;0,AB193,G192*(1+W193))))</f>
        <v>9615.3060549778729</v>
      </c>
      <c r="H193" s="306">
        <f>IF(N192&lt;0.01,0,IF(Adm!$S$3=Adm!$S$13,Cal!$E$94,IF(Adm!$R$3=Adm!$R$6,0,IF(Cal!$E$91=0,N192*Adm!$Y$3,N192*Adm!$X$3))))</f>
        <v>297.76768253886024</v>
      </c>
      <c r="I193" s="306">
        <f>IF(N192&lt;0.01,0,IF(Adm!$R$4=Adm!$R$6,0,Cal!$E$89*Adm!$AA$3))</f>
        <v>573.58240000000001</v>
      </c>
      <c r="J193" s="306">
        <f>IF(N192&lt;0.01,0,Adm!$O$3*1.16)</f>
        <v>290</v>
      </c>
      <c r="K193" s="306">
        <f>IF(N192&lt;0.01,0,IF(Adm!$N$3&gt;0,E193*Adm!$N$3,0))</f>
        <v>0</v>
      </c>
      <c r="L193" s="306">
        <f t="shared" si="21"/>
        <v>10776.656137516733</v>
      </c>
      <c r="M193" s="306">
        <f>IF(Adm!$F$3="si",MIN(N192+E193+H193+I193+J193-L193,Z193),0)</f>
        <v>0</v>
      </c>
      <c r="N193" s="306">
        <f t="shared" si="22"/>
        <v>688349.83353950176</v>
      </c>
      <c r="O193" s="361"/>
      <c r="P193" s="114"/>
      <c r="V193" s="571">
        <f t="shared" si="23"/>
        <v>7</v>
      </c>
      <c r="W193" s="293">
        <f>IF(V193=1,Adm!$AN$2,0)</f>
        <v>0</v>
      </c>
      <c r="Y193" s="304">
        <f t="shared" si="28"/>
        <v>0</v>
      </c>
      <c r="Z193" s="345">
        <f t="shared" ca="1" si="24"/>
        <v>0</v>
      </c>
      <c r="AB193" s="640">
        <f t="shared" si="29"/>
        <v>0</v>
      </c>
      <c r="AC193" s="639">
        <f t="shared" si="30"/>
        <v>0</v>
      </c>
      <c r="AD193" s="641">
        <f t="shared" si="25"/>
        <v>0</v>
      </c>
      <c r="AE193" s="639">
        <f t="shared" si="31"/>
        <v>0</v>
      </c>
      <c r="AF193" s="636">
        <f t="shared" si="18"/>
        <v>0</v>
      </c>
      <c r="AG193" s="637" t="e">
        <f>HLOOKUP($AG$110,anticipado,80,0)</f>
        <v>#N/A</v>
      </c>
      <c r="AI193" s="614">
        <v>4.9230795102452578E-3</v>
      </c>
      <c r="AJ193" s="615">
        <v>4.7298587424975305E-3</v>
      </c>
      <c r="AK193" s="616">
        <v>4.5784440841316288E-3</v>
      </c>
      <c r="AL193" s="616">
        <v>4.9995659849976113E-3</v>
      </c>
      <c r="AM193" s="617">
        <v>4.9230795102452578E-3</v>
      </c>
      <c r="AN193" s="617">
        <v>4.7298587424975305E-3</v>
      </c>
      <c r="AO193" s="617">
        <v>5.1581470627307452E-3</v>
      </c>
      <c r="AP193" s="617">
        <v>5.0446562705322613E-3</v>
      </c>
      <c r="AQ193" s="617">
        <v>4.9693242420798325E-3</v>
      </c>
      <c r="AR193" s="617">
        <v>5.2967875973596711E-3</v>
      </c>
      <c r="AS193" s="617">
        <v>5.1581470627307452E-3</v>
      </c>
      <c r="AT193" s="618">
        <v>5.0234661391539747E-3</v>
      </c>
      <c r="AU193" s="618">
        <v>2.1453008518064016E-3</v>
      </c>
      <c r="AV193" s="618">
        <v>2.0589248224986562E-3</v>
      </c>
      <c r="AW193" s="618">
        <v>1.9063350811685204E-3</v>
      </c>
      <c r="AX193" s="618">
        <v>2.2908405646874545E-3</v>
      </c>
      <c r="AY193" s="618">
        <v>2.1453008518064016E-3</v>
      </c>
      <c r="AZ193" s="618">
        <v>2.0168064576732039E-3</v>
      </c>
      <c r="BA193" s="618">
        <v>2.3838192862639654E-3</v>
      </c>
      <c r="BB193" s="618">
        <v>2.3099215420104131E-3</v>
      </c>
      <c r="BC193" s="618">
        <v>2.1509927858205991E-3</v>
      </c>
      <c r="BD193" s="618">
        <v>2.5016961762997238E-3</v>
      </c>
      <c r="BE193" s="617">
        <v>2.4314426528486105E-3</v>
      </c>
      <c r="BF193" s="617">
        <v>2.3224095853841913E-3</v>
      </c>
      <c r="BG193" s="617"/>
      <c r="BH193" s="617"/>
      <c r="BI193" s="617"/>
      <c r="BJ193" s="617"/>
      <c r="BK193" s="617"/>
      <c r="BL193" s="617"/>
      <c r="BM193" s="617"/>
      <c r="BN193" s="617"/>
      <c r="BO193" s="617"/>
      <c r="BP193" s="617"/>
      <c r="BQ193" s="617"/>
      <c r="BR193" s="617"/>
      <c r="BS193" s="617"/>
      <c r="BT193" s="617"/>
      <c r="BU193" s="617"/>
      <c r="BV193" s="617"/>
      <c r="BW193" s="617"/>
      <c r="BX193" s="617"/>
      <c r="BY193" s="617"/>
      <c r="BZ193" s="617"/>
      <c r="CA193" s="617"/>
      <c r="CB193" s="617"/>
      <c r="CC193" s="617"/>
      <c r="CD193" s="617"/>
      <c r="CE193" s="617"/>
      <c r="CF193" s="617"/>
      <c r="CG193" s="617"/>
      <c r="CH193" s="617"/>
      <c r="CI193" s="617"/>
      <c r="CJ193" s="617"/>
      <c r="CK193" s="617"/>
      <c r="CL193" s="617"/>
    </row>
    <row r="194" spans="1:90">
      <c r="A194" s="151">
        <f t="shared" ca="1" si="17"/>
        <v>7</v>
      </c>
      <c r="B194" s="113">
        <f t="shared" si="19"/>
        <v>160</v>
      </c>
      <c r="C194" s="150">
        <f t="shared" si="26"/>
        <v>80</v>
      </c>
      <c r="D194" s="565">
        <f t="shared" si="27"/>
        <v>9.5000000000000001E-2</v>
      </c>
      <c r="E194" s="306">
        <f t="shared" si="20"/>
        <v>5449.4361821877219</v>
      </c>
      <c r="F194" s="306">
        <f t="shared" si="32"/>
        <v>4165.869872790151</v>
      </c>
      <c r="G194" s="307">
        <f t="shared" si="33"/>
        <v>9615.3060549778729</v>
      </c>
      <c r="H194" s="306">
        <f>IF(N193&lt;0.01,0,IF(Adm!$S$3=Adm!$S$13,Cal!$E$94,IF(Adm!$R$3=Adm!$R$6,0,IF(Cal!$E$91=0,N193*Adm!$Y$3,N193*Adm!$X$3))))</f>
        <v>295.99042842198577</v>
      </c>
      <c r="I194" s="306">
        <f>IF(N193&lt;0.01,0,IF(Adm!$R$4=Adm!$R$6,0,Cal!$E$89*Adm!$AA$3))</f>
        <v>573.58240000000001</v>
      </c>
      <c r="J194" s="306">
        <f>IF(N193&lt;0.01,0,Adm!$O$3*1.16)</f>
        <v>290</v>
      </c>
      <c r="K194" s="306">
        <f>IF(N193&lt;0.01,0,IF(Adm!$N$3&gt;0,E194*Adm!$N$3,0))</f>
        <v>0</v>
      </c>
      <c r="L194" s="306">
        <f t="shared" si="21"/>
        <v>10774.878883399859</v>
      </c>
      <c r="M194" s="306">
        <f>IF(Adm!$F$3="si",MIN(N193+E194+H194+I194+J194-L194,Z194),0)</f>
        <v>0</v>
      </c>
      <c r="N194" s="306">
        <f t="shared" si="22"/>
        <v>684183.96366671158</v>
      </c>
      <c r="O194" s="361"/>
      <c r="P194" s="114"/>
      <c r="V194" s="571">
        <f t="shared" si="23"/>
        <v>8</v>
      </c>
      <c r="W194" s="293">
        <f>IF(V194=1,Adm!$AN$2,0)</f>
        <v>0</v>
      </c>
      <c r="Y194" s="304">
        <f t="shared" si="28"/>
        <v>0</v>
      </c>
      <c r="Z194" s="345">
        <f t="shared" ca="1" si="24"/>
        <v>0</v>
      </c>
      <c r="AB194" s="640">
        <f t="shared" si="29"/>
        <v>0</v>
      </c>
      <c r="AC194" s="639">
        <f t="shared" si="30"/>
        <v>0</v>
      </c>
      <c r="AD194" s="641">
        <f t="shared" si="25"/>
        <v>0</v>
      </c>
      <c r="AE194" s="639">
        <f t="shared" si="31"/>
        <v>0</v>
      </c>
      <c r="AF194" s="636">
        <f t="shared" si="18"/>
        <v>0</v>
      </c>
      <c r="AG194" s="637" t="e">
        <f>HLOOKUP($AG$110,anticipado,81,0)</f>
        <v>#N/A</v>
      </c>
      <c r="AI194" s="614">
        <v>4.9901077683293009E-3</v>
      </c>
      <c r="AJ194" s="615">
        <v>4.7954640782806842E-3</v>
      </c>
      <c r="AK194" s="616">
        <v>4.6427763039258206E-3</v>
      </c>
      <c r="AL194" s="616">
        <v>5.0665177616864296E-3</v>
      </c>
      <c r="AM194" s="617">
        <v>4.9901077683293009E-3</v>
      </c>
      <c r="AN194" s="617">
        <v>4.7954640782806842E-3</v>
      </c>
      <c r="AO194" s="617">
        <v>5.2259385532424495E-3</v>
      </c>
      <c r="AP194" s="617">
        <v>5.1122322946749186E-3</v>
      </c>
      <c r="AQ194" s="617">
        <v>5.0370081351244463E-3</v>
      </c>
      <c r="AR194" s="617">
        <v>5.3655960252686225E-3</v>
      </c>
      <c r="AS194" s="617">
        <v>5.2259385532424495E-3</v>
      </c>
      <c r="AT194" s="618">
        <v>5.0904395231621841E-3</v>
      </c>
      <c r="AU194" s="618">
        <v>2.1694235231687277E-3</v>
      </c>
      <c r="AV194" s="618">
        <v>2.0825837569290705E-3</v>
      </c>
      <c r="AW194" s="618">
        <v>1.9289008158911948E-3</v>
      </c>
      <c r="AX194" s="618">
        <v>2.3159044323755088E-3</v>
      </c>
      <c r="AY194" s="618">
        <v>2.1694235231687277E-3</v>
      </c>
      <c r="AZ194" s="618">
        <v>2.0400637259972766E-3</v>
      </c>
      <c r="BA194" s="618">
        <v>2.4093086123552127E-3</v>
      </c>
      <c r="BB194" s="618">
        <v>2.335142364230131E-3</v>
      </c>
      <c r="BC194" s="618">
        <v>2.1752816852634591E-3</v>
      </c>
      <c r="BD194" s="618">
        <v>2.5278251214694981E-3</v>
      </c>
      <c r="BE194" s="617">
        <v>2.4571522872566787E-3</v>
      </c>
      <c r="BF194" s="617">
        <v>2.3476021606204491E-3</v>
      </c>
      <c r="BG194" s="617"/>
      <c r="BH194" s="617"/>
      <c r="BI194" s="617"/>
      <c r="BJ194" s="617"/>
      <c r="BK194" s="617"/>
      <c r="BL194" s="617"/>
      <c r="BM194" s="617"/>
      <c r="BN194" s="617"/>
      <c r="BO194" s="617"/>
      <c r="BP194" s="617"/>
      <c r="BQ194" s="617"/>
      <c r="BR194" s="617"/>
      <c r="BS194" s="617"/>
      <c r="BT194" s="617"/>
      <c r="BU194" s="617"/>
      <c r="BV194" s="617"/>
      <c r="BW194" s="617"/>
      <c r="BX194" s="617"/>
      <c r="BY194" s="617"/>
      <c r="BZ194" s="617"/>
      <c r="CA194" s="617"/>
      <c r="CB194" s="617"/>
      <c r="CC194" s="617"/>
      <c r="CD194" s="617"/>
      <c r="CE194" s="617"/>
      <c r="CF194" s="617"/>
      <c r="CG194" s="617"/>
      <c r="CH194" s="617"/>
      <c r="CI194" s="617"/>
      <c r="CJ194" s="617"/>
      <c r="CK194" s="617"/>
      <c r="CL194" s="617"/>
    </row>
    <row r="195" spans="1:90">
      <c r="A195" s="151">
        <f t="shared" ca="1" si="17"/>
        <v>8</v>
      </c>
      <c r="B195" s="113">
        <f t="shared" si="19"/>
        <v>159</v>
      </c>
      <c r="C195" s="150">
        <f t="shared" si="26"/>
        <v>81</v>
      </c>
      <c r="D195" s="565">
        <f t="shared" si="27"/>
        <v>9.5000000000000001E-2</v>
      </c>
      <c r="E195" s="306">
        <f t="shared" si="20"/>
        <v>5416.4563790281336</v>
      </c>
      <c r="F195" s="306">
        <f t="shared" si="32"/>
        <v>4198.8496759497393</v>
      </c>
      <c r="G195" s="307">
        <f t="shared" si="33"/>
        <v>9615.3060549778729</v>
      </c>
      <c r="H195" s="306">
        <f>IF(N194&lt;0.01,0,IF(Adm!$S$3=Adm!$S$13,Cal!$E$94,IF(Adm!$R$3=Adm!$R$6,0,IF(Cal!$E$91=0,N194*Adm!$Y$3,N194*Adm!$X$3))))</f>
        <v>294.19910437668597</v>
      </c>
      <c r="I195" s="306">
        <f>IF(N194&lt;0.01,0,IF(Adm!$R$4=Adm!$R$6,0,Cal!$E$89*Adm!$AA$3))</f>
        <v>573.58240000000001</v>
      </c>
      <c r="J195" s="306">
        <f>IF(N194&lt;0.01,0,Adm!$O$3*1.16)</f>
        <v>290</v>
      </c>
      <c r="K195" s="306">
        <f>IF(N194&lt;0.01,0,IF(Adm!$N$3&gt;0,E195*Adm!$N$3,0))</f>
        <v>0</v>
      </c>
      <c r="L195" s="306">
        <f t="shared" si="21"/>
        <v>10773.087559354559</v>
      </c>
      <c r="M195" s="306">
        <f>IF(Adm!$F$3="si",MIN(N194+E195+H195+I195+J195-L195,Z195),0)</f>
        <v>0</v>
      </c>
      <c r="N195" s="306">
        <f t="shared" si="22"/>
        <v>679985.11399076181</v>
      </c>
      <c r="O195" s="361"/>
      <c r="P195" s="114"/>
      <c r="V195" s="571">
        <f t="shared" si="23"/>
        <v>9</v>
      </c>
      <c r="W195" s="293">
        <f>IF(V195=1,Adm!$AN$2,0)</f>
        <v>0</v>
      </c>
      <c r="Y195" s="304">
        <f t="shared" si="28"/>
        <v>0</v>
      </c>
      <c r="Z195" s="345">
        <f t="shared" ca="1" si="24"/>
        <v>0</v>
      </c>
      <c r="AB195" s="640">
        <f t="shared" si="29"/>
        <v>0</v>
      </c>
      <c r="AC195" s="639">
        <f t="shared" si="30"/>
        <v>0</v>
      </c>
      <c r="AD195" s="641">
        <f t="shared" si="25"/>
        <v>0</v>
      </c>
      <c r="AE195" s="639">
        <f t="shared" si="31"/>
        <v>0</v>
      </c>
      <c r="AF195" s="636">
        <f t="shared" si="18"/>
        <v>0</v>
      </c>
      <c r="AG195" s="637" t="e">
        <f>HLOOKUP($AG$110,anticipado,82,0)</f>
        <v>#N/A</v>
      </c>
      <c r="AI195" s="614">
        <v>5.0583893558510092E-3</v>
      </c>
      <c r="AJ195" s="615">
        <v>4.8622998992959836E-3</v>
      </c>
      <c r="AK195" s="616">
        <v>4.708316752434839E-3</v>
      </c>
      <c r="AL195" s="616">
        <v>5.1347116297256129E-3</v>
      </c>
      <c r="AM195" s="617">
        <v>5.0583893558510092E-3</v>
      </c>
      <c r="AN195" s="617">
        <v>4.8622998992959836E-3</v>
      </c>
      <c r="AO195" s="617">
        <v>5.2949818164020057E-3</v>
      </c>
      <c r="AP195" s="617">
        <v>5.1810654288553604E-3</v>
      </c>
      <c r="AQ195" s="617">
        <v>5.1059612231696668E-3</v>
      </c>
      <c r="AR195" s="617">
        <v>5.4356743275277329E-3</v>
      </c>
      <c r="AS195" s="617">
        <v>5.2949818164020057E-3</v>
      </c>
      <c r="AT195" s="618">
        <v>5.1586530402211346E-3</v>
      </c>
      <c r="AU195" s="618">
        <v>2.193870475858597E-3</v>
      </c>
      <c r="AV195" s="618">
        <v>2.1065644961113712E-3</v>
      </c>
      <c r="AW195" s="618">
        <v>1.9517777939211151E-3</v>
      </c>
      <c r="AX195" s="618">
        <v>2.3413013382515323E-3</v>
      </c>
      <c r="AY195" s="618">
        <v>2.193870475858597E-3</v>
      </c>
      <c r="AZ195" s="618">
        <v>2.0636372824266941E-3</v>
      </c>
      <c r="BA195" s="618">
        <v>2.4351327048923455E-3</v>
      </c>
      <c r="BB195" s="618">
        <v>2.3606982359831137E-3</v>
      </c>
      <c r="BC195" s="618">
        <v>2.1998984019974172E-3</v>
      </c>
      <c r="BD195" s="618">
        <v>2.5542938785816927E-3</v>
      </c>
      <c r="BE195" s="617">
        <v>2.4831977683979082E-3</v>
      </c>
      <c r="BF195" s="617">
        <v>2.3731279392633677E-3</v>
      </c>
      <c r="BG195" s="617"/>
      <c r="BH195" s="617"/>
      <c r="BI195" s="617"/>
      <c r="BJ195" s="617"/>
      <c r="BK195" s="617"/>
      <c r="BL195" s="617"/>
      <c r="BM195" s="617"/>
      <c r="BN195" s="617"/>
      <c r="BO195" s="617"/>
      <c r="BP195" s="617"/>
      <c r="BQ195" s="617"/>
      <c r="BR195" s="617"/>
      <c r="BS195" s="617"/>
      <c r="BT195" s="617"/>
      <c r="BU195" s="617"/>
      <c r="BV195" s="617"/>
      <c r="BW195" s="617"/>
      <c r="BX195" s="617"/>
      <c r="BY195" s="617"/>
      <c r="BZ195" s="617"/>
      <c r="CA195" s="617"/>
      <c r="CB195" s="617"/>
      <c r="CC195" s="617"/>
      <c r="CD195" s="617"/>
      <c r="CE195" s="617"/>
      <c r="CF195" s="617"/>
      <c r="CG195" s="617"/>
      <c r="CH195" s="617"/>
      <c r="CI195" s="617"/>
      <c r="CJ195" s="617"/>
      <c r="CK195" s="617"/>
      <c r="CL195" s="617"/>
    </row>
    <row r="196" spans="1:90">
      <c r="A196" s="151">
        <f t="shared" ca="1" si="17"/>
        <v>9</v>
      </c>
      <c r="B196" s="113">
        <f t="shared" si="19"/>
        <v>158</v>
      </c>
      <c r="C196" s="150">
        <f t="shared" si="26"/>
        <v>82</v>
      </c>
      <c r="D196" s="565">
        <f t="shared" si="27"/>
        <v>9.5000000000000001E-2</v>
      </c>
      <c r="E196" s="306">
        <f t="shared" si="20"/>
        <v>5383.2154857601972</v>
      </c>
      <c r="F196" s="306">
        <f t="shared" si="32"/>
        <v>4232.0905692176757</v>
      </c>
      <c r="G196" s="307">
        <f t="shared" si="33"/>
        <v>9615.3060549778729</v>
      </c>
      <c r="H196" s="306">
        <f>IF(N195&lt;0.01,0,IF(Adm!$S$3=Adm!$S$13,Cal!$E$94,IF(Adm!$R$3=Adm!$R$6,0,IF(Cal!$E$91=0,N195*Adm!$Y$3,N195*Adm!$X$3))))</f>
        <v>292.39359901602757</v>
      </c>
      <c r="I196" s="306">
        <f>IF(N195&lt;0.01,0,IF(Adm!$R$4=Adm!$R$6,0,Cal!$E$89*Adm!$AA$3))</f>
        <v>573.58240000000001</v>
      </c>
      <c r="J196" s="306">
        <f>IF(N195&lt;0.01,0,Adm!$O$3*1.16)</f>
        <v>290</v>
      </c>
      <c r="K196" s="306">
        <f>IF(N195&lt;0.01,0,IF(Adm!$N$3&gt;0,E196*Adm!$N$3,0))</f>
        <v>0</v>
      </c>
      <c r="L196" s="306">
        <f t="shared" si="21"/>
        <v>10771.2820539939</v>
      </c>
      <c r="M196" s="306">
        <f>IF(Adm!$F$3="si",MIN(N195+E196+H196+I196+J196-L196,Z196),0)</f>
        <v>0</v>
      </c>
      <c r="N196" s="306">
        <f t="shared" si="22"/>
        <v>675753.02342154412</v>
      </c>
      <c r="O196" s="361"/>
      <c r="P196" s="114"/>
      <c r="V196" s="571">
        <f t="shared" si="23"/>
        <v>10</v>
      </c>
      <c r="W196" s="293">
        <f>IF(V196=1,Adm!$AN$2,0)</f>
        <v>0</v>
      </c>
      <c r="Y196" s="304">
        <f t="shared" si="28"/>
        <v>0</v>
      </c>
      <c r="Z196" s="345">
        <f t="shared" ca="1" si="24"/>
        <v>0</v>
      </c>
      <c r="AB196" s="640">
        <f t="shared" si="29"/>
        <v>0</v>
      </c>
      <c r="AC196" s="639">
        <f t="shared" si="30"/>
        <v>0</v>
      </c>
      <c r="AD196" s="641">
        <f t="shared" si="25"/>
        <v>0</v>
      </c>
      <c r="AE196" s="639">
        <f t="shared" si="31"/>
        <v>0</v>
      </c>
      <c r="AF196" s="636">
        <f t="shared" si="18"/>
        <v>0</v>
      </c>
      <c r="AG196" s="637" t="e">
        <f>HLOOKUP($AG$110,anticipado,83,0)</f>
        <v>#N/A</v>
      </c>
      <c r="AI196" s="614">
        <v>5.1279571680010998E-3</v>
      </c>
      <c r="AJ196" s="615">
        <v>4.9303983462646254E-3</v>
      </c>
      <c r="AK196" s="616">
        <v>4.7750968343000964E-3</v>
      </c>
      <c r="AL196" s="616">
        <v>5.2041800679612244E-3</v>
      </c>
      <c r="AM196" s="617">
        <v>5.1279571680010998E-3</v>
      </c>
      <c r="AN196" s="617">
        <v>4.9303983462646254E-3</v>
      </c>
      <c r="AO196" s="617">
        <v>5.3653096394286606E-3</v>
      </c>
      <c r="AP196" s="617">
        <v>5.2511886729180324E-3</v>
      </c>
      <c r="AQ196" s="617">
        <v>5.1762169533818882E-3</v>
      </c>
      <c r="AR196" s="617">
        <v>5.5070559066873739E-3</v>
      </c>
      <c r="AS196" s="617">
        <v>5.3653096394286606E-3</v>
      </c>
      <c r="AT196" s="618">
        <v>5.2281390946630072E-3</v>
      </c>
      <c r="AU196" s="618">
        <v>2.2186472751803748E-3</v>
      </c>
      <c r="AV196" s="618">
        <v>2.1308725775966539E-3</v>
      </c>
      <c r="AW196" s="618">
        <v>1.9749713641480575E-3</v>
      </c>
      <c r="AX196" s="618">
        <v>2.3670370092113069E-3</v>
      </c>
      <c r="AY196" s="618">
        <v>2.2186472751803748E-3</v>
      </c>
      <c r="AZ196" s="618">
        <v>2.087532549630091E-3</v>
      </c>
      <c r="BA196" s="618">
        <v>2.4612973063650647E-3</v>
      </c>
      <c r="BB196" s="618">
        <v>2.3865949262744314E-3</v>
      </c>
      <c r="BC196" s="618">
        <v>2.2248485832719873E-3</v>
      </c>
      <c r="BD196" s="618">
        <v>2.5811082808689114E-3</v>
      </c>
      <c r="BE196" s="617">
        <v>2.5095848524566296E-3</v>
      </c>
      <c r="BF196" s="617">
        <v>2.3989926432148065E-3</v>
      </c>
      <c r="BG196" s="617"/>
      <c r="BH196" s="617"/>
      <c r="BI196" s="617"/>
      <c r="BJ196" s="617"/>
      <c r="BK196" s="617"/>
      <c r="BL196" s="617"/>
      <c r="BM196" s="617"/>
      <c r="BN196" s="617"/>
      <c r="BO196" s="617"/>
      <c r="BP196" s="617"/>
      <c r="BQ196" s="617"/>
      <c r="BR196" s="617"/>
      <c r="BS196" s="617"/>
      <c r="BT196" s="617"/>
      <c r="BU196" s="617"/>
      <c r="BV196" s="617"/>
      <c r="BW196" s="617"/>
      <c r="BX196" s="617"/>
      <c r="BY196" s="617"/>
      <c r="BZ196" s="617"/>
      <c r="CA196" s="617"/>
      <c r="CB196" s="617"/>
      <c r="CC196" s="617"/>
      <c r="CD196" s="617"/>
      <c r="CE196" s="617"/>
      <c r="CF196" s="617"/>
      <c r="CG196" s="617"/>
      <c r="CH196" s="617"/>
      <c r="CI196" s="617"/>
      <c r="CJ196" s="617"/>
      <c r="CK196" s="617"/>
      <c r="CL196" s="617"/>
    </row>
    <row r="197" spans="1:90">
      <c r="A197" s="151">
        <f t="shared" ca="1" si="17"/>
        <v>10</v>
      </c>
      <c r="B197" s="113">
        <f t="shared" si="19"/>
        <v>157</v>
      </c>
      <c r="C197" s="150">
        <f t="shared" si="26"/>
        <v>83</v>
      </c>
      <c r="D197" s="565">
        <f t="shared" si="27"/>
        <v>9.5000000000000001E-2</v>
      </c>
      <c r="E197" s="306">
        <f t="shared" si="20"/>
        <v>5349.7114354205578</v>
      </c>
      <c r="F197" s="306">
        <f t="shared" si="32"/>
        <v>4265.5946195573151</v>
      </c>
      <c r="G197" s="307">
        <f t="shared" si="33"/>
        <v>9615.3060549778729</v>
      </c>
      <c r="H197" s="306">
        <f>IF(N196&lt;0.01,0,IF(Adm!$S$3=Adm!$S$13,Cal!$E$94,IF(Adm!$R$3=Adm!$R$6,0,IF(Cal!$E$91=0,N196*Adm!$Y$3,N196*Adm!$X$3))))</f>
        <v>290.57380007126397</v>
      </c>
      <c r="I197" s="306">
        <f>IF(N196&lt;0.01,0,IF(Adm!$R$4=Adm!$R$6,0,Cal!$E$89*Adm!$AA$3))</f>
        <v>573.58240000000001</v>
      </c>
      <c r="J197" s="306">
        <f>IF(N196&lt;0.01,0,Adm!$O$3*1.16)</f>
        <v>290</v>
      </c>
      <c r="K197" s="306">
        <f>IF(N196&lt;0.01,0,IF(Adm!$N$3&gt;0,E197*Adm!$N$3,0))</f>
        <v>0</v>
      </c>
      <c r="L197" s="306">
        <f t="shared" si="21"/>
        <v>10769.462255049137</v>
      </c>
      <c r="M197" s="306">
        <f>IF(Adm!$F$3="si",MIN(N196+E197+H197+I197+J197-L197,Z197),0)</f>
        <v>0</v>
      </c>
      <c r="N197" s="306">
        <f t="shared" si="22"/>
        <v>671487.42880198685</v>
      </c>
      <c r="O197" s="361"/>
      <c r="P197" s="114"/>
      <c r="V197" s="571">
        <f t="shared" si="23"/>
        <v>11</v>
      </c>
      <c r="W197" s="293">
        <f>IF(V197=1,Adm!$AN$2,0)</f>
        <v>0</v>
      </c>
      <c r="Y197" s="304">
        <f t="shared" si="28"/>
        <v>0</v>
      </c>
      <c r="Z197" s="345">
        <f t="shared" ca="1" si="24"/>
        <v>0</v>
      </c>
      <c r="AB197" s="640">
        <f t="shared" si="29"/>
        <v>0</v>
      </c>
      <c r="AC197" s="639">
        <f t="shared" si="30"/>
        <v>0</v>
      </c>
      <c r="AD197" s="641">
        <f t="shared" si="25"/>
        <v>0</v>
      </c>
      <c r="AE197" s="639">
        <f t="shared" si="31"/>
        <v>0</v>
      </c>
      <c r="AF197" s="636">
        <f t="shared" si="18"/>
        <v>0</v>
      </c>
      <c r="AG197" s="637" t="e">
        <f>HLOOKUP($AG$110,anticipado,84,0)</f>
        <v>#N/A</v>
      </c>
      <c r="AI197" s="614">
        <v>5.1988452543625463E-3</v>
      </c>
      <c r="AJ197" s="615">
        <v>4.999792680822168E-3</v>
      </c>
      <c r="AK197" s="616">
        <v>4.8431490426778722E-3</v>
      </c>
      <c r="AL197" s="616">
        <v>5.2749566915002667E-3</v>
      </c>
      <c r="AM197" s="617">
        <v>5.1988452543625463E-3</v>
      </c>
      <c r="AN197" s="617">
        <v>4.999792680822168E-3</v>
      </c>
      <c r="AO197" s="617">
        <v>5.4369559596268054E-3</v>
      </c>
      <c r="AP197" s="617">
        <v>5.3226361859417173E-3</v>
      </c>
      <c r="AQ197" s="617">
        <v>5.2478099517387329E-3</v>
      </c>
      <c r="AR197" s="617">
        <v>5.5797753427350629E-3</v>
      </c>
      <c r="AS197" s="617">
        <v>5.4369559596268054E-3</v>
      </c>
      <c r="AT197" s="618">
        <v>5.2989312238595782E-3</v>
      </c>
      <c r="AU197" s="618">
        <v>2.2437596103482959E-3</v>
      </c>
      <c r="AV197" s="618">
        <v>2.1555136620506408E-3</v>
      </c>
      <c r="AW197" s="618">
        <v>1.9984869933312769E-3</v>
      </c>
      <c r="AX197" s="618">
        <v>2.393117300633739E-3</v>
      </c>
      <c r="AY197" s="618">
        <v>2.2437596103482959E-3</v>
      </c>
      <c r="AZ197" s="618">
        <v>2.1117550701928705E-3</v>
      </c>
      <c r="BA197" s="618">
        <v>2.4878082882246822E-3</v>
      </c>
      <c r="BB197" s="618">
        <v>2.4128383337836158E-3</v>
      </c>
      <c r="BC197" s="618">
        <v>2.2501380025365929E-3</v>
      </c>
      <c r="BD197" s="618">
        <v>2.6082742931359134E-3</v>
      </c>
      <c r="BE197" s="617">
        <v>2.5363194249856716E-3</v>
      </c>
      <c r="BF197" s="617">
        <v>2.4252021227328772E-3</v>
      </c>
      <c r="BG197" s="617"/>
      <c r="BH197" s="617"/>
      <c r="BI197" s="617"/>
      <c r="BJ197" s="617"/>
      <c r="BK197" s="617"/>
      <c r="BL197" s="617"/>
      <c r="BM197" s="617"/>
      <c r="BN197" s="617"/>
      <c r="BO197" s="617"/>
      <c r="BP197" s="617"/>
      <c r="BQ197" s="617"/>
      <c r="BR197" s="617"/>
      <c r="BS197" s="617"/>
      <c r="BT197" s="617"/>
      <c r="BU197" s="617"/>
      <c r="BV197" s="617"/>
      <c r="BW197" s="617"/>
      <c r="BX197" s="617"/>
      <c r="BY197" s="617"/>
      <c r="BZ197" s="617"/>
      <c r="CA197" s="617"/>
      <c r="CB197" s="617"/>
      <c r="CC197" s="617"/>
      <c r="CD197" s="617"/>
      <c r="CE197" s="617"/>
      <c r="CF197" s="617"/>
      <c r="CG197" s="617"/>
      <c r="CH197" s="617"/>
      <c r="CI197" s="617"/>
      <c r="CJ197" s="617"/>
      <c r="CK197" s="617"/>
      <c r="CL197" s="617"/>
    </row>
    <row r="198" spans="1:90">
      <c r="A198" s="151">
        <f t="shared" ca="1" si="17"/>
        <v>11</v>
      </c>
      <c r="B198" s="113">
        <f t="shared" si="19"/>
        <v>156</v>
      </c>
      <c r="C198" s="150">
        <f t="shared" si="26"/>
        <v>84</v>
      </c>
      <c r="D198" s="565">
        <f t="shared" si="27"/>
        <v>9.5000000000000001E-2</v>
      </c>
      <c r="E198" s="306">
        <f t="shared" si="20"/>
        <v>5315.9421446823962</v>
      </c>
      <c r="F198" s="306">
        <f t="shared" si="32"/>
        <v>4299.3639102954767</v>
      </c>
      <c r="G198" s="307">
        <f t="shared" si="33"/>
        <v>9615.3060549778729</v>
      </c>
      <c r="H198" s="306">
        <f>IF(N197&lt;0.01,0,IF(Adm!$S$3=Adm!$S$13,Cal!$E$94,IF(Adm!$R$3=Adm!$R$6,0,IF(Cal!$E$91=0,N197*Adm!$Y$3,N197*Adm!$X$3))))</f>
        <v>288.73959438485434</v>
      </c>
      <c r="I198" s="306">
        <f>IF(N197&lt;0.01,0,IF(Adm!$R$4=Adm!$R$6,0,Cal!$E$89*Adm!$AA$3))</f>
        <v>573.58240000000001</v>
      </c>
      <c r="J198" s="306">
        <f>IF(N197&lt;0.01,0,Adm!$O$3*1.16)</f>
        <v>290</v>
      </c>
      <c r="K198" s="306">
        <f>IF(N197&lt;0.01,0,IF(Adm!$N$3&gt;0,E198*Adm!$N$3,0))</f>
        <v>0</v>
      </c>
      <c r="L198" s="306">
        <f t="shared" si="21"/>
        <v>10767.628049362727</v>
      </c>
      <c r="M198" s="306">
        <f>IF(Adm!$F$3="si",MIN(N197+E198+H198+I198+J198-L198,Z198),0)</f>
        <v>0</v>
      </c>
      <c r="N198" s="306">
        <f t="shared" si="22"/>
        <v>667188.06489169132</v>
      </c>
      <c r="O198" s="361"/>
      <c r="P198" s="114"/>
      <c r="V198" s="571">
        <f t="shared" si="23"/>
        <v>12</v>
      </c>
      <c r="W198" s="293">
        <f>IF(V198=1,Adm!$AN$2,0)</f>
        <v>0</v>
      </c>
      <c r="Y198" s="304">
        <f t="shared" si="28"/>
        <v>0</v>
      </c>
      <c r="Z198" s="345">
        <f t="shared" ca="1" si="24"/>
        <v>0</v>
      </c>
      <c r="AB198" s="640">
        <f t="shared" si="29"/>
        <v>0</v>
      </c>
      <c r="AC198" s="639">
        <f t="shared" si="30"/>
        <v>0</v>
      </c>
      <c r="AD198" s="641">
        <f t="shared" si="25"/>
        <v>0</v>
      </c>
      <c r="AE198" s="639">
        <f t="shared" si="31"/>
        <v>0</v>
      </c>
      <c r="AF198" s="636">
        <f t="shared" si="18"/>
        <v>0</v>
      </c>
      <c r="AG198" s="637" t="e">
        <f>HLOOKUP($AG$110,anticipado,85,0)</f>
        <v>#N/A</v>
      </c>
      <c r="AI198" s="614">
        <v>5.2710888700387487E-3</v>
      </c>
      <c r="AJ198" s="615">
        <v>5.0705173348594423E-3</v>
      </c>
      <c r="AK198" s="616">
        <v>4.9125070068618314E-3</v>
      </c>
      <c r="AL198" s="616">
        <v>5.3470763018755472E-3</v>
      </c>
      <c r="AM198" s="617">
        <v>5.2710888700387487E-3</v>
      </c>
      <c r="AN198" s="617">
        <v>5.0705173348594423E-3</v>
      </c>
      <c r="AO198" s="617">
        <v>5.5099559152914429E-3</v>
      </c>
      <c r="AP198" s="617">
        <v>5.3954433376300036E-3</v>
      </c>
      <c r="AQ198" s="617">
        <v>5.320776075464286E-3</v>
      </c>
      <c r="AR198" s="617">
        <v>5.6538684454664982E-3</v>
      </c>
      <c r="AS198" s="617">
        <v>5.5099559152914429E-3</v>
      </c>
      <c r="AT198" s="618">
        <v>5.3710641482165571E-3</v>
      </c>
      <c r="AU198" s="618">
        <v>2.2692132979574282E-3</v>
      </c>
      <c r="AV198" s="618">
        <v>2.1804935366961276E-3</v>
      </c>
      <c r="AW198" s="618">
        <v>2.0223302693630771E-3</v>
      </c>
      <c r="AX198" s="618">
        <v>2.419548200008862E-3</v>
      </c>
      <c r="AY198" s="618">
        <v>2.2692132979574282E-3</v>
      </c>
      <c r="AZ198" s="618">
        <v>2.1363105099516809E-3</v>
      </c>
      <c r="BA198" s="618">
        <v>2.5146716545297785E-3</v>
      </c>
      <c r="BB198" s="618">
        <v>2.4394344905334388E-3</v>
      </c>
      <c r="BC198" s="618">
        <v>2.2757725629888302E-3</v>
      </c>
      <c r="BD198" s="618">
        <v>2.6357980154956221E-3</v>
      </c>
      <c r="BE198" s="617">
        <v>2.5634075045664569E-3</v>
      </c>
      <c r="BF198" s="617">
        <v>2.4517623600561517E-3</v>
      </c>
      <c r="BG198" s="617"/>
      <c r="BH198" s="617"/>
      <c r="BI198" s="617"/>
      <c r="BJ198" s="617"/>
      <c r="BK198" s="617"/>
      <c r="BL198" s="617"/>
      <c r="BM198" s="617"/>
      <c r="BN198" s="617"/>
      <c r="BO198" s="617"/>
      <c r="BP198" s="617"/>
      <c r="BQ198" s="617"/>
      <c r="BR198" s="617"/>
      <c r="BS198" s="617"/>
      <c r="BT198" s="617"/>
      <c r="BU198" s="617"/>
      <c r="BV198" s="617"/>
      <c r="BW198" s="617"/>
      <c r="BX198" s="617"/>
      <c r="BY198" s="617"/>
      <c r="BZ198" s="617"/>
      <c r="CA198" s="617"/>
      <c r="CB198" s="617"/>
      <c r="CC198" s="617"/>
      <c r="CD198" s="617"/>
      <c r="CE198" s="617"/>
      <c r="CF198" s="617"/>
      <c r="CG198" s="617"/>
      <c r="CH198" s="617"/>
      <c r="CI198" s="617"/>
      <c r="CJ198" s="617"/>
      <c r="CK198" s="617"/>
      <c r="CL198" s="617"/>
    </row>
    <row r="199" spans="1:90">
      <c r="A199" s="151">
        <f t="shared" ca="1" si="17"/>
        <v>12</v>
      </c>
      <c r="B199" s="113">
        <f t="shared" si="19"/>
        <v>155</v>
      </c>
      <c r="C199" s="150">
        <f t="shared" si="26"/>
        <v>85</v>
      </c>
      <c r="D199" s="565">
        <f t="shared" si="27"/>
        <v>9.5000000000000001E-2</v>
      </c>
      <c r="E199" s="306">
        <f t="shared" si="20"/>
        <v>5281.9055137258902</v>
      </c>
      <c r="F199" s="306">
        <f t="shared" si="32"/>
        <v>4333.4005412519828</v>
      </c>
      <c r="G199" s="307">
        <f t="shared" si="33"/>
        <v>9615.3060549778729</v>
      </c>
      <c r="H199" s="306">
        <f>IF(N198&lt;0.01,0,IF(Adm!$S$3=Adm!$S$13,Cal!$E$94,IF(Adm!$R$3=Adm!$R$6,0,IF(Cal!$E$91=0,N198*Adm!$Y$3,N198*Adm!$X$3))))</f>
        <v>286.89086790342725</v>
      </c>
      <c r="I199" s="306">
        <f>IF(N198&lt;0.01,0,IF(Adm!$R$4=Adm!$R$6,0,Cal!$E$89*Adm!$AA$3))</f>
        <v>573.58240000000001</v>
      </c>
      <c r="J199" s="306">
        <f>IF(N198&lt;0.01,0,Adm!$O$3*1.16)</f>
        <v>290</v>
      </c>
      <c r="K199" s="306">
        <f>IF(N198&lt;0.01,0,IF(Adm!$N$3&gt;0,E199*Adm!$N$3,0))</f>
        <v>0</v>
      </c>
      <c r="L199" s="306">
        <f t="shared" si="21"/>
        <v>10765.779322881299</v>
      </c>
      <c r="M199" s="306">
        <f>IF(Adm!$F$3="si",MIN(N198+E199+H199+I199+J199-L199,Z199),0)</f>
        <v>0</v>
      </c>
      <c r="N199" s="306">
        <f t="shared" si="22"/>
        <v>662854.66435043933</v>
      </c>
      <c r="O199" s="361"/>
      <c r="P199" s="114"/>
      <c r="V199" s="571">
        <f t="shared" si="23"/>
        <v>1</v>
      </c>
      <c r="W199" s="293">
        <f>IF(V199=1,Adm!$AN$2,0)</f>
        <v>0</v>
      </c>
      <c r="Y199" s="304">
        <f t="shared" si="28"/>
        <v>0</v>
      </c>
      <c r="Z199" s="345">
        <f t="shared" ca="1" si="24"/>
        <v>0</v>
      </c>
      <c r="AB199" s="640">
        <f t="shared" si="29"/>
        <v>0</v>
      </c>
      <c r="AC199" s="639">
        <f t="shared" si="30"/>
        <v>0</v>
      </c>
      <c r="AD199" s="641">
        <f t="shared" si="25"/>
        <v>0</v>
      </c>
      <c r="AE199" s="639">
        <f t="shared" si="31"/>
        <v>0</v>
      </c>
      <c r="AF199" s="636">
        <f t="shared" si="18"/>
        <v>0</v>
      </c>
      <c r="AG199" s="637" t="e">
        <f>HLOOKUP($AG$110,anticipado,86,0)</f>
        <v>#N/A</v>
      </c>
      <c r="AI199" s="614">
        <v>5.6939676427619238E-3</v>
      </c>
      <c r="AJ199" s="615">
        <v>5.4980481615558375E-3</v>
      </c>
      <c r="AK199" s="616">
        <v>5.3429940143225815E-3</v>
      </c>
      <c r="AL199" s="616">
        <v>5.7642143133896069E-3</v>
      </c>
      <c r="AM199" s="617">
        <v>5.6939676427619238E-3</v>
      </c>
      <c r="AN199" s="617">
        <v>5.4980481615558375E-3</v>
      </c>
      <c r="AO199" s="617">
        <v>5.9218712134921575E-3</v>
      </c>
      <c r="AP199" s="617">
        <v>5.8134712648552538E-3</v>
      </c>
      <c r="AQ199" s="617">
        <v>5.7446146133293251E-3</v>
      </c>
      <c r="AR199" s="617">
        <v>6.0632316174191224E-3</v>
      </c>
      <c r="AS199" s="617">
        <v>5.9218712134921575E-3</v>
      </c>
      <c r="AT199" s="618">
        <v>5.786729836101622E-3</v>
      </c>
      <c r="AU199" s="618">
        <v>2.4087144284279374E-3</v>
      </c>
      <c r="AV199" s="618">
        <v>2.3219596333939239E-3</v>
      </c>
      <c r="AW199" s="618">
        <v>2.166055307021483E-3</v>
      </c>
      <c r="AX199" s="618">
        <v>2.5570491889965988E-3</v>
      </c>
      <c r="AY199" s="618">
        <v>2.4087144284279374E-3</v>
      </c>
      <c r="AZ199" s="618">
        <v>2.2777333747221106E-3</v>
      </c>
      <c r="BA199" s="618">
        <v>2.6501458145068765E-3</v>
      </c>
      <c r="BB199" s="618">
        <v>2.5768867946743121E-3</v>
      </c>
      <c r="BC199" s="618">
        <v>2.4159425509224447E-3</v>
      </c>
      <c r="BD199" s="618">
        <v>2.7694892107722755E-3</v>
      </c>
      <c r="BE199" s="617">
        <v>2.6979304657268294E-3</v>
      </c>
      <c r="BF199" s="617">
        <v>2.5884662678830623E-3</v>
      </c>
      <c r="BG199" s="617"/>
      <c r="BH199" s="617"/>
      <c r="BI199" s="617"/>
      <c r="BJ199" s="617"/>
      <c r="BK199" s="617"/>
      <c r="BL199" s="617"/>
      <c r="BM199" s="617"/>
      <c r="BN199" s="617"/>
      <c r="BO199" s="617"/>
      <c r="BP199" s="617"/>
      <c r="BQ199" s="617"/>
      <c r="BR199" s="617"/>
      <c r="BS199" s="617"/>
      <c r="BT199" s="617"/>
      <c r="BU199" s="617"/>
      <c r="BV199" s="617"/>
      <c r="BW199" s="617"/>
      <c r="BX199" s="617"/>
      <c r="BY199" s="617"/>
      <c r="BZ199" s="617"/>
      <c r="CA199" s="617"/>
      <c r="CB199" s="617"/>
      <c r="CC199" s="617"/>
      <c r="CD199" s="617"/>
      <c r="CE199" s="617"/>
      <c r="CF199" s="617"/>
      <c r="CG199" s="617"/>
      <c r="CH199" s="617"/>
      <c r="CI199" s="617"/>
      <c r="CJ199" s="617"/>
      <c r="CK199" s="617"/>
      <c r="CL199" s="617"/>
    </row>
    <row r="200" spans="1:90">
      <c r="A200" s="151">
        <f t="shared" ca="1" si="17"/>
        <v>1</v>
      </c>
      <c r="B200" s="113">
        <f t="shared" si="19"/>
        <v>154</v>
      </c>
      <c r="C200" s="150">
        <f t="shared" si="26"/>
        <v>86</v>
      </c>
      <c r="D200" s="565">
        <f t="shared" si="27"/>
        <v>9.5000000000000001E-2</v>
      </c>
      <c r="E200" s="306">
        <f t="shared" si="20"/>
        <v>5247.5994261076448</v>
      </c>
      <c r="F200" s="306">
        <f t="shared" si="32"/>
        <v>4367.7066288702281</v>
      </c>
      <c r="G200" s="307">
        <f t="shared" si="33"/>
        <v>9615.3060549778729</v>
      </c>
      <c r="H200" s="306">
        <f>IF(N199&lt;0.01,0,IF(Adm!$S$3=Adm!$S$13,Cal!$E$94,IF(Adm!$R$3=Adm!$R$6,0,IF(Cal!$E$91=0,N199*Adm!$Y$3,N199*Adm!$X$3))))</f>
        <v>285.02750567068892</v>
      </c>
      <c r="I200" s="306">
        <f>IF(N199&lt;0.01,0,IF(Adm!$R$4=Adm!$R$6,0,Cal!$E$89*Adm!$AA$3))</f>
        <v>573.58240000000001</v>
      </c>
      <c r="J200" s="306">
        <f>IF(N199&lt;0.01,0,Adm!$O$3*1.16)</f>
        <v>290</v>
      </c>
      <c r="K200" s="306">
        <f>IF(N199&lt;0.01,0,IF(Adm!$N$3&gt;0,E200*Adm!$N$3,0))</f>
        <v>0</v>
      </c>
      <c r="L200" s="306">
        <f t="shared" si="21"/>
        <v>10763.915960648561</v>
      </c>
      <c r="M200" s="306">
        <f>IF(Adm!$F$3="si",MIN(N199+E200+H200+I200+J200-L200,Z200),0)</f>
        <v>0</v>
      </c>
      <c r="N200" s="306">
        <f t="shared" si="22"/>
        <v>658486.95772156911</v>
      </c>
      <c r="O200" s="361"/>
      <c r="P200" s="114"/>
      <c r="V200" s="571">
        <f t="shared" si="23"/>
        <v>2</v>
      </c>
      <c r="W200" s="293">
        <f>IF(V200=1,Adm!$AN$2,0)</f>
        <v>0</v>
      </c>
      <c r="Y200" s="304">
        <f t="shared" si="28"/>
        <v>0</v>
      </c>
      <c r="Z200" s="345">
        <f t="shared" ca="1" si="24"/>
        <v>0</v>
      </c>
      <c r="AB200" s="640">
        <f t="shared" si="29"/>
        <v>0</v>
      </c>
      <c r="AC200" s="639">
        <f t="shared" si="30"/>
        <v>0</v>
      </c>
      <c r="AD200" s="641">
        <f t="shared" si="25"/>
        <v>0</v>
      </c>
      <c r="AE200" s="639">
        <f t="shared" si="31"/>
        <v>0</v>
      </c>
      <c r="AF200" s="636">
        <f t="shared" si="18"/>
        <v>0</v>
      </c>
      <c r="AG200" s="637" t="e">
        <f>HLOOKUP($AG$110,anticipado,87,0)</f>
        <v>#N/A</v>
      </c>
      <c r="AI200" s="614">
        <v>5.7759662787777886E-3</v>
      </c>
      <c r="AJ200" s="615">
        <v>5.5786144394849952E-3</v>
      </c>
      <c r="AK200" s="616">
        <v>5.4222336449163801E-3</v>
      </c>
      <c r="AL200" s="616">
        <v>5.8458984088313832E-3</v>
      </c>
      <c r="AM200" s="617">
        <v>5.7759662787777886E-3</v>
      </c>
      <c r="AN200" s="617">
        <v>5.5786144394849952E-3</v>
      </c>
      <c r="AO200" s="617">
        <v>6.0043094411688621E-3</v>
      </c>
      <c r="AP200" s="617">
        <v>5.8959018410994438E-3</v>
      </c>
      <c r="AQ200" s="617">
        <v>5.8273987152443578E-3</v>
      </c>
      <c r="AR200" s="617">
        <v>6.1467328233000022E-3</v>
      </c>
      <c r="AS200" s="617">
        <v>6.0043094411688621E-3</v>
      </c>
      <c r="AT200" s="618">
        <v>5.8683808691660372E-3</v>
      </c>
      <c r="AU200" s="618">
        <v>2.436442205360002E-3</v>
      </c>
      <c r="AV200" s="618">
        <v>2.3492602911758839E-3</v>
      </c>
      <c r="AW200" s="618">
        <v>2.1922658741529988E-3</v>
      </c>
      <c r="AX200" s="618">
        <v>2.5857155400764221E-3</v>
      </c>
      <c r="AY200" s="618">
        <v>2.436442205360002E-3</v>
      </c>
      <c r="AZ200" s="618">
        <v>2.3046021298571443E-3</v>
      </c>
      <c r="BA200" s="618">
        <v>2.6791981213579266E-3</v>
      </c>
      <c r="BB200" s="618">
        <v>2.6057197177264992E-3</v>
      </c>
      <c r="BC200" s="618">
        <v>2.443872148557737E-3</v>
      </c>
      <c r="BD200" s="618">
        <v>2.7991665953759366E-3</v>
      </c>
      <c r="BE200" s="617">
        <v>2.7271864273550558E-3</v>
      </c>
      <c r="BF200" s="617">
        <v>2.6172428760596056E-3</v>
      </c>
      <c r="BG200" s="617"/>
      <c r="BH200" s="617"/>
      <c r="BI200" s="617"/>
      <c r="BJ200" s="617"/>
      <c r="BK200" s="617"/>
      <c r="BL200" s="617"/>
      <c r="BM200" s="617"/>
      <c r="BN200" s="617"/>
      <c r="BO200" s="617"/>
      <c r="BP200" s="617"/>
      <c r="BQ200" s="617"/>
      <c r="BR200" s="617"/>
      <c r="BS200" s="617"/>
      <c r="BT200" s="617"/>
      <c r="BU200" s="617"/>
      <c r="BV200" s="617"/>
      <c r="BW200" s="617"/>
      <c r="BX200" s="617"/>
      <c r="BY200" s="617"/>
      <c r="BZ200" s="617"/>
      <c r="CA200" s="617"/>
      <c r="CB200" s="617"/>
      <c r="CC200" s="617"/>
      <c r="CD200" s="617"/>
      <c r="CE200" s="617"/>
      <c r="CF200" s="617"/>
      <c r="CG200" s="617"/>
      <c r="CH200" s="617"/>
      <c r="CI200" s="617"/>
      <c r="CJ200" s="617"/>
      <c r="CK200" s="617"/>
      <c r="CL200" s="617"/>
    </row>
    <row r="201" spans="1:90">
      <c r="A201" s="151">
        <f t="shared" ca="1" si="17"/>
        <v>2</v>
      </c>
      <c r="B201" s="113">
        <f t="shared" si="19"/>
        <v>153</v>
      </c>
      <c r="C201" s="150">
        <f t="shared" si="26"/>
        <v>87</v>
      </c>
      <c r="D201" s="565">
        <f t="shared" si="27"/>
        <v>9.5000000000000001E-2</v>
      </c>
      <c r="E201" s="306">
        <f t="shared" si="20"/>
        <v>5213.0217486290885</v>
      </c>
      <c r="F201" s="306">
        <f t="shared" si="32"/>
        <v>4402.2843063487844</v>
      </c>
      <c r="G201" s="307">
        <f t="shared" si="33"/>
        <v>9615.3060549778729</v>
      </c>
      <c r="H201" s="306">
        <f>IF(N200&lt;0.01,0,IF(Adm!$S$3=Adm!$S$13,Cal!$E$94,IF(Adm!$R$3=Adm!$R$6,0,IF(Cal!$E$91=0,N200*Adm!$Y$3,N200*Adm!$X$3))))</f>
        <v>283.14939182027473</v>
      </c>
      <c r="I201" s="306">
        <f>IF(N200&lt;0.01,0,IF(Adm!$R$4=Adm!$R$6,0,Cal!$E$89*Adm!$AA$3))</f>
        <v>573.58240000000001</v>
      </c>
      <c r="J201" s="306">
        <f>IF(N200&lt;0.01,0,Adm!$O$3*1.16)</f>
        <v>290</v>
      </c>
      <c r="K201" s="306">
        <f>IF(N200&lt;0.01,0,IF(Adm!$N$3&gt;0,E201*Adm!$N$3,0))</f>
        <v>0</v>
      </c>
      <c r="L201" s="306">
        <f t="shared" si="21"/>
        <v>10762.037846798146</v>
      </c>
      <c r="M201" s="306">
        <f>IF(Adm!$F$3="si",MIN(N200+E201+H201+I201+J201-L201,Z201),0)</f>
        <v>0</v>
      </c>
      <c r="N201" s="306">
        <f t="shared" si="22"/>
        <v>654084.67341522034</v>
      </c>
      <c r="O201" s="361"/>
      <c r="P201" s="114"/>
      <c r="V201" s="571">
        <f t="shared" si="23"/>
        <v>3</v>
      </c>
      <c r="W201" s="293">
        <f>IF(V201=1,Adm!$AN$2,0)</f>
        <v>0</v>
      </c>
      <c r="Y201" s="304">
        <f t="shared" si="28"/>
        <v>0</v>
      </c>
      <c r="Z201" s="345">
        <f t="shared" ca="1" si="24"/>
        <v>0</v>
      </c>
      <c r="AB201" s="640">
        <f t="shared" si="29"/>
        <v>0</v>
      </c>
      <c r="AC201" s="639">
        <f t="shared" si="30"/>
        <v>0</v>
      </c>
      <c r="AD201" s="641">
        <f t="shared" si="25"/>
        <v>0</v>
      </c>
      <c r="AE201" s="639">
        <f t="shared" si="31"/>
        <v>0</v>
      </c>
      <c r="AF201" s="636">
        <f t="shared" si="18"/>
        <v>0</v>
      </c>
      <c r="AG201" s="637" t="e">
        <f>HLOOKUP($AG$110,anticipado,88,0)</f>
        <v>#N/A</v>
      </c>
      <c r="AI201" s="614">
        <v>5.8596290074856327E-3</v>
      </c>
      <c r="AJ201" s="615">
        <v>5.6608198971408357E-3</v>
      </c>
      <c r="AK201" s="616">
        <v>5.5030868491231797E-3</v>
      </c>
      <c r="AL201" s="616">
        <v>5.9292271727798586E-3</v>
      </c>
      <c r="AM201" s="617">
        <v>5.8596290074856327E-3</v>
      </c>
      <c r="AN201" s="617">
        <v>5.6608198971408357E-3</v>
      </c>
      <c r="AO201" s="617">
        <v>6.0884001963587278E-3</v>
      </c>
      <c r="AP201" s="617">
        <v>5.9799970368894506E-3</v>
      </c>
      <c r="AQ201" s="617">
        <v>5.9118680330641112E-3</v>
      </c>
      <c r="AR201" s="617">
        <v>6.2319075316542554E-3</v>
      </c>
      <c r="AS201" s="617">
        <v>6.0884001963587278E-3</v>
      </c>
      <c r="AT201" s="618">
        <v>5.9516727909084497E-3</v>
      </c>
      <c r="AU201" s="618">
        <v>2.4645576707000827E-3</v>
      </c>
      <c r="AV201" s="618">
        <v>2.37694698224164E-3</v>
      </c>
      <c r="AW201" s="618">
        <v>2.2188518884642778E-3</v>
      </c>
      <c r="AX201" s="618">
        <v>2.6147784097776002E-3</v>
      </c>
      <c r="AY201" s="618">
        <v>2.4645576707000827E-3</v>
      </c>
      <c r="AZ201" s="618">
        <v>2.3318506330083787E-3</v>
      </c>
      <c r="BA201" s="618">
        <v>2.7086478166048417E-3</v>
      </c>
      <c r="BB201" s="618">
        <v>2.6349514235164918E-3</v>
      </c>
      <c r="BC201" s="618">
        <v>2.4721938419883594E-3</v>
      </c>
      <c r="BD201" s="618">
        <v>2.8292461956970867E-3</v>
      </c>
      <c r="BE201" s="617">
        <v>2.75684050854103E-3</v>
      </c>
      <c r="BF201" s="617">
        <v>2.6464157532834856E-3</v>
      </c>
      <c r="BG201" s="617"/>
      <c r="BH201" s="617"/>
      <c r="BI201" s="617"/>
      <c r="BJ201" s="617"/>
      <c r="BK201" s="617"/>
      <c r="BL201" s="617"/>
      <c r="BM201" s="617"/>
      <c r="BN201" s="617"/>
      <c r="BO201" s="617"/>
      <c r="BP201" s="617"/>
      <c r="BQ201" s="617"/>
      <c r="BR201" s="617"/>
      <c r="BS201" s="617"/>
      <c r="BT201" s="617"/>
      <c r="BU201" s="617"/>
      <c r="BV201" s="617"/>
      <c r="BW201" s="617"/>
      <c r="BX201" s="617"/>
      <c r="BY201" s="617"/>
      <c r="BZ201" s="617"/>
      <c r="CA201" s="617"/>
      <c r="CB201" s="617"/>
      <c r="CC201" s="617"/>
      <c r="CD201" s="617"/>
      <c r="CE201" s="617"/>
      <c r="CF201" s="617"/>
      <c r="CG201" s="617"/>
      <c r="CH201" s="617"/>
      <c r="CI201" s="617"/>
      <c r="CJ201" s="617"/>
      <c r="CK201" s="617"/>
      <c r="CL201" s="617"/>
    </row>
    <row r="202" spans="1:90">
      <c r="A202" s="151">
        <f t="shared" ca="1" si="17"/>
        <v>3</v>
      </c>
      <c r="B202" s="113">
        <f t="shared" si="19"/>
        <v>152</v>
      </c>
      <c r="C202" s="150">
        <f t="shared" si="26"/>
        <v>88</v>
      </c>
      <c r="D202" s="565">
        <f t="shared" si="27"/>
        <v>9.5000000000000001E-2</v>
      </c>
      <c r="E202" s="306">
        <f t="shared" si="20"/>
        <v>5178.170331203828</v>
      </c>
      <c r="F202" s="306">
        <f t="shared" si="32"/>
        <v>4437.1357237740449</v>
      </c>
      <c r="G202" s="307">
        <f t="shared" si="33"/>
        <v>9615.3060549778729</v>
      </c>
      <c r="H202" s="306">
        <f>IF(N201&lt;0.01,0,IF(Adm!$S$3=Adm!$S$13,Cal!$E$94,IF(Adm!$R$3=Adm!$R$6,0,IF(Cal!$E$91=0,N201*Adm!$Y$3,N201*Adm!$X$3))))</f>
        <v>281.25640956854477</v>
      </c>
      <c r="I202" s="306">
        <f>IF(N201&lt;0.01,0,IF(Adm!$R$4=Adm!$R$6,0,Cal!$E$89*Adm!$AA$3))</f>
        <v>573.58240000000001</v>
      </c>
      <c r="J202" s="306">
        <f>IF(N201&lt;0.01,0,Adm!$O$3*1.16)</f>
        <v>290</v>
      </c>
      <c r="K202" s="306">
        <f>IF(N201&lt;0.01,0,IF(Adm!$N$3&gt;0,E202*Adm!$N$3,0))</f>
        <v>0</v>
      </c>
      <c r="L202" s="306">
        <f t="shared" si="21"/>
        <v>10760.144864546417</v>
      </c>
      <c r="M202" s="306">
        <f>IF(Adm!$F$3="si",MIN(N201+E202+H202+I202+J202-L202,Z202),0)</f>
        <v>0</v>
      </c>
      <c r="N202" s="306">
        <f t="shared" si="22"/>
        <v>649647.53769144625</v>
      </c>
      <c r="O202" s="361"/>
      <c r="P202" s="114"/>
      <c r="V202" s="571">
        <f t="shared" si="23"/>
        <v>4</v>
      </c>
      <c r="W202" s="293">
        <f>IF(V202=1,Adm!$AN$2,0)</f>
        <v>0</v>
      </c>
      <c r="Y202" s="304">
        <f t="shared" si="28"/>
        <v>0</v>
      </c>
      <c r="Z202" s="345">
        <f t="shared" ca="1" si="24"/>
        <v>0</v>
      </c>
      <c r="AB202" s="640">
        <f t="shared" si="29"/>
        <v>0</v>
      </c>
      <c r="AC202" s="639">
        <f t="shared" si="30"/>
        <v>0</v>
      </c>
      <c r="AD202" s="641">
        <f t="shared" si="25"/>
        <v>0</v>
      </c>
      <c r="AE202" s="639">
        <f t="shared" si="31"/>
        <v>0</v>
      </c>
      <c r="AF202" s="636">
        <f t="shared" si="18"/>
        <v>0</v>
      </c>
      <c r="AG202" s="637" t="e">
        <f>HLOOKUP($AG$110,anticipado,89,0)</f>
        <v>#N/A</v>
      </c>
      <c r="AI202" s="614">
        <v>5.9450038245350547E-3</v>
      </c>
      <c r="AJ202" s="615">
        <v>5.7447116155238806E-3</v>
      </c>
      <c r="AK202" s="616">
        <v>5.5855997651742106E-3</v>
      </c>
      <c r="AL202" s="616">
        <v>6.014247830654601E-3</v>
      </c>
      <c r="AM202" s="617">
        <v>5.9450038245350547E-3</v>
      </c>
      <c r="AN202" s="617">
        <v>5.7447116155238806E-3</v>
      </c>
      <c r="AO202" s="617">
        <v>6.1741909768020867E-3</v>
      </c>
      <c r="AP202" s="617">
        <v>6.0658048406517992E-3</v>
      </c>
      <c r="AQ202" s="617">
        <v>5.9980713734271805E-3</v>
      </c>
      <c r="AR202" s="617">
        <v>6.3188040290025086E-3</v>
      </c>
      <c r="AS202" s="617">
        <v>6.1741909768020867E-3</v>
      </c>
      <c r="AT202" s="618">
        <v>6.0366526756379458E-3</v>
      </c>
      <c r="AU202" s="618">
        <v>2.4930678410328777E-3</v>
      </c>
      <c r="AV202" s="618">
        <v>2.4050267127533214E-3</v>
      </c>
      <c r="AW202" s="618">
        <v>2.2458201548842946E-3</v>
      </c>
      <c r="AX202" s="618">
        <v>2.6442449882674154E-3</v>
      </c>
      <c r="AY202" s="618">
        <v>2.4930678410328777E-3</v>
      </c>
      <c r="AZ202" s="618">
        <v>2.3594857502737005E-3</v>
      </c>
      <c r="BA202" s="618">
        <v>2.7385020870512458E-3</v>
      </c>
      <c r="BB202" s="618">
        <v>2.6645891528831529E-3</v>
      </c>
      <c r="BC202" s="618">
        <v>2.5009147552383917E-3</v>
      </c>
      <c r="BD202" s="618">
        <v>2.8597352899361072E-3</v>
      </c>
      <c r="BE202" s="617">
        <v>2.7868999025466115E-3</v>
      </c>
      <c r="BF202" s="617">
        <v>2.6759920747687245E-3</v>
      </c>
      <c r="BG202" s="617"/>
      <c r="BH202" s="617"/>
      <c r="BI202" s="617"/>
      <c r="BJ202" s="617"/>
      <c r="BK202" s="617"/>
      <c r="BL202" s="617"/>
      <c r="BM202" s="617"/>
      <c r="BN202" s="617"/>
      <c r="BO202" s="617"/>
      <c r="BP202" s="617"/>
      <c r="BQ202" s="617"/>
      <c r="BR202" s="617"/>
      <c r="BS202" s="617"/>
      <c r="BT202" s="617"/>
      <c r="BU202" s="617"/>
      <c r="BV202" s="617"/>
      <c r="BW202" s="617"/>
      <c r="BX202" s="617"/>
      <c r="BY202" s="617"/>
      <c r="BZ202" s="617"/>
      <c r="CA202" s="617"/>
      <c r="CB202" s="617"/>
      <c r="CC202" s="617"/>
      <c r="CD202" s="617"/>
      <c r="CE202" s="617"/>
      <c r="CF202" s="617"/>
      <c r="CG202" s="617"/>
      <c r="CH202" s="617"/>
      <c r="CI202" s="617"/>
      <c r="CJ202" s="617"/>
      <c r="CK202" s="617"/>
      <c r="CL202" s="617"/>
    </row>
    <row r="203" spans="1:90">
      <c r="A203" s="151">
        <f t="shared" ca="1" si="17"/>
        <v>4</v>
      </c>
      <c r="B203" s="113">
        <f t="shared" si="19"/>
        <v>151</v>
      </c>
      <c r="C203" s="150">
        <f t="shared" si="26"/>
        <v>89</v>
      </c>
      <c r="D203" s="565">
        <f t="shared" si="27"/>
        <v>9.5000000000000001E-2</v>
      </c>
      <c r="E203" s="306">
        <f t="shared" si="20"/>
        <v>5143.0430067239495</v>
      </c>
      <c r="F203" s="306">
        <f t="shared" si="32"/>
        <v>4472.2630482539234</v>
      </c>
      <c r="G203" s="307">
        <f t="shared" si="33"/>
        <v>9615.3060549778729</v>
      </c>
      <c r="H203" s="306">
        <f>IF(N202&lt;0.01,0,IF(Adm!$S$3=Adm!$S$13,Cal!$E$94,IF(Adm!$R$3=Adm!$R$6,0,IF(Cal!$E$91=0,N202*Adm!$Y$3,N202*Adm!$X$3))))</f>
        <v>279.34844120732186</v>
      </c>
      <c r="I203" s="306">
        <f>IF(N202&lt;0.01,0,IF(Adm!$R$4=Adm!$R$6,0,Cal!$E$89*Adm!$AA$3))</f>
        <v>573.58240000000001</v>
      </c>
      <c r="J203" s="306">
        <f>IF(N202&lt;0.01,0,Adm!$O$3*1.16)</f>
        <v>290</v>
      </c>
      <c r="K203" s="306">
        <f>IF(N202&lt;0.01,0,IF(Adm!$N$3&gt;0,E203*Adm!$N$3,0))</f>
        <v>0</v>
      </c>
      <c r="L203" s="306">
        <f t="shared" si="21"/>
        <v>10758.236896185193</v>
      </c>
      <c r="M203" s="306">
        <f>IF(Adm!$F$3="si",MIN(N202+E203+H203+I203+J203-L203,Z203),0)</f>
        <v>0</v>
      </c>
      <c r="N203" s="306">
        <f t="shared" si="22"/>
        <v>645175.2746431923</v>
      </c>
      <c r="O203" s="361"/>
      <c r="P203" s="114"/>
      <c r="V203" s="571">
        <f t="shared" si="23"/>
        <v>5</v>
      </c>
      <c r="W203" s="293">
        <f>IF(V203=1,Adm!$AN$2,0)</f>
        <v>0</v>
      </c>
      <c r="Y203" s="304">
        <f t="shared" si="28"/>
        <v>0</v>
      </c>
      <c r="Z203" s="345">
        <f t="shared" ca="1" si="24"/>
        <v>0</v>
      </c>
      <c r="AB203" s="640">
        <f t="shared" si="29"/>
        <v>0</v>
      </c>
      <c r="AC203" s="639">
        <f t="shared" si="30"/>
        <v>0</v>
      </c>
      <c r="AD203" s="641">
        <f t="shared" si="25"/>
        <v>0</v>
      </c>
      <c r="AE203" s="639">
        <f t="shared" si="31"/>
        <v>0</v>
      </c>
      <c r="AF203" s="636">
        <f t="shared" si="18"/>
        <v>0</v>
      </c>
      <c r="AG203" s="637" t="e">
        <f>HLOOKUP($AG$110,anticipado,90,0)</f>
        <v>#N/A</v>
      </c>
      <c r="AI203" s="614">
        <v>6.0321405813479169E-3</v>
      </c>
      <c r="AJ203" s="615">
        <v>5.830338486661521E-3</v>
      </c>
      <c r="AK203" s="616">
        <v>5.6698202965485391E-3</v>
      </c>
      <c r="AL203" s="616">
        <v>6.1010094265532512E-3</v>
      </c>
      <c r="AM203" s="617">
        <v>6.0321405813479169E-3</v>
      </c>
      <c r="AN203" s="617">
        <v>5.830338486661521E-3</v>
      </c>
      <c r="AO203" s="617">
        <v>6.2617311124353288E-3</v>
      </c>
      <c r="AP203" s="617">
        <v>6.1533750965287338E-3</v>
      </c>
      <c r="AQ203" s="617">
        <v>6.0860594382761294E-3</v>
      </c>
      <c r="AR203" s="617">
        <v>6.4074724725992349E-3</v>
      </c>
      <c r="AS203" s="617">
        <v>6.2617311124353288E-3</v>
      </c>
      <c r="AT203" s="618">
        <v>6.1233694091003604E-3</v>
      </c>
      <c r="AU203" s="618">
        <v>2.5219798986713606E-3</v>
      </c>
      <c r="AV203" s="618">
        <v>2.4335066542516132E-3</v>
      </c>
      <c r="AW203" s="618">
        <v>2.2731776377400755E-3</v>
      </c>
      <c r="AX203" s="618">
        <v>2.6741226366712536E-3</v>
      </c>
      <c r="AY203" s="618">
        <v>2.5219798986713606E-3</v>
      </c>
      <c r="AZ203" s="618">
        <v>2.3875145089825643E-3</v>
      </c>
      <c r="BA203" s="618">
        <v>2.7687682904141801E-3</v>
      </c>
      <c r="BB203" s="618">
        <v>2.6946403191440448E-3</v>
      </c>
      <c r="BC203" s="618">
        <v>2.5300421812461025E-3</v>
      </c>
      <c r="BD203" s="618">
        <v>2.8906413300033929E-3</v>
      </c>
      <c r="BE203" s="617">
        <v>2.8173719737680817E-3</v>
      </c>
      <c r="BF203" s="617">
        <v>2.7059791862611825E-3</v>
      </c>
      <c r="BG203" s="617"/>
      <c r="BH203" s="617"/>
      <c r="BI203" s="617"/>
      <c r="BJ203" s="617"/>
      <c r="BK203" s="617"/>
      <c r="BL203" s="617"/>
      <c r="BM203" s="617"/>
      <c r="BN203" s="617"/>
      <c r="BO203" s="617"/>
      <c r="BP203" s="617"/>
      <c r="BQ203" s="617"/>
      <c r="BR203" s="617"/>
      <c r="BS203" s="617"/>
      <c r="BT203" s="617"/>
      <c r="BU203" s="617"/>
      <c r="BV203" s="617"/>
      <c r="BW203" s="617"/>
      <c r="BX203" s="617"/>
      <c r="BY203" s="617"/>
      <c r="BZ203" s="617"/>
      <c r="CA203" s="617"/>
      <c r="CB203" s="617"/>
      <c r="CC203" s="617"/>
      <c r="CD203" s="617"/>
      <c r="CE203" s="617"/>
      <c r="CF203" s="617"/>
      <c r="CG203" s="617"/>
      <c r="CH203" s="617"/>
      <c r="CI203" s="617"/>
      <c r="CJ203" s="617"/>
      <c r="CK203" s="617"/>
      <c r="CL203" s="617"/>
    </row>
    <row r="204" spans="1:90">
      <c r="A204" s="151">
        <f t="shared" ca="1" si="17"/>
        <v>5</v>
      </c>
      <c r="B204" s="113">
        <f t="shared" si="19"/>
        <v>150</v>
      </c>
      <c r="C204" s="150">
        <f t="shared" si="26"/>
        <v>90</v>
      </c>
      <c r="D204" s="565">
        <f t="shared" si="27"/>
        <v>9.5000000000000001E-2</v>
      </c>
      <c r="E204" s="306">
        <f t="shared" si="20"/>
        <v>5107.637590925272</v>
      </c>
      <c r="F204" s="306">
        <f t="shared" si="32"/>
        <v>4507.6684640526009</v>
      </c>
      <c r="G204" s="307">
        <f t="shared" si="33"/>
        <v>9615.3060549778729</v>
      </c>
      <c r="H204" s="306">
        <f>IF(N203&lt;0.01,0,IF(Adm!$S$3=Adm!$S$13,Cal!$E$94,IF(Adm!$R$3=Adm!$R$6,0,IF(Cal!$E$91=0,N203*Adm!$Y$3,N203*Adm!$X$3))))</f>
        <v>277.4253680965727</v>
      </c>
      <c r="I204" s="306">
        <f>IF(N203&lt;0.01,0,IF(Adm!$R$4=Adm!$R$6,0,Cal!$E$89*Adm!$AA$3))</f>
        <v>573.58240000000001</v>
      </c>
      <c r="J204" s="306">
        <f>IF(N203&lt;0.01,0,Adm!$O$3*1.16)</f>
        <v>290</v>
      </c>
      <c r="K204" s="306">
        <f>IF(N203&lt;0.01,0,IF(Adm!$N$3&gt;0,E204*Adm!$N$3,0))</f>
        <v>0</v>
      </c>
      <c r="L204" s="306">
        <f t="shared" si="21"/>
        <v>10756.313823074444</v>
      </c>
      <c r="M204" s="306">
        <f>IF(Adm!$F$3="si",MIN(N203+E204+H204+I204+J204-L204,Z204),0)</f>
        <v>0</v>
      </c>
      <c r="N204" s="306">
        <f t="shared" si="22"/>
        <v>640667.60617913969</v>
      </c>
      <c r="O204" s="361"/>
      <c r="P204" s="114"/>
      <c r="V204" s="571">
        <f t="shared" si="23"/>
        <v>6</v>
      </c>
      <c r="W204" s="293">
        <f>IF(V204=1,Adm!$AN$2,0)</f>
        <v>0</v>
      </c>
      <c r="Y204" s="304">
        <f t="shared" si="28"/>
        <v>0</v>
      </c>
      <c r="Z204" s="345">
        <f t="shared" ca="1" si="24"/>
        <v>0</v>
      </c>
      <c r="AB204" s="640">
        <f t="shared" si="29"/>
        <v>0</v>
      </c>
      <c r="AC204" s="639">
        <f t="shared" si="30"/>
        <v>0</v>
      </c>
      <c r="AD204" s="641">
        <f t="shared" si="25"/>
        <v>0</v>
      </c>
      <c r="AE204" s="639">
        <f t="shared" si="31"/>
        <v>0</v>
      </c>
      <c r="AF204" s="636">
        <f t="shared" si="18"/>
        <v>0</v>
      </c>
      <c r="AG204" s="637" t="e">
        <f>HLOOKUP($AG$110,anticipado,91,0)</f>
        <v>#N/A</v>
      </c>
      <c r="AI204" s="614">
        <v>6.1210910757421534E-3</v>
      </c>
      <c r="AJ204" s="615">
        <v>5.917751301596161E-3</v>
      </c>
      <c r="AK204" s="616">
        <v>5.7557981972803443E-3</v>
      </c>
      <c r="AL204" s="616">
        <v>6.1895629116998328E-3</v>
      </c>
      <c r="AM204" s="617">
        <v>6.1210910757421534E-3</v>
      </c>
      <c r="AN204" s="617">
        <v>5.917751301596161E-3</v>
      </c>
      <c r="AO204" s="617">
        <v>6.3510718546382757E-3</v>
      </c>
      <c r="AP204" s="617">
        <v>6.2427595950038262E-3</v>
      </c>
      <c r="AQ204" s="617">
        <v>6.1758849178151099E-3</v>
      </c>
      <c r="AR204" s="617">
        <v>6.4979649819525776E-3</v>
      </c>
      <c r="AS204" s="617">
        <v>6.3510718546382757E-3</v>
      </c>
      <c r="AT204" s="618">
        <v>6.2118737765032624E-3</v>
      </c>
      <c r="AU204" s="618">
        <v>2.5513011965850475E-3</v>
      </c>
      <c r="AV204" s="618">
        <v>2.4623941485696311E-3</v>
      </c>
      <c r="AW204" s="618">
        <v>2.3009314654539263E-3</v>
      </c>
      <c r="AX204" s="618">
        <v>2.7044188921911917E-3</v>
      </c>
      <c r="AY204" s="618">
        <v>2.5513011965850475E-3</v>
      </c>
      <c r="AZ204" s="618">
        <v>2.4159441024611756E-3</v>
      </c>
      <c r="BA204" s="618">
        <v>2.7994539604425926E-3</v>
      </c>
      <c r="BB204" s="618">
        <v>2.7251125132691577E-3</v>
      </c>
      <c r="BC204" s="618">
        <v>2.5595835869064278E-3</v>
      </c>
      <c r="BD204" s="618">
        <v>2.921971946740278E-3</v>
      </c>
      <c r="BE204" s="617">
        <v>2.8482642628632412E-3</v>
      </c>
      <c r="BF204" s="617">
        <v>2.7363846091423461E-3</v>
      </c>
      <c r="BG204" s="617"/>
      <c r="BH204" s="617"/>
      <c r="BI204" s="617"/>
      <c r="BJ204" s="617"/>
      <c r="BK204" s="617"/>
      <c r="BL204" s="617"/>
      <c r="BM204" s="617"/>
      <c r="BN204" s="617"/>
      <c r="BO204" s="617"/>
      <c r="BP204" s="617"/>
      <c r="BQ204" s="617"/>
      <c r="BR204" s="617"/>
      <c r="BS204" s="617"/>
      <c r="BT204" s="617"/>
      <c r="BU204" s="617"/>
      <c r="BV204" s="617"/>
      <c r="BW204" s="617"/>
      <c r="BX204" s="617"/>
      <c r="BY204" s="617"/>
      <c r="BZ204" s="617"/>
      <c r="CA204" s="617"/>
      <c r="CB204" s="617"/>
      <c r="CC204" s="617"/>
      <c r="CD204" s="617"/>
      <c r="CE204" s="617"/>
      <c r="CF204" s="617"/>
      <c r="CG204" s="617"/>
      <c r="CH204" s="617"/>
      <c r="CI204" s="617"/>
      <c r="CJ204" s="617"/>
      <c r="CK204" s="617"/>
      <c r="CL204" s="617"/>
    </row>
    <row r="205" spans="1:90">
      <c r="A205" s="151">
        <f t="shared" ca="1" si="17"/>
        <v>6</v>
      </c>
      <c r="B205" s="113">
        <f t="shared" si="19"/>
        <v>149</v>
      </c>
      <c r="C205" s="150">
        <f t="shared" si="26"/>
        <v>91</v>
      </c>
      <c r="D205" s="565">
        <f t="shared" si="27"/>
        <v>9.5000000000000001E-2</v>
      </c>
      <c r="E205" s="306">
        <f t="shared" si="20"/>
        <v>5071.9518822515229</v>
      </c>
      <c r="F205" s="306">
        <f t="shared" si="32"/>
        <v>4543.35417272635</v>
      </c>
      <c r="G205" s="307">
        <f t="shared" si="33"/>
        <v>9615.3060549778729</v>
      </c>
      <c r="H205" s="306">
        <f>IF(N204&lt;0.01,0,IF(Adm!$S$3=Adm!$S$13,Cal!$E$94,IF(Adm!$R$3=Adm!$R$6,0,IF(Cal!$E$91=0,N204*Adm!$Y$3,N204*Adm!$X$3))))</f>
        <v>275.48707065703007</v>
      </c>
      <c r="I205" s="306">
        <f>IF(N204&lt;0.01,0,IF(Adm!$R$4=Adm!$R$6,0,Cal!$E$89*Adm!$AA$3))</f>
        <v>573.58240000000001</v>
      </c>
      <c r="J205" s="306">
        <f>IF(N204&lt;0.01,0,Adm!$O$3*1.16)</f>
        <v>290</v>
      </c>
      <c r="K205" s="306">
        <f>IF(N204&lt;0.01,0,IF(Adm!$N$3&gt;0,E205*Adm!$N$3,0))</f>
        <v>0</v>
      </c>
      <c r="L205" s="306">
        <f t="shared" si="21"/>
        <v>10754.375525634903</v>
      </c>
      <c r="M205" s="306">
        <f>IF(Adm!$F$3="si",MIN(N204+E205+H205+I205+J205-L205,Z205),0)</f>
        <v>0</v>
      </c>
      <c r="N205" s="306">
        <f t="shared" si="22"/>
        <v>636124.2520064133</v>
      </c>
      <c r="O205" s="361"/>
      <c r="P205" s="114"/>
      <c r="V205" s="571">
        <f t="shared" si="23"/>
        <v>7</v>
      </c>
      <c r="W205" s="293">
        <f>IF(V205=1,Adm!$AN$2,0)</f>
        <v>0</v>
      </c>
      <c r="Y205" s="304">
        <f t="shared" si="28"/>
        <v>0</v>
      </c>
      <c r="Z205" s="345">
        <f t="shared" ca="1" si="24"/>
        <v>0</v>
      </c>
      <c r="AB205" s="640">
        <f t="shared" si="29"/>
        <v>0</v>
      </c>
      <c r="AC205" s="639">
        <f t="shared" si="30"/>
        <v>0</v>
      </c>
      <c r="AD205" s="641">
        <f t="shared" si="25"/>
        <v>0</v>
      </c>
      <c r="AE205" s="639">
        <f t="shared" si="31"/>
        <v>0</v>
      </c>
      <c r="AF205" s="636">
        <f t="shared" si="18"/>
        <v>0</v>
      </c>
      <c r="AG205" s="637" t="e">
        <f>HLOOKUP($AG$110,anticipado,92,0)</f>
        <v>#N/A</v>
      </c>
      <c r="AI205" s="614">
        <v>6.2119091479190753E-3</v>
      </c>
      <c r="AJ205" s="615">
        <v>6.0070028435542811E-3</v>
      </c>
      <c r="AK205" s="616">
        <v>5.8435851622623599E-3</v>
      </c>
      <c r="AL205" s="616">
        <v>6.2799612381060277E-3</v>
      </c>
      <c r="AM205" s="617">
        <v>6.2119091479190753E-3</v>
      </c>
      <c r="AN205" s="617">
        <v>6.0070028435542811E-3</v>
      </c>
      <c r="AO205" s="617">
        <v>6.4422664707499541E-3</v>
      </c>
      <c r="AP205" s="617">
        <v>6.3340121688913245E-3</v>
      </c>
      <c r="AQ205" s="617">
        <v>6.2676025889932445E-3</v>
      </c>
      <c r="AR205" s="617">
        <v>6.5903357357703128E-3</v>
      </c>
      <c r="AS205" s="617">
        <v>6.4422664707499541E-3</v>
      </c>
      <c r="AT205" s="618">
        <v>6.3022185557247085E-3</v>
      </c>
      <c r="AU205" s="618">
        <v>2.5810392635054712E-3</v>
      </c>
      <c r="AV205" s="618">
        <v>2.4916967129233344E-3</v>
      </c>
      <c r="AW205" s="618">
        <v>2.3290889354081207E-3</v>
      </c>
      <c r="AX205" s="618">
        <v>2.7351414734098473E-3</v>
      </c>
      <c r="AY205" s="618">
        <v>2.5810392635054712E-3</v>
      </c>
      <c r="AZ205" s="618">
        <v>2.4447818949679852E-3</v>
      </c>
      <c r="BA205" s="618">
        <v>2.8305668122210292E-3</v>
      </c>
      <c r="BB205" s="618">
        <v>2.75601350924216E-3</v>
      </c>
      <c r="BC205" s="618">
        <v>2.5895466182954429E-3</v>
      </c>
      <c r="BD205" s="618">
        <v>2.9537349553295498E-3</v>
      </c>
      <c r="BE205" s="617">
        <v>2.8795844920641222E-3</v>
      </c>
      <c r="BF205" s="617">
        <v>2.7672160457177298E-3</v>
      </c>
      <c r="BG205" s="617"/>
      <c r="BH205" s="617"/>
      <c r="BI205" s="617"/>
      <c r="BJ205" s="617"/>
      <c r="BK205" s="617"/>
      <c r="BL205" s="617"/>
      <c r="BM205" s="617"/>
      <c r="BN205" s="617"/>
      <c r="BO205" s="617"/>
      <c r="BP205" s="617"/>
      <c r="BQ205" s="617"/>
      <c r="BR205" s="617"/>
      <c r="BS205" s="617"/>
      <c r="BT205" s="617"/>
      <c r="BU205" s="617"/>
      <c r="BV205" s="617"/>
      <c r="BW205" s="617"/>
      <c r="BX205" s="617"/>
      <c r="BY205" s="617"/>
      <c r="BZ205" s="617"/>
      <c r="CA205" s="617"/>
      <c r="CB205" s="617"/>
      <c r="CC205" s="617"/>
      <c r="CD205" s="617"/>
      <c r="CE205" s="617"/>
      <c r="CF205" s="617"/>
      <c r="CG205" s="617"/>
      <c r="CH205" s="617"/>
      <c r="CI205" s="617"/>
      <c r="CJ205" s="617"/>
      <c r="CK205" s="617"/>
      <c r="CL205" s="617"/>
    </row>
    <row r="206" spans="1:90">
      <c r="A206" s="151">
        <f t="shared" ca="1" si="17"/>
        <v>7</v>
      </c>
      <c r="B206" s="113">
        <f t="shared" si="19"/>
        <v>148</v>
      </c>
      <c r="C206" s="150">
        <f t="shared" si="26"/>
        <v>92</v>
      </c>
      <c r="D206" s="565">
        <f t="shared" si="27"/>
        <v>9.5000000000000001E-2</v>
      </c>
      <c r="E206" s="306">
        <f t="shared" si="20"/>
        <v>5035.9836617174387</v>
      </c>
      <c r="F206" s="306">
        <f t="shared" si="32"/>
        <v>4579.3223932604342</v>
      </c>
      <c r="G206" s="307">
        <f t="shared" si="33"/>
        <v>9615.3060549778729</v>
      </c>
      <c r="H206" s="306">
        <f>IF(N205&lt;0.01,0,IF(Adm!$S$3=Adm!$S$13,Cal!$E$94,IF(Adm!$R$3=Adm!$R$6,0,IF(Cal!$E$91=0,N205*Adm!$Y$3,N205*Adm!$X$3))))</f>
        <v>273.53342836275772</v>
      </c>
      <c r="I206" s="306">
        <f>IF(N205&lt;0.01,0,IF(Adm!$R$4=Adm!$R$6,0,Cal!$E$89*Adm!$AA$3))</f>
        <v>573.58240000000001</v>
      </c>
      <c r="J206" s="306">
        <f>IF(N205&lt;0.01,0,Adm!$O$3*1.16)</f>
        <v>290</v>
      </c>
      <c r="K206" s="306">
        <f>IF(N205&lt;0.01,0,IF(Adm!$N$3&gt;0,E206*Adm!$N$3,0))</f>
        <v>0</v>
      </c>
      <c r="L206" s="306">
        <f t="shared" si="21"/>
        <v>10752.42188334063</v>
      </c>
      <c r="M206" s="306">
        <f>IF(Adm!$F$3="si",MIN(N205+E206+H206+I206+J206-L206,Z206),0)</f>
        <v>0</v>
      </c>
      <c r="N206" s="306">
        <f t="shared" si="22"/>
        <v>631544.92961315287</v>
      </c>
      <c r="O206" s="361"/>
      <c r="P206" s="114"/>
      <c r="V206" s="571">
        <f t="shared" si="23"/>
        <v>8</v>
      </c>
      <c r="W206" s="293">
        <f>IF(V206=1,Adm!$AN$2,0)</f>
        <v>0</v>
      </c>
      <c r="Y206" s="304">
        <f t="shared" si="28"/>
        <v>0</v>
      </c>
      <c r="Z206" s="345">
        <f t="shared" ca="1" si="24"/>
        <v>0</v>
      </c>
      <c r="AB206" s="640">
        <f t="shared" si="29"/>
        <v>0</v>
      </c>
      <c r="AC206" s="639">
        <f t="shared" si="30"/>
        <v>0</v>
      </c>
      <c r="AD206" s="641">
        <f t="shared" si="25"/>
        <v>0</v>
      </c>
      <c r="AE206" s="639">
        <f t="shared" si="31"/>
        <v>0</v>
      </c>
      <c r="AF206" s="636">
        <f t="shared" si="18"/>
        <v>0</v>
      </c>
      <c r="AG206" s="637" t="e">
        <f>HLOOKUP($AG$110,anticipado,93,0)</f>
        <v>#N/A</v>
      </c>
      <c r="AI206" s="614">
        <v>6.3046507821881877E-3</v>
      </c>
      <c r="AJ206" s="615">
        <v>6.0981479866557926E-3</v>
      </c>
      <c r="AK206" s="616">
        <v>5.9332349228902632E-3</v>
      </c>
      <c r="AL206" s="616">
        <v>6.3722594578074455E-3</v>
      </c>
      <c r="AM206" s="617">
        <v>6.3046507821881877E-3</v>
      </c>
      <c r="AN206" s="617">
        <v>6.0981479866557926E-3</v>
      </c>
      <c r="AO206" s="617">
        <v>6.5353703442192213E-3</v>
      </c>
      <c r="AP206" s="617">
        <v>6.4271887950633341E-3</v>
      </c>
      <c r="AQ206" s="617">
        <v>6.3612694199008902E-3</v>
      </c>
      <c r="AR206" s="617">
        <v>6.6846410747110271E-3</v>
      </c>
      <c r="AS206" s="617">
        <v>6.5353703442192213E-3</v>
      </c>
      <c r="AT206" s="618">
        <v>6.3944586160654543E-3</v>
      </c>
      <c r="AU206" s="618">
        <v>2.6112018092163073E-3</v>
      </c>
      <c r="AV206" s="618">
        <v>2.5214220451859719E-3</v>
      </c>
      <c r="AW206" s="618">
        <v>2.3576575189840697E-3</v>
      </c>
      <c r="AX206" s="618">
        <v>2.7662982857872853E-3</v>
      </c>
      <c r="AY206" s="618">
        <v>2.6112018092163073E-3</v>
      </c>
      <c r="AZ206" s="618">
        <v>2.4740354268066918E-3</v>
      </c>
      <c r="BA206" s="618">
        <v>2.8621147476664385E-3</v>
      </c>
      <c r="BB206" s="618">
        <v>2.7873512696172235E-3</v>
      </c>
      <c r="BC206" s="618">
        <v>2.6199391060845378E-3</v>
      </c>
      <c r="BD206" s="618">
        <v>2.9859383609036365E-3</v>
      </c>
      <c r="BE206" s="617">
        <v>2.9113405706831662E-3</v>
      </c>
      <c r="BF206" s="617">
        <v>2.7984813846977075E-3</v>
      </c>
      <c r="BG206" s="617"/>
      <c r="BH206" s="617"/>
      <c r="BI206" s="617"/>
      <c r="BJ206" s="617"/>
      <c r="BK206" s="617"/>
      <c r="BL206" s="617"/>
      <c r="BM206" s="617"/>
      <c r="BN206" s="617"/>
      <c r="BO206" s="617"/>
      <c r="BP206" s="617"/>
      <c r="BQ206" s="617"/>
      <c r="BR206" s="617"/>
      <c r="BS206" s="617"/>
      <c r="BT206" s="617"/>
      <c r="BU206" s="617"/>
      <c r="BV206" s="617"/>
      <c r="BW206" s="617"/>
      <c r="BX206" s="617"/>
      <c r="BY206" s="617"/>
      <c r="BZ206" s="617"/>
      <c r="CA206" s="617"/>
      <c r="CB206" s="617"/>
      <c r="CC206" s="617"/>
      <c r="CD206" s="617"/>
      <c r="CE206" s="617"/>
      <c r="CF206" s="617"/>
      <c r="CG206" s="617"/>
      <c r="CH206" s="617"/>
      <c r="CI206" s="617"/>
      <c r="CJ206" s="617"/>
      <c r="CK206" s="617"/>
      <c r="CL206" s="617"/>
    </row>
    <row r="207" spans="1:90">
      <c r="A207" s="151">
        <f t="shared" ca="1" si="17"/>
        <v>8</v>
      </c>
      <c r="B207" s="113">
        <f t="shared" si="19"/>
        <v>147</v>
      </c>
      <c r="C207" s="150">
        <f t="shared" si="26"/>
        <v>93</v>
      </c>
      <c r="D207" s="565">
        <f t="shared" si="27"/>
        <v>9.5000000000000001E-2</v>
      </c>
      <c r="E207" s="306">
        <f t="shared" si="20"/>
        <v>4999.7306927707932</v>
      </c>
      <c r="F207" s="306">
        <f t="shared" si="32"/>
        <v>4615.5753622070797</v>
      </c>
      <c r="G207" s="307">
        <f t="shared" si="33"/>
        <v>9615.3060549778729</v>
      </c>
      <c r="H207" s="306">
        <f>IF(N206&lt;0.01,0,IF(Adm!$S$3=Adm!$S$13,Cal!$E$94,IF(Adm!$R$3=Adm!$R$6,0,IF(Cal!$E$91=0,N206*Adm!$Y$3,N206*Adm!$X$3))))</f>
        <v>271.56431973365574</v>
      </c>
      <c r="I207" s="306">
        <f>IF(N206&lt;0.01,0,IF(Adm!$R$4=Adm!$R$6,0,Cal!$E$89*Adm!$AA$3))</f>
        <v>573.58240000000001</v>
      </c>
      <c r="J207" s="306">
        <f>IF(N206&lt;0.01,0,Adm!$O$3*1.16)</f>
        <v>290</v>
      </c>
      <c r="K207" s="306">
        <f>IF(N206&lt;0.01,0,IF(Adm!$N$3&gt;0,E207*Adm!$N$3,0))</f>
        <v>0</v>
      </c>
      <c r="L207" s="306">
        <f t="shared" si="21"/>
        <v>10750.452774711528</v>
      </c>
      <c r="M207" s="306">
        <f>IF(Adm!$F$3="si",MIN(N206+E207+H207+I207+J207-L207,Z207),0)</f>
        <v>0</v>
      </c>
      <c r="N207" s="306">
        <f t="shared" si="22"/>
        <v>626929.35425094573</v>
      </c>
      <c r="O207" s="361"/>
      <c r="P207" s="114"/>
      <c r="V207" s="571">
        <f t="shared" si="23"/>
        <v>9</v>
      </c>
      <c r="W207" s="293">
        <f>IF(V207=1,Adm!$AN$2,0)</f>
        <v>0</v>
      </c>
      <c r="Y207" s="304">
        <f t="shared" si="28"/>
        <v>0</v>
      </c>
      <c r="Z207" s="345">
        <f t="shared" ca="1" si="24"/>
        <v>0</v>
      </c>
      <c r="AB207" s="640">
        <f t="shared" si="29"/>
        <v>0</v>
      </c>
      <c r="AC207" s="639">
        <f t="shared" si="30"/>
        <v>0</v>
      </c>
      <c r="AD207" s="641">
        <f t="shared" si="25"/>
        <v>0</v>
      </c>
      <c r="AE207" s="639">
        <f t="shared" si="31"/>
        <v>0</v>
      </c>
      <c r="AF207" s="636">
        <f t="shared" si="18"/>
        <v>0</v>
      </c>
      <c r="AG207" s="637" t="e">
        <f>HLOOKUP($AG$110,anticipado,94,0)</f>
        <v>#N/A</v>
      </c>
      <c r="AI207" s="614">
        <v>6.3993742148336268E-3</v>
      </c>
      <c r="AJ207" s="615">
        <v>6.1912438005519259E-3</v>
      </c>
      <c r="AK207" s="616">
        <v>6.0248033484201838E-3</v>
      </c>
      <c r="AL207" s="616">
        <v>6.4665148280658863E-3</v>
      </c>
      <c r="AM207" s="617">
        <v>6.3993742148336268E-3</v>
      </c>
      <c r="AN207" s="617">
        <v>6.1912438005519259E-3</v>
      </c>
      <c r="AO207" s="617">
        <v>6.6304410807860852E-3</v>
      </c>
      <c r="AP207" s="617">
        <v>6.5223477023189603E-3</v>
      </c>
      <c r="AQ207" s="617">
        <v>6.456944680497078E-3</v>
      </c>
      <c r="AR207" s="617">
        <v>6.7809396103501781E-3</v>
      </c>
      <c r="AS207" s="617">
        <v>6.6304410807860852E-3</v>
      </c>
      <c r="AT207" s="618">
        <v>6.4886510229330962E-3</v>
      </c>
      <c r="AU207" s="618">
        <v>2.641796730035997E-3</v>
      </c>
      <c r="AV207" s="618">
        <v>2.551578029354322E-3</v>
      </c>
      <c r="AW207" s="618">
        <v>2.3866448667833194E-3</v>
      </c>
      <c r="AX207" s="618">
        <v>2.7978974273593139E-3</v>
      </c>
      <c r="AY207" s="618">
        <v>2.641796730035997E-3</v>
      </c>
      <c r="AZ207" s="618">
        <v>2.5037124196241509E-3</v>
      </c>
      <c r="BA207" s="618">
        <v>2.8941058612263321E-3</v>
      </c>
      <c r="BB207" s="618">
        <v>2.8191339512797578E-3</v>
      </c>
      <c r="BC207" s="618">
        <v>2.6507690711523868E-3</v>
      </c>
      <c r="BD207" s="618">
        <v>3.0185903643589166E-3</v>
      </c>
      <c r="BE207" s="617">
        <v>2.943540600821169E-3</v>
      </c>
      <c r="BF207" s="617">
        <v>2.8301887068790206E-3</v>
      </c>
      <c r="BG207" s="617"/>
      <c r="BH207" s="617"/>
      <c r="BI207" s="617"/>
      <c r="BJ207" s="617"/>
      <c r="BK207" s="617"/>
      <c r="BL207" s="617"/>
      <c r="BM207" s="617"/>
      <c r="BN207" s="617"/>
      <c r="BO207" s="617"/>
      <c r="BP207" s="617"/>
      <c r="BQ207" s="617"/>
      <c r="BR207" s="617"/>
      <c r="BS207" s="617"/>
      <c r="BT207" s="617"/>
      <c r="BU207" s="617"/>
      <c r="BV207" s="617"/>
      <c r="BW207" s="617"/>
      <c r="BX207" s="617"/>
      <c r="BY207" s="617"/>
      <c r="BZ207" s="617"/>
      <c r="CA207" s="617"/>
      <c r="CB207" s="617"/>
      <c r="CC207" s="617"/>
      <c r="CD207" s="617"/>
      <c r="CE207" s="617"/>
      <c r="CF207" s="617"/>
      <c r="CG207" s="617"/>
      <c r="CH207" s="617"/>
      <c r="CI207" s="617"/>
      <c r="CJ207" s="617"/>
      <c r="CK207" s="617"/>
      <c r="CL207" s="617"/>
    </row>
    <row r="208" spans="1:90">
      <c r="A208" s="151">
        <f t="shared" ca="1" si="17"/>
        <v>9</v>
      </c>
      <c r="B208" s="113">
        <f t="shared" si="19"/>
        <v>146</v>
      </c>
      <c r="C208" s="150">
        <f t="shared" si="26"/>
        <v>94</v>
      </c>
      <c r="D208" s="565">
        <f t="shared" si="27"/>
        <v>9.5000000000000001E-2</v>
      </c>
      <c r="E208" s="306">
        <f t="shared" si="20"/>
        <v>4963.1907211533207</v>
      </c>
      <c r="F208" s="306">
        <f t="shared" si="32"/>
        <v>4652.1153338245522</v>
      </c>
      <c r="G208" s="307">
        <f t="shared" si="33"/>
        <v>9615.3060549778729</v>
      </c>
      <c r="H208" s="306">
        <f>IF(N207&lt;0.01,0,IF(Adm!$S$3=Adm!$S$13,Cal!$E$94,IF(Adm!$R$3=Adm!$R$6,0,IF(Cal!$E$91=0,N207*Adm!$Y$3,N207*Adm!$X$3))))</f>
        <v>269.57962232790663</v>
      </c>
      <c r="I208" s="306">
        <f>IF(N207&lt;0.01,0,IF(Adm!$R$4=Adm!$R$6,0,Cal!$E$89*Adm!$AA$3))</f>
        <v>573.58240000000001</v>
      </c>
      <c r="J208" s="306">
        <f>IF(N207&lt;0.01,0,Adm!$O$3*1.16)</f>
        <v>290</v>
      </c>
      <c r="K208" s="306">
        <f>IF(N207&lt;0.01,0,IF(Adm!$N$3&gt;0,E208*Adm!$N$3,0))</f>
        <v>0</v>
      </c>
      <c r="L208" s="306">
        <f t="shared" si="21"/>
        <v>10748.468077305779</v>
      </c>
      <c r="M208" s="306">
        <f>IF(Adm!$F$3="si",MIN(N207+E208+H208+I208+J208-L208,Z208),0)</f>
        <v>0</v>
      </c>
      <c r="N208" s="306">
        <f t="shared" si="22"/>
        <v>622277.2389171212</v>
      </c>
      <c r="O208" s="361"/>
      <c r="P208" s="114"/>
      <c r="V208" s="571">
        <f t="shared" si="23"/>
        <v>10</v>
      </c>
      <c r="W208" s="293">
        <f>IF(V208=1,Adm!$AN$2,0)</f>
        <v>0</v>
      </c>
      <c r="Y208" s="304">
        <f t="shared" si="28"/>
        <v>0</v>
      </c>
      <c r="Z208" s="345">
        <f t="shared" ca="1" si="24"/>
        <v>0</v>
      </c>
      <c r="AB208" s="640">
        <f t="shared" si="29"/>
        <v>0</v>
      </c>
      <c r="AC208" s="639">
        <f t="shared" si="30"/>
        <v>0</v>
      </c>
      <c r="AD208" s="641">
        <f t="shared" si="25"/>
        <v>0</v>
      </c>
      <c r="AE208" s="639">
        <f t="shared" si="31"/>
        <v>0</v>
      </c>
      <c r="AF208" s="636">
        <f t="shared" si="18"/>
        <v>0</v>
      </c>
      <c r="AG208" s="637" t="e">
        <f>HLOOKUP($AG$110,anticipado,95,0)</f>
        <v>#N/A</v>
      </c>
      <c r="AI208" s="614">
        <v>6.4961400485592661E-3</v>
      </c>
      <c r="AJ208" s="615">
        <v>6.2863496614112488E-3</v>
      </c>
      <c r="AK208" s="616">
        <v>6.1183485534414784E-3</v>
      </c>
      <c r="AL208" s="616">
        <v>6.5627869229602943E-3</v>
      </c>
      <c r="AM208" s="617">
        <v>6.4961400485592661E-3</v>
      </c>
      <c r="AN208" s="617">
        <v>6.2863496614112488E-3</v>
      </c>
      <c r="AO208" s="617">
        <v>6.7275386211217026E-3</v>
      </c>
      <c r="AP208" s="617">
        <v>6.6195494858324738E-3</v>
      </c>
      <c r="AQ208" s="617">
        <v>6.5546900601206803E-3</v>
      </c>
      <c r="AR208" s="617">
        <v>6.8792923408040364E-3</v>
      </c>
      <c r="AS208" s="617">
        <v>6.7275386211217026E-3</v>
      </c>
      <c r="AT208" s="618">
        <v>6.584855148878071E-3</v>
      </c>
      <c r="AU208" s="618">
        <v>2.6728321145010974E-3</v>
      </c>
      <c r="AV208" s="618">
        <v>2.5821727412149802E-3</v>
      </c>
      <c r="AW208" s="618">
        <v>2.4160588140380674E-3</v>
      </c>
      <c r="AX208" s="618">
        <v>2.8299471946457494E-3</v>
      </c>
      <c r="AY208" s="618">
        <v>2.6728321145010974E-3</v>
      </c>
      <c r="AZ208" s="618">
        <v>2.5338207819011645E-3</v>
      </c>
      <c r="BA208" s="618">
        <v>2.9265484457869392E-3</v>
      </c>
      <c r="BB208" s="618">
        <v>2.8513699114198509E-3</v>
      </c>
      <c r="BC208" s="618">
        <v>2.6820447304031938E-3</v>
      </c>
      <c r="BD208" s="618">
        <v>3.0516993683850856E-3</v>
      </c>
      <c r="BE208" s="617">
        <v>2.9761928832856594E-3</v>
      </c>
      <c r="BF208" s="617">
        <v>2.8623462910355594E-3</v>
      </c>
      <c r="BG208" s="617"/>
      <c r="BH208" s="617"/>
      <c r="BI208" s="617"/>
      <c r="BJ208" s="617"/>
      <c r="BK208" s="617"/>
      <c r="BL208" s="617"/>
      <c r="BM208" s="617"/>
      <c r="BN208" s="617"/>
      <c r="BO208" s="617"/>
      <c r="BP208" s="617"/>
      <c r="BQ208" s="617"/>
      <c r="BR208" s="617"/>
      <c r="BS208" s="617"/>
      <c r="BT208" s="617"/>
      <c r="BU208" s="617"/>
      <c r="BV208" s="617"/>
      <c r="BW208" s="617"/>
      <c r="BX208" s="617"/>
      <c r="BY208" s="617"/>
      <c r="BZ208" s="617"/>
      <c r="CA208" s="617"/>
      <c r="CB208" s="617"/>
      <c r="CC208" s="617"/>
      <c r="CD208" s="617"/>
      <c r="CE208" s="617"/>
      <c r="CF208" s="617"/>
      <c r="CG208" s="617"/>
      <c r="CH208" s="617"/>
      <c r="CI208" s="617"/>
      <c r="CJ208" s="617"/>
      <c r="CK208" s="617"/>
      <c r="CL208" s="617"/>
    </row>
    <row r="209" spans="1:90">
      <c r="A209" s="151">
        <f t="shared" ca="1" si="17"/>
        <v>10</v>
      </c>
      <c r="B209" s="113">
        <f t="shared" si="19"/>
        <v>145</v>
      </c>
      <c r="C209" s="150">
        <f t="shared" si="26"/>
        <v>95</v>
      </c>
      <c r="D209" s="565">
        <f t="shared" si="27"/>
        <v>9.5000000000000001E-2</v>
      </c>
      <c r="E209" s="306">
        <f t="shared" si="20"/>
        <v>4926.3614747605434</v>
      </c>
      <c r="F209" s="306">
        <f t="shared" si="32"/>
        <v>4688.9445802173295</v>
      </c>
      <c r="G209" s="307">
        <f t="shared" si="33"/>
        <v>9615.3060549778729</v>
      </c>
      <c r="H209" s="306">
        <f>IF(N208&lt;0.01,0,IF(Adm!$S$3=Adm!$S$13,Cal!$E$94,IF(Adm!$R$3=Adm!$R$6,0,IF(Cal!$E$91=0,N208*Adm!$Y$3,N208*Adm!$X$3))))</f>
        <v>267.5792127343621</v>
      </c>
      <c r="I209" s="306">
        <f>IF(N208&lt;0.01,0,IF(Adm!$R$4=Adm!$R$6,0,Cal!$E$89*Adm!$AA$3))</f>
        <v>573.58240000000001</v>
      </c>
      <c r="J209" s="306">
        <f>IF(N208&lt;0.01,0,Adm!$O$3*1.16)</f>
        <v>290</v>
      </c>
      <c r="K209" s="306">
        <f>IF(N208&lt;0.01,0,IF(Adm!$N$3&gt;0,E209*Adm!$N$3,0))</f>
        <v>0</v>
      </c>
      <c r="L209" s="306">
        <f t="shared" si="21"/>
        <v>10746.467667712235</v>
      </c>
      <c r="M209" s="306">
        <f>IF(Adm!$F$3="si",MIN(N208+E209+H209+I209+J209-L209,Z209),0)</f>
        <v>0</v>
      </c>
      <c r="N209" s="306">
        <f t="shared" si="22"/>
        <v>617588.29433690384</v>
      </c>
      <c r="O209" s="361"/>
      <c r="P209" s="114"/>
      <c r="V209" s="571">
        <f t="shared" si="23"/>
        <v>11</v>
      </c>
      <c r="W209" s="293">
        <f>IF(V209=1,Adm!$AN$2,0)</f>
        <v>0</v>
      </c>
      <c r="Y209" s="304">
        <f t="shared" si="28"/>
        <v>0</v>
      </c>
      <c r="Z209" s="345">
        <f t="shared" ca="1" si="24"/>
        <v>0</v>
      </c>
      <c r="AB209" s="640">
        <f t="shared" si="29"/>
        <v>0</v>
      </c>
      <c r="AC209" s="639">
        <f t="shared" si="30"/>
        <v>0</v>
      </c>
      <c r="AD209" s="641">
        <f t="shared" si="25"/>
        <v>0</v>
      </c>
      <c r="AE209" s="639">
        <f t="shared" si="31"/>
        <v>0</v>
      </c>
      <c r="AF209" s="636">
        <f t="shared" si="18"/>
        <v>0</v>
      </c>
      <c r="AG209" s="637" t="e">
        <f>HLOOKUP($AG$110,anticipado,96,0)</f>
        <v>#N/A</v>
      </c>
      <c r="AI209" s="614">
        <v>6.5950113739853397E-3</v>
      </c>
      <c r="AJ209" s="615">
        <v>6.3835273697077288E-3</v>
      </c>
      <c r="AK209" s="616">
        <v>6.2139310118996148E-3</v>
      </c>
      <c r="AL209" s="616">
        <v>6.6611377518236443E-3</v>
      </c>
      <c r="AM209" s="617">
        <v>6.5950113739853397E-3</v>
      </c>
      <c r="AN209" s="617">
        <v>6.3835273697077288E-3</v>
      </c>
      <c r="AO209" s="617">
        <v>6.8267253603900655E-3</v>
      </c>
      <c r="AP209" s="617">
        <v>6.7188572286534347E-3</v>
      </c>
      <c r="AQ209" s="617">
        <v>6.6545697922751872E-3</v>
      </c>
      <c r="AR209" s="617">
        <v>6.979762773490974E-3</v>
      </c>
      <c r="AS209" s="617">
        <v>6.8267253603900655E-3</v>
      </c>
      <c r="AT209" s="618">
        <v>6.6831327914357273E-3</v>
      </c>
      <c r="AU209" s="618">
        <v>2.7043162492589811E-3</v>
      </c>
      <c r="AV209" s="618">
        <v>2.6132144542192126E-3</v>
      </c>
      <c r="AW209" s="618">
        <v>2.4459073862192916E-3</v>
      </c>
      <c r="AX209" s="618">
        <v>2.8624560887778009E-3</v>
      </c>
      <c r="AY209" s="618">
        <v>2.7043162492589811E-3</v>
      </c>
      <c r="AZ209" s="618">
        <v>2.5643686146442834E-3</v>
      </c>
      <c r="BA209" s="618">
        <v>2.9594509988004618E-3</v>
      </c>
      <c r="BB209" s="618">
        <v>2.8840677137276253E-3</v>
      </c>
      <c r="BC209" s="618">
        <v>2.7137745028001062E-3</v>
      </c>
      <c r="BD209" s="618">
        <v>3.0852739837188762E-3</v>
      </c>
      <c r="BE209" s="617">
        <v>3.0093059237288272E-3</v>
      </c>
      <c r="BF209" s="617">
        <v>2.894962620027483E-3</v>
      </c>
      <c r="BG209" s="617"/>
      <c r="BH209" s="617"/>
      <c r="BI209" s="617"/>
      <c r="BJ209" s="617"/>
      <c r="BK209" s="617"/>
      <c r="BL209" s="617"/>
      <c r="BM209" s="617"/>
      <c r="BN209" s="617"/>
      <c r="BO209" s="617"/>
      <c r="BP209" s="617"/>
      <c r="BQ209" s="617"/>
      <c r="BR209" s="617"/>
      <c r="BS209" s="617"/>
      <c r="BT209" s="617"/>
      <c r="BU209" s="617"/>
      <c r="BV209" s="617"/>
      <c r="BW209" s="617"/>
      <c r="BX209" s="617"/>
      <c r="BY209" s="617"/>
      <c r="BZ209" s="617"/>
      <c r="CA209" s="617"/>
      <c r="CB209" s="617"/>
      <c r="CC209" s="617"/>
      <c r="CD209" s="617"/>
      <c r="CE209" s="617"/>
      <c r="CF209" s="617"/>
      <c r="CG209" s="617"/>
      <c r="CH209" s="617"/>
      <c r="CI209" s="617"/>
      <c r="CJ209" s="617"/>
      <c r="CK209" s="617"/>
      <c r="CL209" s="617"/>
    </row>
    <row r="210" spans="1:90">
      <c r="A210" s="151">
        <f t="shared" ca="1" si="17"/>
        <v>11</v>
      </c>
      <c r="B210" s="113">
        <f t="shared" si="19"/>
        <v>144</v>
      </c>
      <c r="C210" s="150">
        <f t="shared" si="26"/>
        <v>96</v>
      </c>
      <c r="D210" s="565">
        <f t="shared" si="27"/>
        <v>9.5000000000000001E-2</v>
      </c>
      <c r="E210" s="306">
        <f t="shared" si="20"/>
        <v>4889.2406635004891</v>
      </c>
      <c r="F210" s="306">
        <f t="shared" si="32"/>
        <v>4726.0653914773839</v>
      </c>
      <c r="G210" s="307">
        <f t="shared" si="33"/>
        <v>9615.3060549778729</v>
      </c>
      <c r="H210" s="306">
        <f>IF(N209&lt;0.01,0,IF(Adm!$S$3=Adm!$S$13,Cal!$E$94,IF(Adm!$R$3=Adm!$R$6,0,IF(Cal!$E$91=0,N209*Adm!$Y$3,N209*Adm!$X$3))))</f>
        <v>265.56296656486865</v>
      </c>
      <c r="I210" s="306">
        <f>IF(N209&lt;0.01,0,IF(Adm!$R$4=Adm!$R$6,0,Cal!$E$89*Adm!$AA$3))</f>
        <v>573.58240000000001</v>
      </c>
      <c r="J210" s="306">
        <f>IF(N209&lt;0.01,0,Adm!$O$3*1.16)</f>
        <v>290</v>
      </c>
      <c r="K210" s="306">
        <f>IF(N209&lt;0.01,0,IF(Adm!$N$3&gt;0,E210*Adm!$N$3,0))</f>
        <v>0</v>
      </c>
      <c r="L210" s="306">
        <f t="shared" si="21"/>
        <v>10744.451421542741</v>
      </c>
      <c r="M210" s="306">
        <f>IF(Adm!$F$3="si",MIN(N209+E210+H210+I210+J210-L210,Z210),0)</f>
        <v>0</v>
      </c>
      <c r="N210" s="306">
        <f t="shared" si="22"/>
        <v>612862.22894542641</v>
      </c>
      <c r="O210" s="361"/>
      <c r="P210" s="114"/>
      <c r="V210" s="571">
        <f t="shared" si="23"/>
        <v>12</v>
      </c>
      <c r="W210" s="293">
        <f>IF(V210=1,Adm!$AN$2,0)</f>
        <v>0</v>
      </c>
      <c r="Y210" s="304">
        <f t="shared" si="28"/>
        <v>0</v>
      </c>
      <c r="Z210" s="345">
        <f t="shared" ca="1" si="24"/>
        <v>0</v>
      </c>
      <c r="AB210" s="640">
        <f t="shared" si="29"/>
        <v>0</v>
      </c>
      <c r="AC210" s="639">
        <f t="shared" si="30"/>
        <v>0</v>
      </c>
      <c r="AD210" s="641">
        <f t="shared" si="25"/>
        <v>0</v>
      </c>
      <c r="AE210" s="639">
        <f t="shared" si="31"/>
        <v>0</v>
      </c>
      <c r="AF210" s="636">
        <f t="shared" si="18"/>
        <v>0</v>
      </c>
      <c r="AG210" s="637" t="e">
        <f>HLOOKUP($AG$110,anticipado,97,0)</f>
        <v>#N/A</v>
      </c>
      <c r="AI210" s="614">
        <v>6.6960538987087649E-3</v>
      </c>
      <c r="AJ210" s="615">
        <v>6.4828412753021886E-3</v>
      </c>
      <c r="AK210" s="616">
        <v>6.3116136781396258E-3</v>
      </c>
      <c r="AL210" s="616">
        <v>6.7616318850208211E-3</v>
      </c>
      <c r="AM210" s="617">
        <v>6.6960538987087649E-3</v>
      </c>
      <c r="AN210" s="617">
        <v>6.4828412753021886E-3</v>
      </c>
      <c r="AO210" s="617">
        <v>6.9280662752327481E-3</v>
      </c>
      <c r="AP210" s="617">
        <v>6.8203366307709517E-3</v>
      </c>
      <c r="AQ210" s="617">
        <v>6.7566507872177887E-3</v>
      </c>
      <c r="AR210" s="617">
        <v>7.0824170555495039E-3</v>
      </c>
      <c r="AS210" s="617">
        <v>6.9280662752327481E-3</v>
      </c>
      <c r="AT210" s="618">
        <v>6.7835482982662428E-3</v>
      </c>
      <c r="AU210" s="618">
        <v>2.7362576251789353E-3</v>
      </c>
      <c r="AV210" s="618">
        <v>2.6447116455754521E-3</v>
      </c>
      <c r="AW210" s="618">
        <v>2.4761988048509456E-3</v>
      </c>
      <c r="AX210" s="618">
        <v>2.8954328218540729E-3</v>
      </c>
      <c r="AY210" s="618">
        <v>2.7362576251789353E-3</v>
      </c>
      <c r="AZ210" s="618">
        <v>2.5953642172873311E-3</v>
      </c>
      <c r="BA210" s="618">
        <v>2.9928222286409777E-3</v>
      </c>
      <c r="BB210" s="618">
        <v>2.9172361348202085E-3</v>
      </c>
      <c r="BC210" s="618">
        <v>2.7459670156231631E-3</v>
      </c>
      <c r="BD210" s="618">
        <v>3.1193230356319685E-3</v>
      </c>
      <c r="BE210" s="617">
        <v>3.0428884390145327E-3</v>
      </c>
      <c r="BF210" s="617">
        <v>2.9280463871381897E-3</v>
      </c>
      <c r="BG210" s="617"/>
      <c r="BH210" s="617"/>
      <c r="BI210" s="617"/>
      <c r="BJ210" s="617"/>
      <c r="BK210" s="617"/>
      <c r="BL210" s="617"/>
      <c r="BM210" s="617"/>
      <c r="BN210" s="617"/>
      <c r="BO210" s="617"/>
      <c r="BP210" s="617"/>
      <c r="BQ210" s="617"/>
      <c r="BR210" s="617"/>
      <c r="BS210" s="617"/>
      <c r="BT210" s="617"/>
      <c r="BU210" s="617"/>
      <c r="BV210" s="617"/>
      <c r="BW210" s="617"/>
      <c r="BX210" s="617"/>
      <c r="BY210" s="617"/>
      <c r="BZ210" s="617"/>
      <c r="CA210" s="617"/>
      <c r="CB210" s="617"/>
      <c r="CC210" s="617"/>
      <c r="CD210" s="617"/>
      <c r="CE210" s="617"/>
      <c r="CF210" s="617"/>
      <c r="CG210" s="617"/>
      <c r="CH210" s="617"/>
      <c r="CI210" s="617"/>
      <c r="CJ210" s="617"/>
      <c r="CK210" s="617"/>
      <c r="CL210" s="617"/>
    </row>
    <row r="211" spans="1:90">
      <c r="A211" s="151">
        <f t="shared" ca="1" si="17"/>
        <v>12</v>
      </c>
      <c r="B211" s="113">
        <f t="shared" si="19"/>
        <v>143</v>
      </c>
      <c r="C211" s="150">
        <f t="shared" si="26"/>
        <v>97</v>
      </c>
      <c r="D211" s="565">
        <f t="shared" si="27"/>
        <v>9.5000000000000001E-2</v>
      </c>
      <c r="E211" s="306">
        <f t="shared" si="20"/>
        <v>4851.8259791512928</v>
      </c>
      <c r="F211" s="306">
        <f t="shared" si="32"/>
        <v>4763.4800758265801</v>
      </c>
      <c r="G211" s="307">
        <f t="shared" si="33"/>
        <v>9615.3060549778729</v>
      </c>
      <c r="H211" s="306">
        <f>IF(N210&lt;0.01,0,IF(Adm!$S$3=Adm!$S$13,Cal!$E$94,IF(Adm!$R$3=Adm!$R$6,0,IF(Cal!$E$91=0,N210*Adm!$Y$3,N210*Adm!$X$3))))</f>
        <v>263.53075844653335</v>
      </c>
      <c r="I211" s="306">
        <f>IF(N210&lt;0.01,0,IF(Adm!$R$4=Adm!$R$6,0,Cal!$E$89*Adm!$AA$3))</f>
        <v>573.58240000000001</v>
      </c>
      <c r="J211" s="306">
        <f>IF(N210&lt;0.01,0,Adm!$O$3*1.16)</f>
        <v>290</v>
      </c>
      <c r="K211" s="306">
        <f>IF(N210&lt;0.01,0,IF(Adm!$N$3&gt;0,E211*Adm!$N$3,0))</f>
        <v>0</v>
      </c>
      <c r="L211" s="306">
        <f t="shared" si="21"/>
        <v>10742.419213424406</v>
      </c>
      <c r="M211" s="306">
        <f>IF(Adm!$F$3="si",MIN(N210+E211+H211+I211+J211-L211,Z211),0)</f>
        <v>0</v>
      </c>
      <c r="N211" s="306">
        <f t="shared" si="22"/>
        <v>608098.74886959977</v>
      </c>
      <c r="O211" s="361"/>
      <c r="P211" s="114"/>
      <c r="V211" s="571">
        <f t="shared" si="23"/>
        <v>1</v>
      </c>
      <c r="W211" s="293">
        <f>IF(V211=1,Adm!$AN$2,0)</f>
        <v>0</v>
      </c>
      <c r="Y211" s="304">
        <f t="shared" si="28"/>
        <v>0</v>
      </c>
      <c r="Z211" s="345">
        <f t="shared" ca="1" si="24"/>
        <v>0</v>
      </c>
      <c r="AB211" s="640">
        <f t="shared" si="29"/>
        <v>0</v>
      </c>
      <c r="AC211" s="639">
        <f t="shared" si="30"/>
        <v>0</v>
      </c>
      <c r="AD211" s="641">
        <f t="shared" si="25"/>
        <v>0</v>
      </c>
      <c r="AE211" s="639">
        <f t="shared" si="31"/>
        <v>0</v>
      </c>
      <c r="AF211" s="636">
        <f t="shared" si="18"/>
        <v>0</v>
      </c>
      <c r="AG211" s="637" t="e">
        <f>HLOOKUP($AG$110,anticipado,98,0)</f>
        <v>#N/A</v>
      </c>
      <c r="AI211" s="614">
        <v>7.1849444865943121E-3</v>
      </c>
      <c r="AJ211" s="615">
        <v>6.9758423706082892E-3</v>
      </c>
      <c r="AK211" s="616">
        <v>6.8069570017000513E-3</v>
      </c>
      <c r="AL211" s="616">
        <v>7.2440700022939732E-3</v>
      </c>
      <c r="AM211" s="617">
        <v>7.1849444865943121E-3</v>
      </c>
      <c r="AN211" s="617">
        <v>6.9758423706082892E-3</v>
      </c>
      <c r="AO211" s="617">
        <v>7.4053364518546711E-3</v>
      </c>
      <c r="AP211" s="617">
        <v>7.3042408832880434E-3</v>
      </c>
      <c r="AQ211" s="617">
        <v>7.247111175584753E-3</v>
      </c>
      <c r="AR211" s="617">
        <v>7.5576322152879289E-3</v>
      </c>
      <c r="AS211" s="617">
        <v>7.4053364518546711E-3</v>
      </c>
      <c r="AT211" s="618">
        <v>7.2643645842948874E-3</v>
      </c>
      <c r="AU211" s="618">
        <v>2.8871015931280883E-3</v>
      </c>
      <c r="AV211" s="618">
        <v>2.7975230659278852E-3</v>
      </c>
      <c r="AW211" s="618">
        <v>2.6310942418078685E-3</v>
      </c>
      <c r="AX211" s="618">
        <v>3.0444251867705599E-3</v>
      </c>
      <c r="AY211" s="618">
        <v>2.8871015931280883E-3</v>
      </c>
      <c r="AZ211" s="618">
        <v>2.7480009214164731E-3</v>
      </c>
      <c r="BA211" s="618">
        <v>3.1397711051442821E-3</v>
      </c>
      <c r="BB211" s="618">
        <v>3.0662263459529022E-3</v>
      </c>
      <c r="BC211" s="618">
        <v>2.8975840887378269E-3</v>
      </c>
      <c r="BD211" s="618">
        <v>3.2645607930366473E-3</v>
      </c>
      <c r="BE211" s="617">
        <v>3.1888855241293933E-3</v>
      </c>
      <c r="BF211" s="617">
        <v>3.0762225676755606E-3</v>
      </c>
      <c r="BG211" s="617"/>
      <c r="BH211" s="617"/>
      <c r="BI211" s="617"/>
      <c r="BJ211" s="617"/>
      <c r="BK211" s="617"/>
      <c r="BL211" s="617"/>
      <c r="BM211" s="617"/>
      <c r="BN211" s="617"/>
      <c r="BO211" s="617"/>
      <c r="BP211" s="617"/>
      <c r="BQ211" s="617"/>
      <c r="BR211" s="617"/>
      <c r="BS211" s="617"/>
      <c r="BT211" s="617"/>
      <c r="BU211" s="617"/>
      <c r="BV211" s="617"/>
      <c r="BW211" s="617"/>
      <c r="BX211" s="617"/>
      <c r="BY211" s="617"/>
      <c r="BZ211" s="617"/>
      <c r="CA211" s="617"/>
      <c r="CB211" s="617"/>
      <c r="CC211" s="617"/>
      <c r="CD211" s="617"/>
      <c r="CE211" s="617"/>
      <c r="CF211" s="617"/>
      <c r="CG211" s="617"/>
      <c r="CH211" s="617"/>
      <c r="CI211" s="617"/>
      <c r="CJ211" s="617"/>
      <c r="CK211" s="617"/>
      <c r="CL211" s="617"/>
    </row>
    <row r="212" spans="1:90">
      <c r="A212" s="151">
        <f t="shared" ca="1" si="17"/>
        <v>1</v>
      </c>
      <c r="B212" s="113">
        <f t="shared" si="19"/>
        <v>142</v>
      </c>
      <c r="C212" s="150">
        <f t="shared" si="26"/>
        <v>98</v>
      </c>
      <c r="D212" s="565">
        <f t="shared" si="27"/>
        <v>9.5000000000000001E-2</v>
      </c>
      <c r="E212" s="306">
        <f t="shared" si="20"/>
        <v>4814.1150952176649</v>
      </c>
      <c r="F212" s="306">
        <f t="shared" si="32"/>
        <v>4801.190959760208</v>
      </c>
      <c r="G212" s="307">
        <f t="shared" si="33"/>
        <v>9615.3060549778729</v>
      </c>
      <c r="H212" s="306">
        <f>IF(N211&lt;0.01,0,IF(Adm!$S$3=Adm!$S$13,Cal!$E$94,IF(Adm!$R$3=Adm!$R$6,0,IF(Cal!$E$91=0,N211*Adm!$Y$3,N211*Adm!$X$3))))</f>
        <v>261.48246201392789</v>
      </c>
      <c r="I212" s="306">
        <f>IF(N211&lt;0.01,0,IF(Adm!$R$4=Adm!$R$6,0,Cal!$E$89*Adm!$AA$3))</f>
        <v>573.58240000000001</v>
      </c>
      <c r="J212" s="306">
        <f>IF(N211&lt;0.01,0,Adm!$O$3*1.16)</f>
        <v>290</v>
      </c>
      <c r="K212" s="306">
        <f>IF(N211&lt;0.01,0,IF(Adm!$N$3&gt;0,E212*Adm!$N$3,0))</f>
        <v>0</v>
      </c>
      <c r="L212" s="306">
        <f t="shared" si="21"/>
        <v>10740.3709169918</v>
      </c>
      <c r="M212" s="306">
        <f>IF(Adm!$F$3="si",MIN(N211+E212+H212+I212+J212-L212,Z212),0)</f>
        <v>0</v>
      </c>
      <c r="N212" s="306">
        <f t="shared" si="22"/>
        <v>603297.55790983955</v>
      </c>
      <c r="O212" s="361"/>
      <c r="P212" s="114"/>
      <c r="V212" s="571">
        <f t="shared" si="23"/>
        <v>2</v>
      </c>
      <c r="W212" s="293">
        <f>IF(V212=1,Adm!$AN$2,0)</f>
        <v>0</v>
      </c>
      <c r="Y212" s="304">
        <f t="shared" si="28"/>
        <v>0</v>
      </c>
      <c r="Z212" s="345">
        <f t="shared" ca="1" si="24"/>
        <v>0</v>
      </c>
      <c r="AB212" s="640">
        <f t="shared" si="29"/>
        <v>0</v>
      </c>
      <c r="AC212" s="639">
        <f t="shared" si="30"/>
        <v>0</v>
      </c>
      <c r="AD212" s="641">
        <f t="shared" si="25"/>
        <v>0</v>
      </c>
      <c r="AE212" s="639">
        <f t="shared" si="31"/>
        <v>0</v>
      </c>
      <c r="AF212" s="636">
        <f t="shared" si="18"/>
        <v>0</v>
      </c>
      <c r="AG212" s="637" t="e">
        <f>HLOOKUP($AG$110,anticipado,99,0)</f>
        <v>#N/A</v>
      </c>
      <c r="AI212" s="614">
        <v>7.2993601301137136E-3</v>
      </c>
      <c r="AJ212" s="615">
        <v>7.0885970759521555E-3</v>
      </c>
      <c r="AK212" s="616">
        <v>6.9180902651263055E-3</v>
      </c>
      <c r="AL212" s="616">
        <v>7.3576764080169723E-3</v>
      </c>
      <c r="AM212" s="617">
        <v>7.2993601301137136E-3</v>
      </c>
      <c r="AN212" s="617">
        <v>7.0885970759521555E-3</v>
      </c>
      <c r="AO212" s="617">
        <v>7.5196475522220909E-3</v>
      </c>
      <c r="AP212" s="617">
        <v>7.4189340264980436E-3</v>
      </c>
      <c r="AQ212" s="617">
        <v>7.3626736610799184E-3</v>
      </c>
      <c r="AR212" s="617">
        <v>7.6732507681307079E-3</v>
      </c>
      <c r="AS212" s="617">
        <v>7.5196475522220909E-3</v>
      </c>
      <c r="AT212" s="618">
        <v>7.3778303049197823E-3</v>
      </c>
      <c r="AU212" s="618">
        <v>2.9217373927670838E-3</v>
      </c>
      <c r="AV212" s="618">
        <v>2.8317650234101028E-3</v>
      </c>
      <c r="AW212" s="618">
        <v>2.664173692649019E-3</v>
      </c>
      <c r="AX212" s="618">
        <v>3.0800603673656387E-3</v>
      </c>
      <c r="AY212" s="618">
        <v>2.9217373927670838E-3</v>
      </c>
      <c r="AZ212" s="618">
        <v>2.7817282218791043E-3</v>
      </c>
      <c r="BA212" s="618">
        <v>3.175750003897962E-3</v>
      </c>
      <c r="BB212" s="618">
        <v>3.1020563958031088E-3</v>
      </c>
      <c r="BC212" s="618">
        <v>2.9324975552698996E-3</v>
      </c>
      <c r="BD212" s="618">
        <v>3.3011821424410739E-3</v>
      </c>
      <c r="BE212" s="617">
        <v>3.2250529696965257E-3</v>
      </c>
      <c r="BF212" s="617">
        <v>3.1119434902949811E-3</v>
      </c>
      <c r="BG212" s="617"/>
      <c r="BH212" s="617"/>
      <c r="BI212" s="617"/>
      <c r="BJ212" s="617"/>
      <c r="BK212" s="617"/>
      <c r="BL212" s="617"/>
      <c r="BM212" s="617"/>
      <c r="BN212" s="617"/>
      <c r="BO212" s="617"/>
      <c r="BP212" s="617"/>
      <c r="BQ212" s="617"/>
      <c r="BR212" s="617"/>
      <c r="BS212" s="617"/>
      <c r="BT212" s="617"/>
      <c r="BU212" s="617"/>
      <c r="BV212" s="617"/>
      <c r="BW212" s="617"/>
      <c r="BX212" s="617"/>
      <c r="BY212" s="617"/>
      <c r="BZ212" s="617"/>
      <c r="CA212" s="617"/>
      <c r="CB212" s="617"/>
      <c r="CC212" s="617"/>
      <c r="CD212" s="617"/>
      <c r="CE212" s="617"/>
      <c r="CF212" s="617"/>
      <c r="CG212" s="617"/>
      <c r="CH212" s="617"/>
      <c r="CI212" s="617"/>
      <c r="CJ212" s="617"/>
      <c r="CK212" s="617"/>
      <c r="CL212" s="617"/>
    </row>
    <row r="213" spans="1:90">
      <c r="A213" s="151">
        <f t="shared" ca="1" si="17"/>
        <v>2</v>
      </c>
      <c r="B213" s="113">
        <f t="shared" si="19"/>
        <v>141</v>
      </c>
      <c r="C213" s="150">
        <f t="shared" si="26"/>
        <v>99</v>
      </c>
      <c r="D213" s="565">
        <f t="shared" si="27"/>
        <v>9.5000000000000001E-2</v>
      </c>
      <c r="E213" s="306">
        <f t="shared" si="20"/>
        <v>4776.1056667862294</v>
      </c>
      <c r="F213" s="306">
        <f t="shared" si="32"/>
        <v>4839.2003881916435</v>
      </c>
      <c r="G213" s="307">
        <f t="shared" si="33"/>
        <v>9615.3060549778729</v>
      </c>
      <c r="H213" s="306">
        <f>IF(N212&lt;0.01,0,IF(Adm!$S$3=Adm!$S$13,Cal!$E$94,IF(Adm!$R$3=Adm!$R$6,0,IF(Cal!$E$91=0,N212*Adm!$Y$3,N212*Adm!$X$3))))</f>
        <v>259.417949901231</v>
      </c>
      <c r="I213" s="306">
        <f>IF(N212&lt;0.01,0,IF(Adm!$R$4=Adm!$R$6,0,Cal!$E$89*Adm!$AA$3))</f>
        <v>573.58240000000001</v>
      </c>
      <c r="J213" s="306">
        <f>IF(N212&lt;0.01,0,Adm!$O$3*1.16)</f>
        <v>290</v>
      </c>
      <c r="K213" s="306">
        <f>IF(N212&lt;0.01,0,IF(Adm!$N$3&gt;0,E213*Adm!$N$3,0))</f>
        <v>0</v>
      </c>
      <c r="L213" s="306">
        <f t="shared" si="21"/>
        <v>10738.306404879104</v>
      </c>
      <c r="M213" s="306">
        <f>IF(Adm!$F$3="si",MIN(N212+E213+H213+I213+J213-L213,Z213),0)</f>
        <v>0</v>
      </c>
      <c r="N213" s="306">
        <f t="shared" si="22"/>
        <v>598458.35752164794</v>
      </c>
      <c r="O213" s="361"/>
      <c r="P213" s="114"/>
      <c r="V213" s="571">
        <f t="shared" si="23"/>
        <v>3</v>
      </c>
      <c r="W213" s="293">
        <f>IF(V213=1,Adm!$AN$2,0)</f>
        <v>0</v>
      </c>
      <c r="Y213" s="304">
        <f t="shared" si="28"/>
        <v>0</v>
      </c>
      <c r="Z213" s="345">
        <f t="shared" ca="1" si="24"/>
        <v>0</v>
      </c>
      <c r="AB213" s="640">
        <f t="shared" si="29"/>
        <v>0</v>
      </c>
      <c r="AC213" s="639">
        <f t="shared" si="30"/>
        <v>0</v>
      </c>
      <c r="AD213" s="641">
        <f t="shared" si="25"/>
        <v>0</v>
      </c>
      <c r="AE213" s="639">
        <f t="shared" si="31"/>
        <v>0</v>
      </c>
      <c r="AF213" s="636">
        <f t="shared" si="18"/>
        <v>0</v>
      </c>
      <c r="AG213" s="637" t="e">
        <f>HLOOKUP($AG$110,anticipado,100,0)</f>
        <v>#N/A</v>
      </c>
      <c r="AI213" s="614">
        <v>7.4164524686928055E-3</v>
      </c>
      <c r="AJ213" s="615">
        <v>7.2039922931206174E-3</v>
      </c>
      <c r="AK213" s="616">
        <v>7.0318247628083632E-3</v>
      </c>
      <c r="AL213" s="616">
        <v>7.4739197471124542E-3</v>
      </c>
      <c r="AM213" s="617">
        <v>7.4164524686928055E-3</v>
      </c>
      <c r="AN213" s="617">
        <v>7.2039922931206174E-3</v>
      </c>
      <c r="AO213" s="617">
        <v>7.6366026558119197E-3</v>
      </c>
      <c r="AP213" s="617">
        <v>7.5362988338699899E-3</v>
      </c>
      <c r="AQ213" s="617">
        <v>7.4809497349106122E-3</v>
      </c>
      <c r="AR213" s="617">
        <v>7.7915457899554053E-3</v>
      </c>
      <c r="AS213" s="617">
        <v>7.6366026558119197E-3</v>
      </c>
      <c r="AT213" s="618">
        <v>7.4939248287202876E-3</v>
      </c>
      <c r="AU213" s="618">
        <v>2.9568914198341268E-3</v>
      </c>
      <c r="AV213" s="618">
        <v>2.8665245365934906E-3</v>
      </c>
      <c r="AW213" s="618">
        <v>2.697758510907563E-3</v>
      </c>
      <c r="AX213" s="618">
        <v>3.1162240462147459E-3</v>
      </c>
      <c r="AY213" s="618">
        <v>2.9568914198341268E-3</v>
      </c>
      <c r="AZ213" s="618">
        <v>2.8159647074168753E-3</v>
      </c>
      <c r="BA213" s="618">
        <v>3.2122571253419092E-3</v>
      </c>
      <c r="BB213" s="618">
        <v>3.1384179292773041E-3</v>
      </c>
      <c r="BC213" s="618">
        <v>2.9679356219376404E-3</v>
      </c>
      <c r="BD213" s="618">
        <v>3.3383369594246364E-3</v>
      </c>
      <c r="BE213" s="617">
        <v>3.2617489628128191E-3</v>
      </c>
      <c r="BF213" s="617">
        <v>3.1481920055804525E-3</v>
      </c>
      <c r="BG213" s="617"/>
      <c r="BH213" s="617"/>
      <c r="BI213" s="617"/>
      <c r="BJ213" s="617"/>
      <c r="BK213" s="617"/>
      <c r="BL213" s="617"/>
      <c r="BM213" s="617"/>
      <c r="BN213" s="617"/>
      <c r="BO213" s="617"/>
      <c r="BP213" s="617"/>
      <c r="BQ213" s="617"/>
      <c r="BR213" s="617"/>
      <c r="BS213" s="617"/>
      <c r="BT213" s="617"/>
      <c r="BU213" s="617"/>
      <c r="BV213" s="617"/>
      <c r="BW213" s="617"/>
      <c r="BX213" s="617"/>
      <c r="BY213" s="617"/>
      <c r="BZ213" s="617"/>
      <c r="CA213" s="617"/>
      <c r="CB213" s="617"/>
      <c r="CC213" s="617"/>
      <c r="CD213" s="617"/>
      <c r="CE213" s="617"/>
      <c r="CF213" s="617"/>
      <c r="CG213" s="617"/>
      <c r="CH213" s="617"/>
      <c r="CI213" s="617"/>
      <c r="CJ213" s="617"/>
      <c r="CK213" s="617"/>
      <c r="CL213" s="617"/>
    </row>
    <row r="214" spans="1:90">
      <c r="A214" s="151">
        <f t="shared" ca="1" si="17"/>
        <v>3</v>
      </c>
      <c r="B214" s="113">
        <f t="shared" si="19"/>
        <v>140</v>
      </c>
      <c r="C214" s="150">
        <f t="shared" si="26"/>
        <v>100</v>
      </c>
      <c r="D214" s="565">
        <f t="shared" si="27"/>
        <v>9.5000000000000001E-2</v>
      </c>
      <c r="E214" s="306">
        <f t="shared" si="20"/>
        <v>4737.7953303797131</v>
      </c>
      <c r="F214" s="306">
        <f t="shared" si="32"/>
        <v>4877.5107245981599</v>
      </c>
      <c r="G214" s="307">
        <f t="shared" si="33"/>
        <v>9615.3060549778729</v>
      </c>
      <c r="H214" s="306">
        <f>IF(N213&lt;0.01,0,IF(Adm!$S$3=Adm!$S$13,Cal!$E$94,IF(Adm!$R$3=Adm!$R$6,0,IF(Cal!$E$91=0,N213*Adm!$Y$3,N213*Adm!$X$3))))</f>
        <v>257.33709373430861</v>
      </c>
      <c r="I214" s="306">
        <f>IF(N213&lt;0.01,0,IF(Adm!$R$4=Adm!$R$6,0,Cal!$E$89*Adm!$AA$3))</f>
        <v>573.58240000000001</v>
      </c>
      <c r="J214" s="306">
        <f>IF(N213&lt;0.01,0,Adm!$O$3*1.16)</f>
        <v>290</v>
      </c>
      <c r="K214" s="306">
        <f>IF(N213&lt;0.01,0,IF(Adm!$N$3&gt;0,E214*Adm!$N$3,0))</f>
        <v>0</v>
      </c>
      <c r="L214" s="306">
        <f t="shared" si="21"/>
        <v>10736.22554871218</v>
      </c>
      <c r="M214" s="306">
        <f>IF(Adm!$F$3="si",MIN(N213+E214+H214+I214+J214-L214,Z214),0)</f>
        <v>0</v>
      </c>
      <c r="N214" s="306">
        <f t="shared" si="22"/>
        <v>593580.84679704974</v>
      </c>
      <c r="O214" s="361"/>
      <c r="P214" s="114"/>
      <c r="V214" s="571">
        <f t="shared" si="23"/>
        <v>4</v>
      </c>
      <c r="W214" s="293">
        <f>IF(V214=1,Adm!$AN$2,0)</f>
        <v>0</v>
      </c>
      <c r="Y214" s="304">
        <f t="shared" si="28"/>
        <v>0</v>
      </c>
      <c r="Z214" s="345">
        <f t="shared" ca="1" si="24"/>
        <v>0</v>
      </c>
      <c r="AB214" s="640">
        <f t="shared" si="29"/>
        <v>0</v>
      </c>
      <c r="AC214" s="639">
        <f t="shared" si="30"/>
        <v>0</v>
      </c>
      <c r="AD214" s="641">
        <f t="shared" si="25"/>
        <v>0</v>
      </c>
      <c r="AE214" s="639">
        <f t="shared" si="31"/>
        <v>0</v>
      </c>
      <c r="AF214" s="636">
        <f t="shared" si="18"/>
        <v>0</v>
      </c>
      <c r="AG214" s="637" t="e">
        <f>HLOOKUP($AG$110,anticipado,101,0)</f>
        <v>#N/A</v>
      </c>
      <c r="AI214" s="614">
        <v>7.5363120715028174E-3</v>
      </c>
      <c r="AJ214" s="615">
        <v>7.3221169976007304E-3</v>
      </c>
      <c r="AK214" s="616">
        <v>7.1482477395843486E-3</v>
      </c>
      <c r="AL214" s="616">
        <v>7.5928887703253277E-3</v>
      </c>
      <c r="AM214" s="617">
        <v>7.5363120715028174E-3</v>
      </c>
      <c r="AN214" s="617">
        <v>7.3221169976007304E-3</v>
      </c>
      <c r="AO214" s="617">
        <v>7.7562908044603541E-3</v>
      </c>
      <c r="AP214" s="617">
        <v>7.6564256206873441E-3</v>
      </c>
      <c r="AQ214" s="617">
        <v>7.6020316366925585E-3</v>
      </c>
      <c r="AR214" s="617">
        <v>7.9126077723802729E-3</v>
      </c>
      <c r="AS214" s="617">
        <v>7.7562908044603541E-3</v>
      </c>
      <c r="AT214" s="618">
        <v>7.6127365345141588E-3</v>
      </c>
      <c r="AU214" s="618">
        <v>2.992573925633046E-3</v>
      </c>
      <c r="AV214" s="618">
        <v>2.9018118698674968E-3</v>
      </c>
      <c r="AW214" s="618">
        <v>2.731858696535651E-3</v>
      </c>
      <c r="AX214" s="618">
        <v>3.152926704626257E-3</v>
      </c>
      <c r="AY214" s="618">
        <v>2.992573925633046E-3</v>
      </c>
      <c r="AZ214" s="618">
        <v>2.8507204338973423E-3</v>
      </c>
      <c r="BA214" s="618">
        <v>3.2493029183152445E-3</v>
      </c>
      <c r="BB214" s="618">
        <v>3.175321502438073E-3</v>
      </c>
      <c r="BC214" s="618">
        <v>3.0039087093545148E-3</v>
      </c>
      <c r="BD214" s="618">
        <v>3.3760358054591186E-3</v>
      </c>
      <c r="BE214" s="617">
        <v>3.2989839493695089E-3</v>
      </c>
      <c r="BF214" s="617">
        <v>3.1849785616736939E-3</v>
      </c>
      <c r="BG214" s="617"/>
      <c r="BH214" s="617"/>
      <c r="BI214" s="617"/>
      <c r="BJ214" s="617"/>
      <c r="BK214" s="617"/>
      <c r="BL214" s="617"/>
      <c r="BM214" s="617"/>
      <c r="BN214" s="617"/>
      <c r="BO214" s="617"/>
      <c r="BP214" s="617"/>
      <c r="BQ214" s="617"/>
      <c r="BR214" s="617"/>
      <c r="BS214" s="617"/>
      <c r="BT214" s="617"/>
      <c r="BU214" s="617"/>
      <c r="BV214" s="617"/>
      <c r="BW214" s="617"/>
      <c r="BX214" s="617"/>
      <c r="BY214" s="617"/>
      <c r="BZ214" s="617"/>
      <c r="CA214" s="617"/>
      <c r="CB214" s="617"/>
      <c r="CC214" s="617"/>
      <c r="CD214" s="617"/>
      <c r="CE214" s="617"/>
      <c r="CF214" s="617"/>
      <c r="CG214" s="617"/>
      <c r="CH214" s="617"/>
      <c r="CI214" s="617"/>
      <c r="CJ214" s="617"/>
      <c r="CK214" s="617"/>
      <c r="CL214" s="617"/>
    </row>
    <row r="215" spans="1:90">
      <c r="A215" s="151">
        <f t="shared" ca="1" si="17"/>
        <v>4</v>
      </c>
      <c r="B215" s="113">
        <f t="shared" si="19"/>
        <v>139</v>
      </c>
      <c r="C215" s="150">
        <f t="shared" si="26"/>
        <v>101</v>
      </c>
      <c r="D215" s="565">
        <f t="shared" si="27"/>
        <v>9.5000000000000001E-2</v>
      </c>
      <c r="E215" s="306">
        <f t="shared" si="20"/>
        <v>4699.1817038099771</v>
      </c>
      <c r="F215" s="306">
        <f t="shared" si="32"/>
        <v>4916.1243511678958</v>
      </c>
      <c r="G215" s="307">
        <f t="shared" si="33"/>
        <v>9615.3060549778729</v>
      </c>
      <c r="H215" s="306">
        <f>IF(N214&lt;0.01,0,IF(Adm!$S$3=Adm!$S$13,Cal!$E$94,IF(Adm!$R$3=Adm!$R$6,0,IF(Cal!$E$91=0,N214*Adm!$Y$3,N214*Adm!$X$3))))</f>
        <v>255.23976412273137</v>
      </c>
      <c r="I215" s="306">
        <f>IF(N214&lt;0.01,0,IF(Adm!$R$4=Adm!$R$6,0,Cal!$E$89*Adm!$AA$3))</f>
        <v>573.58240000000001</v>
      </c>
      <c r="J215" s="306">
        <f>IF(N214&lt;0.01,0,Adm!$O$3*1.16)</f>
        <v>290</v>
      </c>
      <c r="K215" s="306">
        <f>IF(N214&lt;0.01,0,IF(Adm!$N$3&gt;0,E215*Adm!$N$3,0))</f>
        <v>0</v>
      </c>
      <c r="L215" s="306">
        <f t="shared" si="21"/>
        <v>10734.128219100603</v>
      </c>
      <c r="M215" s="306">
        <f>IF(Adm!$F$3="si",MIN(N214+E215+H215+I215+J215-L215,Z215),0)</f>
        <v>0</v>
      </c>
      <c r="N215" s="306">
        <f t="shared" si="22"/>
        <v>588664.72244588181</v>
      </c>
      <c r="O215" s="361"/>
      <c r="P215" s="114"/>
      <c r="V215" s="571">
        <f t="shared" si="23"/>
        <v>5</v>
      </c>
      <c r="W215" s="293">
        <f>IF(V215=1,Adm!$AN$2,0)</f>
        <v>0</v>
      </c>
      <c r="Y215" s="304">
        <f t="shared" si="28"/>
        <v>0</v>
      </c>
      <c r="Z215" s="345">
        <f t="shared" ca="1" si="24"/>
        <v>0</v>
      </c>
      <c r="AB215" s="640">
        <f t="shared" si="29"/>
        <v>0</v>
      </c>
      <c r="AC215" s="639">
        <f t="shared" si="30"/>
        <v>0</v>
      </c>
      <c r="AD215" s="641">
        <f t="shared" si="25"/>
        <v>0</v>
      </c>
      <c r="AE215" s="639">
        <f t="shared" si="31"/>
        <v>0</v>
      </c>
      <c r="AF215" s="636">
        <f t="shared" si="18"/>
        <v>0</v>
      </c>
      <c r="AG215" s="637" t="e">
        <f>HLOOKUP($AG$110,anticipado,102,0)</f>
        <v>#N/A</v>
      </c>
      <c r="AI215" s="614">
        <v>7.6590336307268197E-3</v>
      </c>
      <c r="AJ215" s="615">
        <v>7.4430641962193282E-3</v>
      </c>
      <c r="AK215" s="616">
        <v>7.2674503727672771E-3</v>
      </c>
      <c r="AL215" s="616">
        <v>7.7146762479883323E-3</v>
      </c>
      <c r="AM215" s="617">
        <v>7.6590336307268197E-3</v>
      </c>
      <c r="AN215" s="617">
        <v>7.4430641962193282E-3</v>
      </c>
      <c r="AO215" s="617">
        <v>7.8788050766955067E-3</v>
      </c>
      <c r="AP215" s="617">
        <v>7.7794088111810995E-3</v>
      </c>
      <c r="AQ215" s="617">
        <v>7.7260158249678277E-3</v>
      </c>
      <c r="AR215" s="617">
        <v>8.0365313268847601E-3</v>
      </c>
      <c r="AS215" s="617">
        <v>7.8788050766955067E-3</v>
      </c>
      <c r="AT215" s="618">
        <v>7.7343577996451442E-3</v>
      </c>
      <c r="AU215" s="618">
        <v>3.0287954282327717E-3</v>
      </c>
      <c r="AV215" s="618">
        <v>2.9376375547355317E-3</v>
      </c>
      <c r="AW215" s="618">
        <v>2.7664845078821791E-3</v>
      </c>
      <c r="AX215" s="618">
        <v>3.1901790983253084E-3</v>
      </c>
      <c r="AY215" s="618">
        <v>3.0287954282327717E-3</v>
      </c>
      <c r="AZ215" s="618">
        <v>2.8860057174869367E-3</v>
      </c>
      <c r="BA215" s="618">
        <v>3.2868981050937092E-3</v>
      </c>
      <c r="BB215" s="618">
        <v>3.2127779482355899E-3</v>
      </c>
      <c r="BC215" s="618">
        <v>3.0404275104335484E-3</v>
      </c>
      <c r="BD215" s="618">
        <v>3.4142895192528721E-3</v>
      </c>
      <c r="BE215" s="617">
        <v>3.3367686486398458E-3</v>
      </c>
      <c r="BF215" s="617">
        <v>3.2223138800749405E-3</v>
      </c>
      <c r="BG215" s="617"/>
      <c r="BH215" s="617"/>
      <c r="BI215" s="617"/>
      <c r="BJ215" s="617"/>
      <c r="BK215" s="617"/>
      <c r="BL215" s="617"/>
      <c r="BM215" s="617"/>
      <c r="BN215" s="617"/>
      <c r="BO215" s="617"/>
      <c r="BP215" s="617"/>
      <c r="BQ215" s="617"/>
      <c r="BR215" s="617"/>
      <c r="BS215" s="617"/>
      <c r="BT215" s="617"/>
      <c r="BU215" s="617"/>
      <c r="BV215" s="617"/>
      <c r="BW215" s="617"/>
      <c r="BX215" s="617"/>
      <c r="BY215" s="617"/>
      <c r="BZ215" s="617"/>
      <c r="CA215" s="617"/>
      <c r="CB215" s="617"/>
      <c r="CC215" s="617"/>
      <c r="CD215" s="617"/>
      <c r="CE215" s="617"/>
      <c r="CF215" s="617"/>
      <c r="CG215" s="617"/>
      <c r="CH215" s="617"/>
      <c r="CI215" s="617"/>
      <c r="CJ215" s="617"/>
      <c r="CK215" s="617"/>
      <c r="CL215" s="617"/>
    </row>
    <row r="216" spans="1:90">
      <c r="A216" s="151">
        <f t="shared" ca="1" si="17"/>
        <v>5</v>
      </c>
      <c r="B216" s="113">
        <f t="shared" si="19"/>
        <v>138</v>
      </c>
      <c r="C216" s="150">
        <f t="shared" si="26"/>
        <v>102</v>
      </c>
      <c r="D216" s="565">
        <f t="shared" si="27"/>
        <v>9.5000000000000001E-2</v>
      </c>
      <c r="E216" s="306">
        <f t="shared" si="20"/>
        <v>4660.2623860298982</v>
      </c>
      <c r="F216" s="306">
        <f t="shared" si="32"/>
        <v>4955.0436689479748</v>
      </c>
      <c r="G216" s="307">
        <f t="shared" si="33"/>
        <v>9615.3060549778729</v>
      </c>
      <c r="H216" s="306">
        <f>IF(N215&lt;0.01,0,IF(Adm!$S$3=Adm!$S$13,Cal!$E$94,IF(Adm!$R$3=Adm!$R$6,0,IF(Cal!$E$91=0,N215*Adm!$Y$3,N215*Adm!$X$3))))</f>
        <v>253.12583065172916</v>
      </c>
      <c r="I216" s="306">
        <f>IF(N215&lt;0.01,0,IF(Adm!$R$4=Adm!$R$6,0,Cal!$E$89*Adm!$AA$3))</f>
        <v>573.58240000000001</v>
      </c>
      <c r="J216" s="306">
        <f>IF(N215&lt;0.01,0,Adm!$O$3*1.16)</f>
        <v>290</v>
      </c>
      <c r="K216" s="306">
        <f>IF(N215&lt;0.01,0,IF(Adm!$N$3&gt;0,E216*Adm!$N$3,0))</f>
        <v>0</v>
      </c>
      <c r="L216" s="306">
        <f t="shared" si="21"/>
        <v>10732.014285629601</v>
      </c>
      <c r="M216" s="306">
        <f>IF(Adm!$F$3="si",MIN(N215+E216+H216+I216+J216-L216,Z216),0)</f>
        <v>0</v>
      </c>
      <c r="N216" s="306">
        <f t="shared" si="22"/>
        <v>583709.67877693381</v>
      </c>
      <c r="O216" s="361"/>
      <c r="P216" s="114"/>
      <c r="V216" s="571">
        <f t="shared" si="23"/>
        <v>6</v>
      </c>
      <c r="W216" s="293">
        <f>IF(V216=1,Adm!$AN$2,0)</f>
        <v>0</v>
      </c>
      <c r="Y216" s="304">
        <f t="shared" si="28"/>
        <v>0</v>
      </c>
      <c r="Z216" s="345">
        <f t="shared" ca="1" si="24"/>
        <v>0</v>
      </c>
      <c r="AB216" s="640">
        <f t="shared" si="29"/>
        <v>0</v>
      </c>
      <c r="AC216" s="639">
        <f t="shared" si="30"/>
        <v>0</v>
      </c>
      <c r="AD216" s="641">
        <f t="shared" si="25"/>
        <v>0</v>
      </c>
      <c r="AE216" s="639">
        <f t="shared" si="31"/>
        <v>0</v>
      </c>
      <c r="AF216" s="636">
        <f t="shared" si="18"/>
        <v>0</v>
      </c>
      <c r="AG216" s="637" t="e">
        <f>HLOOKUP($AG$110,anticipado,103,0)</f>
        <v>#N/A</v>
      </c>
      <c r="AI216" s="614">
        <v>7.7847161989653786E-3</v>
      </c>
      <c r="AJ216" s="615">
        <v>7.5669311581787139E-3</v>
      </c>
      <c r="AK216" s="616">
        <v>7.3895279963493736E-3</v>
      </c>
      <c r="AL216" s="616">
        <v>7.8393792002681168E-3</v>
      </c>
      <c r="AM216" s="617">
        <v>7.7847161989653786E-3</v>
      </c>
      <c r="AN216" s="617">
        <v>7.5669311581787139E-3</v>
      </c>
      <c r="AO216" s="617">
        <v>8.0042428191781922E-3</v>
      </c>
      <c r="AP216" s="617">
        <v>7.9053471749687826E-3</v>
      </c>
      <c r="AQ216" s="617">
        <v>7.8530032212933698E-3</v>
      </c>
      <c r="AR216" s="617">
        <v>8.163415422025741E-3</v>
      </c>
      <c r="AS216" s="617">
        <v>8.0042428191781922E-3</v>
      </c>
      <c r="AT216" s="618">
        <v>7.8588852287762561E-3</v>
      </c>
      <c r="AU216" s="618">
        <v>3.0655667212141388E-3</v>
      </c>
      <c r="AV216" s="618">
        <v>2.9740123985733005E-3</v>
      </c>
      <c r="AW216" s="618">
        <v>2.8016464701038839E-3</v>
      </c>
      <c r="AX216" s="618">
        <v>3.2279922665065302E-3</v>
      </c>
      <c r="AY216" s="618">
        <v>3.0655667212141388E-3</v>
      </c>
      <c r="AZ216" s="618">
        <v>2.9218311431400512E-3</v>
      </c>
      <c r="BA216" s="618">
        <v>3.3250536904052305E-3</v>
      </c>
      <c r="BB216" s="618">
        <v>3.2507983856588847E-3</v>
      </c>
      <c r="BC216" s="618">
        <v>3.077502999353009E-3</v>
      </c>
      <c r="BD216" s="618">
        <v>3.4531092259191824E-3</v>
      </c>
      <c r="BE216" s="617">
        <v>3.3751140622932845E-3</v>
      </c>
      <c r="BF216" s="617">
        <v>3.2602089646543279E-3</v>
      </c>
      <c r="BG216" s="617"/>
      <c r="BH216" s="617"/>
      <c r="BI216" s="617"/>
      <c r="BJ216" s="617"/>
      <c r="BK216" s="617"/>
      <c r="BL216" s="617"/>
      <c r="BM216" s="617"/>
      <c r="BN216" s="617"/>
      <c r="BO216" s="617"/>
      <c r="BP216" s="617"/>
      <c r="BQ216" s="617"/>
      <c r="BR216" s="617"/>
      <c r="BS216" s="617"/>
      <c r="BT216" s="617"/>
      <c r="BU216" s="617"/>
      <c r="BV216" s="617"/>
      <c r="BW216" s="617"/>
      <c r="BX216" s="617"/>
      <c r="BY216" s="617"/>
      <c r="BZ216" s="617"/>
      <c r="CA216" s="617"/>
      <c r="CB216" s="617"/>
      <c r="CC216" s="617"/>
      <c r="CD216" s="617"/>
      <c r="CE216" s="617"/>
      <c r="CF216" s="617"/>
      <c r="CG216" s="617"/>
      <c r="CH216" s="617"/>
      <c r="CI216" s="617"/>
      <c r="CJ216" s="617"/>
      <c r="CK216" s="617"/>
      <c r="CL216" s="617"/>
    </row>
    <row r="217" spans="1:90">
      <c r="A217" s="151">
        <f t="shared" ca="1" si="17"/>
        <v>6</v>
      </c>
      <c r="B217" s="113">
        <f t="shared" si="19"/>
        <v>137</v>
      </c>
      <c r="C217" s="150">
        <f t="shared" si="26"/>
        <v>103</v>
      </c>
      <c r="D217" s="565">
        <f t="shared" si="27"/>
        <v>9.5000000000000001E-2</v>
      </c>
      <c r="E217" s="306">
        <f t="shared" si="20"/>
        <v>4621.0349569840591</v>
      </c>
      <c r="F217" s="306">
        <f t="shared" si="32"/>
        <v>4994.2710979938138</v>
      </c>
      <c r="G217" s="307">
        <f t="shared" si="33"/>
        <v>9615.3060549778729</v>
      </c>
      <c r="H217" s="306">
        <f>IF(N216&lt;0.01,0,IF(Adm!$S$3=Adm!$S$13,Cal!$E$94,IF(Adm!$R$3=Adm!$R$6,0,IF(Cal!$E$91=0,N216*Adm!$Y$3,N216*Adm!$X$3))))</f>
        <v>250.99516187408153</v>
      </c>
      <c r="I217" s="306">
        <f>IF(N216&lt;0.01,0,IF(Adm!$R$4=Adm!$R$6,0,Cal!$E$89*Adm!$AA$3))</f>
        <v>573.58240000000001</v>
      </c>
      <c r="J217" s="306">
        <f>IF(N216&lt;0.01,0,Adm!$O$3*1.16)</f>
        <v>290</v>
      </c>
      <c r="K217" s="306">
        <f>IF(N216&lt;0.01,0,IF(Adm!$N$3&gt;0,E217*Adm!$N$3,0))</f>
        <v>0</v>
      </c>
      <c r="L217" s="306">
        <f t="shared" si="21"/>
        <v>10729.883616851954</v>
      </c>
      <c r="M217" s="306">
        <f>IF(Adm!$F$3="si",MIN(N216+E217+H217+I217+J217-L217,Z217),0)</f>
        <v>0</v>
      </c>
      <c r="N217" s="306">
        <f t="shared" si="22"/>
        <v>578715.40767893998</v>
      </c>
      <c r="O217" s="361"/>
      <c r="P217" s="114"/>
      <c r="V217" s="571">
        <f t="shared" si="23"/>
        <v>7</v>
      </c>
      <c r="W217" s="293">
        <f>IF(V217=1,Adm!$AN$2,0)</f>
        <v>0</v>
      </c>
      <c r="Y217" s="304">
        <f t="shared" si="28"/>
        <v>0</v>
      </c>
      <c r="Z217" s="345">
        <f t="shared" ca="1" si="24"/>
        <v>0</v>
      </c>
      <c r="AB217" s="640">
        <f t="shared" si="29"/>
        <v>0</v>
      </c>
      <c r="AC217" s="639">
        <f t="shared" si="30"/>
        <v>0</v>
      </c>
      <c r="AD217" s="641">
        <f t="shared" si="25"/>
        <v>0</v>
      </c>
      <c r="AE217" s="639">
        <f t="shared" si="31"/>
        <v>0</v>
      </c>
      <c r="AF217" s="636">
        <f t="shared" si="18"/>
        <v>0</v>
      </c>
      <c r="AG217" s="637" t="e">
        <f>HLOOKUP($AG$110,anticipado,104,0)</f>
        <v>#N/A</v>
      </c>
      <c r="AI217" s="614">
        <v>7.9134634432379523E-3</v>
      </c>
      <c r="AJ217" s="615">
        <v>7.6938196621662387E-3</v>
      </c>
      <c r="AK217" s="616">
        <v>7.5145803407236228E-3</v>
      </c>
      <c r="AL217" s="616">
        <v>7.9670991434217641E-3</v>
      </c>
      <c r="AM217" s="617">
        <v>7.9134634432379523E-3</v>
      </c>
      <c r="AN217" s="617">
        <v>7.6938196621662387E-3</v>
      </c>
      <c r="AO217" s="617">
        <v>8.1327058942512326E-3</v>
      </c>
      <c r="AP217" s="617">
        <v>8.0343440800104086E-3</v>
      </c>
      <c r="AQ217" s="617">
        <v>7.9830994714748717E-3</v>
      </c>
      <c r="AR217" s="617">
        <v>8.2933636372353615E-3</v>
      </c>
      <c r="AS217" s="617">
        <v>8.1327058942512326E-3</v>
      </c>
      <c r="AT217" s="618">
        <v>7.986419898575136E-3</v>
      </c>
      <c r="AU217" s="618">
        <v>3.1028988827634498E-3</v>
      </c>
      <c r="AV217" s="618">
        <v>3.0109474937343628E-3</v>
      </c>
      <c r="AW217" s="618">
        <v>2.8373553839075847E-3</v>
      </c>
      <c r="AX217" s="618">
        <v>3.2663775412477866E-3</v>
      </c>
      <c r="AY217" s="618">
        <v>3.1028988827634498E-3</v>
      </c>
      <c r="AZ217" s="618">
        <v>2.9582075734229216E-3</v>
      </c>
      <c r="BA217" s="618">
        <v>3.3637809708047749E-3</v>
      </c>
      <c r="BB217" s="618">
        <v>3.2893942292527073E-3</v>
      </c>
      <c r="BC217" s="618">
        <v>3.1151464408790065E-3</v>
      </c>
      <c r="BD217" s="618">
        <v>3.4925063465110944E-3</v>
      </c>
      <c r="BE217" s="617">
        <v>3.4140314837688784E-3</v>
      </c>
      <c r="BF217" s="617">
        <v>3.2986751110223268E-3</v>
      </c>
      <c r="BG217" s="617"/>
      <c r="BH217" s="617"/>
      <c r="BI217" s="617"/>
      <c r="BJ217" s="617"/>
      <c r="BK217" s="617"/>
      <c r="BL217" s="617"/>
      <c r="BM217" s="617"/>
      <c r="BN217" s="617"/>
      <c r="BO217" s="617"/>
      <c r="BP217" s="617"/>
      <c r="BQ217" s="617"/>
      <c r="BR217" s="617"/>
      <c r="BS217" s="617"/>
      <c r="BT217" s="617"/>
      <c r="BU217" s="617"/>
      <c r="BV217" s="617"/>
      <c r="BW217" s="617"/>
      <c r="BX217" s="617"/>
      <c r="BY217" s="617"/>
      <c r="BZ217" s="617"/>
      <c r="CA217" s="617"/>
      <c r="CB217" s="617"/>
      <c r="CC217" s="617"/>
      <c r="CD217" s="617"/>
      <c r="CE217" s="617"/>
      <c r="CF217" s="617"/>
      <c r="CG217" s="617"/>
      <c r="CH217" s="617"/>
      <c r="CI217" s="617"/>
      <c r="CJ217" s="617"/>
      <c r="CK217" s="617"/>
      <c r="CL217" s="617"/>
    </row>
    <row r="218" spans="1:90">
      <c r="A218" s="151">
        <f t="shared" ca="1" si="17"/>
        <v>7</v>
      </c>
      <c r="B218" s="113">
        <f t="shared" si="19"/>
        <v>136</v>
      </c>
      <c r="C218" s="150">
        <f t="shared" si="26"/>
        <v>104</v>
      </c>
      <c r="D218" s="565">
        <f t="shared" si="27"/>
        <v>9.5000000000000001E-2</v>
      </c>
      <c r="E218" s="306">
        <f t="shared" si="20"/>
        <v>4581.4969774582751</v>
      </c>
      <c r="F218" s="306">
        <f t="shared" si="32"/>
        <v>5033.8090775195978</v>
      </c>
      <c r="G218" s="307">
        <f t="shared" si="33"/>
        <v>9615.3060549778729</v>
      </c>
      <c r="H218" s="306">
        <f>IF(N217&lt;0.01,0,IF(Adm!$S$3=Adm!$S$13,Cal!$E$94,IF(Adm!$R$3=Adm!$R$6,0,IF(Cal!$E$91=0,N217*Adm!$Y$3,N217*Adm!$X$3))))</f>
        <v>248.84762530194419</v>
      </c>
      <c r="I218" s="306">
        <f>IF(N217&lt;0.01,0,IF(Adm!$R$4=Adm!$R$6,0,Cal!$E$89*Adm!$AA$3))</f>
        <v>573.58240000000001</v>
      </c>
      <c r="J218" s="306">
        <f>IF(N217&lt;0.01,0,Adm!$O$3*1.16)</f>
        <v>290</v>
      </c>
      <c r="K218" s="306">
        <f>IF(N217&lt;0.01,0,IF(Adm!$N$3&gt;0,E218*Adm!$N$3,0))</f>
        <v>0</v>
      </c>
      <c r="L218" s="306">
        <f t="shared" si="21"/>
        <v>10727.736080279816</v>
      </c>
      <c r="M218" s="306">
        <f>IF(Adm!$F$3="si",MIN(N217+E218+H218+I218+J218-L218,Z218),0)</f>
        <v>0</v>
      </c>
      <c r="N218" s="306">
        <f t="shared" si="22"/>
        <v>573681.59860142041</v>
      </c>
      <c r="O218" s="361"/>
      <c r="P218" s="114"/>
      <c r="V218" s="571">
        <f t="shared" si="23"/>
        <v>8</v>
      </c>
      <c r="W218" s="293">
        <f>IF(V218=1,Adm!$AN$2,0)</f>
        <v>0</v>
      </c>
      <c r="Y218" s="304">
        <f t="shared" si="28"/>
        <v>0</v>
      </c>
      <c r="Z218" s="345">
        <f t="shared" ca="1" si="24"/>
        <v>0</v>
      </c>
      <c r="AB218" s="640">
        <f t="shared" si="29"/>
        <v>0</v>
      </c>
      <c r="AC218" s="639">
        <f t="shared" si="30"/>
        <v>0</v>
      </c>
      <c r="AD218" s="641">
        <f t="shared" si="25"/>
        <v>0</v>
      </c>
      <c r="AE218" s="639">
        <f t="shared" si="31"/>
        <v>0</v>
      </c>
      <c r="AF218" s="636">
        <f t="shared" si="18"/>
        <v>0</v>
      </c>
      <c r="AG218" s="637" t="e">
        <f>HLOOKUP($AG$110,anticipado,105,0)</f>
        <v>#N/A</v>
      </c>
      <c r="AI218" s="614">
        <v>8.0453839169494726E-3</v>
      </c>
      <c r="AJ218" s="615">
        <v>7.8238362608577562E-3</v>
      </c>
      <c r="AK218" s="616">
        <v>7.642711789190129E-3</v>
      </c>
      <c r="AL218" s="616">
        <v>8.0979423533778256E-3</v>
      </c>
      <c r="AM218" s="617">
        <v>8.0453839169494726E-3</v>
      </c>
      <c r="AN218" s="617">
        <v>7.8238362608577562E-3</v>
      </c>
      <c r="AO218" s="617">
        <v>8.2643009449206769E-3</v>
      </c>
      <c r="AP218" s="617">
        <v>8.1665077634434091E-3</v>
      </c>
      <c r="AQ218" s="617">
        <v>8.1164152253675997E-3</v>
      </c>
      <c r="AR218" s="617">
        <v>8.4264844345686603E-3</v>
      </c>
      <c r="AS218" s="617">
        <v>8.2643009449206769E-3</v>
      </c>
      <c r="AT218" s="618">
        <v>8.1170676195944352E-3</v>
      </c>
      <c r="AU218" s="618">
        <v>3.1408032851289358E-3</v>
      </c>
      <c r="AV218" s="618">
        <v>3.0484542270191864E-3</v>
      </c>
      <c r="AW218" s="618">
        <v>2.8736223346389738E-3</v>
      </c>
      <c r="AX218" s="618">
        <v>3.3053465573018598E-3</v>
      </c>
      <c r="AY218" s="618">
        <v>3.1408032851289358E-3</v>
      </c>
      <c r="AZ218" s="618">
        <v>2.99514615768784E-3</v>
      </c>
      <c r="BA218" s="618">
        <v>3.4030915444253204E-3</v>
      </c>
      <c r="BB218" s="618">
        <v>3.3285771990171952E-3</v>
      </c>
      <c r="BC218" s="618">
        <v>3.1533694000617316E-3</v>
      </c>
      <c r="BD218" s="618">
        <v>3.5324926079398728E-3</v>
      </c>
      <c r="BE218" s="617">
        <v>3.4535325080247512E-3</v>
      </c>
      <c r="BF218" s="617">
        <v>3.3377239162761018E-3</v>
      </c>
      <c r="BG218" s="617"/>
      <c r="BH218" s="617"/>
      <c r="BI218" s="617"/>
      <c r="BJ218" s="617"/>
      <c r="BK218" s="617"/>
      <c r="BL218" s="617"/>
      <c r="BM218" s="617"/>
      <c r="BN218" s="617"/>
      <c r="BO218" s="617"/>
      <c r="BP218" s="617"/>
      <c r="BQ218" s="617"/>
      <c r="BR218" s="617"/>
      <c r="BS218" s="617"/>
      <c r="BT218" s="617"/>
      <c r="BU218" s="617"/>
      <c r="BV218" s="617"/>
      <c r="BW218" s="617"/>
      <c r="BX218" s="617"/>
      <c r="BY218" s="617"/>
      <c r="BZ218" s="617"/>
      <c r="CA218" s="617"/>
      <c r="CB218" s="617"/>
      <c r="CC218" s="617"/>
      <c r="CD218" s="617"/>
      <c r="CE218" s="617"/>
      <c r="CF218" s="617"/>
      <c r="CG218" s="617"/>
      <c r="CH218" s="617"/>
      <c r="CI218" s="617"/>
      <c r="CJ218" s="617"/>
      <c r="CK218" s="617"/>
      <c r="CL218" s="617"/>
    </row>
    <row r="219" spans="1:90">
      <c r="A219" s="151">
        <f t="shared" ca="1" si="17"/>
        <v>8</v>
      </c>
      <c r="B219" s="113">
        <f t="shared" si="19"/>
        <v>135</v>
      </c>
      <c r="C219" s="150">
        <f t="shared" si="26"/>
        <v>105</v>
      </c>
      <c r="D219" s="565">
        <f t="shared" si="27"/>
        <v>9.5000000000000001E-2</v>
      </c>
      <c r="E219" s="306">
        <f t="shared" si="20"/>
        <v>4541.6459889279113</v>
      </c>
      <c r="F219" s="306">
        <f t="shared" si="32"/>
        <v>5073.6600660499616</v>
      </c>
      <c r="G219" s="307">
        <f t="shared" si="33"/>
        <v>9615.3060549778729</v>
      </c>
      <c r="H219" s="306">
        <f>IF(N218&lt;0.01,0,IF(Adm!$S$3=Adm!$S$13,Cal!$E$94,IF(Adm!$R$3=Adm!$R$6,0,IF(Cal!$E$91=0,N218*Adm!$Y$3,N218*Adm!$X$3))))</f>
        <v>246.68308739861078</v>
      </c>
      <c r="I219" s="306">
        <f>IF(N218&lt;0.01,0,IF(Adm!$R$4=Adm!$R$6,0,Cal!$E$89*Adm!$AA$3))</f>
        <v>573.58240000000001</v>
      </c>
      <c r="J219" s="306">
        <f>IF(N218&lt;0.01,0,Adm!$O$3*1.16)</f>
        <v>290</v>
      </c>
      <c r="K219" s="306">
        <f>IF(N218&lt;0.01,0,IF(Adm!$N$3&gt;0,E219*Adm!$N$3,0))</f>
        <v>0</v>
      </c>
      <c r="L219" s="306">
        <f t="shared" si="21"/>
        <v>10725.571542376483</v>
      </c>
      <c r="M219" s="306">
        <f>IF(Adm!$F$3="si",MIN(N218+E219+H219+I219+J219-L219,Z219),0)</f>
        <v>0</v>
      </c>
      <c r="N219" s="306">
        <f t="shared" si="22"/>
        <v>568607.9385353704</v>
      </c>
      <c r="O219" s="361"/>
      <c r="P219" s="114"/>
      <c r="V219" s="571">
        <f t="shared" si="23"/>
        <v>9</v>
      </c>
      <c r="W219" s="293">
        <f>IF(V219=1,Adm!$AN$2,0)</f>
        <v>0</v>
      </c>
      <c r="Y219" s="304">
        <f t="shared" si="28"/>
        <v>0</v>
      </c>
      <c r="Z219" s="345">
        <f t="shared" ca="1" si="24"/>
        <v>0</v>
      </c>
      <c r="AB219" s="640">
        <f t="shared" si="29"/>
        <v>0</v>
      </c>
      <c r="AC219" s="639">
        <f t="shared" si="30"/>
        <v>0</v>
      </c>
      <c r="AD219" s="641">
        <f t="shared" si="25"/>
        <v>0</v>
      </c>
      <c r="AE219" s="639">
        <f t="shared" si="31"/>
        <v>0</v>
      </c>
      <c r="AF219" s="636">
        <f t="shared" si="18"/>
        <v>0</v>
      </c>
      <c r="AG219" s="637" t="e">
        <f>HLOOKUP($AG$110,anticipado,106,0)</f>
        <v>#N/A</v>
      </c>
      <c r="AI219" s="614">
        <v>8.1805913513222275E-3</v>
      </c>
      <c r="AJ219" s="615">
        <v>7.9570925642603024E-3</v>
      </c>
      <c r="AK219" s="616">
        <v>7.7740316526345547E-3</v>
      </c>
      <c r="AL219" s="616">
        <v>8.2320201480806966E-3</v>
      </c>
      <c r="AM219" s="617">
        <v>8.1805913513222275E-3</v>
      </c>
      <c r="AN219" s="617">
        <v>7.9570925642603024E-3</v>
      </c>
      <c r="AO219" s="617">
        <v>8.399139678717981E-3</v>
      </c>
      <c r="AP219" s="617">
        <v>8.301951621788331E-3</v>
      </c>
      <c r="AQ219" s="617">
        <v>8.2530664368023043E-3</v>
      </c>
      <c r="AR219" s="617">
        <v>8.5628914498997264E-3</v>
      </c>
      <c r="AS219" s="617">
        <v>8.399139678717981E-3</v>
      </c>
      <c r="AT219" s="618">
        <v>8.250939216773643E-3</v>
      </c>
      <c r="AU219" s="618">
        <v>3.1792916044571413E-3</v>
      </c>
      <c r="AV219" s="618">
        <v>3.0865442895246769E-3</v>
      </c>
      <c r="AW219" s="618">
        <v>2.9104587017340349E-3</v>
      </c>
      <c r="AX219" s="618">
        <v>3.3449112622838586E-3</v>
      </c>
      <c r="AY219" s="618">
        <v>3.1792916044571413E-3</v>
      </c>
      <c r="AZ219" s="618">
        <v>3.0326583416140271E-3</v>
      </c>
      <c r="BA219" s="618">
        <v>3.4429973211226347E-3</v>
      </c>
      <c r="BB219" s="618">
        <v>3.3683593307083852E-3</v>
      </c>
      <c r="BC219" s="618">
        <v>3.1921837523229105E-3</v>
      </c>
      <c r="BD219" s="618">
        <v>3.5730800532952386E-3</v>
      </c>
      <c r="BE219" s="617">
        <v>3.4936290416813097E-3</v>
      </c>
      <c r="BF219" s="617">
        <v>3.3773672891394568E-3</v>
      </c>
      <c r="BG219" s="617"/>
      <c r="BH219" s="617"/>
      <c r="BI219" s="617"/>
      <c r="BJ219" s="617"/>
      <c r="BK219" s="617"/>
      <c r="BL219" s="617"/>
      <c r="BM219" s="617"/>
      <c r="BN219" s="617"/>
      <c r="BO219" s="617"/>
      <c r="BP219" s="617"/>
      <c r="BQ219" s="617"/>
      <c r="BR219" s="617"/>
      <c r="BS219" s="617"/>
      <c r="BT219" s="617"/>
      <c r="BU219" s="617"/>
      <c r="BV219" s="617"/>
      <c r="BW219" s="617"/>
      <c r="BX219" s="617"/>
      <c r="BY219" s="617"/>
      <c r="BZ219" s="617"/>
      <c r="CA219" s="617"/>
      <c r="CB219" s="617"/>
      <c r="CC219" s="617"/>
      <c r="CD219" s="617"/>
      <c r="CE219" s="617"/>
      <c r="CF219" s="617"/>
      <c r="CG219" s="617"/>
      <c r="CH219" s="617"/>
      <c r="CI219" s="617"/>
      <c r="CJ219" s="617"/>
      <c r="CK219" s="617"/>
      <c r="CL219" s="617"/>
    </row>
    <row r="220" spans="1:90">
      <c r="A220" s="151">
        <f t="shared" ca="1" si="17"/>
        <v>9</v>
      </c>
      <c r="B220" s="113">
        <f t="shared" si="19"/>
        <v>134</v>
      </c>
      <c r="C220" s="150">
        <f t="shared" si="26"/>
        <v>106</v>
      </c>
      <c r="D220" s="565">
        <f t="shared" si="27"/>
        <v>9.5000000000000001E-2</v>
      </c>
      <c r="E220" s="306">
        <f t="shared" si="20"/>
        <v>4501.4795134050155</v>
      </c>
      <c r="F220" s="306">
        <f t="shared" si="32"/>
        <v>5113.8265415728574</v>
      </c>
      <c r="G220" s="307">
        <f t="shared" si="33"/>
        <v>9615.3060549778729</v>
      </c>
      <c r="H220" s="306">
        <f>IF(N219&lt;0.01,0,IF(Adm!$S$3=Adm!$S$13,Cal!$E$94,IF(Adm!$R$3=Adm!$R$6,0,IF(Cal!$E$91=0,N219*Adm!$Y$3,N219*Adm!$X$3))))</f>
        <v>244.50141357020925</v>
      </c>
      <c r="I220" s="306">
        <f>IF(N219&lt;0.01,0,IF(Adm!$R$4=Adm!$R$6,0,Cal!$E$89*Adm!$AA$3))</f>
        <v>573.58240000000001</v>
      </c>
      <c r="J220" s="306">
        <f>IF(N219&lt;0.01,0,Adm!$O$3*1.16)</f>
        <v>290</v>
      </c>
      <c r="K220" s="306">
        <f>IF(N219&lt;0.01,0,IF(Adm!$N$3&gt;0,E220*Adm!$N$3,0))</f>
        <v>0</v>
      </c>
      <c r="L220" s="306">
        <f t="shared" si="21"/>
        <v>10723.389868548082</v>
      </c>
      <c r="M220" s="306">
        <f>IF(Adm!$F$3="si",MIN(N219+E220+H220+I220+J220-L220,Z220),0)</f>
        <v>0</v>
      </c>
      <c r="N220" s="306">
        <f t="shared" si="22"/>
        <v>563494.11199379759</v>
      </c>
      <c r="O220" s="361"/>
      <c r="P220" s="114"/>
      <c r="V220" s="571">
        <f t="shared" si="23"/>
        <v>10</v>
      </c>
      <c r="W220" s="293">
        <f>IF(V220=1,Adm!$AN$2,0)</f>
        <v>0</v>
      </c>
      <c r="Y220" s="304">
        <f t="shared" si="28"/>
        <v>0</v>
      </c>
      <c r="Z220" s="345">
        <f t="shared" ca="1" si="24"/>
        <v>0</v>
      </c>
      <c r="AB220" s="640">
        <f t="shared" si="29"/>
        <v>0</v>
      </c>
      <c r="AC220" s="639">
        <f t="shared" si="30"/>
        <v>0</v>
      </c>
      <c r="AD220" s="641">
        <f t="shared" si="25"/>
        <v>0</v>
      </c>
      <c r="AE220" s="639">
        <f t="shared" si="31"/>
        <v>0</v>
      </c>
      <c r="AF220" s="636">
        <f t="shared" si="18"/>
        <v>0</v>
      </c>
      <c r="AG220" s="637" t="e">
        <f>HLOOKUP($AG$110,anticipado,107,0)</f>
        <v>#N/A</v>
      </c>
      <c r="AI220" s="614">
        <v>8.3192049679379713E-3</v>
      </c>
      <c r="AJ220" s="615">
        <v>8.0937055434782881E-3</v>
      </c>
      <c r="AK220" s="616">
        <v>7.9086544638985231E-3</v>
      </c>
      <c r="AL220" s="616">
        <v>8.3694491901753296E-3</v>
      </c>
      <c r="AM220" s="617">
        <v>8.3192049679379713E-3</v>
      </c>
      <c r="AN220" s="617">
        <v>8.0937055434782881E-3</v>
      </c>
      <c r="AO220" s="617">
        <v>8.5373391720316508E-3</v>
      </c>
      <c r="AP220" s="617">
        <v>8.4407945221612515E-3</v>
      </c>
      <c r="AQ220" s="617">
        <v>8.3931746853453653E-3</v>
      </c>
      <c r="AR220" s="617">
        <v>8.7027038052098545E-3</v>
      </c>
      <c r="AS220" s="617">
        <v>8.5373391720316508E-3</v>
      </c>
      <c r="AT220" s="618">
        <v>8.3881508301257152E-3</v>
      </c>
      <c r="AU220" s="618">
        <v>3.218375831027161E-3</v>
      </c>
      <c r="AV220" s="618">
        <v>3.1252296868921501E-3</v>
      </c>
      <c r="AW220" s="618">
        <v>2.9478761685501082E-3</v>
      </c>
      <c r="AX220" s="618">
        <v>3.3850839272731698E-3</v>
      </c>
      <c r="AY220" s="618">
        <v>3.218375831027161E-3</v>
      </c>
      <c r="AZ220" s="618">
        <v>3.0707558771323582E-3</v>
      </c>
      <c r="BA220" s="618">
        <v>3.4835105330326007E-3</v>
      </c>
      <c r="BB220" s="618">
        <v>3.4087529865586539E-3</v>
      </c>
      <c r="BC220" s="618">
        <v>3.2316016939530033E-3</v>
      </c>
      <c r="BD220" s="618">
        <v>3.6142810525864925E-3</v>
      </c>
      <c r="BE220" s="617">
        <v>3.5343333135769163E-3</v>
      </c>
      <c r="BF220" s="617">
        <v>3.4176174605150774E-3</v>
      </c>
      <c r="BG220" s="617"/>
      <c r="BH220" s="617"/>
      <c r="BI220" s="617"/>
      <c r="BJ220" s="617"/>
      <c r="BK220" s="617"/>
      <c r="BL220" s="617"/>
      <c r="BM220" s="617"/>
      <c r="BN220" s="617"/>
      <c r="BO220" s="617"/>
      <c r="BP220" s="617"/>
      <c r="BQ220" s="617"/>
      <c r="BR220" s="617"/>
      <c r="BS220" s="617"/>
      <c r="BT220" s="617"/>
      <c r="BU220" s="617"/>
      <c r="BV220" s="617"/>
      <c r="BW220" s="617"/>
      <c r="BX220" s="617"/>
      <c r="BY220" s="617"/>
      <c r="BZ220" s="617"/>
      <c r="CA220" s="617"/>
      <c r="CB220" s="617"/>
      <c r="CC220" s="617"/>
      <c r="CD220" s="617"/>
      <c r="CE220" s="617"/>
      <c r="CF220" s="617"/>
      <c r="CG220" s="617"/>
      <c r="CH220" s="617"/>
      <c r="CI220" s="617"/>
      <c r="CJ220" s="617"/>
      <c r="CK220" s="617"/>
      <c r="CL220" s="617"/>
    </row>
    <row r="221" spans="1:90">
      <c r="A221" s="151">
        <f t="shared" ca="1" si="17"/>
        <v>10</v>
      </c>
      <c r="B221" s="113">
        <f t="shared" si="19"/>
        <v>133</v>
      </c>
      <c r="C221" s="150">
        <f t="shared" si="26"/>
        <v>107</v>
      </c>
      <c r="D221" s="565">
        <f t="shared" si="27"/>
        <v>9.5000000000000001E-2</v>
      </c>
      <c r="E221" s="306">
        <f t="shared" si="20"/>
        <v>4460.9950532842313</v>
      </c>
      <c r="F221" s="306">
        <f t="shared" si="32"/>
        <v>5154.3110016936416</v>
      </c>
      <c r="G221" s="307">
        <f t="shared" si="33"/>
        <v>9615.3060549778729</v>
      </c>
      <c r="H221" s="306">
        <f>IF(N220&lt;0.01,0,IF(Adm!$S$3=Adm!$S$13,Cal!$E$94,IF(Adm!$R$3=Adm!$R$6,0,IF(Cal!$E$91=0,N220*Adm!$Y$3,N220*Adm!$X$3))))</f>
        <v>242.30246815733295</v>
      </c>
      <c r="I221" s="306">
        <f>IF(N220&lt;0.01,0,IF(Adm!$R$4=Adm!$R$6,0,Cal!$E$89*Adm!$AA$3))</f>
        <v>573.58240000000001</v>
      </c>
      <c r="J221" s="306">
        <f>IF(N220&lt;0.01,0,Adm!$O$3*1.16)</f>
        <v>290</v>
      </c>
      <c r="K221" s="306">
        <f>IF(N220&lt;0.01,0,IF(Adm!$N$3&gt;0,E221*Adm!$N$3,0))</f>
        <v>0</v>
      </c>
      <c r="L221" s="306">
        <f t="shared" si="21"/>
        <v>10721.190923135206</v>
      </c>
      <c r="M221" s="306">
        <f>IF(Adm!$F$3="si",MIN(N220+E221+H221+I221+J221-L221,Z221),0)</f>
        <v>0</v>
      </c>
      <c r="N221" s="306">
        <f t="shared" si="22"/>
        <v>558339.80099210399</v>
      </c>
      <c r="O221" s="361"/>
      <c r="P221" s="114"/>
      <c r="V221" s="571">
        <f t="shared" si="23"/>
        <v>11</v>
      </c>
      <c r="W221" s="293">
        <f>IF(V221=1,Adm!$AN$2,0)</f>
        <v>0</v>
      </c>
      <c r="Y221" s="304">
        <f t="shared" si="28"/>
        <v>0</v>
      </c>
      <c r="Z221" s="345">
        <f t="shared" ca="1" si="24"/>
        <v>0</v>
      </c>
      <c r="AB221" s="640">
        <f t="shared" si="29"/>
        <v>0</v>
      </c>
      <c r="AC221" s="639">
        <f t="shared" si="30"/>
        <v>0</v>
      </c>
      <c r="AD221" s="641">
        <f t="shared" si="25"/>
        <v>0</v>
      </c>
      <c r="AE221" s="639">
        <f t="shared" si="31"/>
        <v>0</v>
      </c>
      <c r="AF221" s="636">
        <f t="shared" si="18"/>
        <v>0</v>
      </c>
      <c r="AG221" s="637" t="e">
        <f>HLOOKUP($AG$110,anticipado,108,0)</f>
        <v>#N/A</v>
      </c>
      <c r="AI221" s="614">
        <v>8.4613498141961584E-3</v>
      </c>
      <c r="AJ221" s="615">
        <v>8.233797856641533E-3</v>
      </c>
      <c r="AK221" s="616">
        <v>8.046700293508945E-3</v>
      </c>
      <c r="AL221" s="616">
        <v>8.5103518117626044E-3</v>
      </c>
      <c r="AM221" s="617">
        <v>8.4613498141961584E-3</v>
      </c>
      <c r="AN221" s="617">
        <v>8.233797856641533E-3</v>
      </c>
      <c r="AO221" s="617">
        <v>8.6790221966513061E-3</v>
      </c>
      <c r="AP221" s="617">
        <v>8.5831611362884967E-3</v>
      </c>
      <c r="AQ221" s="617">
        <v>8.5368675217704516E-3</v>
      </c>
      <c r="AR221" s="617">
        <v>8.8460464437718558E-3</v>
      </c>
      <c r="AS221" s="617">
        <v>8.6790221966513061E-3</v>
      </c>
      <c r="AT221" s="618">
        <v>8.5288242373236355E-3</v>
      </c>
      <c r="AU221" s="618">
        <v>3.2580682799016052E-3</v>
      </c>
      <c r="AV221" s="618">
        <v>3.1645227499727206E-3</v>
      </c>
      <c r="AW221" s="618">
        <v>2.9858867325944964E-3</v>
      </c>
      <c r="AX221" s="618">
        <v>3.4258771578497505E-3</v>
      </c>
      <c r="AY221" s="618">
        <v>3.2580682799016052E-3</v>
      </c>
      <c r="AZ221" s="618">
        <v>3.1094508327521335E-3</v>
      </c>
      <c r="BA221" s="618">
        <v>3.524643745560736E-3</v>
      </c>
      <c r="BB221" s="618">
        <v>3.4497708664371928E-3</v>
      </c>
      <c r="BC221" s="618">
        <v>3.2716357530377222E-3</v>
      </c>
      <c r="BD221" s="618">
        <v>3.6561083139246913E-3</v>
      </c>
      <c r="BE221" s="617">
        <v>3.5756578857556957E-3</v>
      </c>
      <c r="BF221" s="617">
        <v>3.458486994468715E-3</v>
      </c>
      <c r="BG221" s="617"/>
      <c r="BH221" s="617"/>
      <c r="BI221" s="617"/>
      <c r="BJ221" s="617"/>
      <c r="BK221" s="617"/>
      <c r="BL221" s="617"/>
      <c r="BM221" s="617"/>
      <c r="BN221" s="617"/>
      <c r="BO221" s="617"/>
      <c r="BP221" s="617"/>
      <c r="BQ221" s="617"/>
      <c r="BR221" s="617"/>
      <c r="BS221" s="617"/>
      <c r="BT221" s="617"/>
      <c r="BU221" s="617"/>
      <c r="BV221" s="617"/>
      <c r="BW221" s="617"/>
      <c r="BX221" s="617"/>
      <c r="BY221" s="617"/>
      <c r="BZ221" s="617"/>
      <c r="CA221" s="617"/>
      <c r="CB221" s="617"/>
      <c r="CC221" s="617"/>
      <c r="CD221" s="617"/>
      <c r="CE221" s="617"/>
      <c r="CF221" s="617"/>
      <c r="CG221" s="617"/>
      <c r="CH221" s="617"/>
      <c r="CI221" s="617"/>
      <c r="CJ221" s="617"/>
      <c r="CK221" s="617"/>
      <c r="CL221" s="617"/>
    </row>
    <row r="222" spans="1:90">
      <c r="A222" s="151">
        <f t="shared" ca="1" si="17"/>
        <v>11</v>
      </c>
      <c r="B222" s="113">
        <f t="shared" si="19"/>
        <v>132</v>
      </c>
      <c r="C222" s="150">
        <f t="shared" si="26"/>
        <v>108</v>
      </c>
      <c r="D222" s="565">
        <f t="shared" si="27"/>
        <v>9.5000000000000001E-2</v>
      </c>
      <c r="E222" s="306">
        <f t="shared" si="20"/>
        <v>4420.19009118749</v>
      </c>
      <c r="F222" s="306">
        <f t="shared" si="32"/>
        <v>5195.1159637903829</v>
      </c>
      <c r="G222" s="307">
        <f t="shared" si="33"/>
        <v>9615.3060549778729</v>
      </c>
      <c r="H222" s="306">
        <f>IF(N221&lt;0.01,0,IF(Adm!$S$3=Adm!$S$13,Cal!$E$94,IF(Adm!$R$3=Adm!$R$6,0,IF(Cal!$E$91=0,N221*Adm!$Y$3,N221*Adm!$X$3))))</f>
        <v>240.08611442660472</v>
      </c>
      <c r="I222" s="306">
        <f>IF(N221&lt;0.01,0,IF(Adm!$R$4=Adm!$R$6,0,Cal!$E$89*Adm!$AA$3))</f>
        <v>573.58240000000001</v>
      </c>
      <c r="J222" s="306">
        <f>IF(N221&lt;0.01,0,Adm!$O$3*1.16)</f>
        <v>290</v>
      </c>
      <c r="K222" s="306">
        <f>IF(N221&lt;0.01,0,IF(Adm!$N$3&gt;0,E222*Adm!$N$3,0))</f>
        <v>0</v>
      </c>
      <c r="L222" s="306">
        <f t="shared" si="21"/>
        <v>10718.974569404478</v>
      </c>
      <c r="M222" s="306">
        <f>IF(Adm!$F$3="si",MIN(N221+E222+H222+I222+J222-L222,Z222),0)</f>
        <v>0</v>
      </c>
      <c r="N222" s="306">
        <f t="shared" si="22"/>
        <v>553144.68502831366</v>
      </c>
      <c r="O222" s="361"/>
      <c r="P222" s="114"/>
      <c r="V222" s="571">
        <f t="shared" si="23"/>
        <v>12</v>
      </c>
      <c r="W222" s="293">
        <f>IF(V222=1,Adm!$AN$2,0)</f>
        <v>0</v>
      </c>
      <c r="Y222" s="304">
        <f t="shared" si="28"/>
        <v>0</v>
      </c>
      <c r="Z222" s="345">
        <f t="shared" ca="1" si="24"/>
        <v>0</v>
      </c>
      <c r="AB222" s="640">
        <f t="shared" si="29"/>
        <v>0</v>
      </c>
      <c r="AC222" s="639">
        <f t="shared" si="30"/>
        <v>0</v>
      </c>
      <c r="AD222" s="641">
        <f t="shared" si="25"/>
        <v>0</v>
      </c>
      <c r="AE222" s="639">
        <f t="shared" si="31"/>
        <v>0</v>
      </c>
      <c r="AF222" s="636">
        <f t="shared" si="18"/>
        <v>0</v>
      </c>
      <c r="AG222" s="637" t="e">
        <f>HLOOKUP($AG$110,anticipado,109,0)</f>
        <v>#N/A</v>
      </c>
      <c r="AI222" s="614">
        <v>8.6071571236727446E-3</v>
      </c>
      <c r="AJ222" s="615">
        <v>8.3774981989047145E-3</v>
      </c>
      <c r="AK222" s="616">
        <v>8.1882950885964548E-3</v>
      </c>
      <c r="AL222" s="616">
        <v>8.6548563631260022E-3</v>
      </c>
      <c r="AM222" s="617">
        <v>8.6071571236727446E-3</v>
      </c>
      <c r="AN222" s="617">
        <v>8.3774981989047145E-3</v>
      </c>
      <c r="AO222" s="617">
        <v>8.8243175704389339E-3</v>
      </c>
      <c r="AP222" s="617">
        <v>8.729182299296992E-3</v>
      </c>
      <c r="AQ222" s="617">
        <v>8.6842788393055818E-3</v>
      </c>
      <c r="AR222" s="617">
        <v>8.9930504902132283E-3</v>
      </c>
      <c r="AS222" s="617">
        <v>8.8243175704389339E-3</v>
      </c>
      <c r="AT222" s="618">
        <v>8.6730872000706279E-3</v>
      </c>
      <c r="AU222" s="618">
        <v>3.2983816020142453E-3</v>
      </c>
      <c r="AV222" s="618">
        <v>3.2044361459300113E-3</v>
      </c>
      <c r="AW222" s="618">
        <v>3.0245027161695261E-3</v>
      </c>
      <c r="AX222" s="618">
        <v>3.4673039055856747E-3</v>
      </c>
      <c r="AY222" s="618">
        <v>3.2983816020142453E-3</v>
      </c>
      <c r="AZ222" s="618">
        <v>3.1487556043089588E-3</v>
      </c>
      <c r="BA222" s="618">
        <v>3.5664098688247235E-3</v>
      </c>
      <c r="BB222" s="618">
        <v>3.4914260194717412E-3</v>
      </c>
      <c r="BC222" s="618">
        <v>3.3122988008344708E-3</v>
      </c>
      <c r="BD222" s="618">
        <v>3.6985748951671549E-3</v>
      </c>
      <c r="BE222" s="617">
        <v>3.6176156649082754E-3</v>
      </c>
      <c r="BF222" s="617">
        <v>3.4999887996661305E-3</v>
      </c>
      <c r="BG222" s="617"/>
      <c r="BH222" s="617"/>
      <c r="BI222" s="617"/>
      <c r="BJ222" s="617"/>
      <c r="BK222" s="617"/>
      <c r="BL222" s="617"/>
      <c r="BM222" s="617"/>
      <c r="BN222" s="617"/>
      <c r="BO222" s="617"/>
      <c r="BP222" s="617"/>
      <c r="BQ222" s="617"/>
      <c r="BR222" s="617"/>
      <c r="BS222" s="617"/>
      <c r="BT222" s="617"/>
      <c r="BU222" s="617"/>
      <c r="BV222" s="617"/>
      <c r="BW222" s="617"/>
      <c r="BX222" s="617"/>
      <c r="BY222" s="617"/>
      <c r="BZ222" s="617"/>
      <c r="CA222" s="617"/>
      <c r="CB222" s="617"/>
      <c r="CC222" s="617"/>
      <c r="CD222" s="617"/>
      <c r="CE222" s="617"/>
      <c r="CF222" s="617"/>
      <c r="CG222" s="617"/>
      <c r="CH222" s="617"/>
      <c r="CI222" s="617"/>
      <c r="CJ222" s="617"/>
      <c r="CK222" s="617"/>
      <c r="CL222" s="617"/>
    </row>
    <row r="223" spans="1:90">
      <c r="A223" s="151">
        <f t="shared" ca="1" si="17"/>
        <v>12</v>
      </c>
      <c r="B223" s="113">
        <f t="shared" si="19"/>
        <v>131</v>
      </c>
      <c r="C223" s="150">
        <f t="shared" si="26"/>
        <v>109</v>
      </c>
      <c r="D223" s="565">
        <f t="shared" si="27"/>
        <v>9.5000000000000001E-2</v>
      </c>
      <c r="E223" s="306">
        <f t="shared" si="20"/>
        <v>4379.0620898074831</v>
      </c>
      <c r="F223" s="306">
        <f t="shared" si="32"/>
        <v>5236.2439651703899</v>
      </c>
      <c r="G223" s="307">
        <f t="shared" si="33"/>
        <v>9615.3060549778729</v>
      </c>
      <c r="H223" s="306">
        <f>IF(N222&lt;0.01,0,IF(Adm!$S$3=Adm!$S$13,Cal!$E$94,IF(Adm!$R$3=Adm!$R$6,0,IF(Cal!$E$91=0,N222*Adm!$Y$3,N222*Adm!$X$3))))</f>
        <v>237.85221456217488</v>
      </c>
      <c r="I223" s="306">
        <f>IF(N222&lt;0.01,0,IF(Adm!$R$4=Adm!$R$6,0,Cal!$E$89*Adm!$AA$3))</f>
        <v>573.58240000000001</v>
      </c>
      <c r="J223" s="306">
        <f>IF(N222&lt;0.01,0,Adm!$O$3*1.16)</f>
        <v>290</v>
      </c>
      <c r="K223" s="306">
        <f>IF(N222&lt;0.01,0,IF(Adm!$N$3&gt;0,E223*Adm!$N$3,0))</f>
        <v>0</v>
      </c>
      <c r="L223" s="306">
        <f t="shared" si="21"/>
        <v>10716.740669540048</v>
      </c>
      <c r="M223" s="306">
        <f>IF(Adm!$F$3="si",MIN(N222+E223+H223+I223+J223-L223,Z223),0)</f>
        <v>0</v>
      </c>
      <c r="N223" s="306">
        <f t="shared" si="22"/>
        <v>547908.44106314331</v>
      </c>
      <c r="O223" s="361"/>
      <c r="P223" s="114"/>
      <c r="V223" s="571">
        <f t="shared" si="23"/>
        <v>1</v>
      </c>
      <c r="W223" s="293">
        <f>IF(V223=1,Adm!$AN$2,0)</f>
        <v>0</v>
      </c>
      <c r="Y223" s="304">
        <f t="shared" si="28"/>
        <v>0</v>
      </c>
      <c r="Z223" s="345">
        <f t="shared" ca="1" si="24"/>
        <v>0</v>
      </c>
      <c r="AB223" s="640">
        <f t="shared" si="29"/>
        <v>0</v>
      </c>
      <c r="AC223" s="639">
        <f t="shared" si="30"/>
        <v>0</v>
      </c>
      <c r="AD223" s="641">
        <f t="shared" si="25"/>
        <v>0</v>
      </c>
      <c r="AE223" s="639">
        <f t="shared" si="31"/>
        <v>0</v>
      </c>
      <c r="AF223" s="636">
        <f t="shared" si="18"/>
        <v>0</v>
      </c>
      <c r="AG223" s="637" t="e">
        <f>HLOOKUP($AG$110,anticipado,110,0)</f>
        <v>#N/A</v>
      </c>
      <c r="AI223" s="614">
        <v>9.1913088211520912E-3</v>
      </c>
      <c r="AJ223" s="615">
        <v>8.9649402205836202E-3</v>
      </c>
      <c r="AK223" s="616">
        <v>8.7771186462732177E-3</v>
      </c>
      <c r="AL223" s="616">
        <v>9.231300027207576E-3</v>
      </c>
      <c r="AM223" s="617">
        <v>9.1913088211520912E-3</v>
      </c>
      <c r="AN223" s="617">
        <v>8.9649402205836202E-3</v>
      </c>
      <c r="AO223" s="617">
        <v>9.3956112142555177E-3</v>
      </c>
      <c r="AP223" s="617">
        <v>9.308053613670618E-3</v>
      </c>
      <c r="AQ223" s="617">
        <v>9.2710213380839991E-3</v>
      </c>
      <c r="AR223" s="617">
        <v>9.5630749785805026E-3</v>
      </c>
      <c r="AS223" s="617">
        <v>9.3956112142555177E-3</v>
      </c>
      <c r="AT223" s="618">
        <v>9.2476423489000498E-3</v>
      </c>
      <c r="AU223" s="618">
        <v>3.463472083672542E-3</v>
      </c>
      <c r="AV223" s="618">
        <v>3.3715160520326535E-3</v>
      </c>
      <c r="AW223" s="618">
        <v>3.1934574785618167E-3</v>
      </c>
      <c r="AX223" s="618">
        <v>3.6307212548141177E-3</v>
      </c>
      <c r="AY223" s="618">
        <v>3.463472083672542E-3</v>
      </c>
      <c r="AZ223" s="618">
        <v>3.3154864220821547E-3</v>
      </c>
      <c r="BA223" s="618">
        <v>3.7277437246009365E-3</v>
      </c>
      <c r="BB223" s="618">
        <v>3.6549025080488255E-3</v>
      </c>
      <c r="BC223" s="618">
        <v>3.478306770923353E-3</v>
      </c>
      <c r="BD223" s="618">
        <v>3.8582778248738938E-3</v>
      </c>
      <c r="BE223" s="617">
        <v>3.7779887800969223E-3</v>
      </c>
      <c r="BF223" s="617">
        <v>3.6625575026975267E-3</v>
      </c>
      <c r="BG223" s="617"/>
      <c r="BH223" s="617"/>
      <c r="BI223" s="617"/>
      <c r="BJ223" s="617"/>
      <c r="BK223" s="617"/>
      <c r="BL223" s="617"/>
      <c r="BM223" s="617"/>
      <c r="BN223" s="617"/>
      <c r="BO223" s="617"/>
      <c r="BP223" s="617"/>
      <c r="BQ223" s="617"/>
      <c r="BR223" s="617"/>
      <c r="BS223" s="617"/>
      <c r="BT223" s="617"/>
      <c r="BU223" s="617"/>
      <c r="BV223" s="617"/>
      <c r="BW223" s="617"/>
      <c r="BX223" s="617"/>
      <c r="BY223" s="617"/>
      <c r="BZ223" s="617"/>
      <c r="CA223" s="617"/>
      <c r="CB223" s="617"/>
      <c r="CC223" s="617"/>
      <c r="CD223" s="617"/>
      <c r="CE223" s="617"/>
      <c r="CF223" s="617"/>
      <c r="CG223" s="617"/>
      <c r="CH223" s="617"/>
      <c r="CI223" s="617"/>
      <c r="CJ223" s="617"/>
      <c r="CK223" s="617"/>
      <c r="CL223" s="617"/>
    </row>
    <row r="224" spans="1:90">
      <c r="A224" s="151">
        <f t="shared" ca="1" si="17"/>
        <v>1</v>
      </c>
      <c r="B224" s="113">
        <f t="shared" si="19"/>
        <v>130</v>
      </c>
      <c r="C224" s="150">
        <f t="shared" si="26"/>
        <v>110</v>
      </c>
      <c r="D224" s="565">
        <f t="shared" si="27"/>
        <v>9.5000000000000001E-2</v>
      </c>
      <c r="E224" s="306">
        <f t="shared" si="20"/>
        <v>4337.6084917498847</v>
      </c>
      <c r="F224" s="306">
        <f t="shared" si="32"/>
        <v>5277.6975632279882</v>
      </c>
      <c r="G224" s="307">
        <f t="shared" si="33"/>
        <v>9615.3060549778729</v>
      </c>
      <c r="H224" s="306">
        <f>IF(N223&lt;0.01,0,IF(Adm!$S$3=Adm!$S$13,Cal!$E$94,IF(Adm!$R$3=Adm!$R$6,0,IF(Cal!$E$91=0,N223*Adm!$Y$3,N223*Adm!$X$3))))</f>
        <v>235.60062965715161</v>
      </c>
      <c r="I224" s="306">
        <f>IF(N223&lt;0.01,0,IF(Adm!$R$4=Adm!$R$6,0,Cal!$E$89*Adm!$AA$3))</f>
        <v>573.58240000000001</v>
      </c>
      <c r="J224" s="306">
        <f>IF(N223&lt;0.01,0,Adm!$O$3*1.16)</f>
        <v>290</v>
      </c>
      <c r="K224" s="306">
        <f>IF(N223&lt;0.01,0,IF(Adm!$N$3&gt;0,E224*Adm!$N$3,0))</f>
        <v>0</v>
      </c>
      <c r="L224" s="306">
        <f t="shared" si="21"/>
        <v>10714.489084635024</v>
      </c>
      <c r="M224" s="306">
        <f>IF(Adm!$F$3="si",MIN(N223+E224+H224+I224+J224-L224,Z224),0)</f>
        <v>0</v>
      </c>
      <c r="N224" s="306">
        <f t="shared" si="22"/>
        <v>542630.74349991535</v>
      </c>
      <c r="O224" s="361"/>
      <c r="P224" s="114"/>
      <c r="V224" s="571">
        <f t="shared" si="23"/>
        <v>2</v>
      </c>
      <c r="W224" s="293">
        <f>IF(V224=1,Adm!$AN$2,0)</f>
        <v>0</v>
      </c>
      <c r="Y224" s="304">
        <f t="shared" si="28"/>
        <v>0</v>
      </c>
      <c r="Z224" s="345">
        <f t="shared" ca="1" si="24"/>
        <v>0</v>
      </c>
      <c r="AB224" s="640">
        <f t="shared" si="29"/>
        <v>0</v>
      </c>
      <c r="AC224" s="639">
        <f t="shared" si="30"/>
        <v>0</v>
      </c>
      <c r="AD224" s="641">
        <f t="shared" si="25"/>
        <v>0</v>
      </c>
      <c r="AE224" s="639">
        <f t="shared" si="31"/>
        <v>0</v>
      </c>
      <c r="AF224" s="636">
        <f t="shared" si="18"/>
        <v>0</v>
      </c>
      <c r="AG224" s="637" t="e">
        <f>HLOOKUP($AG$110,anticipado,111,0)</f>
        <v>#N/A</v>
      </c>
      <c r="AI224" s="614">
        <v>9.3565831045593073E-3</v>
      </c>
      <c r="AJ224" s="615">
        <v>9.128130194605762E-3</v>
      </c>
      <c r="AK224" s="616">
        <v>8.9381478887006326E-3</v>
      </c>
      <c r="AL224" s="616">
        <v>9.3948775331615681E-3</v>
      </c>
      <c r="AM224" s="617">
        <v>9.3565831045593073E-3</v>
      </c>
      <c r="AN224" s="617">
        <v>9.128130194605762E-3</v>
      </c>
      <c r="AO224" s="617">
        <v>9.5598134266055793E-3</v>
      </c>
      <c r="AP224" s="617">
        <v>9.4733336216880504E-3</v>
      </c>
      <c r="AQ224" s="617">
        <v>9.4380984163784012E-3</v>
      </c>
      <c r="AR224" s="617">
        <v>9.7290328963490404E-3</v>
      </c>
      <c r="AS224" s="617">
        <v>9.5598134266055793E-3</v>
      </c>
      <c r="AT224" s="618">
        <v>9.4108868503704271E-3</v>
      </c>
      <c r="AU224" s="618">
        <v>3.5070496614302872E-3</v>
      </c>
      <c r="AV224" s="618">
        <v>3.4147492809030937E-3</v>
      </c>
      <c r="AW224" s="618">
        <v>3.2354315327699323E-3</v>
      </c>
      <c r="AX224" s="618">
        <v>3.6753805077659662E-3</v>
      </c>
      <c r="AY224" s="618">
        <v>3.5070496614302872E-3</v>
      </c>
      <c r="AZ224" s="618">
        <v>3.3580896145596248E-3</v>
      </c>
      <c r="BA224" s="618">
        <v>3.7726854730501052E-3</v>
      </c>
      <c r="BB224" s="618">
        <v>3.6997961487997624E-3</v>
      </c>
      <c r="BC224" s="618">
        <v>3.5222688659637645E-3</v>
      </c>
      <c r="BD224" s="618">
        <v>3.9038847964618624E-3</v>
      </c>
      <c r="BE224" s="617">
        <v>3.823097073544448E-3</v>
      </c>
      <c r="BF224" s="617">
        <v>3.7072673212122662E-3</v>
      </c>
      <c r="BG224" s="617"/>
      <c r="BH224" s="617"/>
      <c r="BI224" s="617"/>
      <c r="BJ224" s="617"/>
      <c r="BK224" s="617"/>
      <c r="BL224" s="617"/>
      <c r="BM224" s="617"/>
      <c r="BN224" s="617"/>
      <c r="BO224" s="617"/>
      <c r="BP224" s="617"/>
      <c r="BQ224" s="617"/>
      <c r="BR224" s="617"/>
      <c r="BS224" s="617"/>
      <c r="BT224" s="617"/>
      <c r="BU224" s="617"/>
      <c r="BV224" s="617"/>
      <c r="BW224" s="617"/>
      <c r="BX224" s="617"/>
      <c r="BY224" s="617"/>
      <c r="BZ224" s="617"/>
      <c r="CA224" s="617"/>
      <c r="CB224" s="617"/>
      <c r="CC224" s="617"/>
      <c r="CD224" s="617"/>
      <c r="CE224" s="617"/>
      <c r="CF224" s="617"/>
      <c r="CG224" s="617"/>
      <c r="CH224" s="617"/>
      <c r="CI224" s="617"/>
      <c r="CJ224" s="617"/>
      <c r="CK224" s="617"/>
      <c r="CL224" s="617"/>
    </row>
    <row r="225" spans="1:90">
      <c r="A225" s="151">
        <f t="shared" ca="1" si="17"/>
        <v>2</v>
      </c>
      <c r="B225" s="113">
        <f t="shared" si="19"/>
        <v>129</v>
      </c>
      <c r="C225" s="150">
        <f t="shared" si="26"/>
        <v>111</v>
      </c>
      <c r="D225" s="565">
        <f t="shared" si="27"/>
        <v>9.5000000000000001E-2</v>
      </c>
      <c r="E225" s="306">
        <f t="shared" si="20"/>
        <v>4295.8267193743295</v>
      </c>
      <c r="F225" s="306">
        <f t="shared" si="32"/>
        <v>5319.4793356035434</v>
      </c>
      <c r="G225" s="307">
        <f t="shared" si="33"/>
        <v>9615.3060549778729</v>
      </c>
      <c r="H225" s="306">
        <f>IF(N224&lt;0.01,0,IF(Adm!$S$3=Adm!$S$13,Cal!$E$94,IF(Adm!$R$3=Adm!$R$6,0,IF(Cal!$E$91=0,N224*Adm!$Y$3,N224*Adm!$X$3))))</f>
        <v>233.33121970496359</v>
      </c>
      <c r="I225" s="306">
        <f>IF(N224&lt;0.01,0,IF(Adm!$R$4=Adm!$R$6,0,Cal!$E$89*Adm!$AA$3))</f>
        <v>573.58240000000001</v>
      </c>
      <c r="J225" s="306">
        <f>IF(N224&lt;0.01,0,Adm!$O$3*1.16)</f>
        <v>290</v>
      </c>
      <c r="K225" s="306">
        <f>IF(N224&lt;0.01,0,IF(Adm!$N$3&gt;0,E225*Adm!$N$3,0))</f>
        <v>0</v>
      </c>
      <c r="L225" s="306">
        <f t="shared" si="21"/>
        <v>10712.219674682836</v>
      </c>
      <c r="M225" s="306">
        <f>IF(Adm!$F$3="si",MIN(N224+E225+H225+I225+J225-L225,Z225),0)</f>
        <v>0</v>
      </c>
      <c r="N225" s="306">
        <f t="shared" si="22"/>
        <v>537311.26416431181</v>
      </c>
      <c r="O225" s="361"/>
      <c r="P225" s="114"/>
      <c r="V225" s="571">
        <f t="shared" si="23"/>
        <v>3</v>
      </c>
      <c r="W225" s="293">
        <f>IF(V225=1,Adm!$AN$2,0)</f>
        <v>0</v>
      </c>
      <c r="Y225" s="304">
        <f t="shared" si="28"/>
        <v>0</v>
      </c>
      <c r="Z225" s="345">
        <f t="shared" ca="1" si="24"/>
        <v>0</v>
      </c>
      <c r="AB225" s="640">
        <f t="shared" si="29"/>
        <v>0</v>
      </c>
      <c r="AC225" s="639">
        <f t="shared" si="30"/>
        <v>0</v>
      </c>
      <c r="AD225" s="641">
        <f t="shared" si="25"/>
        <v>0</v>
      </c>
      <c r="AE225" s="639">
        <f t="shared" si="31"/>
        <v>0</v>
      </c>
      <c r="AF225" s="636">
        <f t="shared" si="18"/>
        <v>0</v>
      </c>
      <c r="AG225" s="637" t="e">
        <f>HLOOKUP($AG$110,anticipado,112,0)</f>
        <v>#N/A</v>
      </c>
      <c r="AI225" s="614">
        <v>9.5264183588999757E-3</v>
      </c>
      <c r="AJ225" s="615">
        <v>9.2958214445333174E-3</v>
      </c>
      <c r="AK225" s="616">
        <v>9.103610379311556E-3</v>
      </c>
      <c r="AL225" s="616">
        <v>9.5629324680200824E-3</v>
      </c>
      <c r="AM225" s="617">
        <v>9.5264183588999757E-3</v>
      </c>
      <c r="AN225" s="617">
        <v>9.2958214445333174E-3</v>
      </c>
      <c r="AO225" s="617">
        <v>9.728497907819416E-3</v>
      </c>
      <c r="AP225" s="617">
        <v>9.6431572476275429E-3</v>
      </c>
      <c r="AQ225" s="617">
        <v>9.6098070659700156E-3</v>
      </c>
      <c r="AR225" s="617">
        <v>9.899529621529948E-3</v>
      </c>
      <c r="AS225" s="617">
        <v>9.728497907819416E-3</v>
      </c>
      <c r="AT225" s="618">
        <v>9.5785912815656536E-3</v>
      </c>
      <c r="AU225" s="618">
        <v>3.5513308306951838E-3</v>
      </c>
      <c r="AV225" s="618">
        <v>3.4586869290915744E-3</v>
      </c>
      <c r="AW225" s="618">
        <v>3.2780953198390276E-3</v>
      </c>
      <c r="AX225" s="618">
        <v>3.7207558582008347E-3</v>
      </c>
      <c r="AY225" s="618">
        <v>3.5513308306951838E-3</v>
      </c>
      <c r="AZ225" s="618">
        <v>3.4013856396093054E-3</v>
      </c>
      <c r="BA225" s="618">
        <v>3.8183412850825806E-3</v>
      </c>
      <c r="BB225" s="618">
        <v>3.745409985851622E-3</v>
      </c>
      <c r="BC225" s="618">
        <v>3.5669439527565685E-3</v>
      </c>
      <c r="BD225" s="618">
        <v>3.9502117225871346E-3</v>
      </c>
      <c r="BE225" s="617">
        <v>3.8689191315342672E-3</v>
      </c>
      <c r="BF225" s="617">
        <v>3.7526913233522315E-3</v>
      </c>
      <c r="BG225" s="617"/>
      <c r="BH225" s="617"/>
      <c r="BI225" s="617"/>
      <c r="BJ225" s="617"/>
      <c r="BK225" s="617"/>
      <c r="BL225" s="617"/>
      <c r="BM225" s="617"/>
      <c r="BN225" s="617"/>
      <c r="BO225" s="617"/>
      <c r="BP225" s="617"/>
      <c r="BQ225" s="617"/>
      <c r="BR225" s="617"/>
      <c r="BS225" s="617"/>
      <c r="BT225" s="617"/>
      <c r="BU225" s="617"/>
      <c r="BV225" s="617"/>
      <c r="BW225" s="617"/>
      <c r="BX225" s="617"/>
      <c r="BY225" s="617"/>
      <c r="BZ225" s="617"/>
      <c r="CA225" s="617"/>
      <c r="CB225" s="617"/>
      <c r="CC225" s="617"/>
      <c r="CD225" s="617"/>
      <c r="CE225" s="617"/>
      <c r="CF225" s="617"/>
      <c r="CG225" s="617"/>
      <c r="CH225" s="617"/>
      <c r="CI225" s="617"/>
      <c r="CJ225" s="617"/>
      <c r="CK225" s="617"/>
      <c r="CL225" s="617"/>
    </row>
    <row r="226" spans="1:90">
      <c r="A226" s="151">
        <f t="shared" ca="1" si="17"/>
        <v>3</v>
      </c>
      <c r="B226" s="113">
        <f t="shared" si="19"/>
        <v>128</v>
      </c>
      <c r="C226" s="150">
        <f t="shared" si="26"/>
        <v>112</v>
      </c>
      <c r="D226" s="565">
        <f t="shared" si="27"/>
        <v>9.5000000000000001E-2</v>
      </c>
      <c r="E226" s="306">
        <f t="shared" si="20"/>
        <v>4253.7141746341358</v>
      </c>
      <c r="F226" s="306">
        <f t="shared" si="32"/>
        <v>5361.5918803437371</v>
      </c>
      <c r="G226" s="307">
        <f t="shared" si="33"/>
        <v>9615.3060549778729</v>
      </c>
      <c r="H226" s="306">
        <f>IF(N225&lt;0.01,0,IF(Adm!$S$3=Adm!$S$13,Cal!$E$94,IF(Adm!$R$3=Adm!$R$6,0,IF(Cal!$E$91=0,N225*Adm!$Y$3,N225*Adm!$X$3))))</f>
        <v>231.04384359065406</v>
      </c>
      <c r="I226" s="306">
        <f>IF(N225&lt;0.01,0,IF(Adm!$R$4=Adm!$R$6,0,Cal!$E$89*Adm!$AA$3))</f>
        <v>573.58240000000001</v>
      </c>
      <c r="J226" s="306">
        <f>IF(N225&lt;0.01,0,Adm!$O$3*1.16)</f>
        <v>290</v>
      </c>
      <c r="K226" s="306">
        <f>IF(N225&lt;0.01,0,IF(Adm!$N$3&gt;0,E226*Adm!$N$3,0))</f>
        <v>0</v>
      </c>
      <c r="L226" s="306">
        <f t="shared" si="21"/>
        <v>10709.932298568527</v>
      </c>
      <c r="M226" s="306">
        <f>IF(Adm!$F$3="si",MIN(N225+E226+H226+I226+J226-L226,Z226),0)</f>
        <v>0</v>
      </c>
      <c r="N226" s="306">
        <f t="shared" si="22"/>
        <v>531949.67228396807</v>
      </c>
      <c r="O226" s="361"/>
      <c r="P226" s="114"/>
      <c r="V226" s="571">
        <f t="shared" si="23"/>
        <v>4</v>
      </c>
      <c r="W226" s="293">
        <f>IF(V226=1,Adm!$AN$2,0)</f>
        <v>0</v>
      </c>
      <c r="Y226" s="304">
        <f t="shared" si="28"/>
        <v>0</v>
      </c>
      <c r="Z226" s="345">
        <f t="shared" ca="1" si="24"/>
        <v>0</v>
      </c>
      <c r="AB226" s="640">
        <f t="shared" si="29"/>
        <v>0</v>
      </c>
      <c r="AC226" s="639">
        <f t="shared" si="30"/>
        <v>0</v>
      </c>
      <c r="AD226" s="641">
        <f t="shared" si="25"/>
        <v>0</v>
      </c>
      <c r="AE226" s="639">
        <f t="shared" si="31"/>
        <v>0</v>
      </c>
      <c r="AF226" s="636">
        <f t="shared" si="18"/>
        <v>0</v>
      </c>
      <c r="AG226" s="637" t="e">
        <f>HLOOKUP($AG$110,anticipado,113,0)</f>
        <v>#N/A</v>
      </c>
      <c r="AI226" s="614">
        <v>9.7009994969529424E-3</v>
      </c>
      <c r="AJ226" s="615">
        <v>9.4681956805911342E-3</v>
      </c>
      <c r="AK226" s="616">
        <v>9.2736841879245604E-3</v>
      </c>
      <c r="AL226" s="616">
        <v>9.7356451983810714E-3</v>
      </c>
      <c r="AM226" s="617">
        <v>9.7009994969529424E-3</v>
      </c>
      <c r="AN226" s="617">
        <v>9.4681956805911342E-3</v>
      </c>
      <c r="AO226" s="617">
        <v>9.901845263855959E-3</v>
      </c>
      <c r="AP226" s="617">
        <v>9.8177084397916611E-3</v>
      </c>
      <c r="AQ226" s="617">
        <v>9.7863360445571996E-3</v>
      </c>
      <c r="AR226" s="617">
        <v>1.0074748809159862E-2</v>
      </c>
      <c r="AS226" s="617">
        <v>9.901845263855959E-3</v>
      </c>
      <c r="AT226" s="618">
        <v>9.7509350595934938E-3</v>
      </c>
      <c r="AU226" s="618">
        <v>3.5963309188532496E-3</v>
      </c>
      <c r="AV226" s="618">
        <v>3.5033443800314332E-3</v>
      </c>
      <c r="AW226" s="618">
        <v>3.3214638560880873E-3</v>
      </c>
      <c r="AX226" s="618">
        <v>3.7668629548842443E-3</v>
      </c>
      <c r="AY226" s="618">
        <v>3.5963309188532496E-3</v>
      </c>
      <c r="AZ226" s="618">
        <v>3.4453895568668496E-3</v>
      </c>
      <c r="BA226" s="618">
        <v>3.8647267243344372E-3</v>
      </c>
      <c r="BB226" s="618">
        <v>3.7917597831860789E-3</v>
      </c>
      <c r="BC226" s="618">
        <v>3.6123476333385224E-3</v>
      </c>
      <c r="BD226" s="618">
        <v>3.997274311902891E-3</v>
      </c>
      <c r="BE226" s="617">
        <v>3.9154704972007995E-3</v>
      </c>
      <c r="BF226" s="617">
        <v>3.7988450926185538E-3</v>
      </c>
      <c r="BG226" s="617"/>
      <c r="BH226" s="617"/>
      <c r="BI226" s="617"/>
      <c r="BJ226" s="617"/>
      <c r="BK226" s="617"/>
      <c r="BL226" s="617"/>
      <c r="BM226" s="617"/>
      <c r="BN226" s="617"/>
      <c r="BO226" s="617"/>
      <c r="BP226" s="617"/>
      <c r="BQ226" s="617"/>
      <c r="BR226" s="617"/>
      <c r="BS226" s="617"/>
      <c r="BT226" s="617"/>
      <c r="BU226" s="617"/>
      <c r="BV226" s="617"/>
      <c r="BW226" s="617"/>
      <c r="BX226" s="617"/>
      <c r="BY226" s="617"/>
      <c r="BZ226" s="617"/>
      <c r="CA226" s="617"/>
      <c r="CB226" s="617"/>
      <c r="CC226" s="617"/>
      <c r="CD226" s="617"/>
      <c r="CE226" s="617"/>
      <c r="CF226" s="617"/>
      <c r="CG226" s="617"/>
      <c r="CH226" s="617"/>
      <c r="CI226" s="617"/>
      <c r="CJ226" s="617"/>
      <c r="CK226" s="617"/>
      <c r="CL226" s="617"/>
    </row>
    <row r="227" spans="1:90">
      <c r="A227" s="151">
        <f t="shared" ca="1" si="17"/>
        <v>4</v>
      </c>
      <c r="B227" s="113">
        <f t="shared" si="19"/>
        <v>127</v>
      </c>
      <c r="C227" s="150">
        <f t="shared" si="26"/>
        <v>113</v>
      </c>
      <c r="D227" s="565">
        <f t="shared" si="27"/>
        <v>9.5000000000000001E-2</v>
      </c>
      <c r="E227" s="306">
        <f t="shared" si="20"/>
        <v>4211.2682389147476</v>
      </c>
      <c r="F227" s="306">
        <f t="shared" si="32"/>
        <v>5404.0378160631253</v>
      </c>
      <c r="G227" s="307">
        <f t="shared" si="33"/>
        <v>9615.3060549778729</v>
      </c>
      <c r="H227" s="306">
        <f>IF(N226&lt;0.01,0,IF(Adm!$S$3=Adm!$S$13,Cal!$E$94,IF(Adm!$R$3=Adm!$R$6,0,IF(Cal!$E$91=0,N226*Adm!$Y$3,N226*Adm!$X$3))))</f>
        <v>228.73835908210626</v>
      </c>
      <c r="I227" s="306">
        <f>IF(N226&lt;0.01,0,IF(Adm!$R$4=Adm!$R$6,0,Cal!$E$89*Adm!$AA$3))</f>
        <v>573.58240000000001</v>
      </c>
      <c r="J227" s="306">
        <f>IF(N226&lt;0.01,0,Adm!$O$3*1.16)</f>
        <v>290</v>
      </c>
      <c r="K227" s="306">
        <f>IF(N226&lt;0.01,0,IF(Adm!$N$3&gt;0,E227*Adm!$N$3,0))</f>
        <v>0</v>
      </c>
      <c r="L227" s="306">
        <f t="shared" si="21"/>
        <v>10707.626814059979</v>
      </c>
      <c r="M227" s="306">
        <f>IF(Adm!$F$3="si",MIN(N226+E227+H227+I227+J227-L227,Z227),0)</f>
        <v>0</v>
      </c>
      <c r="N227" s="306">
        <f t="shared" si="22"/>
        <v>526545.63446790492</v>
      </c>
      <c r="O227" s="361"/>
      <c r="P227" s="114"/>
      <c r="V227" s="571">
        <f t="shared" si="23"/>
        <v>5</v>
      </c>
      <c r="W227" s="293">
        <f>IF(V227=1,Adm!$AN$2,0)</f>
        <v>0</v>
      </c>
      <c r="Y227" s="304">
        <f t="shared" si="28"/>
        <v>0</v>
      </c>
      <c r="Z227" s="345">
        <f t="shared" ca="1" si="24"/>
        <v>0</v>
      </c>
      <c r="AB227" s="640">
        <f t="shared" si="29"/>
        <v>0</v>
      </c>
      <c r="AC227" s="639">
        <f t="shared" si="30"/>
        <v>0</v>
      </c>
      <c r="AD227" s="641">
        <f t="shared" si="25"/>
        <v>0</v>
      </c>
      <c r="AE227" s="639">
        <f t="shared" si="31"/>
        <v>0</v>
      </c>
      <c r="AF227" s="636">
        <f t="shared" si="18"/>
        <v>0</v>
      </c>
      <c r="AG227" s="637" t="e">
        <f>HLOOKUP($AG$110,anticipado,114,0)</f>
        <v>#N/A</v>
      </c>
      <c r="AI227" s="614">
        <v>9.8805215522218982E-3</v>
      </c>
      <c r="AJ227" s="615">
        <v>9.6454445124627801E-3</v>
      </c>
      <c r="AK227" s="616">
        <v>9.4485570339571303E-3</v>
      </c>
      <c r="AL227" s="616">
        <v>9.9132059000792624E-3</v>
      </c>
      <c r="AM227" s="617">
        <v>9.8805215522218982E-3</v>
      </c>
      <c r="AN227" s="617">
        <v>9.6454445124627801E-3</v>
      </c>
      <c r="AO227" s="617">
        <v>1.0080045927218699E-2</v>
      </c>
      <c r="AP227" s="617">
        <v>9.9971812016252572E-3</v>
      </c>
      <c r="AQ227" s="617">
        <v>9.9678844962735134E-3</v>
      </c>
      <c r="AR227" s="617">
        <v>1.0254884150715198E-2</v>
      </c>
      <c r="AS227" s="617">
        <v>1.0080045927218699E-2</v>
      </c>
      <c r="AT227" s="618">
        <v>9.9281073460388749E-3</v>
      </c>
      <c r="AU227" s="618">
        <v>3.6420656954107423E-3</v>
      </c>
      <c r="AV227" s="618">
        <v>3.5487374611810631E-3</v>
      </c>
      <c r="AW227" s="618">
        <v>3.365552588406985E-3</v>
      </c>
      <c r="AX227" s="618">
        <v>3.8137179005500819E-3</v>
      </c>
      <c r="AY227" s="618">
        <v>3.6420656954107423E-3</v>
      </c>
      <c r="AZ227" s="618">
        <v>3.4901168582531141E-3</v>
      </c>
      <c r="BA227" s="618">
        <v>3.911857805436807E-3</v>
      </c>
      <c r="BB227" s="618">
        <v>3.8388617629711371E-3</v>
      </c>
      <c r="BC227" s="618">
        <v>3.65849596182507E-3</v>
      </c>
      <c r="BD227" s="618">
        <v>4.0450887294731456E-3</v>
      </c>
      <c r="BE227" s="617">
        <v>3.9627671639876141E-3</v>
      </c>
      <c r="BF227" s="617">
        <v>3.8457446641506836E-3</v>
      </c>
      <c r="BG227" s="617"/>
      <c r="BH227" s="617"/>
      <c r="BI227" s="617"/>
      <c r="BJ227" s="617"/>
      <c r="BK227" s="617"/>
      <c r="BL227" s="617"/>
      <c r="BM227" s="617"/>
      <c r="BN227" s="617"/>
      <c r="BO227" s="617"/>
      <c r="BP227" s="617"/>
      <c r="BQ227" s="617"/>
      <c r="BR227" s="617"/>
      <c r="BS227" s="617"/>
      <c r="BT227" s="617"/>
      <c r="BU227" s="617"/>
      <c r="BV227" s="617"/>
      <c r="BW227" s="617"/>
      <c r="BX227" s="617"/>
      <c r="BY227" s="617"/>
      <c r="BZ227" s="617"/>
      <c r="CA227" s="617"/>
      <c r="CB227" s="617"/>
      <c r="CC227" s="617"/>
      <c r="CD227" s="617"/>
      <c r="CE227" s="617"/>
      <c r="CF227" s="617"/>
      <c r="CG227" s="617"/>
      <c r="CH227" s="617"/>
      <c r="CI227" s="617"/>
      <c r="CJ227" s="617"/>
      <c r="CK227" s="617"/>
      <c r="CL227" s="617"/>
    </row>
    <row r="228" spans="1:90">
      <c r="A228" s="151">
        <f t="shared" ca="1" si="17"/>
        <v>5</v>
      </c>
      <c r="B228" s="113">
        <f t="shared" si="19"/>
        <v>126</v>
      </c>
      <c r="C228" s="150">
        <f t="shared" si="26"/>
        <v>114</v>
      </c>
      <c r="D228" s="565">
        <f t="shared" si="27"/>
        <v>9.5000000000000001E-2</v>
      </c>
      <c r="E228" s="306">
        <f t="shared" si="20"/>
        <v>4168.486272870914</v>
      </c>
      <c r="F228" s="306">
        <f t="shared" si="32"/>
        <v>5446.8197821069589</v>
      </c>
      <c r="G228" s="307">
        <f t="shared" si="33"/>
        <v>9615.3060549778729</v>
      </c>
      <c r="H228" s="306">
        <f>IF(N227&lt;0.01,0,IF(Adm!$S$3=Adm!$S$13,Cal!$E$94,IF(Adm!$R$3=Adm!$R$6,0,IF(Cal!$E$91=0,N227*Adm!$Y$3,N227*Adm!$X$3))))</f>
        <v>226.41462282119912</v>
      </c>
      <c r="I228" s="306">
        <f>IF(N227&lt;0.01,0,IF(Adm!$R$4=Adm!$R$6,0,Cal!$E$89*Adm!$AA$3))</f>
        <v>573.58240000000001</v>
      </c>
      <c r="J228" s="306">
        <f>IF(N227&lt;0.01,0,Adm!$O$3*1.16)</f>
        <v>290</v>
      </c>
      <c r="K228" s="306">
        <f>IF(N227&lt;0.01,0,IF(Adm!$N$3&gt;0,E228*Adm!$N$3,0))</f>
        <v>0</v>
      </c>
      <c r="L228" s="306">
        <f t="shared" si="21"/>
        <v>10705.303077799072</v>
      </c>
      <c r="M228" s="306">
        <f>IF(Adm!$F$3="si",MIN(N227+E228+H228+I228+J228-L228,Z228),0)</f>
        <v>0</v>
      </c>
      <c r="N228" s="306">
        <f t="shared" si="22"/>
        <v>521098.81468579796</v>
      </c>
      <c r="O228" s="361"/>
      <c r="P228" s="114"/>
      <c r="V228" s="571">
        <f t="shared" si="23"/>
        <v>6</v>
      </c>
      <c r="W228" s="293">
        <f>IF(V228=1,Adm!$AN$2,0)</f>
        <v>0</v>
      </c>
      <c r="Y228" s="304">
        <f t="shared" si="28"/>
        <v>0</v>
      </c>
      <c r="Z228" s="345">
        <f t="shared" ca="1" si="24"/>
        <v>0</v>
      </c>
      <c r="AB228" s="640">
        <f t="shared" si="29"/>
        <v>0</v>
      </c>
      <c r="AC228" s="639">
        <f t="shared" si="30"/>
        <v>0</v>
      </c>
      <c r="AD228" s="641">
        <f t="shared" si="25"/>
        <v>0</v>
      </c>
      <c r="AE228" s="639">
        <f t="shared" si="31"/>
        <v>0</v>
      </c>
      <c r="AF228" s="636">
        <f t="shared" si="18"/>
        <v>0</v>
      </c>
      <c r="AG228" s="637" t="e">
        <f>HLOOKUP($AG$110,anticipado,115,0)</f>
        <v>#N/A</v>
      </c>
      <c r="AI228" s="614">
        <v>1.0065190381097461E-2</v>
      </c>
      <c r="AJ228" s="615">
        <v>9.8277701329116188E-3</v>
      </c>
      <c r="AK228" s="616">
        <v>9.6284269492286859E-3</v>
      </c>
      <c r="AL228" s="616">
        <v>1.0095815234344637E-2</v>
      </c>
      <c r="AM228" s="617">
        <v>1.0065190381097461E-2</v>
      </c>
      <c r="AN228" s="617">
        <v>9.8277701329116188E-3</v>
      </c>
      <c r="AO228" s="617">
        <v>1.0263300834586677E-2</v>
      </c>
      <c r="AP228" s="617">
        <v>1.0181780288410429E-2</v>
      </c>
      <c r="AQ228" s="617">
        <v>1.0154662676188055E-2</v>
      </c>
      <c r="AR228" s="617">
        <v>1.0440140069292236E-2</v>
      </c>
      <c r="AS228" s="617">
        <v>1.0263300834586677E-2</v>
      </c>
      <c r="AT228" s="618">
        <v>1.011030771773901E-2</v>
      </c>
      <c r="AU228" s="618">
        <v>3.6885513880728555E-3</v>
      </c>
      <c r="AV228" s="618">
        <v>3.5948824601833387E-3</v>
      </c>
      <c r="AW228" s="618">
        <v>3.4103774098228584E-3</v>
      </c>
      <c r="AX228" s="618">
        <v>3.8613372685032767E-3</v>
      </c>
      <c r="AY228" s="618">
        <v>3.6885513880728555E-3</v>
      </c>
      <c r="AZ228" s="618">
        <v>3.5355834836193071E-3</v>
      </c>
      <c r="BA228" s="618">
        <v>3.9597510104898139E-3</v>
      </c>
      <c r="BB228" s="618">
        <v>3.8867326223501367E-3</v>
      </c>
      <c r="BC228" s="618">
        <v>3.7054054609260982E-3</v>
      </c>
      <c r="BD228" s="618">
        <v>4.0936716134873574E-3</v>
      </c>
      <c r="BE228" s="617">
        <v>4.0108255920921366E-3</v>
      </c>
      <c r="BF228" s="617">
        <v>3.8934065412272582E-3</v>
      </c>
      <c r="BG228" s="617"/>
      <c r="BH228" s="617"/>
      <c r="BI228" s="617"/>
      <c r="BJ228" s="617"/>
      <c r="BK228" s="617"/>
      <c r="BL228" s="617"/>
      <c r="BM228" s="617"/>
      <c r="BN228" s="617"/>
      <c r="BO228" s="617"/>
      <c r="BP228" s="617"/>
      <c r="BQ228" s="617"/>
      <c r="BR228" s="617"/>
      <c r="BS228" s="617"/>
      <c r="BT228" s="617"/>
      <c r="BU228" s="617"/>
      <c r="BV228" s="617"/>
      <c r="BW228" s="617"/>
      <c r="BX228" s="617"/>
      <c r="BY228" s="617"/>
      <c r="BZ228" s="617"/>
      <c r="CA228" s="617"/>
      <c r="CB228" s="617"/>
      <c r="CC228" s="617"/>
      <c r="CD228" s="617"/>
      <c r="CE228" s="617"/>
      <c r="CF228" s="617"/>
      <c r="CG228" s="617"/>
      <c r="CH228" s="617"/>
      <c r="CI228" s="617"/>
      <c r="CJ228" s="617"/>
      <c r="CK228" s="617"/>
      <c r="CL228" s="617"/>
    </row>
    <row r="229" spans="1:90">
      <c r="A229" s="151">
        <f t="shared" ca="1" si="17"/>
        <v>6</v>
      </c>
      <c r="B229" s="113">
        <f t="shared" si="19"/>
        <v>125</v>
      </c>
      <c r="C229" s="150">
        <f t="shared" si="26"/>
        <v>115</v>
      </c>
      <c r="D229" s="565">
        <f t="shared" si="27"/>
        <v>9.5000000000000001E-2</v>
      </c>
      <c r="E229" s="306">
        <f t="shared" si="20"/>
        <v>4125.3656162625675</v>
      </c>
      <c r="F229" s="306">
        <f t="shared" si="32"/>
        <v>5489.9404387153054</v>
      </c>
      <c r="G229" s="307">
        <f t="shared" si="33"/>
        <v>9615.3060549778729</v>
      </c>
      <c r="H229" s="306">
        <f>IF(N228&lt;0.01,0,IF(Adm!$S$3=Adm!$S$13,Cal!$E$94,IF(Adm!$R$3=Adm!$R$6,0,IF(Cal!$E$91=0,N228*Adm!$Y$3,N228*Adm!$X$3))))</f>
        <v>224.07249031489312</v>
      </c>
      <c r="I229" s="306">
        <f>IF(N228&lt;0.01,0,IF(Adm!$R$4=Adm!$R$6,0,Cal!$E$89*Adm!$AA$3))</f>
        <v>573.58240000000001</v>
      </c>
      <c r="J229" s="306">
        <f>IF(N228&lt;0.01,0,Adm!$O$3*1.16)</f>
        <v>290</v>
      </c>
      <c r="K229" s="306">
        <f>IF(N228&lt;0.01,0,IF(Adm!$N$3&gt;0,E229*Adm!$N$3,0))</f>
        <v>0</v>
      </c>
      <c r="L229" s="306">
        <f t="shared" si="21"/>
        <v>10702.960945292765</v>
      </c>
      <c r="M229" s="306">
        <f>IF(Adm!$F$3="si",MIN(N228+E229+H229+I229+J229-L229,Z229),0)</f>
        <v>0</v>
      </c>
      <c r="N229" s="306">
        <f t="shared" si="22"/>
        <v>515608.87424708263</v>
      </c>
      <c r="O229" s="361"/>
      <c r="P229" s="114"/>
      <c r="V229" s="571">
        <f t="shared" si="23"/>
        <v>7</v>
      </c>
      <c r="W229" s="293">
        <f>IF(V229=1,Adm!$AN$2,0)</f>
        <v>0</v>
      </c>
      <c r="Y229" s="304">
        <f t="shared" si="28"/>
        <v>0</v>
      </c>
      <c r="Z229" s="345">
        <f t="shared" ca="1" si="24"/>
        <v>0</v>
      </c>
      <c r="AB229" s="640">
        <f t="shared" si="29"/>
        <v>0</v>
      </c>
      <c r="AC229" s="639">
        <f t="shared" si="30"/>
        <v>0</v>
      </c>
      <c r="AD229" s="641">
        <f t="shared" si="25"/>
        <v>0</v>
      </c>
      <c r="AE229" s="639">
        <f t="shared" si="31"/>
        <v>0</v>
      </c>
      <c r="AF229" s="636">
        <f t="shared" si="18"/>
        <v>0</v>
      </c>
      <c r="AG229" s="637" t="e">
        <f>HLOOKUP($AG$110,anticipado,116,0)</f>
        <v>#N/A</v>
      </c>
      <c r="AI229" s="614">
        <v>1.0255223424300703E-2</v>
      </c>
      <c r="AJ229" s="615">
        <v>1.0015386058846503E-2</v>
      </c>
      <c r="AK229" s="616">
        <v>9.8135029961572157E-3</v>
      </c>
      <c r="AL229" s="616">
        <v>1.0283685080673219E-2</v>
      </c>
      <c r="AM229" s="617">
        <v>1.0255223424300703E-2</v>
      </c>
      <c r="AN229" s="617">
        <v>1.0015386058846503E-2</v>
      </c>
      <c r="AO229" s="617">
        <v>1.0451822161304896E-2</v>
      </c>
      <c r="AP229" s="617">
        <v>1.0371721962702817E-2</v>
      </c>
      <c r="AQ229" s="617">
        <v>1.034689273630926E-2</v>
      </c>
      <c r="AR229" s="617">
        <v>1.0630732473381867E-2</v>
      </c>
      <c r="AS229" s="617">
        <v>1.0451822161304896E-2</v>
      </c>
      <c r="AT229" s="618">
        <v>1.0297746893741156E-2</v>
      </c>
      <c r="AU229" s="618">
        <v>3.7358046995296353E-3</v>
      </c>
      <c r="AV229" s="618">
        <v>3.6417961417363883E-3</v>
      </c>
      <c r="AW229" s="618">
        <v>3.4559546757473949E-3</v>
      </c>
      <c r="AX229" s="618">
        <v>3.9097381199567956E-3</v>
      </c>
      <c r="AY229" s="618">
        <v>3.7358046995296353E-3</v>
      </c>
      <c r="AZ229" s="618">
        <v>3.5818058370770951E-3</v>
      </c>
      <c r="BA229" s="618">
        <v>4.0084233062641535E-3</v>
      </c>
      <c r="BB229" s="618">
        <v>3.9353895509747373E-3</v>
      </c>
      <c r="BC229" s="618">
        <v>3.7530931391915314E-3</v>
      </c>
      <c r="BD229" s="618">
        <v>4.1430400927152207E-3</v>
      </c>
      <c r="BE229" s="617">
        <v>4.0596627256365304E-3</v>
      </c>
      <c r="BF229" s="617">
        <v>3.9418477124960449E-3</v>
      </c>
      <c r="BG229" s="617"/>
      <c r="BH229" s="617"/>
      <c r="BI229" s="617"/>
      <c r="BJ229" s="617"/>
      <c r="BK229" s="617"/>
      <c r="BL229" s="617"/>
      <c r="BM229" s="617"/>
      <c r="BN229" s="617"/>
      <c r="BO229" s="617"/>
      <c r="BP229" s="617"/>
      <c r="BQ229" s="617"/>
      <c r="BR229" s="617"/>
      <c r="BS229" s="617"/>
      <c r="BT229" s="617"/>
      <c r="BU229" s="617"/>
      <c r="BV229" s="617"/>
      <c r="BW229" s="617"/>
      <c r="BX229" s="617"/>
      <c r="BY229" s="617"/>
      <c r="BZ229" s="617"/>
      <c r="CA229" s="617"/>
      <c r="CB229" s="617"/>
      <c r="CC229" s="617"/>
      <c r="CD229" s="617"/>
      <c r="CE229" s="617"/>
      <c r="CF229" s="617"/>
      <c r="CG229" s="617"/>
      <c r="CH229" s="617"/>
      <c r="CI229" s="617"/>
      <c r="CJ229" s="617"/>
      <c r="CK229" s="617"/>
      <c r="CL229" s="617"/>
    </row>
    <row r="230" spans="1:90">
      <c r="A230" s="151">
        <f t="shared" ca="1" si="17"/>
        <v>7</v>
      </c>
      <c r="B230" s="113">
        <f t="shared" si="19"/>
        <v>124</v>
      </c>
      <c r="C230" s="150">
        <f t="shared" si="26"/>
        <v>116</v>
      </c>
      <c r="D230" s="565">
        <f t="shared" si="27"/>
        <v>9.5000000000000001E-2</v>
      </c>
      <c r="E230" s="306">
        <f t="shared" si="20"/>
        <v>4081.9035877894039</v>
      </c>
      <c r="F230" s="306">
        <f t="shared" si="32"/>
        <v>5533.402467188469</v>
      </c>
      <c r="G230" s="307">
        <f t="shared" si="33"/>
        <v>9615.3060549778729</v>
      </c>
      <c r="H230" s="306">
        <f>IF(N229&lt;0.01,0,IF(Adm!$S$3=Adm!$S$13,Cal!$E$94,IF(Adm!$R$3=Adm!$R$6,0,IF(Cal!$E$91=0,N229*Adm!$Y$3,N229*Adm!$X$3))))</f>
        <v>221.71181592624552</v>
      </c>
      <c r="I230" s="306">
        <f>IF(N229&lt;0.01,0,IF(Adm!$R$4=Adm!$R$6,0,Cal!$E$89*Adm!$AA$3))</f>
        <v>573.58240000000001</v>
      </c>
      <c r="J230" s="306">
        <f>IF(N229&lt;0.01,0,Adm!$O$3*1.16)</f>
        <v>290</v>
      </c>
      <c r="K230" s="306">
        <f>IF(N229&lt;0.01,0,IF(Adm!$N$3&gt;0,E230*Adm!$N$3,0))</f>
        <v>0</v>
      </c>
      <c r="L230" s="306">
        <f t="shared" si="21"/>
        <v>10700.600270904119</v>
      </c>
      <c r="M230" s="306">
        <f>IF(Adm!$F$3="si",MIN(N229+E230+H230+I230+J230-L230,Z230),0)</f>
        <v>0</v>
      </c>
      <c r="N230" s="306">
        <f t="shared" si="22"/>
        <v>510075.47177989414</v>
      </c>
      <c r="O230" s="361"/>
      <c r="P230" s="114"/>
      <c r="V230" s="571">
        <f t="shared" si="23"/>
        <v>8</v>
      </c>
      <c r="W230" s="293">
        <f>IF(V230=1,Adm!$AN$2,0)</f>
        <v>0</v>
      </c>
      <c r="Y230" s="304">
        <f t="shared" si="28"/>
        <v>0</v>
      </c>
      <c r="Z230" s="345">
        <f t="shared" ca="1" si="24"/>
        <v>0</v>
      </c>
      <c r="AB230" s="640">
        <f t="shared" si="29"/>
        <v>0</v>
      </c>
      <c r="AC230" s="639">
        <f t="shared" si="30"/>
        <v>0</v>
      </c>
      <c r="AD230" s="641">
        <f t="shared" si="25"/>
        <v>0</v>
      </c>
      <c r="AE230" s="639">
        <f t="shared" si="31"/>
        <v>0</v>
      </c>
      <c r="AF230" s="636">
        <f t="shared" si="18"/>
        <v>0</v>
      </c>
      <c r="AG230" s="637" t="e">
        <f>HLOOKUP($AG$110,anticipado,117,0)</f>
        <v>#N/A</v>
      </c>
      <c r="AI230" s="614">
        <v>1.0450850533530625E-2</v>
      </c>
      <c r="AJ230" s="615">
        <v>1.0208517935543662E-2</v>
      </c>
      <c r="AK230" s="616">
        <v>1.000400604682684E-2</v>
      </c>
      <c r="AL230" s="616">
        <v>1.0477039332038333E-2</v>
      </c>
      <c r="AM230" s="617">
        <v>1.0450850533530625E-2</v>
      </c>
      <c r="AN230" s="617">
        <v>1.0208517935543662E-2</v>
      </c>
      <c r="AO230" s="617">
        <v>1.0645834118379278E-2</v>
      </c>
      <c r="AP230" s="617">
        <v>1.0567234814369776E-2</v>
      </c>
      <c r="AQ230" s="617">
        <v>1.0544809579270769E-2</v>
      </c>
      <c r="AR230" s="617">
        <v>1.0826889575082958E-2</v>
      </c>
      <c r="AS230" s="617">
        <v>1.0645834118379278E-2</v>
      </c>
      <c r="AT230" s="618">
        <v>1.0490647524010788E-2</v>
      </c>
      <c r="AU230" s="618">
        <v>3.7838428249857298E-3</v>
      </c>
      <c r="AV230" s="618">
        <v>3.6894957652125952E-3</v>
      </c>
      <c r="AW230" s="618">
        <v>3.502301220939974E-3</v>
      </c>
      <c r="AX230" s="618">
        <v>3.9589380221411348E-3</v>
      </c>
      <c r="AY230" s="618">
        <v>3.7838428249857298E-3</v>
      </c>
      <c r="AZ230" s="618">
        <v>3.6288008040488832E-3</v>
      </c>
      <c r="BA230" s="618">
        <v>4.057892162168183E-3</v>
      </c>
      <c r="BB230" s="618">
        <v>3.9848502493206464E-3</v>
      </c>
      <c r="BC230" s="618">
        <v>3.8015765090246272E-3</v>
      </c>
      <c r="BD230" s="618">
        <v>4.1932118047401682E-3</v>
      </c>
      <c r="BE230" s="617">
        <v>4.1092960106024643E-3</v>
      </c>
      <c r="BF230" s="617">
        <v>3.9910856699708107E-3</v>
      </c>
      <c r="BG230" s="617"/>
      <c r="BH230" s="617"/>
      <c r="BI230" s="617"/>
      <c r="BJ230" s="617"/>
      <c r="BK230" s="617"/>
      <c r="BL230" s="617"/>
      <c r="BM230" s="617"/>
      <c r="BN230" s="617"/>
      <c r="BO230" s="617"/>
      <c r="BP230" s="617"/>
      <c r="BQ230" s="617"/>
      <c r="BR230" s="617"/>
      <c r="BS230" s="617"/>
      <c r="BT230" s="617"/>
      <c r="BU230" s="617"/>
      <c r="BV230" s="617"/>
      <c r="BW230" s="617"/>
      <c r="BX230" s="617"/>
      <c r="BY230" s="617"/>
      <c r="BZ230" s="617"/>
      <c r="CA230" s="617"/>
      <c r="CB230" s="617"/>
      <c r="CC230" s="617"/>
      <c r="CD230" s="617"/>
      <c r="CE230" s="617"/>
      <c r="CF230" s="617"/>
      <c r="CG230" s="617"/>
      <c r="CH230" s="617"/>
      <c r="CI230" s="617"/>
      <c r="CJ230" s="617"/>
      <c r="CK230" s="617"/>
      <c r="CL230" s="617"/>
    </row>
    <row r="231" spans="1:90">
      <c r="A231" s="151">
        <f t="shared" ca="1" si="17"/>
        <v>8</v>
      </c>
      <c r="B231" s="113">
        <f t="shared" si="19"/>
        <v>123</v>
      </c>
      <c r="C231" s="150">
        <f t="shared" si="26"/>
        <v>117</v>
      </c>
      <c r="D231" s="565">
        <f t="shared" si="27"/>
        <v>9.5000000000000001E-2</v>
      </c>
      <c r="E231" s="306">
        <f t="shared" si="20"/>
        <v>4038.0974849241616</v>
      </c>
      <c r="F231" s="306">
        <f t="shared" si="32"/>
        <v>5577.2085700537118</v>
      </c>
      <c r="G231" s="307">
        <f t="shared" si="33"/>
        <v>9615.3060549778729</v>
      </c>
      <c r="H231" s="306">
        <f>IF(N230&lt;0.01,0,IF(Adm!$S$3=Adm!$S$13,Cal!$E$94,IF(Adm!$R$3=Adm!$R$6,0,IF(Cal!$E$91=0,N230*Adm!$Y$3,N230*Adm!$X$3))))</f>
        <v>219.33245286535447</v>
      </c>
      <c r="I231" s="306">
        <f>IF(N230&lt;0.01,0,IF(Adm!$R$4=Adm!$R$6,0,Cal!$E$89*Adm!$AA$3))</f>
        <v>573.58240000000001</v>
      </c>
      <c r="J231" s="306">
        <f>IF(N230&lt;0.01,0,Adm!$O$3*1.16)</f>
        <v>290</v>
      </c>
      <c r="K231" s="306">
        <f>IF(N230&lt;0.01,0,IF(Adm!$N$3&gt;0,E231*Adm!$N$3,0))</f>
        <v>0</v>
      </c>
      <c r="L231" s="306">
        <f t="shared" si="21"/>
        <v>10698.220907843226</v>
      </c>
      <c r="M231" s="306">
        <f>IF(Adm!$F$3="si",MIN(N230+E231+H231+I231+J231-L231,Z231),0)</f>
        <v>0</v>
      </c>
      <c r="N231" s="306">
        <f t="shared" si="22"/>
        <v>504498.26320984046</v>
      </c>
      <c r="O231" s="361"/>
      <c r="P231" s="114"/>
      <c r="V231" s="571">
        <f t="shared" si="23"/>
        <v>9</v>
      </c>
      <c r="W231" s="293">
        <f>IF(V231=1,Adm!$AN$2,0)</f>
        <v>0</v>
      </c>
      <c r="Y231" s="304">
        <f t="shared" si="28"/>
        <v>0</v>
      </c>
      <c r="Z231" s="345">
        <f t="shared" ca="1" si="24"/>
        <v>0</v>
      </c>
      <c r="AB231" s="640">
        <f t="shared" si="29"/>
        <v>0</v>
      </c>
      <c r="AC231" s="639">
        <f t="shared" si="30"/>
        <v>0</v>
      </c>
      <c r="AD231" s="641">
        <f t="shared" si="25"/>
        <v>0</v>
      </c>
      <c r="AE231" s="639">
        <f t="shared" si="31"/>
        <v>0</v>
      </c>
      <c r="AF231" s="636">
        <f t="shared" si="18"/>
        <v>0</v>
      </c>
      <c r="AG231" s="637" t="e">
        <f>HLOOKUP($AG$110,anticipado,118,0)</f>
        <v>#N/A</v>
      </c>
      <c r="AI231" s="614">
        <v>1.0652314869924009E-2</v>
      </c>
      <c r="AJ231" s="615">
        <v>1.0407404410394689E-2</v>
      </c>
      <c r="AK231" s="616">
        <v>1.020016962903156E-2</v>
      </c>
      <c r="AL231" s="616">
        <v>1.0676114758717995E-2</v>
      </c>
      <c r="AM231" s="617">
        <v>1.0652314869924009E-2</v>
      </c>
      <c r="AN231" s="617">
        <v>1.0407404410394689E-2</v>
      </c>
      <c r="AO231" s="617">
        <v>1.0845573818271064E-2</v>
      </c>
      <c r="AP231" s="617">
        <v>1.076856065176883E-2</v>
      </c>
      <c r="AQ231" s="617">
        <v>1.0748661786597837E-2</v>
      </c>
      <c r="AR231" s="617">
        <v>1.1028852779274014E-2</v>
      </c>
      <c r="AS231" s="617">
        <v>1.0845573818271064E-2</v>
      </c>
      <c r="AT231" s="618">
        <v>1.0689245046097565E-2</v>
      </c>
      <c r="AU231" s="618">
        <v>3.8326834704726655E-3</v>
      </c>
      <c r="AV231" s="618">
        <v>3.737999103064763E-3</v>
      </c>
      <c r="AW231" s="618">
        <v>3.5494343772237849E-3</v>
      </c>
      <c r="AX231" s="618">
        <v>4.0089550672268003E-3</v>
      </c>
      <c r="AY231" s="618">
        <v>3.8326834704726655E-3</v>
      </c>
      <c r="AZ231" s="618">
        <v>3.6765857690756226E-3</v>
      </c>
      <c r="BA231" s="618">
        <v>4.1081755690204821E-3</v>
      </c>
      <c r="BB231" s="618">
        <v>4.035132947827173E-3</v>
      </c>
      <c r="BC231" s="618">
        <v>3.8508736055031401E-3</v>
      </c>
      <c r="BD231" s="618">
        <v>4.2442049150123945E-3</v>
      </c>
      <c r="BE231" s="617">
        <v>4.1597434135696989E-3</v>
      </c>
      <c r="BF231" s="617">
        <v>4.0411384278352643E-3</v>
      </c>
      <c r="BG231" s="617"/>
      <c r="BH231" s="617"/>
      <c r="BI231" s="617"/>
      <c r="BJ231" s="617"/>
      <c r="BK231" s="617"/>
      <c r="BL231" s="617"/>
      <c r="BM231" s="617"/>
      <c r="BN231" s="617"/>
      <c r="BO231" s="617"/>
      <c r="BP231" s="617"/>
      <c r="BQ231" s="617"/>
      <c r="BR231" s="617"/>
      <c r="BS231" s="617"/>
      <c r="BT231" s="617"/>
      <c r="BU231" s="617"/>
      <c r="BV231" s="617"/>
      <c r="BW231" s="617"/>
      <c r="BX231" s="617"/>
      <c r="BY231" s="617"/>
      <c r="BZ231" s="617"/>
      <c r="CA231" s="617"/>
      <c r="CB231" s="617"/>
      <c r="CC231" s="617"/>
      <c r="CD231" s="617"/>
      <c r="CE231" s="617"/>
      <c r="CF231" s="617"/>
      <c r="CG231" s="617"/>
      <c r="CH231" s="617"/>
      <c r="CI231" s="617"/>
      <c r="CJ231" s="617"/>
      <c r="CK231" s="617"/>
      <c r="CL231" s="617"/>
    </row>
    <row r="232" spans="1:90">
      <c r="A232" s="151">
        <f t="shared" ca="1" si="17"/>
        <v>9</v>
      </c>
      <c r="B232" s="113">
        <f t="shared" si="19"/>
        <v>122</v>
      </c>
      <c r="C232" s="150">
        <f t="shared" si="26"/>
        <v>118</v>
      </c>
      <c r="D232" s="565">
        <f t="shared" si="27"/>
        <v>9.5000000000000001E-2</v>
      </c>
      <c r="E232" s="306">
        <f t="shared" si="20"/>
        <v>3993.9445837445705</v>
      </c>
      <c r="F232" s="306">
        <f t="shared" si="32"/>
        <v>5621.3614712333019</v>
      </c>
      <c r="G232" s="307">
        <f t="shared" si="33"/>
        <v>9615.3060549778729</v>
      </c>
      <c r="H232" s="306">
        <f>IF(N231&lt;0.01,0,IF(Adm!$S$3=Adm!$S$13,Cal!$E$94,IF(Adm!$R$3=Adm!$R$6,0,IF(Cal!$E$91=0,N231*Adm!$Y$3,N231*Adm!$X$3))))</f>
        <v>216.93425318023139</v>
      </c>
      <c r="I232" s="306">
        <f>IF(N231&lt;0.01,0,IF(Adm!$R$4=Adm!$R$6,0,Cal!$E$89*Adm!$AA$3))</f>
        <v>573.58240000000001</v>
      </c>
      <c r="J232" s="306">
        <f>IF(N231&lt;0.01,0,Adm!$O$3*1.16)</f>
        <v>290</v>
      </c>
      <c r="K232" s="306">
        <f>IF(N231&lt;0.01,0,IF(Adm!$N$3&gt;0,E232*Adm!$N$3,0))</f>
        <v>0</v>
      </c>
      <c r="L232" s="306">
        <f t="shared" si="21"/>
        <v>10695.822708158104</v>
      </c>
      <c r="M232" s="306">
        <f>IF(Adm!$F$3="si",MIN(N231+E232+H232+I232+J232-L232,Z232),0)</f>
        <v>0</v>
      </c>
      <c r="N232" s="306">
        <f t="shared" si="22"/>
        <v>498876.90173860715</v>
      </c>
      <c r="O232" s="361"/>
      <c r="P232" s="114"/>
      <c r="V232" s="571">
        <f t="shared" si="23"/>
        <v>10</v>
      </c>
      <c r="W232" s="293">
        <f>IF(V232=1,Adm!$AN$2,0)</f>
        <v>0</v>
      </c>
      <c r="Y232" s="304">
        <f t="shared" si="28"/>
        <v>0</v>
      </c>
      <c r="Z232" s="345">
        <f t="shared" ca="1" si="24"/>
        <v>0</v>
      </c>
      <c r="AB232" s="640">
        <f t="shared" si="29"/>
        <v>0</v>
      </c>
      <c r="AC232" s="639">
        <f t="shared" si="30"/>
        <v>0</v>
      </c>
      <c r="AD232" s="641">
        <f t="shared" si="25"/>
        <v>0</v>
      </c>
      <c r="AE232" s="639">
        <f t="shared" si="31"/>
        <v>0</v>
      </c>
      <c r="AF232" s="636">
        <f t="shared" si="18"/>
        <v>0</v>
      </c>
      <c r="AG232" s="637" t="e">
        <f>HLOOKUP($AG$110,anticipado,119,0)</f>
        <v>#N/A</v>
      </c>
      <c r="AI232" s="614">
        <v>1.0859873881712773E-2</v>
      </c>
      <c r="AJ232" s="615">
        <v>1.0612298083295535E-2</v>
      </c>
      <c r="AK232" s="616">
        <v>1.0402240846110399E-2</v>
      </c>
      <c r="AL232" s="616">
        <v>1.0881161947746659E-2</v>
      </c>
      <c r="AM232" s="617">
        <v>1.0859873881712773E-2</v>
      </c>
      <c r="AN232" s="617">
        <v>1.0612298083295535E-2</v>
      </c>
      <c r="AO232" s="617">
        <v>1.1051292216520603E-2</v>
      </c>
      <c r="AP232" s="617">
        <v>1.0975955471372237E-2</v>
      </c>
      <c r="AQ232" s="617">
        <v>1.0958712629267991E-2</v>
      </c>
      <c r="AR232" s="617">
        <v>1.1236877651027877E-2</v>
      </c>
      <c r="AS232" s="617">
        <v>1.1051292216520603E-2</v>
      </c>
      <c r="AT232" s="618">
        <v>1.0893788616690006E-2</v>
      </c>
      <c r="AU232" s="618">
        <v>3.8823448719847334E-3</v>
      </c>
      <c r="AV232" s="618">
        <v>3.7873244600608192E-3</v>
      </c>
      <c r="AW232" s="618">
        <v>3.5973719919941568E-3</v>
      </c>
      <c r="AX232" s="618">
        <v>4.059807892102643E-3</v>
      </c>
      <c r="AY232" s="618">
        <v>3.8823448719847334E-3</v>
      </c>
      <c r="AZ232" s="618">
        <v>3.7251786344216771E-3</v>
      </c>
      <c r="BA232" s="618">
        <v>4.1592920586703865E-3</v>
      </c>
      <c r="BB232" s="618">
        <v>4.0862564269041612E-3</v>
      </c>
      <c r="BC232" s="618">
        <v>3.9010030060509663E-3</v>
      </c>
      <c r="BD232" s="618">
        <v>4.2960381367647144E-3</v>
      </c>
      <c r="BE232" s="617">
        <v>4.2110234413008478E-3</v>
      </c>
      <c r="BF232" s="617">
        <v>4.0920245420965748E-3</v>
      </c>
      <c r="BG232" s="617"/>
      <c r="BH232" s="617"/>
      <c r="BI232" s="617"/>
      <c r="BJ232" s="617"/>
      <c r="BK232" s="617"/>
      <c r="BL232" s="617"/>
      <c r="BM232" s="617"/>
      <c r="BN232" s="617"/>
      <c r="BO232" s="617"/>
      <c r="BP232" s="617"/>
      <c r="BQ232" s="617"/>
      <c r="BR232" s="617"/>
      <c r="BS232" s="617"/>
      <c r="BT232" s="617"/>
      <c r="BU232" s="617"/>
      <c r="BV232" s="617"/>
      <c r="BW232" s="617"/>
      <c r="BX232" s="617"/>
      <c r="BY232" s="617"/>
      <c r="BZ232" s="617"/>
      <c r="CA232" s="617"/>
      <c r="CB232" s="617"/>
      <c r="CC232" s="617"/>
      <c r="CD232" s="617"/>
      <c r="CE232" s="617"/>
      <c r="CF232" s="617"/>
      <c r="CG232" s="617"/>
      <c r="CH232" s="617"/>
      <c r="CI232" s="617"/>
      <c r="CJ232" s="617"/>
      <c r="CK232" s="617"/>
      <c r="CL232" s="617"/>
    </row>
    <row r="233" spans="1:90">
      <c r="A233" s="151">
        <f t="shared" ca="1" si="17"/>
        <v>10</v>
      </c>
      <c r="B233" s="113">
        <f t="shared" si="19"/>
        <v>121</v>
      </c>
      <c r="C233" s="150">
        <f t="shared" si="26"/>
        <v>119</v>
      </c>
      <c r="D233" s="565">
        <f t="shared" si="27"/>
        <v>9.5000000000000001E-2</v>
      </c>
      <c r="E233" s="306">
        <f t="shared" si="20"/>
        <v>3949.4421387639736</v>
      </c>
      <c r="F233" s="306">
        <f t="shared" si="32"/>
        <v>5665.8639162138988</v>
      </c>
      <c r="G233" s="307">
        <f t="shared" si="33"/>
        <v>9615.3060549778729</v>
      </c>
      <c r="H233" s="306">
        <f>IF(N232&lt;0.01,0,IF(Adm!$S$3=Adm!$S$13,Cal!$E$94,IF(Adm!$R$3=Adm!$R$6,0,IF(Cal!$E$91=0,N232*Adm!$Y$3,N232*Adm!$X$3))))</f>
        <v>214.51706774760106</v>
      </c>
      <c r="I233" s="306">
        <f>IF(N232&lt;0.01,0,IF(Adm!$R$4=Adm!$R$6,0,Cal!$E$89*Adm!$AA$3))</f>
        <v>573.58240000000001</v>
      </c>
      <c r="J233" s="306">
        <f>IF(N232&lt;0.01,0,Adm!$O$3*1.16)</f>
        <v>290</v>
      </c>
      <c r="K233" s="306">
        <f>IF(N232&lt;0.01,0,IF(Adm!$N$3&gt;0,E233*Adm!$N$3,0))</f>
        <v>0</v>
      </c>
      <c r="L233" s="306">
        <f t="shared" si="21"/>
        <v>10693.405522725474</v>
      </c>
      <c r="M233" s="306">
        <f>IF(Adm!$F$3="si",MIN(N232+E233+H233+I233+J233-L233,Z233),0)</f>
        <v>0</v>
      </c>
      <c r="N233" s="306">
        <f t="shared" si="22"/>
        <v>493211.03782239323</v>
      </c>
      <c r="O233" s="361"/>
      <c r="P233" s="114"/>
      <c r="V233" s="571">
        <f t="shared" si="23"/>
        <v>11</v>
      </c>
      <c r="W233" s="293">
        <f>IF(V233=1,Adm!$AN$2,0)</f>
        <v>0</v>
      </c>
      <c r="Y233" s="304">
        <f t="shared" si="28"/>
        <v>0</v>
      </c>
      <c r="Z233" s="345">
        <f t="shared" ca="1" si="24"/>
        <v>0</v>
      </c>
      <c r="AB233" s="640">
        <f t="shared" si="29"/>
        <v>0</v>
      </c>
      <c r="AC233" s="639">
        <f t="shared" si="30"/>
        <v>0</v>
      </c>
      <c r="AD233" s="641">
        <f t="shared" si="25"/>
        <v>0</v>
      </c>
      <c r="AE233" s="639">
        <f t="shared" si="31"/>
        <v>0</v>
      </c>
      <c r="AF233" s="636">
        <f t="shared" si="18"/>
        <v>0</v>
      </c>
      <c r="AG233" s="637" t="e">
        <f>HLOOKUP($AG$110,anticipado,120,0)</f>
        <v>#N/A</v>
      </c>
      <c r="AI233" s="614">
        <v>1.1073800369344895E-2</v>
      </c>
      <c r="AJ233" s="615">
        <v>1.0823466541635856E-2</v>
      </c>
      <c r="AK233" s="616">
        <v>1.0610481378193358E-2</v>
      </c>
      <c r="AL233" s="616">
        <v>1.109244632582969E-2</v>
      </c>
      <c r="AM233" s="617">
        <v>1.1073800369344895E-2</v>
      </c>
      <c r="AN233" s="617">
        <v>1.0823466541635856E-2</v>
      </c>
      <c r="AO233" s="617">
        <v>1.1263255137063641E-2</v>
      </c>
      <c r="AP233" s="617">
        <v>1.1189690514013686E-2</v>
      </c>
      <c r="AQ233" s="617">
        <v>1.1175241169205293E-2</v>
      </c>
      <c r="AR233" s="617">
        <v>1.1451234969421529E-2</v>
      </c>
      <c r="AS233" s="617">
        <v>1.1263255137063641E-2</v>
      </c>
      <c r="AT233" s="618">
        <v>1.110454212580959E-2</v>
      </c>
      <c r="AU233" s="618">
        <v>3.9328458154820386E-3</v>
      </c>
      <c r="AV233" s="618">
        <v>3.8374906933908927E-3</v>
      </c>
      <c r="AW233" s="618">
        <v>3.6461324475607886E-3</v>
      </c>
      <c r="AX233" s="618">
        <v>4.111515699055557E-3</v>
      </c>
      <c r="AY233" s="618">
        <v>3.9328458154820386E-3</v>
      </c>
      <c r="AZ233" s="618">
        <v>3.7745978395187047E-3</v>
      </c>
      <c r="BA233" s="618">
        <v>4.2112607245114887E-3</v>
      </c>
      <c r="BB233" s="618">
        <v>4.1382400378525029E-3</v>
      </c>
      <c r="BC233" s="618">
        <v>3.9519838510054328E-3</v>
      </c>
      <c r="BD233" s="618">
        <v>4.3487307518371831E-3</v>
      </c>
      <c r="BE233" s="617">
        <v>4.2631551612171935E-3</v>
      </c>
      <c r="BF233" s="617">
        <v>4.1437631311336291E-3</v>
      </c>
      <c r="BG233" s="617"/>
      <c r="BH233" s="617"/>
      <c r="BI233" s="617"/>
      <c r="BJ233" s="617"/>
      <c r="BK233" s="617"/>
      <c r="BL233" s="617"/>
      <c r="BM233" s="617"/>
      <c r="BN233" s="617"/>
      <c r="BO233" s="617"/>
      <c r="BP233" s="617"/>
      <c r="BQ233" s="617"/>
      <c r="BR233" s="617"/>
      <c r="BS233" s="617"/>
      <c r="BT233" s="617"/>
      <c r="BU233" s="617"/>
      <c r="BV233" s="617"/>
      <c r="BW233" s="617"/>
      <c r="BX233" s="617"/>
      <c r="BY233" s="617"/>
      <c r="BZ233" s="617"/>
      <c r="CA233" s="617"/>
      <c r="CB233" s="617"/>
      <c r="CC233" s="617"/>
      <c r="CD233" s="617"/>
      <c r="CE233" s="617"/>
      <c r="CF233" s="617"/>
      <c r="CG233" s="617"/>
      <c r="CH233" s="617"/>
      <c r="CI233" s="617"/>
      <c r="CJ233" s="617"/>
      <c r="CK233" s="617"/>
      <c r="CL233" s="617"/>
    </row>
    <row r="234" spans="1:90">
      <c r="A234" s="151">
        <f t="shared" ca="1" si="17"/>
        <v>11</v>
      </c>
      <c r="B234" s="113">
        <f t="shared" si="19"/>
        <v>120</v>
      </c>
      <c r="C234" s="150">
        <f t="shared" si="26"/>
        <v>120</v>
      </c>
      <c r="D234" s="565">
        <f t="shared" si="27"/>
        <v>9.5000000000000001E-2</v>
      </c>
      <c r="E234" s="306">
        <f t="shared" si="20"/>
        <v>3904.5873827606133</v>
      </c>
      <c r="F234" s="306">
        <f t="shared" si="32"/>
        <v>5710.7186722172592</v>
      </c>
      <c r="G234" s="307">
        <f t="shared" si="33"/>
        <v>9615.3060549778729</v>
      </c>
      <c r="H234" s="306">
        <f>IF(N233&lt;0.01,0,IF(Adm!$S$3=Adm!$S$13,Cal!$E$94,IF(Adm!$R$3=Adm!$R$6,0,IF(Cal!$E$91=0,N233*Adm!$Y$3,N233*Adm!$X$3))))</f>
        <v>212.08074626362909</v>
      </c>
      <c r="I234" s="306">
        <f>IF(N233&lt;0.01,0,IF(Adm!$R$4=Adm!$R$6,0,Cal!$E$89*Adm!$AA$3))</f>
        <v>573.58240000000001</v>
      </c>
      <c r="J234" s="306">
        <f>IF(N233&lt;0.01,0,Adm!$O$3*1.16)</f>
        <v>290</v>
      </c>
      <c r="K234" s="306">
        <f>IF(N233&lt;0.01,0,IF(Adm!$N$3&gt;0,E234*Adm!$N$3,0))</f>
        <v>0</v>
      </c>
      <c r="L234" s="306">
        <f t="shared" si="21"/>
        <v>10690.969201241502</v>
      </c>
      <c r="M234" s="306">
        <f>IF(Adm!$F$3="si",MIN(N233+E234+H234+I234+J234-L234,Z234),0)</f>
        <v>0</v>
      </c>
      <c r="N234" s="306">
        <f t="shared" si="22"/>
        <v>487500.31915017596</v>
      </c>
      <c r="O234" s="361"/>
      <c r="P234" s="114"/>
      <c r="V234" s="571">
        <f t="shared" si="23"/>
        <v>12</v>
      </c>
      <c r="W234" s="293">
        <f>IF(V234=1,Adm!$AN$2,0)</f>
        <v>0</v>
      </c>
      <c r="Y234" s="304">
        <f t="shared" si="28"/>
        <v>0</v>
      </c>
      <c r="Z234" s="345">
        <f t="shared" ca="1" si="24"/>
        <v>0</v>
      </c>
      <c r="AB234" s="640">
        <f t="shared" si="29"/>
        <v>0</v>
      </c>
      <c r="AC234" s="639">
        <f t="shared" si="30"/>
        <v>0</v>
      </c>
      <c r="AD234" s="641">
        <f t="shared" si="25"/>
        <v>0</v>
      </c>
      <c r="AE234" s="639">
        <f t="shared" si="31"/>
        <v>0</v>
      </c>
      <c r="AF234" s="636">
        <f t="shared" si="18"/>
        <v>0</v>
      </c>
      <c r="AG234" s="637" t="e">
        <f>HLOOKUP($AG$110,anticipado,121,0)</f>
        <v>#N/A</v>
      </c>
      <c r="AI234" s="614">
        <v>1.1294383647335884E-2</v>
      </c>
      <c r="AJ234" s="615">
        <v>1.1041193488807033E-2</v>
      </c>
      <c r="AK234" s="616">
        <v>1.082516857339029E-2</v>
      </c>
      <c r="AL234" s="616">
        <v>1.1310249274501381E-2</v>
      </c>
      <c r="AM234" s="617">
        <v>1.1294383647335884E-2</v>
      </c>
      <c r="AN234" s="617">
        <v>1.1041193488807033E-2</v>
      </c>
      <c r="AO234" s="617">
        <v>1.1481744390049065E-2</v>
      </c>
      <c r="AP234" s="617">
        <v>1.141005341692182E-2</v>
      </c>
      <c r="AQ234" s="617">
        <v>1.1398543461399782E-2</v>
      </c>
      <c r="AR234" s="617">
        <v>1.1672211876878377E-2</v>
      </c>
      <c r="AS234" s="617">
        <v>1.1481744390049065E-2</v>
      </c>
      <c r="AT234" s="618">
        <v>1.1321785302325514E-2</v>
      </c>
      <c r="AU234" s="618">
        <v>3.984205657806863E-3</v>
      </c>
      <c r="AV234" s="618">
        <v>3.8885172336932672E-3</v>
      </c>
      <c r="AW234" s="618">
        <v>3.6957346813680145E-3</v>
      </c>
      <c r="AX234" s="618">
        <v>4.1640982773998502E-3</v>
      </c>
      <c r="AY234" s="618">
        <v>3.984205657806863E-3</v>
      </c>
      <c r="AZ234" s="618">
        <v>3.8248623812930202E-3</v>
      </c>
      <c r="BA234" s="618">
        <v>4.2641012429359085E-3</v>
      </c>
      <c r="BB234" s="618">
        <v>4.1911037247472794E-3</v>
      </c>
      <c r="BC234" s="618">
        <v>4.0038358651281634E-3</v>
      </c>
      <c r="BD234" s="618">
        <v>4.4023026324592303E-3</v>
      </c>
      <c r="BE234" s="617">
        <v>4.3161582228132891E-3</v>
      </c>
      <c r="BF234" s="617">
        <v>4.1963738971878828E-3</v>
      </c>
      <c r="BG234" s="617"/>
      <c r="BH234" s="617"/>
      <c r="BI234" s="617"/>
      <c r="BJ234" s="617"/>
      <c r="BK234" s="617"/>
      <c r="BL234" s="617"/>
      <c r="BM234" s="617"/>
      <c r="BN234" s="617"/>
      <c r="BO234" s="617"/>
      <c r="BP234" s="617"/>
      <c r="BQ234" s="617"/>
      <c r="BR234" s="617"/>
      <c r="BS234" s="617"/>
      <c r="BT234" s="617"/>
      <c r="BU234" s="617"/>
      <c r="BV234" s="617"/>
      <c r="BW234" s="617"/>
      <c r="BX234" s="617"/>
      <c r="BY234" s="617"/>
      <c r="BZ234" s="617"/>
      <c r="CA234" s="617"/>
      <c r="CB234" s="617"/>
      <c r="CC234" s="617"/>
      <c r="CD234" s="617"/>
      <c r="CE234" s="617"/>
      <c r="CF234" s="617"/>
      <c r="CG234" s="617"/>
      <c r="CH234" s="617"/>
      <c r="CI234" s="617"/>
      <c r="CJ234" s="617"/>
      <c r="CK234" s="617"/>
      <c r="CL234" s="617"/>
    </row>
    <row r="235" spans="1:90">
      <c r="A235" s="151">
        <f t="shared" ca="1" si="17"/>
        <v>12</v>
      </c>
      <c r="B235" s="113">
        <f t="shared" si="19"/>
        <v>119</v>
      </c>
      <c r="C235" s="150">
        <f t="shared" si="26"/>
        <v>121</v>
      </c>
      <c r="D235" s="565">
        <f t="shared" si="27"/>
        <v>9.5000000000000001E-2</v>
      </c>
      <c r="E235" s="306">
        <f t="shared" si="20"/>
        <v>3859.37752660556</v>
      </c>
      <c r="F235" s="306">
        <f t="shared" si="32"/>
        <v>5755.9285283723129</v>
      </c>
      <c r="G235" s="307">
        <f t="shared" si="33"/>
        <v>9615.3060549778729</v>
      </c>
      <c r="H235" s="306">
        <f>IF(N234&lt;0.01,0,IF(Adm!$S$3=Adm!$S$13,Cal!$E$94,IF(Adm!$R$3=Adm!$R$6,0,IF(Cal!$E$91=0,N234*Adm!$Y$3,N234*Adm!$X$3))))</f>
        <v>209.62513723457565</v>
      </c>
      <c r="I235" s="306">
        <f>IF(N234&lt;0.01,0,IF(Adm!$R$4=Adm!$R$6,0,Cal!$E$89*Adm!$AA$3))</f>
        <v>573.58240000000001</v>
      </c>
      <c r="J235" s="306">
        <f>IF(N234&lt;0.01,0,Adm!$O$3*1.16)</f>
        <v>290</v>
      </c>
      <c r="K235" s="306">
        <f>IF(N234&lt;0.01,0,IF(Adm!$N$3&gt;0,E235*Adm!$N$3,0))</f>
        <v>0</v>
      </c>
      <c r="L235" s="306">
        <f t="shared" si="21"/>
        <v>10688.513592212448</v>
      </c>
      <c r="M235" s="306">
        <f>IF(Adm!$F$3="si",MIN(N234+E235+H235+I235+J235-L235,Z235),0)</f>
        <v>0</v>
      </c>
      <c r="N235" s="306">
        <f t="shared" si="22"/>
        <v>481744.39062180364</v>
      </c>
      <c r="O235" s="361"/>
      <c r="P235" s="114"/>
      <c r="V235" s="571">
        <f t="shared" si="23"/>
        <v>1</v>
      </c>
      <c r="W235" s="293">
        <f>IF(V235=1,Adm!$AN$2,0)</f>
        <v>0</v>
      </c>
      <c r="Y235" s="304">
        <f t="shared" si="28"/>
        <v>0</v>
      </c>
      <c r="Z235" s="345">
        <f t="shared" ca="1" si="24"/>
        <v>0</v>
      </c>
      <c r="AB235" s="640">
        <f t="shared" si="29"/>
        <v>0</v>
      </c>
      <c r="AC235" s="639">
        <f t="shared" si="30"/>
        <v>0</v>
      </c>
      <c r="AD235" s="641">
        <f t="shared" si="25"/>
        <v>0</v>
      </c>
      <c r="AE235" s="639">
        <f t="shared" si="31"/>
        <v>0</v>
      </c>
      <c r="AF235" s="636">
        <f t="shared" si="18"/>
        <v>0</v>
      </c>
      <c r="AG235" s="637" t="e">
        <f>HLOOKUP($AG$110,anticipado,122,0)</f>
        <v>#N/A</v>
      </c>
      <c r="AI235" s="614">
        <v>1.2025604083588572E-2</v>
      </c>
      <c r="AJ235" s="615">
        <v>1.1774299475643873E-2</v>
      </c>
      <c r="AK235" s="616">
        <v>1.1557969887787832E-2</v>
      </c>
      <c r="AL235" s="616">
        <v>1.2031366081063749E-2</v>
      </c>
      <c r="AM235" s="617">
        <v>1.2025604083588572E-2</v>
      </c>
      <c r="AN235" s="617">
        <v>1.1774299475643873E-2</v>
      </c>
      <c r="AO235" s="617">
        <v>1.2197652133510548E-2</v>
      </c>
      <c r="AP235" s="617">
        <v>1.2135366541959382E-2</v>
      </c>
      <c r="AQ235" s="617">
        <v>1.2134240547564283E-2</v>
      </c>
      <c r="AR235" s="617">
        <v>1.2388240962659518E-2</v>
      </c>
      <c r="AS235" s="617">
        <v>1.2197652133510548E-2</v>
      </c>
      <c r="AT235" s="618">
        <v>1.2040501960209372E-2</v>
      </c>
      <c r="AU235" s="618">
        <v>4.1675587920480478E-3</v>
      </c>
      <c r="AV235" s="618">
        <v>4.0739116814524044E-3</v>
      </c>
      <c r="AW235" s="618">
        <v>3.882743522544709E-3</v>
      </c>
      <c r="AX235" s="618">
        <v>4.3460017863686173E-3</v>
      </c>
      <c r="AY235" s="618">
        <v>4.1675587920480478E-3</v>
      </c>
      <c r="AZ235" s="618">
        <v>4.0096684204445421E-3</v>
      </c>
      <c r="BA235" s="618">
        <v>4.4438455680711475E-3</v>
      </c>
      <c r="BB235" s="618">
        <v>4.3731500611422997E-3</v>
      </c>
      <c r="BC235" s="618">
        <v>4.1883118405781792E-3</v>
      </c>
      <c r="BD235" s="618">
        <v>4.5805086733481408E-3</v>
      </c>
      <c r="BE235" s="617">
        <v>4.4949200755281388E-3</v>
      </c>
      <c r="BF235" s="617">
        <v>4.3773759203361356E-3</v>
      </c>
      <c r="BG235" s="617"/>
      <c r="BH235" s="617"/>
      <c r="BI235" s="617"/>
      <c r="BJ235" s="617"/>
      <c r="BK235" s="617"/>
      <c r="BL235" s="617"/>
      <c r="BM235" s="617"/>
      <c r="BN235" s="617"/>
      <c r="BO235" s="617"/>
      <c r="BP235" s="617"/>
      <c r="BQ235" s="617"/>
      <c r="BR235" s="617"/>
      <c r="BS235" s="617"/>
      <c r="BT235" s="617"/>
      <c r="BU235" s="617"/>
      <c r="BV235" s="617"/>
      <c r="BW235" s="617"/>
      <c r="BX235" s="617"/>
      <c r="BY235" s="617"/>
      <c r="BZ235" s="617"/>
      <c r="CA235" s="617"/>
      <c r="CB235" s="617"/>
      <c r="CC235" s="617"/>
      <c r="CD235" s="617"/>
      <c r="CE235" s="617"/>
      <c r="CF235" s="617"/>
      <c r="CG235" s="617"/>
      <c r="CH235" s="617"/>
      <c r="CI235" s="617"/>
      <c r="CJ235" s="617"/>
      <c r="CK235" s="617"/>
      <c r="CL235" s="617"/>
    </row>
    <row r="236" spans="1:90">
      <c r="A236" s="151">
        <f t="shared" ca="1" si="17"/>
        <v>1</v>
      </c>
      <c r="B236" s="113">
        <f t="shared" si="19"/>
        <v>118</v>
      </c>
      <c r="C236" s="150">
        <f t="shared" si="26"/>
        <v>122</v>
      </c>
      <c r="D236" s="565">
        <f t="shared" si="27"/>
        <v>9.5000000000000001E-2</v>
      </c>
      <c r="E236" s="306">
        <f t="shared" si="20"/>
        <v>3813.8097590892789</v>
      </c>
      <c r="F236" s="306">
        <f t="shared" si="32"/>
        <v>5801.4962958885935</v>
      </c>
      <c r="G236" s="307">
        <f t="shared" si="33"/>
        <v>9615.3060549778729</v>
      </c>
      <c r="H236" s="306">
        <f>IF(N235&lt;0.01,0,IF(Adm!$S$3=Adm!$S$13,Cal!$E$94,IF(Adm!$R$3=Adm!$R$6,0,IF(Cal!$E$91=0,N235*Adm!$Y$3,N235*Adm!$X$3))))</f>
        <v>207.15008796737555</v>
      </c>
      <c r="I236" s="306">
        <f>IF(N235&lt;0.01,0,IF(Adm!$R$4=Adm!$R$6,0,Cal!$E$89*Adm!$AA$3))</f>
        <v>573.58240000000001</v>
      </c>
      <c r="J236" s="306">
        <f>IF(N235&lt;0.01,0,Adm!$O$3*1.16)</f>
        <v>290</v>
      </c>
      <c r="K236" s="306">
        <f>IF(N235&lt;0.01,0,IF(Adm!$N$3&gt;0,E236*Adm!$N$3,0))</f>
        <v>0</v>
      </c>
      <c r="L236" s="306">
        <f t="shared" si="21"/>
        <v>10686.038542945247</v>
      </c>
      <c r="M236" s="306">
        <f>IF(Adm!$F$3="si",MIN(N235+E236+H236+I236+J236-L236,Z236),0)</f>
        <v>0</v>
      </c>
      <c r="N236" s="306">
        <f t="shared" si="22"/>
        <v>475942.89432591503</v>
      </c>
      <c r="O236" s="361"/>
      <c r="P236" s="114"/>
      <c r="V236" s="571">
        <f t="shared" si="23"/>
        <v>2</v>
      </c>
      <c r="W236" s="293">
        <f>IF(V236=1,Adm!$AN$2,0)</f>
        <v>0</v>
      </c>
      <c r="Y236" s="304">
        <f t="shared" si="28"/>
        <v>0</v>
      </c>
      <c r="Z236" s="345">
        <f t="shared" ca="1" si="24"/>
        <v>0</v>
      </c>
      <c r="AB236" s="640">
        <f t="shared" si="29"/>
        <v>0</v>
      </c>
      <c r="AC236" s="639">
        <f t="shared" si="30"/>
        <v>0</v>
      </c>
      <c r="AD236" s="641">
        <f t="shared" si="25"/>
        <v>0</v>
      </c>
      <c r="AE236" s="639">
        <f t="shared" si="31"/>
        <v>0</v>
      </c>
      <c r="AF236" s="636">
        <f t="shared" si="18"/>
        <v>0</v>
      </c>
      <c r="AG236" s="637" t="e">
        <f>HLOOKUP($AG$110,anticipado,123,0)</f>
        <v>#N/A</v>
      </c>
      <c r="AI236" s="614">
        <v>1.2276962812946964E-2</v>
      </c>
      <c r="AJ236" s="615">
        <v>1.2022710234191601E-2</v>
      </c>
      <c r="AK236" s="616">
        <v>1.1803131357965744E-2</v>
      </c>
      <c r="AL236" s="616">
        <v>1.2279263518282919E-2</v>
      </c>
      <c r="AM236" s="617">
        <v>1.2276962812946964E-2</v>
      </c>
      <c r="AN236" s="617">
        <v>1.2022710234191601E-2</v>
      </c>
      <c r="AO236" s="617">
        <v>1.2446029214367877E-2</v>
      </c>
      <c r="AP236" s="617">
        <v>1.2386198891761752E-2</v>
      </c>
      <c r="AQ236" s="617">
        <v>1.2388720493475246E-2</v>
      </c>
      <c r="AR236" s="617">
        <v>1.2639279743051178E-2</v>
      </c>
      <c r="AS236" s="617">
        <v>1.2446029214367877E-2</v>
      </c>
      <c r="AT236" s="618">
        <v>1.2287685667227452E-2</v>
      </c>
      <c r="AU236" s="618">
        <v>4.2229789009331012E-3</v>
      </c>
      <c r="AV236" s="618">
        <v>4.1290618337600626E-3</v>
      </c>
      <c r="AW236" s="618">
        <v>3.9364994573835793E-3</v>
      </c>
      <c r="AX236" s="618">
        <v>4.4026198454892454E-3</v>
      </c>
      <c r="AY236" s="618">
        <v>4.2229789009331012E-3</v>
      </c>
      <c r="AZ236" s="618">
        <v>4.06402223816361E-3</v>
      </c>
      <c r="BA236" s="618">
        <v>4.500655640816191E-3</v>
      </c>
      <c r="BB236" s="618">
        <v>4.4300595811619945E-3</v>
      </c>
      <c r="BC236" s="618">
        <v>4.2442716165911835E-3</v>
      </c>
      <c r="BD236" s="618">
        <v>4.6380155039216506E-3</v>
      </c>
      <c r="BE236" s="617">
        <v>4.5518641088384019E-3</v>
      </c>
      <c r="BF236" s="617">
        <v>4.4339928692759033E-3</v>
      </c>
      <c r="BG236" s="617"/>
      <c r="BH236" s="617"/>
      <c r="BI236" s="617"/>
      <c r="BJ236" s="617"/>
      <c r="BK236" s="617"/>
      <c r="BL236" s="617"/>
      <c r="BM236" s="617"/>
      <c r="BN236" s="617"/>
      <c r="BO236" s="617"/>
      <c r="BP236" s="617"/>
      <c r="BQ236" s="617"/>
      <c r="BR236" s="617"/>
      <c r="BS236" s="617"/>
      <c r="BT236" s="617"/>
      <c r="BU236" s="617"/>
      <c r="BV236" s="617"/>
      <c r="BW236" s="617"/>
      <c r="BX236" s="617"/>
      <c r="BY236" s="617"/>
      <c r="BZ236" s="617"/>
      <c r="CA236" s="617"/>
      <c r="CB236" s="617"/>
      <c r="CC236" s="617"/>
      <c r="CD236" s="617"/>
      <c r="CE236" s="617"/>
      <c r="CF236" s="617"/>
      <c r="CG236" s="617"/>
      <c r="CH236" s="617"/>
      <c r="CI236" s="617"/>
      <c r="CJ236" s="617"/>
      <c r="CK236" s="617"/>
      <c r="CL236" s="617"/>
    </row>
    <row r="237" spans="1:90">
      <c r="A237" s="151">
        <f t="shared" ca="1" si="17"/>
        <v>2</v>
      </c>
      <c r="B237" s="113">
        <f t="shared" si="19"/>
        <v>117</v>
      </c>
      <c r="C237" s="150">
        <f t="shared" si="26"/>
        <v>123</v>
      </c>
      <c r="D237" s="565">
        <f t="shared" si="27"/>
        <v>9.5000000000000001E-2</v>
      </c>
      <c r="E237" s="306">
        <f t="shared" si="20"/>
        <v>3767.8812467468274</v>
      </c>
      <c r="F237" s="306">
        <f t="shared" si="32"/>
        <v>5847.424808231046</v>
      </c>
      <c r="G237" s="307">
        <f t="shared" si="33"/>
        <v>9615.3060549778729</v>
      </c>
      <c r="H237" s="306">
        <f>IF(N236&lt;0.01,0,IF(Adm!$S$3=Adm!$S$13,Cal!$E$94,IF(Adm!$R$3=Adm!$R$6,0,IF(Cal!$E$91=0,N236*Adm!$Y$3,N236*Adm!$X$3))))</f>
        <v>204.65544456014345</v>
      </c>
      <c r="I237" s="306">
        <f>IF(N236&lt;0.01,0,IF(Adm!$R$4=Adm!$R$6,0,Cal!$E$89*Adm!$AA$3))</f>
        <v>573.58240000000001</v>
      </c>
      <c r="J237" s="306">
        <f>IF(N236&lt;0.01,0,Adm!$O$3*1.16)</f>
        <v>290</v>
      </c>
      <c r="K237" s="306">
        <f>IF(N236&lt;0.01,0,IF(Adm!$N$3&gt;0,E237*Adm!$N$3,0))</f>
        <v>0</v>
      </c>
      <c r="L237" s="306">
        <f t="shared" si="21"/>
        <v>10683.543899538015</v>
      </c>
      <c r="M237" s="306">
        <f>IF(Adm!$F$3="si",MIN(N236+E237+H237+I237+J237-L237,Z237),0)</f>
        <v>0</v>
      </c>
      <c r="N237" s="306">
        <f t="shared" si="22"/>
        <v>470095.46951768396</v>
      </c>
      <c r="O237" s="361"/>
      <c r="P237" s="114"/>
      <c r="V237" s="571">
        <f t="shared" si="23"/>
        <v>3</v>
      </c>
      <c r="W237" s="293">
        <f>IF(V237=1,Adm!$AN$2,0)</f>
        <v>0</v>
      </c>
      <c r="Y237" s="304">
        <f t="shared" si="28"/>
        <v>0</v>
      </c>
      <c r="Z237" s="345">
        <f t="shared" ca="1" si="24"/>
        <v>0</v>
      </c>
      <c r="AB237" s="640">
        <f t="shared" si="29"/>
        <v>0</v>
      </c>
      <c r="AC237" s="639">
        <f t="shared" si="30"/>
        <v>0</v>
      </c>
      <c r="AD237" s="641">
        <f t="shared" si="25"/>
        <v>0</v>
      </c>
      <c r="AE237" s="639">
        <f t="shared" si="31"/>
        <v>0</v>
      </c>
      <c r="AF237" s="636">
        <f t="shared" si="18"/>
        <v>0</v>
      </c>
      <c r="AG237" s="637" t="e">
        <f>HLOOKUP($AG$110,anticipado,124,0)</f>
        <v>#N/A</v>
      </c>
      <c r="AI237" s="614">
        <v>1.2536765015093591E-2</v>
      </c>
      <c r="AJ237" s="615">
        <v>1.2279448581700327E-2</v>
      </c>
      <c r="AK237" s="616">
        <v>1.2056483409556737E-2</v>
      </c>
      <c r="AL237" s="616">
        <v>1.2535414039372866E-2</v>
      </c>
      <c r="AM237" s="617">
        <v>1.2536765015093591E-2</v>
      </c>
      <c r="AN237" s="617">
        <v>1.2279448581700327E-2</v>
      </c>
      <c r="AO237" s="617">
        <v>1.2702657930687075E-2</v>
      </c>
      <c r="AP237" s="617">
        <v>1.2645426675792737E-2</v>
      </c>
      <c r="AQ237" s="617">
        <v>1.2651796582646958E-2</v>
      </c>
      <c r="AR237" s="617">
        <v>1.2898684330664522E-2</v>
      </c>
      <c r="AS237" s="617">
        <v>1.2702657930687075E-2</v>
      </c>
      <c r="AT237" s="618">
        <v>1.2543082127077259E-2</v>
      </c>
      <c r="AU237" s="618">
        <v>4.2793741411664143E-3</v>
      </c>
      <c r="AV237" s="618">
        <v>4.1851903335191768E-3</v>
      </c>
      <c r="AW237" s="618">
        <v>3.9912150219419988E-3</v>
      </c>
      <c r="AX237" s="618">
        <v>4.4602291349616005E-3</v>
      </c>
      <c r="AY237" s="618">
        <v>4.2793741411664143E-3</v>
      </c>
      <c r="AZ237" s="618">
        <v>4.1193376624408442E-3</v>
      </c>
      <c r="BA237" s="618">
        <v>4.5584520948416581E-3</v>
      </c>
      <c r="BB237" s="618">
        <v>4.4879662169730683E-3</v>
      </c>
      <c r="BC237" s="618">
        <v>4.3012207754162309E-3</v>
      </c>
      <c r="BD237" s="618">
        <v>4.6965156390091651E-3</v>
      </c>
      <c r="BE237" s="617">
        <v>4.6097932248511742E-3</v>
      </c>
      <c r="BF237" s="617">
        <v>4.491597520040266E-3</v>
      </c>
      <c r="BG237" s="617"/>
      <c r="BH237" s="617"/>
      <c r="BI237" s="617"/>
      <c r="BJ237" s="617"/>
      <c r="BK237" s="617"/>
      <c r="BL237" s="617"/>
      <c r="BM237" s="617"/>
      <c r="BN237" s="617"/>
      <c r="BO237" s="617"/>
      <c r="BP237" s="617"/>
      <c r="BQ237" s="617"/>
      <c r="BR237" s="617"/>
      <c r="BS237" s="617"/>
      <c r="BT237" s="617"/>
      <c r="BU237" s="617"/>
      <c r="BV237" s="617"/>
      <c r="BW237" s="617"/>
      <c r="BX237" s="617"/>
      <c r="BY237" s="617"/>
      <c r="BZ237" s="617"/>
      <c r="CA237" s="617"/>
      <c r="CB237" s="617"/>
      <c r="CC237" s="617"/>
      <c r="CD237" s="617"/>
      <c r="CE237" s="617"/>
      <c r="CF237" s="617"/>
      <c r="CG237" s="617"/>
      <c r="CH237" s="617"/>
      <c r="CI237" s="617"/>
      <c r="CJ237" s="617"/>
      <c r="CK237" s="617"/>
      <c r="CL237" s="617"/>
    </row>
    <row r="238" spans="1:90">
      <c r="A238" s="151">
        <f t="shared" ca="1" si="17"/>
        <v>3</v>
      </c>
      <c r="B238" s="113">
        <f t="shared" si="19"/>
        <v>116</v>
      </c>
      <c r="C238" s="150">
        <f t="shared" si="26"/>
        <v>124</v>
      </c>
      <c r="D238" s="565">
        <f t="shared" si="27"/>
        <v>9.5000000000000001E-2</v>
      </c>
      <c r="E238" s="306">
        <f t="shared" si="20"/>
        <v>3721.5891336816644</v>
      </c>
      <c r="F238" s="306">
        <f t="shared" si="32"/>
        <v>5893.716921296209</v>
      </c>
      <c r="G238" s="307">
        <f t="shared" si="33"/>
        <v>9615.3060549778729</v>
      </c>
      <c r="H238" s="306">
        <f>IF(N237&lt;0.01,0,IF(Adm!$S$3=Adm!$S$13,Cal!$E$94,IF(Adm!$R$3=Adm!$R$6,0,IF(Cal!$E$91=0,N237*Adm!$Y$3,N237*Adm!$X$3))))</f>
        <v>202.14105189260411</v>
      </c>
      <c r="I238" s="306">
        <f>IF(N237&lt;0.01,0,IF(Adm!$R$4=Adm!$R$6,0,Cal!$E$89*Adm!$AA$3))</f>
        <v>573.58240000000001</v>
      </c>
      <c r="J238" s="306">
        <f>IF(N237&lt;0.01,0,Adm!$O$3*1.16)</f>
        <v>290</v>
      </c>
      <c r="K238" s="306">
        <f>IF(N237&lt;0.01,0,IF(Adm!$N$3&gt;0,E238*Adm!$N$3,0))</f>
        <v>0</v>
      </c>
      <c r="L238" s="306">
        <f t="shared" si="21"/>
        <v>10681.029506870476</v>
      </c>
      <c r="M238" s="306">
        <f>IF(Adm!$F$3="si",MIN(N237+E238+H238+I238+J238-L238,Z238),0)</f>
        <v>0</v>
      </c>
      <c r="N238" s="306">
        <f t="shared" si="22"/>
        <v>464201.75259638776</v>
      </c>
      <c r="O238" s="361"/>
      <c r="P238" s="114"/>
      <c r="V238" s="571">
        <f t="shared" si="23"/>
        <v>4</v>
      </c>
      <c r="W238" s="293">
        <f>IF(V238=1,Adm!$AN$2,0)</f>
        <v>0</v>
      </c>
      <c r="Y238" s="304">
        <f t="shared" si="28"/>
        <v>0</v>
      </c>
      <c r="Z238" s="345">
        <f t="shared" ca="1" si="24"/>
        <v>0</v>
      </c>
      <c r="AB238" s="640">
        <f t="shared" si="29"/>
        <v>0</v>
      </c>
      <c r="AC238" s="639">
        <f t="shared" si="30"/>
        <v>0</v>
      </c>
      <c r="AD238" s="641">
        <f t="shared" si="25"/>
        <v>0</v>
      </c>
      <c r="AE238" s="639">
        <f t="shared" si="31"/>
        <v>0</v>
      </c>
      <c r="AF238" s="636">
        <f t="shared" si="18"/>
        <v>0</v>
      </c>
      <c r="AG238" s="637" t="e">
        <f>HLOOKUP($AG$110,anticipado,125,0)</f>
        <v>#N/A</v>
      </c>
      <c r="AI238" s="614">
        <v>1.2805433321820893E-2</v>
      </c>
      <c r="AJ238" s="615">
        <v>1.2544929393021929E-2</v>
      </c>
      <c r="AK238" s="616">
        <v>1.231843179284383E-2</v>
      </c>
      <c r="AL238" s="616">
        <v>1.2800227512923311E-2</v>
      </c>
      <c r="AM238" s="617">
        <v>1.2805433321820893E-2</v>
      </c>
      <c r="AN238" s="617">
        <v>1.2544929393021929E-2</v>
      </c>
      <c r="AO238" s="617">
        <v>1.2967948047414243E-2</v>
      </c>
      <c r="AP238" s="617">
        <v>1.2913469289116172E-2</v>
      </c>
      <c r="AQ238" s="617">
        <v>1.2923901745924903E-2</v>
      </c>
      <c r="AR238" s="617">
        <v>1.3166872125859526E-2</v>
      </c>
      <c r="AS238" s="617">
        <v>1.2967948047414243E-2</v>
      </c>
      <c r="AT238" s="618">
        <v>1.2807098517455266E-2</v>
      </c>
      <c r="AU238" s="618">
        <v>4.3367681148243128E-3</v>
      </c>
      <c r="AV238" s="618">
        <v>4.2423209197453736E-3</v>
      </c>
      <c r="AW238" s="618">
        <v>4.046913412388429E-3</v>
      </c>
      <c r="AX238" s="618">
        <v>4.5188537343331479E-3</v>
      </c>
      <c r="AY238" s="618">
        <v>4.3367681148243128E-3</v>
      </c>
      <c r="AZ238" s="618">
        <v>4.1756379049065736E-3</v>
      </c>
      <c r="BA238" s="618">
        <v>4.6172588261959623E-3</v>
      </c>
      <c r="BB238" s="618">
        <v>4.546894234719657E-3</v>
      </c>
      <c r="BC238" s="618">
        <v>4.3591833816102729E-3</v>
      </c>
      <c r="BD238" s="618">
        <v>4.7560331719898848E-3</v>
      </c>
      <c r="BE238" s="617">
        <v>4.6687312656164392E-3</v>
      </c>
      <c r="BF238" s="617">
        <v>4.5502138281065842E-3</v>
      </c>
      <c r="BG238" s="617"/>
      <c r="BH238" s="617"/>
      <c r="BI238" s="617"/>
      <c r="BJ238" s="617"/>
      <c r="BK238" s="617"/>
      <c r="BL238" s="617"/>
      <c r="BM238" s="617"/>
      <c r="BN238" s="617"/>
      <c r="BO238" s="617"/>
      <c r="BP238" s="617"/>
      <c r="BQ238" s="617"/>
      <c r="BR238" s="617"/>
      <c r="BS238" s="617"/>
      <c r="BT238" s="617"/>
      <c r="BU238" s="617"/>
      <c r="BV238" s="617"/>
      <c r="BW238" s="617"/>
      <c r="BX238" s="617"/>
      <c r="BY238" s="617"/>
      <c r="BZ238" s="617"/>
      <c r="CA238" s="617"/>
      <c r="CB238" s="617"/>
      <c r="CC238" s="617"/>
      <c r="CD238" s="617"/>
      <c r="CE238" s="617"/>
      <c r="CF238" s="617"/>
      <c r="CG238" s="617"/>
      <c r="CH238" s="617"/>
      <c r="CI238" s="617"/>
      <c r="CJ238" s="617"/>
      <c r="CK238" s="617"/>
      <c r="CL238" s="617"/>
    </row>
    <row r="239" spans="1:90">
      <c r="A239" s="151">
        <f t="shared" ca="1" si="17"/>
        <v>4</v>
      </c>
      <c r="B239" s="113">
        <f t="shared" si="19"/>
        <v>115</v>
      </c>
      <c r="C239" s="150">
        <f t="shared" si="26"/>
        <v>125</v>
      </c>
      <c r="D239" s="565">
        <f t="shared" si="27"/>
        <v>9.5000000000000001E-2</v>
      </c>
      <c r="E239" s="306">
        <f t="shared" si="20"/>
        <v>3674.9305413880697</v>
      </c>
      <c r="F239" s="306">
        <f t="shared" si="32"/>
        <v>5940.3755135898027</v>
      </c>
      <c r="G239" s="307">
        <f t="shared" si="33"/>
        <v>9615.3060549778729</v>
      </c>
      <c r="H239" s="306">
        <f>IF(N238&lt;0.01,0,IF(Adm!$S$3=Adm!$S$13,Cal!$E$94,IF(Adm!$R$3=Adm!$R$6,0,IF(Cal!$E$91=0,N238*Adm!$Y$3,N238*Adm!$X$3))))</f>
        <v>199.60675361644672</v>
      </c>
      <c r="I239" s="306">
        <f>IF(N238&lt;0.01,0,IF(Adm!$R$4=Adm!$R$6,0,Cal!$E$89*Adm!$AA$3))</f>
        <v>573.58240000000001</v>
      </c>
      <c r="J239" s="306">
        <f>IF(N238&lt;0.01,0,Adm!$O$3*1.16)</f>
        <v>290</v>
      </c>
      <c r="K239" s="306">
        <f>IF(N238&lt;0.01,0,IF(Adm!$N$3&gt;0,E239*Adm!$N$3,0))</f>
        <v>0</v>
      </c>
      <c r="L239" s="306">
        <f t="shared" si="21"/>
        <v>10678.495208594319</v>
      </c>
      <c r="M239" s="306">
        <f>IF(Adm!$F$3="si",MIN(N238+E239+H239+I239+J239-L239,Z239),0)</f>
        <v>0</v>
      </c>
      <c r="N239" s="306">
        <f t="shared" si="22"/>
        <v>458261.37708279793</v>
      </c>
      <c r="O239" s="361"/>
      <c r="P239" s="114"/>
      <c r="V239" s="571">
        <f t="shared" si="23"/>
        <v>5</v>
      </c>
      <c r="W239" s="293">
        <f>IF(V239=1,Adm!$AN$2,0)</f>
        <v>0</v>
      </c>
      <c r="Y239" s="304">
        <f t="shared" si="28"/>
        <v>0</v>
      </c>
      <c r="Z239" s="345">
        <f t="shared" ca="1" si="24"/>
        <v>0</v>
      </c>
      <c r="AB239" s="640">
        <f t="shared" si="29"/>
        <v>0</v>
      </c>
      <c r="AC239" s="639">
        <f t="shared" si="30"/>
        <v>0</v>
      </c>
      <c r="AD239" s="641">
        <f t="shared" si="25"/>
        <v>0</v>
      </c>
      <c r="AE239" s="639">
        <f t="shared" si="31"/>
        <v>0</v>
      </c>
      <c r="AF239" s="636">
        <f t="shared" si="18"/>
        <v>0</v>
      </c>
      <c r="AG239" s="637" t="e">
        <f>HLOOKUP($AG$110,anticipado,125,0)</f>
        <v>#N/A</v>
      </c>
      <c r="AI239" s="614">
        <v>1.3083419034286597E-2</v>
      </c>
      <c r="AJ239" s="615">
        <v>1.2819595548263668E-2</v>
      </c>
      <c r="AK239" s="616">
        <v>1.2589409487377275E-2</v>
      </c>
      <c r="AL239" s="616">
        <v>1.3074141391313337E-2</v>
      </c>
      <c r="AM239" s="617">
        <v>1.3083419034286597E-2</v>
      </c>
      <c r="AN239" s="617">
        <v>1.2819595548263668E-2</v>
      </c>
      <c r="AO239" s="617">
        <v>1.3242336906485939E-2</v>
      </c>
      <c r="AP239" s="617">
        <v>1.3190774521409562E-2</v>
      </c>
      <c r="AQ239" s="617">
        <v>1.3205498467274444E-2</v>
      </c>
      <c r="AR239" s="617">
        <v>1.3444288756701828E-2</v>
      </c>
      <c r="AS239" s="617">
        <v>1.3242336906485939E-2</v>
      </c>
      <c r="AT239" s="618">
        <v>1.3080169372177776E-2</v>
      </c>
      <c r="AU239" s="618">
        <v>4.3951851844329405E-3</v>
      </c>
      <c r="AV239" s="618">
        <v>4.3004780972622329E-3</v>
      </c>
      <c r="AW239" s="618">
        <v>4.1036185684735936E-3</v>
      </c>
      <c r="AX239" s="618">
        <v>4.5785185032277973E-3</v>
      </c>
      <c r="AY239" s="618">
        <v>4.3951851844329405E-3</v>
      </c>
      <c r="AZ239" s="618">
        <v>4.2329469216360865E-3</v>
      </c>
      <c r="BA239" s="618">
        <v>4.6771005037214326E-3</v>
      </c>
      <c r="BB239" s="618">
        <v>4.6068686882463662E-3</v>
      </c>
      <c r="BC239" s="618">
        <v>4.4181842789248671E-3</v>
      </c>
      <c r="BD239" s="618">
        <v>4.8165929772438828E-3</v>
      </c>
      <c r="BE239" s="617">
        <v>4.7287028438686715E-3</v>
      </c>
      <c r="BF239" s="617">
        <v>4.6098665240489438E-3</v>
      </c>
      <c r="BG239" s="617"/>
      <c r="BH239" s="617"/>
      <c r="BI239" s="617"/>
      <c r="BJ239" s="617"/>
      <c r="BK239" s="617"/>
      <c r="BL239" s="617"/>
      <c r="BM239" s="617"/>
      <c r="BN239" s="617"/>
      <c r="BO239" s="617"/>
      <c r="BP239" s="617"/>
      <c r="BQ239" s="617"/>
      <c r="BR239" s="617"/>
      <c r="BS239" s="617"/>
      <c r="BT239" s="617"/>
      <c r="BU239" s="617"/>
      <c r="BV239" s="617"/>
      <c r="BW239" s="617"/>
      <c r="BX239" s="617"/>
      <c r="BY239" s="617"/>
      <c r="BZ239" s="617"/>
      <c r="CA239" s="617"/>
      <c r="CB239" s="617"/>
      <c r="CC239" s="617"/>
      <c r="CD239" s="617"/>
      <c r="CE239" s="617"/>
      <c r="CF239" s="617"/>
      <c r="CG239" s="617"/>
      <c r="CH239" s="617"/>
      <c r="CI239" s="617"/>
      <c r="CJ239" s="617"/>
      <c r="CK239" s="617"/>
      <c r="CL239" s="617"/>
    </row>
    <row r="240" spans="1:90">
      <c r="A240" s="151">
        <f t="shared" ca="1" si="17"/>
        <v>5</v>
      </c>
      <c r="B240" s="113">
        <f t="shared" si="19"/>
        <v>114</v>
      </c>
      <c r="C240" s="150">
        <f t="shared" si="26"/>
        <v>126</v>
      </c>
      <c r="D240" s="565">
        <f t="shared" si="27"/>
        <v>9.5000000000000001E-2</v>
      </c>
      <c r="E240" s="306">
        <f t="shared" si="20"/>
        <v>3627.9025685721504</v>
      </c>
      <c r="F240" s="306">
        <f t="shared" si="32"/>
        <v>5987.403486405723</v>
      </c>
      <c r="G240" s="307">
        <f t="shared" si="33"/>
        <v>9615.3060549778729</v>
      </c>
      <c r="H240" s="306">
        <f>IF(N239&lt;0.01,0,IF(Adm!$S$3=Adm!$S$13,Cal!$E$94,IF(Adm!$R$3=Adm!$R$6,0,IF(Cal!$E$91=0,N239*Adm!$Y$3,N239*Adm!$X$3))))</f>
        <v>197.05239214560311</v>
      </c>
      <c r="I240" s="306">
        <f>IF(N239&lt;0.01,0,IF(Adm!$R$4=Adm!$R$6,0,Cal!$E$89*Adm!$AA$3))</f>
        <v>573.58240000000001</v>
      </c>
      <c r="J240" s="306">
        <f>IF(N239&lt;0.01,0,Adm!$O$3*1.16)</f>
        <v>290</v>
      </c>
      <c r="K240" s="306">
        <f>IF(N239&lt;0.01,0,IF(Adm!$N$3&gt;0,E240*Adm!$N$3,0))</f>
        <v>0</v>
      </c>
      <c r="L240" s="306">
        <f t="shared" si="21"/>
        <v>10675.940847123475</v>
      </c>
      <c r="M240" s="306">
        <f>IF(Adm!$F$3="si",MIN(N239+E240+H240+I240+J240-L240,Z240),0)</f>
        <v>0</v>
      </c>
      <c r="N240" s="306">
        <f t="shared" si="22"/>
        <v>452273.9735963922</v>
      </c>
      <c r="O240" s="361"/>
      <c r="P240" s="114"/>
      <c r="V240" s="571">
        <f t="shared" si="23"/>
        <v>6</v>
      </c>
      <c r="W240" s="293">
        <f>IF(V240=1,Adm!$AN$2,0)</f>
        <v>0</v>
      </c>
      <c r="Y240" s="304">
        <f t="shared" si="28"/>
        <v>0</v>
      </c>
      <c r="Z240" s="345">
        <f t="shared" ca="1" si="24"/>
        <v>0</v>
      </c>
      <c r="AB240" s="640">
        <f t="shared" si="29"/>
        <v>0</v>
      </c>
      <c r="AC240" s="639">
        <f t="shared" si="30"/>
        <v>0</v>
      </c>
      <c r="AD240" s="641">
        <f t="shared" si="25"/>
        <v>0</v>
      </c>
      <c r="AE240" s="639">
        <f t="shared" si="31"/>
        <v>0</v>
      </c>
      <c r="AF240" s="636">
        <f t="shared" si="18"/>
        <v>0</v>
      </c>
      <c r="AG240" s="637" t="e">
        <f>HLOOKUP($AG$110,anticipado,127,0)</f>
        <v>#N/A</v>
      </c>
      <c r="AI240" s="614">
        <v>1.3371204596182353E-2</v>
      </c>
      <c r="AJ240" s="615">
        <v>1.3103920336677025E-2</v>
      </c>
      <c r="AK240" s="616">
        <v>1.2869879025408221E-2</v>
      </c>
      <c r="AL240" s="616">
        <v>1.3357623071079178E-2</v>
      </c>
      <c r="AM240" s="617">
        <v>1.3371204596182353E-2</v>
      </c>
      <c r="AN240" s="617">
        <v>1.3103920336677025E-2</v>
      </c>
      <c r="AO240" s="617">
        <v>1.3526291786595817E-2</v>
      </c>
      <c r="AP240" s="617">
        <v>1.3477821001566824E-2</v>
      </c>
      <c r="AQ240" s="617">
        <v>1.3497081349525722E-2</v>
      </c>
      <c r="AR240" s="617">
        <v>1.3731410506355939E-2</v>
      </c>
      <c r="AS240" s="617">
        <v>1.3526291786595817E-2</v>
      </c>
      <c r="AT240" s="618">
        <v>1.3362758918014007E-2</v>
      </c>
      <c r="AU240" s="618">
        <v>4.4546505038781433E-3</v>
      </c>
      <c r="AV240" s="618">
        <v>4.3596871678703158E-3</v>
      </c>
      <c r="AW240" s="618">
        <v>4.1613552036064184E-3</v>
      </c>
      <c r="AX240" s="618">
        <v>4.6392491132241157E-3</v>
      </c>
      <c r="AY240" s="618">
        <v>4.4546505038781433E-3</v>
      </c>
      <c r="AZ240" s="618">
        <v>4.2912894432727E-3</v>
      </c>
      <c r="BA240" s="618">
        <v>4.7380026005770515E-3</v>
      </c>
      <c r="BB240" s="618">
        <v>4.6679154513526973E-3</v>
      </c>
      <c r="BC240" s="618">
        <v>4.478249122136263E-3</v>
      </c>
      <c r="BD240" s="618">
        <v>4.8782207420814848E-3</v>
      </c>
      <c r="BE240" s="617">
        <v>4.7897333744471937E-3</v>
      </c>
      <c r="BF240" s="617">
        <v>4.6705811451723429E-3</v>
      </c>
      <c r="BG240" s="617"/>
      <c r="BH240" s="617"/>
      <c r="BI240" s="617"/>
      <c r="BJ240" s="617"/>
      <c r="BK240" s="617"/>
      <c r="BL240" s="617"/>
      <c r="BM240" s="617"/>
      <c r="BN240" s="617"/>
      <c r="BO240" s="617"/>
      <c r="BP240" s="617"/>
      <c r="BQ240" s="617"/>
      <c r="BR240" s="617"/>
      <c r="BS240" s="617"/>
      <c r="BT240" s="617"/>
      <c r="BU240" s="617"/>
      <c r="BV240" s="617"/>
      <c r="BW240" s="617"/>
      <c r="BX240" s="617"/>
      <c r="BY240" s="617"/>
      <c r="BZ240" s="617"/>
      <c r="CA240" s="617"/>
      <c r="CB240" s="617"/>
      <c r="CC240" s="617"/>
      <c r="CD240" s="617"/>
      <c r="CE240" s="617"/>
      <c r="CF240" s="617"/>
      <c r="CG240" s="617"/>
      <c r="CH240" s="617"/>
      <c r="CI240" s="617"/>
      <c r="CJ240" s="617"/>
      <c r="CK240" s="617"/>
      <c r="CL240" s="617"/>
    </row>
    <row r="241" spans="1:90">
      <c r="A241" s="151">
        <f t="shared" ca="1" si="17"/>
        <v>6</v>
      </c>
      <c r="B241" s="113">
        <f t="shared" si="19"/>
        <v>113</v>
      </c>
      <c r="C241" s="150">
        <f t="shared" si="26"/>
        <v>127</v>
      </c>
      <c r="D241" s="565">
        <f t="shared" si="27"/>
        <v>9.5000000000000001E-2</v>
      </c>
      <c r="E241" s="306">
        <f t="shared" si="20"/>
        <v>3580.5022909714385</v>
      </c>
      <c r="F241" s="306">
        <f t="shared" si="32"/>
        <v>6034.803764006434</v>
      </c>
      <c r="G241" s="307">
        <f t="shared" si="33"/>
        <v>9615.3060549778729</v>
      </c>
      <c r="H241" s="306">
        <f>IF(N240&lt;0.01,0,IF(Adm!$S$3=Adm!$S$13,Cal!$E$94,IF(Adm!$R$3=Adm!$R$6,0,IF(Cal!$E$91=0,N240*Adm!$Y$3,N240*Adm!$X$3))))</f>
        <v>194.47780864644864</v>
      </c>
      <c r="I241" s="306">
        <f>IF(N240&lt;0.01,0,IF(Adm!$R$4=Adm!$R$6,0,Cal!$E$89*Adm!$AA$3))</f>
        <v>573.58240000000001</v>
      </c>
      <c r="J241" s="306">
        <f>IF(N240&lt;0.01,0,Adm!$O$3*1.16)</f>
        <v>290</v>
      </c>
      <c r="K241" s="306">
        <f>IF(N240&lt;0.01,0,IF(Adm!$N$3&gt;0,E241*Adm!$N$3,0))</f>
        <v>0</v>
      </c>
      <c r="L241" s="306">
        <f t="shared" si="21"/>
        <v>10673.366263624321</v>
      </c>
      <c r="M241" s="306">
        <f>IF(Adm!$F$3="si",MIN(N240+E241+H241+I241+J241-L241,Z241),0)</f>
        <v>0</v>
      </c>
      <c r="N241" s="306">
        <f t="shared" si="22"/>
        <v>446239.16983238579</v>
      </c>
      <c r="O241" s="361"/>
      <c r="P241" s="114"/>
      <c r="V241" s="571">
        <f t="shared" si="23"/>
        <v>7</v>
      </c>
      <c r="W241" s="293">
        <f>IF(V241=1,Adm!$AN$2,0)</f>
        <v>0</v>
      </c>
      <c r="Y241" s="304">
        <f t="shared" si="28"/>
        <v>0</v>
      </c>
      <c r="Z241" s="345">
        <f t="shared" ca="1" si="24"/>
        <v>0</v>
      </c>
      <c r="AB241" s="640">
        <f t="shared" si="29"/>
        <v>0</v>
      </c>
      <c r="AC241" s="639">
        <f t="shared" si="30"/>
        <v>0</v>
      </c>
      <c r="AD241" s="641">
        <f t="shared" si="25"/>
        <v>0</v>
      </c>
      <c r="AE241" s="639">
        <f t="shared" si="31"/>
        <v>0</v>
      </c>
      <c r="AF241" s="636">
        <f t="shared" si="18"/>
        <v>0</v>
      </c>
      <c r="AG241" s="637" t="e">
        <f>HLOOKUP($AG$110,anticipado,128,0)</f>
        <v>#N/A</v>
      </c>
      <c r="AI241" s="614">
        <v>1.3669306327416197E-2</v>
      </c>
      <c r="AJ241" s="615">
        <v>1.3398410112484492E-2</v>
      </c>
      <c r="AK241" s="616">
        <v>1.316033505736101E-2</v>
      </c>
      <c r="AL241" s="616">
        <v>1.3651172499877557E-2</v>
      </c>
      <c r="AM241" s="617">
        <v>1.3669306327416197E-2</v>
      </c>
      <c r="AN241" s="617">
        <v>1.3398410112484492E-2</v>
      </c>
      <c r="AO241" s="617">
        <v>1.3820312509491693E-2</v>
      </c>
      <c r="AP241" s="617">
        <v>1.3775120899285313E-2</v>
      </c>
      <c r="AQ241" s="617">
        <v>1.3799179952146688E-2</v>
      </c>
      <c r="AR241" s="617">
        <v>1.402874699534986E-2</v>
      </c>
      <c r="AS241" s="617">
        <v>1.3820312509491693E-2</v>
      </c>
      <c r="AT241" s="618">
        <v>1.3655363655225902E-2</v>
      </c>
      <c r="AU241" s="618">
        <v>4.5151900508358976E-3</v>
      </c>
      <c r="AV241" s="618">
        <v>4.4199742630516379E-3</v>
      </c>
      <c r="AW241" s="618">
        <v>4.2201488364025088E-3</v>
      </c>
      <c r="AX241" s="618">
        <v>4.7010720813100955E-3</v>
      </c>
      <c r="AY241" s="618">
        <v>4.5151900508358976E-3</v>
      </c>
      <c r="AZ241" s="618">
        <v>4.3506910066261071E-3</v>
      </c>
      <c r="BA241" s="618">
        <v>4.7999914273172068E-3</v>
      </c>
      <c r="BB241" s="618">
        <v>4.7300612516458776E-3</v>
      </c>
      <c r="BC241" s="618">
        <v>4.539404410449188E-3</v>
      </c>
      <c r="BD241" s="618">
        <v>4.9409430002522363E-3</v>
      </c>
      <c r="BE241" s="617">
        <v>4.8518491072666462E-3</v>
      </c>
      <c r="BF241" s="617">
        <v>4.7323840687093378E-3</v>
      </c>
      <c r="BG241" s="617"/>
      <c r="BH241" s="617"/>
      <c r="BI241" s="617"/>
      <c r="BJ241" s="617"/>
      <c r="BK241" s="617"/>
      <c r="BL241" s="617"/>
      <c r="BM241" s="617"/>
      <c r="BN241" s="617"/>
      <c r="BO241" s="617"/>
      <c r="BP241" s="617"/>
      <c r="BQ241" s="617"/>
      <c r="BR241" s="617"/>
      <c r="BS241" s="617"/>
      <c r="BT241" s="617"/>
      <c r="BU241" s="617"/>
      <c r="BV241" s="617"/>
      <c r="BW241" s="617"/>
      <c r="BX241" s="617"/>
      <c r="BY241" s="617"/>
      <c r="BZ241" s="617"/>
      <c r="CA241" s="617"/>
      <c r="CB241" s="617"/>
      <c r="CC241" s="617"/>
      <c r="CD241" s="617"/>
      <c r="CE241" s="617"/>
      <c r="CF241" s="617"/>
      <c r="CG241" s="617"/>
      <c r="CH241" s="617"/>
      <c r="CI241" s="617"/>
      <c r="CJ241" s="617"/>
      <c r="CK241" s="617"/>
      <c r="CL241" s="617"/>
    </row>
    <row r="242" spans="1:90">
      <c r="A242" s="151">
        <f t="shared" ca="1" si="17"/>
        <v>7</v>
      </c>
      <c r="B242" s="113">
        <f t="shared" si="19"/>
        <v>112</v>
      </c>
      <c r="C242" s="150">
        <f t="shared" si="26"/>
        <v>128</v>
      </c>
      <c r="D242" s="565">
        <f t="shared" si="27"/>
        <v>9.5000000000000001E-2</v>
      </c>
      <c r="E242" s="306">
        <f t="shared" si="20"/>
        <v>3532.7267611730545</v>
      </c>
      <c r="F242" s="306">
        <f t="shared" si="32"/>
        <v>6082.579293804818</v>
      </c>
      <c r="G242" s="307">
        <f t="shared" si="33"/>
        <v>9615.3060549778729</v>
      </c>
      <c r="H242" s="306">
        <f>IF(N241&lt;0.01,0,IF(Adm!$S$3=Adm!$S$13,Cal!$E$94,IF(Adm!$R$3=Adm!$R$6,0,IF(Cal!$E$91=0,N241*Adm!$Y$3,N241*Adm!$X$3))))</f>
        <v>191.88284302792587</v>
      </c>
      <c r="I242" s="306">
        <f>IF(N241&lt;0.01,0,IF(Adm!$R$4=Adm!$R$6,0,Cal!$E$89*Adm!$AA$3))</f>
        <v>573.58240000000001</v>
      </c>
      <c r="J242" s="306">
        <f>IF(N241&lt;0.01,0,Adm!$O$3*1.16)</f>
        <v>290</v>
      </c>
      <c r="K242" s="306">
        <f>IF(N241&lt;0.01,0,IF(Adm!$N$3&gt;0,E242*Adm!$N$3,0))</f>
        <v>0</v>
      </c>
      <c r="L242" s="306">
        <f t="shared" si="21"/>
        <v>10670.771298005799</v>
      </c>
      <c r="M242" s="306">
        <f>IF(Adm!$F$3="si",MIN(N241+E242+H242+I242+J242-L242,Z242),0)</f>
        <v>0</v>
      </c>
      <c r="N242" s="306">
        <f t="shared" si="22"/>
        <v>440156.59053858096</v>
      </c>
      <c r="O242" s="361"/>
      <c r="P242" s="114"/>
      <c r="V242" s="571">
        <f t="shared" si="23"/>
        <v>8</v>
      </c>
      <c r="W242" s="293">
        <f>IF(V242=1,Adm!$AN$2,0)</f>
        <v>0</v>
      </c>
      <c r="Y242" s="304">
        <f t="shared" si="28"/>
        <v>0</v>
      </c>
      <c r="Z242" s="345">
        <f t="shared" ca="1" si="24"/>
        <v>0</v>
      </c>
      <c r="AB242" s="640">
        <f t="shared" si="29"/>
        <v>0</v>
      </c>
      <c r="AC242" s="639">
        <f t="shared" si="30"/>
        <v>0</v>
      </c>
      <c r="AD242" s="641">
        <f t="shared" si="25"/>
        <v>0</v>
      </c>
      <c r="AE242" s="639">
        <f t="shared" si="31"/>
        <v>0</v>
      </c>
      <c r="AF242" s="636">
        <f t="shared" si="18"/>
        <v>0</v>
      </c>
      <c r="AG242" s="637" t="e">
        <f>HLOOKUP($AG$110,anticipado,129,0)</f>
        <v>#N/A</v>
      </c>
      <c r="AI242" s="614">
        <v>1.3978277450896076E-2</v>
      </c>
      <c r="AJ242" s="615">
        <v>1.3703607233996787E-2</v>
      </c>
      <c r="AK242" s="616">
        <v>1.3461307189280005E-2</v>
      </c>
      <c r="AL242" s="616">
        <v>1.3955325060633616E-2</v>
      </c>
      <c r="AM242" s="617">
        <v>1.3978277450896076E-2</v>
      </c>
      <c r="AN242" s="617">
        <v>1.3703607233996787E-2</v>
      </c>
      <c r="AO242" s="617">
        <v>1.4124934323383711E-2</v>
      </c>
      <c r="AP242" s="617">
        <v>1.4083222915716643E-2</v>
      </c>
      <c r="AQ242" s="617">
        <v>1.4112361935297612E-2</v>
      </c>
      <c r="AR242" s="617">
        <v>1.4336844150488364E-2</v>
      </c>
      <c r="AS242" s="617">
        <v>1.4124934323383711E-2</v>
      </c>
      <c r="AT242" s="618">
        <v>1.3958515211991131E-2</v>
      </c>
      <c r="AU242" s="618">
        <v>4.576830660811289E-3</v>
      </c>
      <c r="AV242" s="618">
        <v>4.4813663782985675E-3</v>
      </c>
      <c r="AW242" s="618">
        <v>4.2800258237899041E-3</v>
      </c>
      <c r="AX242" s="618">
        <v>4.7640148050061568E-3</v>
      </c>
      <c r="AY242" s="618">
        <v>4.576830660811289E-3</v>
      </c>
      <c r="AZ242" s="618">
        <v>4.4111779878309486E-3</v>
      </c>
      <c r="BA242" s="618">
        <v>4.8630941666168151E-3</v>
      </c>
      <c r="BB242" s="618">
        <v>4.7933337060852002E-3</v>
      </c>
      <c r="BC242" s="618">
        <v>4.6016775225658502E-3</v>
      </c>
      <c r="BD242" s="618">
        <v>5.0047871671253944E-3</v>
      </c>
      <c r="BE242" s="617">
        <v>4.9150771619275386E-3</v>
      </c>
      <c r="BF242" s="617">
        <v>4.7953025466698678E-3</v>
      </c>
      <c r="BG242" s="617"/>
      <c r="BH242" s="617"/>
      <c r="BI242" s="617"/>
      <c r="BJ242" s="617"/>
      <c r="BK242" s="617"/>
      <c r="BL242" s="617"/>
      <c r="BM242" s="617"/>
      <c r="BN242" s="617"/>
      <c r="BO242" s="617"/>
      <c r="BP242" s="617"/>
      <c r="BQ242" s="617"/>
      <c r="BR242" s="617"/>
      <c r="BS242" s="617"/>
      <c r="BT242" s="617"/>
      <c r="BU242" s="617"/>
      <c r="BV242" s="617"/>
      <c r="BW242" s="617"/>
      <c r="BX242" s="617"/>
      <c r="BY242" s="617"/>
      <c r="BZ242" s="617"/>
      <c r="CA242" s="617"/>
      <c r="CB242" s="617"/>
      <c r="CC242" s="617"/>
      <c r="CD242" s="617"/>
      <c r="CE242" s="617"/>
      <c r="CF242" s="617"/>
      <c r="CG242" s="617"/>
      <c r="CH242" s="617"/>
      <c r="CI242" s="617"/>
      <c r="CJ242" s="617"/>
      <c r="CK242" s="617"/>
      <c r="CL242" s="617"/>
    </row>
    <row r="243" spans="1:90">
      <c r="A243" s="151">
        <f t="shared" ref="A243:A306" ca="1" si="34">IF(A242=12,1,A242+1)</f>
        <v>8</v>
      </c>
      <c r="B243" s="113">
        <f t="shared" si="19"/>
        <v>111</v>
      </c>
      <c r="C243" s="150">
        <f t="shared" si="26"/>
        <v>129</v>
      </c>
      <c r="D243" s="565">
        <f t="shared" si="27"/>
        <v>9.5000000000000001E-2</v>
      </c>
      <c r="E243" s="306">
        <f t="shared" si="20"/>
        <v>3484.5730084304328</v>
      </c>
      <c r="F243" s="306">
        <f t="shared" si="32"/>
        <v>6130.7330465474406</v>
      </c>
      <c r="G243" s="307">
        <f t="shared" si="33"/>
        <v>9615.3060549778729</v>
      </c>
      <c r="H243" s="306">
        <f>IF(N242&lt;0.01,0,IF(Adm!$S$3=Adm!$S$13,Cal!$E$94,IF(Adm!$R$3=Adm!$R$6,0,IF(Cal!$E$91=0,N242*Adm!$Y$3,N242*Adm!$X$3))))</f>
        <v>189.2673339315898</v>
      </c>
      <c r="I243" s="306">
        <f>IF(N242&lt;0.01,0,IF(Adm!$R$4=Adm!$R$6,0,Cal!$E$89*Adm!$AA$3))</f>
        <v>573.58240000000001</v>
      </c>
      <c r="J243" s="306">
        <f>IF(N242&lt;0.01,0,Adm!$O$3*1.16)</f>
        <v>290</v>
      </c>
      <c r="K243" s="306">
        <f>IF(N242&lt;0.01,0,IF(Adm!$N$3&gt;0,E243*Adm!$N$3,0))</f>
        <v>0</v>
      </c>
      <c r="L243" s="306">
        <f t="shared" si="21"/>
        <v>10668.155788909462</v>
      </c>
      <c r="M243" s="306">
        <f>IF(Adm!$F$3="si",MIN(N242+E243+H243+I243+J243-L243,Z243),0)</f>
        <v>0</v>
      </c>
      <c r="N243" s="306">
        <f t="shared" si="22"/>
        <v>434025.85749203351</v>
      </c>
      <c r="O243" s="361"/>
      <c r="P243" s="114"/>
      <c r="V243" s="571">
        <f t="shared" si="23"/>
        <v>9</v>
      </c>
      <c r="W243" s="293">
        <f>IF(V243=1,Adm!$AN$2,0)</f>
        <v>0</v>
      </c>
      <c r="Y243" s="304">
        <f t="shared" si="28"/>
        <v>0</v>
      </c>
      <c r="Z243" s="345">
        <f t="shared" ca="1" si="24"/>
        <v>0</v>
      </c>
      <c r="AB243" s="640">
        <f t="shared" si="29"/>
        <v>0</v>
      </c>
      <c r="AC243" s="639">
        <f t="shared" si="30"/>
        <v>0</v>
      </c>
      <c r="AD243" s="641">
        <f t="shared" si="25"/>
        <v>0</v>
      </c>
      <c r="AE243" s="639">
        <f t="shared" si="31"/>
        <v>0</v>
      </c>
      <c r="AF243" s="636">
        <f t="shared" ref="AF243:AF306" si="35">IF(AND($AD$109=2,O242&lt;0.01),0,IF($AD$109=2,(N242*AG243)+E243,0))</f>
        <v>0</v>
      </c>
      <c r="AG243" s="637" t="e">
        <f>HLOOKUP($AG$110,anticipado,130,0)</f>
        <v>#N/A</v>
      </c>
      <c r="AI243" s="614">
        <v>1.4298711449744893E-2</v>
      </c>
      <c r="AJ243" s="615">
        <v>1.4020093321912782E-2</v>
      </c>
      <c r="AK243" s="616">
        <v>1.377336312649439E-2</v>
      </c>
      <c r="AL243" s="616">
        <v>1.4270654767877197E-2</v>
      </c>
      <c r="AM243" s="617">
        <v>1.4298711449744893E-2</v>
      </c>
      <c r="AN243" s="617">
        <v>1.4020093321912782E-2</v>
      </c>
      <c r="AO243" s="617">
        <v>1.4440731098457862E-2</v>
      </c>
      <c r="AP243" s="617">
        <v>1.4402715599920513E-2</v>
      </c>
      <c r="AQ243" s="617">
        <v>1.4437236549440119E-2</v>
      </c>
      <c r="AR243" s="617">
        <v>1.4656287496802246E-2</v>
      </c>
      <c r="AS243" s="617">
        <v>1.4440731098457862E-2</v>
      </c>
      <c r="AT243" s="618">
        <v>1.4272783507233131E-2</v>
      </c>
      <c r="AU243" s="618">
        <v>4.6396000628798435E-3</v>
      </c>
      <c r="AV243" s="618">
        <v>4.5438914091620519E-3</v>
      </c>
      <c r="AW243" s="618">
        <v>4.3410133957625715E-3</v>
      </c>
      <c r="AX243" s="618">
        <v>4.8281055992543146E-3</v>
      </c>
      <c r="AY243" s="618">
        <v>4.6396000628798435E-3</v>
      </c>
      <c r="AZ243" s="618">
        <v>4.4727776371562642E-3</v>
      </c>
      <c r="BA243" s="618">
        <v>4.9273389097391866E-3</v>
      </c>
      <c r="BB243" s="618">
        <v>4.8577613583173735E-3</v>
      </c>
      <c r="BC243" s="618">
        <v>4.6650967535178346E-3</v>
      </c>
      <c r="BD243" s="618">
        <v>5.069781576640035E-3</v>
      </c>
      <c r="BE243" s="617">
        <v>4.9794455640628354E-3</v>
      </c>
      <c r="BF243" s="617">
        <v>4.8593647424411907E-3</v>
      </c>
      <c r="BG243" s="617"/>
      <c r="BH243" s="617"/>
      <c r="BI243" s="617"/>
      <c r="BJ243" s="617"/>
      <c r="BK243" s="617"/>
      <c r="BL243" s="617"/>
      <c r="BM243" s="617"/>
      <c r="BN243" s="617"/>
      <c r="BO243" s="617"/>
      <c r="BP243" s="617"/>
      <c r="BQ243" s="617"/>
      <c r="BR243" s="617"/>
      <c r="BS243" s="617"/>
      <c r="BT243" s="617"/>
      <c r="BU243" s="617"/>
      <c r="BV243" s="617"/>
      <c r="BW243" s="617"/>
      <c r="BX243" s="617"/>
      <c r="BY243" s="617"/>
      <c r="BZ243" s="617"/>
      <c r="CA243" s="617"/>
      <c r="CB243" s="617"/>
      <c r="CC243" s="617"/>
      <c r="CD243" s="617"/>
      <c r="CE243" s="617"/>
      <c r="CF243" s="617"/>
      <c r="CG243" s="617"/>
      <c r="CH243" s="617"/>
      <c r="CI243" s="617"/>
      <c r="CJ243" s="617"/>
      <c r="CK243" s="617"/>
      <c r="CL243" s="617"/>
    </row>
    <row r="244" spans="1:90">
      <c r="A244" s="151">
        <f t="shared" ca="1" si="34"/>
        <v>9</v>
      </c>
      <c r="B244" s="113">
        <f t="shared" ref="B244:B307" si="36">IF(N243&gt;0,B243-1,0)</f>
        <v>110</v>
      </c>
      <c r="C244" s="150">
        <f t="shared" si="26"/>
        <v>130</v>
      </c>
      <c r="D244" s="565">
        <f t="shared" si="27"/>
        <v>9.5000000000000001E-2</v>
      </c>
      <c r="E244" s="306">
        <f t="shared" ref="E244:E307" si="37">IF(N243&lt;0.01,0,N243*D244/12)</f>
        <v>3436.0380384785985</v>
      </c>
      <c r="F244" s="306">
        <f t="shared" si="32"/>
        <v>6179.2680164992744</v>
      </c>
      <c r="G244" s="307">
        <f t="shared" si="33"/>
        <v>9615.3060549778729</v>
      </c>
      <c r="H244" s="306">
        <f>IF(N243&lt;0.01,0,IF(Adm!$S$3=Adm!$S$13,Cal!$E$94,IF(Adm!$R$3=Adm!$R$6,0,IF(Cal!$E$91=0,N243*Adm!$Y$3,N243*Adm!$X$3))))</f>
        <v>186.63111872157441</v>
      </c>
      <c r="I244" s="306">
        <f>IF(N243&lt;0.01,0,IF(Adm!$R$4=Adm!$R$6,0,Cal!$E$89*Adm!$AA$3))</f>
        <v>573.58240000000001</v>
      </c>
      <c r="J244" s="306">
        <f>IF(N243&lt;0.01,0,Adm!$O$3*1.16)</f>
        <v>290</v>
      </c>
      <c r="K244" s="306">
        <f>IF(N243&lt;0.01,0,IF(Adm!$N$3&gt;0,E244*Adm!$N$3,0))</f>
        <v>0</v>
      </c>
      <c r="L244" s="306">
        <f t="shared" ref="L244:L307" si="38">G244+H244+I244+J244+K244</f>
        <v>10665.519573699446</v>
      </c>
      <c r="M244" s="306">
        <f>IF(Adm!$F$3="si",MIN(N243+E244+H244+I244+J244-L244,Z244),0)</f>
        <v>0</v>
      </c>
      <c r="N244" s="306">
        <f t="shared" ref="N244:N307" si="39">IF(N243&lt;0.001,0,+N243-F244-M244-O244)</f>
        <v>427846.58947553422</v>
      </c>
      <c r="O244" s="361"/>
      <c r="P244" s="114"/>
      <c r="V244" s="571">
        <f t="shared" ref="V244:V307" si="40">IF(V243=12,1,V243+1)</f>
        <v>10</v>
      </c>
      <c r="W244" s="293">
        <f>IF(V244=1,Adm!$AN$2,0)</f>
        <v>0</v>
      </c>
      <c r="Y244" s="304">
        <f t="shared" si="28"/>
        <v>0</v>
      </c>
      <c r="Z244" s="345">
        <f t="shared" ref="Z244:Z307" ca="1" si="41">IF(MOD(A244,2)=0,Y244*0.05*2,0)</f>
        <v>0</v>
      </c>
      <c r="AB244" s="640">
        <f t="shared" si="29"/>
        <v>0</v>
      </c>
      <c r="AC244" s="639">
        <f t="shared" si="30"/>
        <v>0</v>
      </c>
      <c r="AD244" s="641">
        <f t="shared" ref="AD244:AD307" si="42">IF(AND($AD$109=1,$AB$109=2),PMT($G$107/12,B243,-N243),0)</f>
        <v>0</v>
      </c>
      <c r="AE244" s="639">
        <f t="shared" si="31"/>
        <v>0</v>
      </c>
      <c r="AF244" s="636">
        <f t="shared" si="35"/>
        <v>0</v>
      </c>
      <c r="AG244" s="637" t="e">
        <f>HLOOKUP($AG$110,anticipado,131,0)</f>
        <v>#N/A</v>
      </c>
      <c r="AI244" s="614">
        <v>1.4631245797812149E-2</v>
      </c>
      <c r="AJ244" s="615">
        <v>1.4348492877987321E-2</v>
      </c>
      <c r="AK244" s="616">
        <v>1.4097112162762132E-2</v>
      </c>
      <c r="AL244" s="616">
        <v>1.4597777816416019E-2</v>
      </c>
      <c r="AM244" s="617">
        <v>1.4631245797812149E-2</v>
      </c>
      <c r="AN244" s="617">
        <v>1.4348492877987321E-2</v>
      </c>
      <c r="AO244" s="617">
        <v>1.4768318874632163E-2</v>
      </c>
      <c r="AP244" s="617">
        <v>1.4734231033295938E-2</v>
      </c>
      <c r="AQ244" s="617">
        <v>1.4774458515636279E-2</v>
      </c>
      <c r="AR244" s="617">
        <v>1.4987705814297196E-2</v>
      </c>
      <c r="AS244" s="617">
        <v>1.4768318874632163E-2</v>
      </c>
      <c r="AT244" s="618">
        <v>1.4598780261446538E-2</v>
      </c>
      <c r="AU244" s="618">
        <v>4.7035269172314223E-3</v>
      </c>
      <c r="AV244" s="618">
        <v>4.6075781891205059E-3</v>
      </c>
      <c r="AW244" s="618">
        <v>4.4031396918781081E-3</v>
      </c>
      <c r="AX244" s="618">
        <v>4.8933737351779406E-3</v>
      </c>
      <c r="AY244" s="618">
        <v>4.7035269172314223E-3</v>
      </c>
      <c r="AZ244" s="618">
        <v>4.5355181155624777E-3</v>
      </c>
      <c r="BA244" s="618">
        <v>4.9927546948495757E-3</v>
      </c>
      <c r="BB244" s="618">
        <v>4.9233737179090126E-3</v>
      </c>
      <c r="BC244" s="618">
        <v>4.7296913533651317E-3</v>
      </c>
      <c r="BD244" s="618">
        <v>5.1359555201294978E-3</v>
      </c>
      <c r="BE244" s="617">
        <v>5.0449832835230551E-3</v>
      </c>
      <c r="BF244" s="617">
        <v>4.9245997692412237E-3</v>
      </c>
      <c r="BG244" s="617"/>
      <c r="BH244" s="617"/>
      <c r="BI244" s="617"/>
      <c r="BJ244" s="617"/>
      <c r="BK244" s="617"/>
      <c r="BL244" s="617"/>
      <c r="BM244" s="617"/>
      <c r="BN244" s="617"/>
      <c r="BO244" s="617"/>
      <c r="BP244" s="617"/>
      <c r="BQ244" s="617"/>
      <c r="BR244" s="617"/>
      <c r="BS244" s="617"/>
      <c r="BT244" s="617"/>
      <c r="BU244" s="617"/>
      <c r="BV244" s="617"/>
      <c r="BW244" s="617"/>
      <c r="BX244" s="617"/>
      <c r="BY244" s="617"/>
      <c r="BZ244" s="617"/>
      <c r="CA244" s="617"/>
      <c r="CB244" s="617"/>
      <c r="CC244" s="617"/>
      <c r="CD244" s="617"/>
      <c r="CE244" s="617"/>
      <c r="CF244" s="617"/>
      <c r="CG244" s="617"/>
      <c r="CH244" s="617"/>
      <c r="CI244" s="617"/>
      <c r="CJ244" s="617"/>
      <c r="CK244" s="617"/>
      <c r="CL244" s="617"/>
    </row>
    <row r="245" spans="1:90">
      <c r="A245" s="151">
        <f t="shared" ca="1" si="34"/>
        <v>10</v>
      </c>
      <c r="B245" s="113">
        <f t="shared" si="36"/>
        <v>109</v>
      </c>
      <c r="C245" s="150">
        <f t="shared" ref="C245:C308" si="43">IF(N244&lt;0.01,0,C244+1)</f>
        <v>131</v>
      </c>
      <c r="D245" s="565">
        <f t="shared" ref="D245:D308" si="44">IF(N244&lt;0.01,0,D244)</f>
        <v>9.5000000000000001E-2</v>
      </c>
      <c r="E245" s="306">
        <f t="shared" si="37"/>
        <v>3387.118833347979</v>
      </c>
      <c r="F245" s="306">
        <f t="shared" si="32"/>
        <v>6228.1872216298943</v>
      </c>
      <c r="G245" s="307">
        <f t="shared" si="33"/>
        <v>9615.3060549778729</v>
      </c>
      <c r="H245" s="306">
        <f>IF(N244&lt;0.01,0,IF(Adm!$S$3=Adm!$S$13,Cal!$E$94,IF(Adm!$R$3=Adm!$R$6,0,IF(Cal!$E$91=0,N244*Adm!$Y$3,N244*Adm!$X$3))))</f>
        <v>183.97403347447971</v>
      </c>
      <c r="I245" s="306">
        <f>IF(N244&lt;0.01,0,IF(Adm!$R$4=Adm!$R$6,0,Cal!$E$89*Adm!$AA$3))</f>
        <v>573.58240000000001</v>
      </c>
      <c r="J245" s="306">
        <f>IF(N244&lt;0.01,0,Adm!$O$3*1.16)</f>
        <v>290</v>
      </c>
      <c r="K245" s="306">
        <f>IF(N244&lt;0.01,0,IF(Adm!$N$3&gt;0,E245*Adm!$N$3,0))</f>
        <v>0</v>
      </c>
      <c r="L245" s="306">
        <f t="shared" si="38"/>
        <v>10662.862488452352</v>
      </c>
      <c r="M245" s="306">
        <f>IF(Adm!$F$3="si",MIN(N244+E245+H245+I245+J245-L245,Z245),0)</f>
        <v>0</v>
      </c>
      <c r="N245" s="306">
        <f t="shared" si="39"/>
        <v>421618.40225390432</v>
      </c>
      <c r="O245" s="361"/>
      <c r="P245" s="114"/>
      <c r="V245" s="571">
        <f t="shared" si="40"/>
        <v>11</v>
      </c>
      <c r="W245" s="293">
        <f>IF(V245=1,Adm!$AN$2,0)</f>
        <v>0</v>
      </c>
      <c r="Y245" s="304">
        <f t="shared" ref="Y245:Y308" si="45">Y244</f>
        <v>0</v>
      </c>
      <c r="Z245" s="345">
        <f t="shared" ca="1" si="41"/>
        <v>0</v>
      </c>
      <c r="AB245" s="640">
        <f t="shared" ref="AB245:AB308" si="46">IF(AC245&gt;1,AC245,IF(AE245&gt;1,AE245,0))</f>
        <v>0</v>
      </c>
      <c r="AC245" s="639">
        <f t="shared" ref="AC245:AC308" si="47">IF(AND($AD$109=1,O244&gt;0.1),AD245,0)</f>
        <v>0</v>
      </c>
      <c r="AD245" s="641">
        <f t="shared" si="42"/>
        <v>0</v>
      </c>
      <c r="AE245" s="639">
        <f t="shared" ref="AE245:AE308" si="48">IF(AND(AF245&gt;0.01,$AB$109=2),AF245,0)</f>
        <v>0</v>
      </c>
      <c r="AF245" s="636">
        <f t="shared" si="35"/>
        <v>0</v>
      </c>
      <c r="AG245" s="637" t="e">
        <f>HLOOKUP($AG$110,anticipado,132,0)</f>
        <v>#N/A</v>
      </c>
      <c r="AI245" s="614">
        <v>1.4976566112822163E-2</v>
      </c>
      <c r="AJ245" s="615">
        <v>1.4689477311439606E-2</v>
      </c>
      <c r="AK245" s="616">
        <v>1.4433209060014402E-2</v>
      </c>
      <c r="AL245" s="616">
        <v>1.4937356528505398E-2</v>
      </c>
      <c r="AM245" s="617">
        <v>1.4976566112822163E-2</v>
      </c>
      <c r="AN245" s="617">
        <v>1.4689477311439606E-2</v>
      </c>
      <c r="AO245" s="617">
        <v>1.5108359807702492E-2</v>
      </c>
      <c r="AP245" s="617">
        <v>1.5078448930521125E-2</v>
      </c>
      <c r="AQ245" s="617">
        <v>1.5124732348539087E-2</v>
      </c>
      <c r="AR245" s="617">
        <v>1.5331775207552951E-2</v>
      </c>
      <c r="AS245" s="617">
        <v>1.5108359807702492E-2</v>
      </c>
      <c r="AT245" s="618">
        <v>1.4937162901022755E-2</v>
      </c>
      <c r="AU245" s="618">
        <v>4.7686408546236281E-3</v>
      </c>
      <c r="AV245" s="618">
        <v>4.672456529377522E-3</v>
      </c>
      <c r="AW245" s="618">
        <v>4.4664337996026416E-3</v>
      </c>
      <c r="AX245" s="618">
        <v>4.9598494808237486E-3</v>
      </c>
      <c r="AY245" s="618">
        <v>4.7686408546236281E-3</v>
      </c>
      <c r="AZ245" s="618">
        <v>4.5994285331091775E-3</v>
      </c>
      <c r="BA245" s="618">
        <v>5.0593715472842726E-3</v>
      </c>
      <c r="BB245" s="618">
        <v>4.9902013015897199E-3</v>
      </c>
      <c r="BC245" s="618">
        <v>4.7954915678736845E-3</v>
      </c>
      <c r="BD245" s="618">
        <v>5.2033392871320408E-3</v>
      </c>
      <c r="BE245" s="617">
        <v>5.1117202745092636E-3</v>
      </c>
      <c r="BF245" s="617">
        <v>4.9910377305358447E-3</v>
      </c>
      <c r="BG245" s="617"/>
      <c r="BH245" s="617"/>
      <c r="BI245" s="617"/>
      <c r="BJ245" s="617"/>
      <c r="BK245" s="617"/>
      <c r="BL245" s="617"/>
      <c r="BM245" s="617"/>
      <c r="BN245" s="617"/>
      <c r="BO245" s="617"/>
      <c r="BP245" s="617"/>
      <c r="BQ245" s="617"/>
      <c r="BR245" s="617"/>
      <c r="BS245" s="617"/>
      <c r="BT245" s="617"/>
      <c r="BU245" s="617"/>
      <c r="BV245" s="617"/>
      <c r="BW245" s="617"/>
      <c r="BX245" s="617"/>
      <c r="BY245" s="617"/>
      <c r="BZ245" s="617"/>
      <c r="CA245" s="617"/>
      <c r="CB245" s="617"/>
      <c r="CC245" s="617"/>
      <c r="CD245" s="617"/>
      <c r="CE245" s="617"/>
      <c r="CF245" s="617"/>
      <c r="CG245" s="617"/>
      <c r="CH245" s="617"/>
      <c r="CI245" s="617"/>
      <c r="CJ245" s="617"/>
      <c r="CK245" s="617"/>
      <c r="CL245" s="617"/>
    </row>
    <row r="246" spans="1:90">
      <c r="A246" s="151">
        <f t="shared" ca="1" si="34"/>
        <v>11</v>
      </c>
      <c r="B246" s="113">
        <f t="shared" si="36"/>
        <v>108</v>
      </c>
      <c r="C246" s="150">
        <f t="shared" si="43"/>
        <v>132</v>
      </c>
      <c r="D246" s="565">
        <f t="shared" si="44"/>
        <v>9.5000000000000001E-2</v>
      </c>
      <c r="E246" s="306">
        <f t="shared" si="37"/>
        <v>3337.8123511767426</v>
      </c>
      <c r="F246" s="306">
        <f t="shared" si="32"/>
        <v>6277.4937038011303</v>
      </c>
      <c r="G246" s="307">
        <f t="shared" si="33"/>
        <v>9615.3060549778729</v>
      </c>
      <c r="H246" s="306">
        <f>IF(N245&lt;0.01,0,IF(Adm!$S$3=Adm!$S$13,Cal!$E$94,IF(Adm!$R$3=Adm!$R$6,0,IF(Cal!$E$91=0,N245*Adm!$Y$3,N245*Adm!$X$3))))</f>
        <v>181.29591296917886</v>
      </c>
      <c r="I246" s="306">
        <f>IF(N245&lt;0.01,0,IF(Adm!$R$4=Adm!$R$6,0,Cal!$E$89*Adm!$AA$3))</f>
        <v>573.58240000000001</v>
      </c>
      <c r="J246" s="306">
        <f>IF(N245&lt;0.01,0,Adm!$O$3*1.16)</f>
        <v>290</v>
      </c>
      <c r="K246" s="306">
        <f>IF(N245&lt;0.01,0,IF(Adm!$N$3&gt;0,E246*Adm!$N$3,0))</f>
        <v>0</v>
      </c>
      <c r="L246" s="306">
        <f t="shared" si="38"/>
        <v>10660.184367947051</v>
      </c>
      <c r="M246" s="306">
        <f>IF(Adm!$F$3="si",MIN(N245+E246+H246+I246+J246-L246,Z246),0)</f>
        <v>0</v>
      </c>
      <c r="N246" s="306">
        <f t="shared" si="39"/>
        <v>415340.9085501032</v>
      </c>
      <c r="O246" s="361"/>
      <c r="P246" s="114"/>
      <c r="V246" s="571">
        <f t="shared" si="40"/>
        <v>12</v>
      </c>
      <c r="W246" s="293">
        <f>IF(V246=1,Adm!$AN$2,0)</f>
        <v>0</v>
      </c>
      <c r="Y246" s="304">
        <f t="shared" si="45"/>
        <v>0</v>
      </c>
      <c r="Z246" s="345">
        <f t="shared" ca="1" si="41"/>
        <v>0</v>
      </c>
      <c r="AB246" s="640">
        <f t="shared" si="46"/>
        <v>0</v>
      </c>
      <c r="AC246" s="639">
        <f t="shared" si="47"/>
        <v>0</v>
      </c>
      <c r="AD246" s="641">
        <f t="shared" si="42"/>
        <v>0</v>
      </c>
      <c r="AE246" s="639">
        <f t="shared" si="48"/>
        <v>0</v>
      </c>
      <c r="AF246" s="636">
        <f t="shared" si="35"/>
        <v>0</v>
      </c>
      <c r="AG246" s="637" t="e">
        <f>HLOOKUP($AG$110,anticipado,133,0)</f>
        <v>#N/A</v>
      </c>
      <c r="AI246" s="614">
        <v>1.5335410789095427E-2</v>
      </c>
      <c r="AJ246" s="615">
        <v>1.504376942772806E-2</v>
      </c>
      <c r="AK246" s="616">
        <v>1.4782358370684852E-2</v>
      </c>
      <c r="AL246" s="616">
        <v>1.5290103752717381E-2</v>
      </c>
      <c r="AM246" s="617">
        <v>1.5335410789095427E-2</v>
      </c>
      <c r="AN246" s="617">
        <v>1.504376942772806E-2</v>
      </c>
      <c r="AO246" s="617">
        <v>1.5461566567066114E-2</v>
      </c>
      <c r="AP246" s="617">
        <v>1.5436101212988679E-2</v>
      </c>
      <c r="AQ246" s="617">
        <v>1.5488817182139358E-2</v>
      </c>
      <c r="AR246" s="617">
        <v>1.5689223643595165E-2</v>
      </c>
      <c r="AS246" s="617">
        <v>1.5461566567066114E-2</v>
      </c>
      <c r="AT246" s="618">
        <v>1.5288638908510012E-2</v>
      </c>
      <c r="AU246" s="618">
        <v>4.8349725178589813E-3</v>
      </c>
      <c r="AV246" s="618">
        <v>4.7385572607040218E-3</v>
      </c>
      <c r="AW246" s="618">
        <v>4.5309257946129222E-3</v>
      </c>
      <c r="AX246" s="618">
        <v>5.0275641440053059E-3</v>
      </c>
      <c r="AY246" s="618">
        <v>4.8349725178589813E-3</v>
      </c>
      <c r="AZ246" s="618">
        <v>4.6645389893239016E-3</v>
      </c>
      <c r="BA246" s="618">
        <v>5.1272205218927253E-3</v>
      </c>
      <c r="BB246" s="618">
        <v>5.0582756766270002E-3</v>
      </c>
      <c r="BC246" s="618">
        <v>4.8625286812904707E-3</v>
      </c>
      <c r="BD246" s="618">
        <v>5.2719642083072756E-3</v>
      </c>
      <c r="BE246" s="617">
        <v>5.1796875177709091E-3</v>
      </c>
      <c r="BF246" s="617">
        <v>5.0587097625380585E-3</v>
      </c>
      <c r="BG246" s="617"/>
      <c r="BH246" s="617"/>
      <c r="BI246" s="617"/>
      <c r="BJ246" s="617"/>
      <c r="BK246" s="617"/>
      <c r="BL246" s="617"/>
      <c r="BM246" s="617"/>
      <c r="BN246" s="617"/>
      <c r="BO246" s="617"/>
      <c r="BP246" s="617"/>
      <c r="BQ246" s="617"/>
      <c r="BR246" s="617"/>
      <c r="BS246" s="617"/>
      <c r="BT246" s="617"/>
      <c r="BU246" s="617"/>
      <c r="BV246" s="617"/>
      <c r="BW246" s="617"/>
      <c r="BX246" s="617"/>
      <c r="BY246" s="617"/>
      <c r="BZ246" s="617"/>
      <c r="CA246" s="617"/>
      <c r="CB246" s="617"/>
      <c r="CC246" s="617"/>
      <c r="CD246" s="617"/>
      <c r="CE246" s="617"/>
      <c r="CF246" s="617"/>
      <c r="CG246" s="617"/>
      <c r="CH246" s="617"/>
      <c r="CI246" s="617"/>
      <c r="CJ246" s="617"/>
      <c r="CK246" s="617"/>
      <c r="CL246" s="617"/>
    </row>
    <row r="247" spans="1:90">
      <c r="A247" s="151">
        <f t="shared" ca="1" si="34"/>
        <v>12</v>
      </c>
      <c r="B247" s="113">
        <f t="shared" si="36"/>
        <v>107</v>
      </c>
      <c r="C247" s="150">
        <f t="shared" si="43"/>
        <v>133</v>
      </c>
      <c r="D247" s="565">
        <f t="shared" si="44"/>
        <v>9.5000000000000001E-2</v>
      </c>
      <c r="E247" s="306">
        <f t="shared" si="37"/>
        <v>3288.1155260216506</v>
      </c>
      <c r="F247" s="306">
        <f t="shared" si="32"/>
        <v>6327.1905289562219</v>
      </c>
      <c r="G247" s="307">
        <f t="shared" si="33"/>
        <v>9615.3060549778729</v>
      </c>
      <c r="H247" s="306">
        <f>IF(N246&lt;0.01,0,IF(Adm!$S$3=Adm!$S$13,Cal!$E$94,IF(Adm!$R$3=Adm!$R$6,0,IF(Cal!$E$91=0,N246*Adm!$Y$3,N246*Adm!$X$3))))</f>
        <v>178.59659067654437</v>
      </c>
      <c r="I247" s="306">
        <f>IF(N246&lt;0.01,0,IF(Adm!$R$4=Adm!$R$6,0,Cal!$E$89*Adm!$AA$3))</f>
        <v>573.58240000000001</v>
      </c>
      <c r="J247" s="306">
        <f>IF(N246&lt;0.01,0,Adm!$O$3*1.16)</f>
        <v>290</v>
      </c>
      <c r="K247" s="306">
        <f>IF(N246&lt;0.01,0,IF(Adm!$N$3&gt;0,E247*Adm!$N$3,0))</f>
        <v>0</v>
      </c>
      <c r="L247" s="306">
        <f t="shared" si="38"/>
        <v>10657.485045654417</v>
      </c>
      <c r="M247" s="306">
        <f>IF(Adm!$F$3="si",MIN(N246+E247+H247+I247+J247-L247,Z247),0)</f>
        <v>0</v>
      </c>
      <c r="N247" s="306">
        <f t="shared" si="39"/>
        <v>409013.71802114695</v>
      </c>
      <c r="O247" s="361"/>
      <c r="P247" s="114"/>
      <c r="V247" s="571">
        <f t="shared" si="40"/>
        <v>1</v>
      </c>
      <c r="W247" s="293">
        <f>IF(V247=1,Adm!$AN$2,0)</f>
        <v>0</v>
      </c>
      <c r="Y247" s="304">
        <f t="shared" si="45"/>
        <v>0</v>
      </c>
      <c r="Z247" s="345">
        <f t="shared" ca="1" si="41"/>
        <v>0</v>
      </c>
      <c r="AB247" s="640">
        <f t="shared" si="46"/>
        <v>0</v>
      </c>
      <c r="AC247" s="639">
        <f t="shared" si="47"/>
        <v>0</v>
      </c>
      <c r="AD247" s="641">
        <f t="shared" si="42"/>
        <v>0</v>
      </c>
      <c r="AE247" s="639">
        <f t="shared" si="48"/>
        <v>0</v>
      </c>
      <c r="AF247" s="636">
        <f t="shared" si="35"/>
        <v>0</v>
      </c>
      <c r="AG247" s="637" t="e">
        <f>HLOOKUP($AG$110,anticipado,134,0)</f>
        <v>#N/A</v>
      </c>
      <c r="AI247" s="614">
        <v>1.6316915580110749E-2</v>
      </c>
      <c r="AJ247" s="615">
        <v>1.6024327153915881E-2</v>
      </c>
      <c r="AK247" s="616">
        <v>1.5759160577568279E-2</v>
      </c>
      <c r="AL247" s="616">
        <v>1.6256332470387581E-2</v>
      </c>
      <c r="AM247" s="617">
        <v>1.6316915580110749E-2</v>
      </c>
      <c r="AN247" s="617">
        <v>1.6024327153915881E-2</v>
      </c>
      <c r="AO247" s="617">
        <v>1.6422341594312943E-2</v>
      </c>
      <c r="AP247" s="617">
        <v>1.6410259880812655E-2</v>
      </c>
      <c r="AQ247" s="617">
        <v>1.6478803805361118E-2</v>
      </c>
      <c r="AR247" s="617">
        <v>1.6652981922685214E-2</v>
      </c>
      <c r="AS247" s="617">
        <v>1.6422341594312943E-2</v>
      </c>
      <c r="AT247" s="618">
        <v>1.6251361613033689E-2</v>
      </c>
      <c r="AU247" s="618">
        <v>5.0423291414621119E-3</v>
      </c>
      <c r="AV247" s="618">
        <v>4.9480547335562387E-3</v>
      </c>
      <c r="AW247" s="618">
        <v>4.7416965843382133E-3</v>
      </c>
      <c r="AX247" s="618">
        <v>5.2337656185493502E-3</v>
      </c>
      <c r="AY247" s="618">
        <v>5.0423291414621119E-3</v>
      </c>
      <c r="AZ247" s="618">
        <v>4.8731060884729342E-3</v>
      </c>
      <c r="BA247" s="618">
        <v>5.3311304183873724E-3</v>
      </c>
      <c r="BB247" s="618">
        <v>5.2647391348606383E-3</v>
      </c>
      <c r="BC247" s="618">
        <v>5.0713100786234991E-3</v>
      </c>
      <c r="BD247" s="618">
        <v>5.4744479942587538E-3</v>
      </c>
      <c r="BE247" s="617">
        <v>5.3825729023101124E-3</v>
      </c>
      <c r="BF247" s="617">
        <v>5.2639245597044535E-3</v>
      </c>
      <c r="BG247" s="617"/>
      <c r="BH247" s="617"/>
      <c r="BI247" s="617"/>
      <c r="BJ247" s="617"/>
      <c r="BK247" s="617"/>
      <c r="BL247" s="617"/>
      <c r="BM247" s="617"/>
      <c r="BN247" s="617"/>
      <c r="BO247" s="617"/>
      <c r="BP247" s="617"/>
      <c r="BQ247" s="617"/>
      <c r="BR247" s="617"/>
      <c r="BS247" s="617"/>
      <c r="BT247" s="617"/>
      <c r="BU247" s="617"/>
      <c r="BV247" s="617"/>
      <c r="BW247" s="617"/>
      <c r="BX247" s="617"/>
      <c r="BY247" s="617"/>
      <c r="BZ247" s="617"/>
      <c r="CA247" s="617"/>
      <c r="CB247" s="617"/>
      <c r="CC247" s="617"/>
      <c r="CD247" s="617"/>
      <c r="CE247" s="617"/>
      <c r="CF247" s="617"/>
      <c r="CG247" s="617"/>
      <c r="CH247" s="617"/>
      <c r="CI247" s="617"/>
      <c r="CJ247" s="617"/>
      <c r="CK247" s="617"/>
      <c r="CL247" s="617"/>
    </row>
    <row r="248" spans="1:90">
      <c r="A248" s="151">
        <f t="shared" ca="1" si="34"/>
        <v>1</v>
      </c>
      <c r="B248" s="113">
        <f t="shared" si="36"/>
        <v>106</v>
      </c>
      <c r="C248" s="150">
        <f t="shared" si="43"/>
        <v>134</v>
      </c>
      <c r="D248" s="565">
        <f t="shared" si="44"/>
        <v>9.5000000000000001E-2</v>
      </c>
      <c r="E248" s="306">
        <f t="shared" si="37"/>
        <v>3238.0252676674136</v>
      </c>
      <c r="F248" s="306">
        <f t="shared" si="32"/>
        <v>6377.2807873104593</v>
      </c>
      <c r="G248" s="307">
        <f t="shared" si="33"/>
        <v>9615.3060549778729</v>
      </c>
      <c r="H248" s="306">
        <f>IF(N247&lt;0.01,0,IF(Adm!$S$3=Adm!$S$13,Cal!$E$94,IF(Adm!$R$3=Adm!$R$6,0,IF(Cal!$E$91=0,N247*Adm!$Y$3,N247*Adm!$X$3))))</f>
        <v>175.87589874909318</v>
      </c>
      <c r="I248" s="306">
        <f>IF(N247&lt;0.01,0,IF(Adm!$R$4=Adm!$R$6,0,Cal!$E$89*Adm!$AA$3))</f>
        <v>573.58240000000001</v>
      </c>
      <c r="J248" s="306">
        <f>IF(N247&lt;0.01,0,Adm!$O$3*1.16)</f>
        <v>290</v>
      </c>
      <c r="K248" s="306">
        <f>IF(N247&lt;0.01,0,IF(Adm!$N$3&gt;0,E248*Adm!$N$3,0))</f>
        <v>0</v>
      </c>
      <c r="L248" s="306">
        <f t="shared" si="38"/>
        <v>10654.764353726965</v>
      </c>
      <c r="M248" s="306">
        <f>IF(Adm!$F$3="si",MIN(N247+E248+H248+I248+J248-L248,Z248),0)</f>
        <v>0</v>
      </c>
      <c r="N248" s="306">
        <f t="shared" si="39"/>
        <v>402636.43723383651</v>
      </c>
      <c r="O248" s="361"/>
      <c r="P248" s="114"/>
      <c r="V248" s="571">
        <f t="shared" si="40"/>
        <v>2</v>
      </c>
      <c r="W248" s="293">
        <f>IF(V248=1,Adm!$AN$2,0)</f>
        <v>0</v>
      </c>
      <c r="Y248" s="304">
        <f t="shared" si="45"/>
        <v>0</v>
      </c>
      <c r="Z248" s="345">
        <f t="shared" ca="1" si="41"/>
        <v>0</v>
      </c>
      <c r="AB248" s="640">
        <f t="shared" si="46"/>
        <v>0</v>
      </c>
      <c r="AC248" s="639">
        <f t="shared" si="47"/>
        <v>0</v>
      </c>
      <c r="AD248" s="641">
        <f t="shared" si="42"/>
        <v>0</v>
      </c>
      <c r="AE248" s="639">
        <f t="shared" si="48"/>
        <v>0</v>
      </c>
      <c r="AF248" s="636">
        <f t="shared" si="35"/>
        <v>0</v>
      </c>
      <c r="AG248" s="637" t="e">
        <f>HLOOKUP($AG$110,anticipado,135,0)</f>
        <v>#N/A</v>
      </c>
      <c r="AI248" s="614">
        <v>1.6730641440982821E-2</v>
      </c>
      <c r="AJ248" s="615">
        <v>1.6433076923607012E-2</v>
      </c>
      <c r="AK248" s="616">
        <v>1.6162129609121181E-2</v>
      </c>
      <c r="AL248" s="616">
        <v>1.6662538198966487E-2</v>
      </c>
      <c r="AM248" s="617">
        <v>1.6730641440982821E-2</v>
      </c>
      <c r="AN248" s="617">
        <v>1.6433076923607012E-2</v>
      </c>
      <c r="AO248" s="617">
        <v>1.6828718766784004E-2</v>
      </c>
      <c r="AP248" s="617">
        <v>1.6822249011551358E-2</v>
      </c>
      <c r="AQ248" s="617">
        <v>1.6898717521963792E-2</v>
      </c>
      <c r="AR248" s="617">
        <v>1.7064129550781206E-2</v>
      </c>
      <c r="AS248" s="617">
        <v>1.6828718766784004E-2</v>
      </c>
      <c r="AT248" s="618">
        <v>1.6655982309865692E-2</v>
      </c>
      <c r="AU248" s="618">
        <v>5.1138741148961907E-3</v>
      </c>
      <c r="AV248" s="618">
        <v>5.0194441663080382E-3</v>
      </c>
      <c r="AW248" s="618">
        <v>4.8114935371319474E-3</v>
      </c>
      <c r="AX248" s="618">
        <v>5.3066807703739376E-3</v>
      </c>
      <c r="AY248" s="618">
        <v>5.1138741148961907E-3</v>
      </c>
      <c r="AZ248" s="618">
        <v>4.9434499431118628E-3</v>
      </c>
      <c r="BA248" s="618">
        <v>5.4040999101010916E-3</v>
      </c>
      <c r="BB248" s="618">
        <v>5.338031489051721E-3</v>
      </c>
      <c r="BC248" s="618">
        <v>5.1436284570083382E-3</v>
      </c>
      <c r="BD248" s="618">
        <v>5.5481604902811489E-3</v>
      </c>
      <c r="BE248" s="617">
        <v>5.4556267611368097E-3</v>
      </c>
      <c r="BF248" s="617">
        <v>5.3367602216620015E-3</v>
      </c>
      <c r="BG248" s="617"/>
      <c r="BH248" s="617"/>
      <c r="BI248" s="617"/>
      <c r="BJ248" s="617"/>
      <c r="BK248" s="617"/>
      <c r="BL248" s="617"/>
      <c r="BM248" s="617"/>
      <c r="BN248" s="617"/>
      <c r="BO248" s="617"/>
      <c r="BP248" s="617"/>
      <c r="BQ248" s="617"/>
      <c r="BR248" s="617"/>
      <c r="BS248" s="617"/>
      <c r="BT248" s="617"/>
      <c r="BU248" s="617"/>
      <c r="BV248" s="617"/>
      <c r="BW248" s="617"/>
      <c r="BX248" s="617"/>
      <c r="BY248" s="617"/>
      <c r="BZ248" s="617"/>
      <c r="CA248" s="617"/>
      <c r="CB248" s="617"/>
      <c r="CC248" s="617"/>
      <c r="CD248" s="617"/>
      <c r="CE248" s="617"/>
      <c r="CF248" s="617"/>
      <c r="CG248" s="617"/>
      <c r="CH248" s="617"/>
      <c r="CI248" s="617"/>
      <c r="CJ248" s="617"/>
      <c r="CK248" s="617"/>
      <c r="CL248" s="617"/>
    </row>
    <row r="249" spans="1:90">
      <c r="A249" s="151">
        <f t="shared" ca="1" si="34"/>
        <v>2</v>
      </c>
      <c r="B249" s="113">
        <f t="shared" si="36"/>
        <v>105</v>
      </c>
      <c r="C249" s="150">
        <f t="shared" si="43"/>
        <v>135</v>
      </c>
      <c r="D249" s="565">
        <f t="shared" si="44"/>
        <v>9.5000000000000001E-2</v>
      </c>
      <c r="E249" s="306">
        <f t="shared" si="37"/>
        <v>3187.5384614345389</v>
      </c>
      <c r="F249" s="306">
        <f t="shared" si="32"/>
        <v>6427.7675935433344</v>
      </c>
      <c r="G249" s="307">
        <f t="shared" si="33"/>
        <v>9615.3060549778729</v>
      </c>
      <c r="H249" s="306">
        <f>IF(N248&lt;0.01,0,IF(Adm!$S$3=Adm!$S$13,Cal!$E$94,IF(Adm!$R$3=Adm!$R$6,0,IF(Cal!$E$91=0,N248*Adm!$Y$3,N248*Adm!$X$3))))</f>
        <v>173.13366801054968</v>
      </c>
      <c r="I249" s="306">
        <f>IF(N248&lt;0.01,0,IF(Adm!$R$4=Adm!$R$6,0,Cal!$E$89*Adm!$AA$3))</f>
        <v>573.58240000000001</v>
      </c>
      <c r="J249" s="306">
        <f>IF(N248&lt;0.01,0,Adm!$O$3*1.16)</f>
        <v>290</v>
      </c>
      <c r="K249" s="306">
        <f>IF(N248&lt;0.01,0,IF(Adm!$N$3&gt;0,E249*Adm!$N$3,0))</f>
        <v>0</v>
      </c>
      <c r="L249" s="306">
        <f t="shared" si="38"/>
        <v>10652.022122988423</v>
      </c>
      <c r="M249" s="306">
        <f>IF(Adm!$F$3="si",MIN(N248+E249+H249+I249+J249-L249,Z249),0)</f>
        <v>0</v>
      </c>
      <c r="N249" s="306">
        <f t="shared" si="39"/>
        <v>396208.66964029317</v>
      </c>
      <c r="O249" s="361"/>
      <c r="P249" s="114"/>
      <c r="V249" s="571">
        <f t="shared" si="40"/>
        <v>3</v>
      </c>
      <c r="W249" s="293">
        <f>IF(V249=1,Adm!$AN$2,0)</f>
        <v>0</v>
      </c>
      <c r="Y249" s="304">
        <f t="shared" si="45"/>
        <v>0</v>
      </c>
      <c r="Z249" s="345">
        <f t="shared" ca="1" si="41"/>
        <v>0</v>
      </c>
      <c r="AB249" s="640">
        <f t="shared" si="46"/>
        <v>0</v>
      </c>
      <c r="AC249" s="639">
        <f t="shared" si="47"/>
        <v>0</v>
      </c>
      <c r="AD249" s="641">
        <f t="shared" si="42"/>
        <v>0</v>
      </c>
      <c r="AE249" s="639">
        <f t="shared" si="48"/>
        <v>0</v>
      </c>
      <c r="AF249" s="636">
        <f t="shared" si="35"/>
        <v>0</v>
      </c>
      <c r="AG249" s="637" t="e">
        <f>HLOOKUP($AG$110,anticipado,136,0)</f>
        <v>#N/A</v>
      </c>
      <c r="AI249" s="614">
        <v>1.7162075759323523E-2</v>
      </c>
      <c r="AJ249" s="615">
        <v>1.685925655655748E-2</v>
      </c>
      <c r="AK249" s="616">
        <v>1.6582191845673413E-2</v>
      </c>
      <c r="AL249" s="616">
        <v>1.7085949109170027E-2</v>
      </c>
      <c r="AM249" s="617">
        <v>1.7162075759323523E-2</v>
      </c>
      <c r="AN249" s="617">
        <v>1.685925655655748E-2</v>
      </c>
      <c r="AO249" s="617">
        <v>1.7252279890043087E-2</v>
      </c>
      <c r="AP249" s="617">
        <v>1.7251807509352048E-2</v>
      </c>
      <c r="AQ249" s="617">
        <v>1.7336733407975622E-2</v>
      </c>
      <c r="AR249" s="617">
        <v>1.7492741953498803E-2</v>
      </c>
      <c r="AS249" s="617">
        <v>1.7252279890043087E-2</v>
      </c>
      <c r="AT249" s="618">
        <v>1.7077701254050136E-2</v>
      </c>
      <c r="AU249" s="618">
        <v>5.1868072015759693E-3</v>
      </c>
      <c r="AV249" s="618">
        <v>5.0922289289637105E-3</v>
      </c>
      <c r="AW249" s="618">
        <v>4.8826603074423013E-3</v>
      </c>
      <c r="AX249" s="618">
        <v>5.3810061740072806E-3</v>
      </c>
      <c r="AY249" s="618">
        <v>5.1868072015759693E-3</v>
      </c>
      <c r="AZ249" s="618">
        <v>5.0151637330259563E-3</v>
      </c>
      <c r="BA249" s="618">
        <v>5.4784700706393295E-3</v>
      </c>
      <c r="BB249" s="618">
        <v>5.4127429851630257E-3</v>
      </c>
      <c r="BC249" s="618">
        <v>5.2173573508482694E-3</v>
      </c>
      <c r="BD249" s="618">
        <v>5.6232823001794259E-3</v>
      </c>
      <c r="BE249" s="617">
        <v>5.5300783082242342E-3</v>
      </c>
      <c r="BF249" s="617">
        <v>5.4109998925320115E-3</v>
      </c>
      <c r="BG249" s="617"/>
      <c r="BH249" s="617"/>
      <c r="BI249" s="617"/>
      <c r="BJ249" s="617"/>
      <c r="BK249" s="617"/>
      <c r="BL249" s="617"/>
      <c r="BM249" s="617"/>
      <c r="BN249" s="617"/>
      <c r="BO249" s="617"/>
      <c r="BP249" s="617"/>
      <c r="BQ249" s="617"/>
      <c r="BR249" s="617"/>
      <c r="BS249" s="617"/>
      <c r="BT249" s="617"/>
      <c r="BU249" s="617"/>
      <c r="BV249" s="617"/>
      <c r="BW249" s="617"/>
      <c r="BX249" s="617"/>
      <c r="BY249" s="617"/>
      <c r="BZ249" s="617"/>
      <c r="CA249" s="617"/>
      <c r="CB249" s="617"/>
      <c r="CC249" s="617"/>
      <c r="CD249" s="617"/>
      <c r="CE249" s="617"/>
      <c r="CF249" s="617"/>
      <c r="CG249" s="617"/>
      <c r="CH249" s="617"/>
      <c r="CI249" s="617"/>
      <c r="CJ249" s="617"/>
      <c r="CK249" s="617"/>
      <c r="CL249" s="617"/>
    </row>
    <row r="250" spans="1:90">
      <c r="A250" s="151">
        <f t="shared" ca="1" si="34"/>
        <v>3</v>
      </c>
      <c r="B250" s="113">
        <f t="shared" si="36"/>
        <v>104</v>
      </c>
      <c r="C250" s="150">
        <f t="shared" si="43"/>
        <v>136</v>
      </c>
      <c r="D250" s="565">
        <f t="shared" si="44"/>
        <v>9.5000000000000001E-2</v>
      </c>
      <c r="E250" s="306">
        <f t="shared" si="37"/>
        <v>3136.6519679856542</v>
      </c>
      <c r="F250" s="306">
        <f t="shared" si="32"/>
        <v>6478.6540869922192</v>
      </c>
      <c r="G250" s="307">
        <f t="shared" si="33"/>
        <v>9615.3060549778729</v>
      </c>
      <c r="H250" s="306">
        <f>IF(N249&lt;0.01,0,IF(Adm!$S$3=Adm!$S$13,Cal!$E$94,IF(Adm!$R$3=Adm!$R$6,0,IF(Cal!$E$91=0,N249*Adm!$Y$3,N249*Adm!$X$3))))</f>
        <v>170.36972794532605</v>
      </c>
      <c r="I250" s="306">
        <f>IF(N249&lt;0.01,0,IF(Adm!$R$4=Adm!$R$6,0,Cal!$E$89*Adm!$AA$3))</f>
        <v>573.58240000000001</v>
      </c>
      <c r="J250" s="306">
        <f>IF(N249&lt;0.01,0,Adm!$O$3*1.16)</f>
        <v>290</v>
      </c>
      <c r="K250" s="306">
        <f>IF(N249&lt;0.01,0,IF(Adm!$N$3&gt;0,E250*Adm!$N$3,0))</f>
        <v>0</v>
      </c>
      <c r="L250" s="306">
        <f t="shared" si="38"/>
        <v>10649.258182923199</v>
      </c>
      <c r="M250" s="306">
        <f>IF(Adm!$F$3="si",MIN(N249+E250+H250+I250+J250-L250,Z250),0)</f>
        <v>0</v>
      </c>
      <c r="N250" s="306">
        <f t="shared" si="39"/>
        <v>389730.01555330097</v>
      </c>
      <c r="O250" s="361"/>
      <c r="P250" s="114"/>
      <c r="V250" s="571">
        <f t="shared" si="40"/>
        <v>4</v>
      </c>
      <c r="W250" s="293">
        <f>IF(V250=1,Adm!$AN$2,0)</f>
        <v>0</v>
      </c>
      <c r="Y250" s="304">
        <f t="shared" si="45"/>
        <v>0</v>
      </c>
      <c r="Z250" s="345">
        <f t="shared" ca="1" si="41"/>
        <v>0</v>
      </c>
      <c r="AB250" s="640">
        <f t="shared" si="46"/>
        <v>0</v>
      </c>
      <c r="AC250" s="639">
        <f t="shared" si="47"/>
        <v>0</v>
      </c>
      <c r="AD250" s="641">
        <f t="shared" si="42"/>
        <v>0</v>
      </c>
      <c r="AE250" s="639">
        <f t="shared" si="48"/>
        <v>0</v>
      </c>
      <c r="AF250" s="636">
        <f t="shared" si="35"/>
        <v>0</v>
      </c>
      <c r="AG250" s="637" t="e">
        <f>HLOOKUP($AG$110,anticipado,137,0)</f>
        <v>#N/A</v>
      </c>
      <c r="AI250" s="614">
        <v>1.7612363377330166E-2</v>
      </c>
      <c r="AJ250" s="615">
        <v>1.7303986660366606E-2</v>
      </c>
      <c r="AK250" s="616">
        <v>1.7020438815694181E-2</v>
      </c>
      <c r="AL250" s="616">
        <v>1.752766645251403E-2</v>
      </c>
      <c r="AM250" s="617">
        <v>1.7612363377330166E-2</v>
      </c>
      <c r="AN250" s="617">
        <v>1.7303986660366606E-2</v>
      </c>
      <c r="AO250" s="617">
        <v>1.7694124426182341E-2</v>
      </c>
      <c r="AP250" s="617">
        <v>1.7700068150183896E-2</v>
      </c>
      <c r="AQ250" s="617">
        <v>1.7794030736865779E-2</v>
      </c>
      <c r="AR250" s="617">
        <v>1.7939942902752585E-2</v>
      </c>
      <c r="AS250" s="617">
        <v>1.7694124426182341E-2</v>
      </c>
      <c r="AT250" s="618">
        <v>1.7517610493918891E-2</v>
      </c>
      <c r="AU250" s="618">
        <v>5.261166131308833E-3</v>
      </c>
      <c r="AV250" s="618">
        <v>5.1664470472510158E-3</v>
      </c>
      <c r="AW250" s="618">
        <v>4.9552340579708158E-3</v>
      </c>
      <c r="AX250" s="618">
        <v>5.4567803208548146E-3</v>
      </c>
      <c r="AY250" s="618">
        <v>5.261166131308833E-3</v>
      </c>
      <c r="AZ250" s="618">
        <v>5.0882845757260911E-3</v>
      </c>
      <c r="BA250" s="618">
        <v>5.5542790157428511E-3</v>
      </c>
      <c r="BB250" s="618">
        <v>5.4889124347295972E-3</v>
      </c>
      <c r="BC250" s="618">
        <v>5.2925353066837879E-3</v>
      </c>
      <c r="BD250" s="618">
        <v>5.6998518276184041E-3</v>
      </c>
      <c r="BE250" s="617">
        <v>5.6059655389160672E-3</v>
      </c>
      <c r="BF250" s="617">
        <v>5.4866818263914971E-3</v>
      </c>
      <c r="BG250" s="617"/>
      <c r="BH250" s="617"/>
      <c r="BI250" s="617"/>
      <c r="BJ250" s="617"/>
      <c r="BK250" s="617"/>
      <c r="BL250" s="617"/>
      <c r="BM250" s="617"/>
      <c r="BN250" s="617"/>
      <c r="BO250" s="617"/>
      <c r="BP250" s="617"/>
      <c r="BQ250" s="617"/>
      <c r="BR250" s="617"/>
      <c r="BS250" s="617"/>
      <c r="BT250" s="617"/>
      <c r="BU250" s="617"/>
      <c r="BV250" s="617"/>
      <c r="BW250" s="617"/>
      <c r="BX250" s="617"/>
      <c r="BY250" s="617"/>
      <c r="BZ250" s="617"/>
      <c r="CA250" s="617"/>
      <c r="CB250" s="617"/>
      <c r="CC250" s="617"/>
      <c r="CD250" s="617"/>
      <c r="CE250" s="617"/>
      <c r="CF250" s="617"/>
      <c r="CG250" s="617"/>
      <c r="CH250" s="617"/>
      <c r="CI250" s="617"/>
      <c r="CJ250" s="617"/>
      <c r="CK250" s="617"/>
      <c r="CL250" s="617"/>
    </row>
    <row r="251" spans="1:90">
      <c r="A251" s="151">
        <f t="shared" ca="1" si="34"/>
        <v>4</v>
      </c>
      <c r="B251" s="113">
        <f t="shared" si="36"/>
        <v>103</v>
      </c>
      <c r="C251" s="150">
        <f t="shared" si="43"/>
        <v>137</v>
      </c>
      <c r="D251" s="565">
        <f t="shared" si="44"/>
        <v>9.5000000000000001E-2</v>
      </c>
      <c r="E251" s="306">
        <f t="shared" si="37"/>
        <v>3085.3626231302992</v>
      </c>
      <c r="F251" s="306">
        <f t="shared" si="32"/>
        <v>6529.9434318475742</v>
      </c>
      <c r="G251" s="307">
        <f t="shared" si="33"/>
        <v>9615.3060549778729</v>
      </c>
      <c r="H251" s="306">
        <f>IF(N250&lt;0.01,0,IF(Adm!$S$3=Adm!$S$13,Cal!$E$94,IF(Adm!$R$3=Adm!$R$6,0,IF(Cal!$E$91=0,N250*Adm!$Y$3,N250*Adm!$X$3))))</f>
        <v>167.58390668791941</v>
      </c>
      <c r="I251" s="306">
        <f>IF(N250&lt;0.01,0,IF(Adm!$R$4=Adm!$R$6,0,Cal!$E$89*Adm!$AA$3))</f>
        <v>573.58240000000001</v>
      </c>
      <c r="J251" s="306">
        <f>IF(N250&lt;0.01,0,Adm!$O$3*1.16)</f>
        <v>290</v>
      </c>
      <c r="K251" s="306">
        <f>IF(N250&lt;0.01,0,IF(Adm!$N$3&gt;0,E251*Adm!$N$3,0))</f>
        <v>0</v>
      </c>
      <c r="L251" s="306">
        <f t="shared" si="38"/>
        <v>10646.472361665792</v>
      </c>
      <c r="M251" s="306">
        <f>IF(Adm!$F$3="si",MIN(N250+E251+H251+I251+J251-L251,Z251),0)</f>
        <v>0</v>
      </c>
      <c r="N251" s="306">
        <f t="shared" si="39"/>
        <v>383200.07212145341</v>
      </c>
      <c r="O251" s="361"/>
      <c r="P251" s="114"/>
      <c r="V251" s="571">
        <f t="shared" si="40"/>
        <v>5</v>
      </c>
      <c r="W251" s="293">
        <f>IF(V251=1,Adm!$AN$2,0)</f>
        <v>0</v>
      </c>
      <c r="Y251" s="304">
        <f t="shared" si="45"/>
        <v>0</v>
      </c>
      <c r="Z251" s="345">
        <f t="shared" ca="1" si="41"/>
        <v>0</v>
      </c>
      <c r="AB251" s="640">
        <f t="shared" si="46"/>
        <v>0</v>
      </c>
      <c r="AC251" s="639">
        <f t="shared" si="47"/>
        <v>0</v>
      </c>
      <c r="AD251" s="641">
        <f t="shared" si="42"/>
        <v>0</v>
      </c>
      <c r="AE251" s="639">
        <f t="shared" si="48"/>
        <v>0</v>
      </c>
      <c r="AF251" s="636">
        <f t="shared" si="35"/>
        <v>0</v>
      </c>
      <c r="AG251" s="637" t="e">
        <f>HLOOKUP($AG$110,anticipado,138,0)</f>
        <v>#N/A</v>
      </c>
      <c r="AI251" s="614">
        <v>1.8082749974878607E-2</v>
      </c>
      <c r="AJ251" s="615">
        <v>1.7768485983747105E-2</v>
      </c>
      <c r="AK251" s="616">
        <v>1.7478056976945145E-2</v>
      </c>
      <c r="AL251" s="616">
        <v>1.7988887495605992E-2</v>
      </c>
      <c r="AM251" s="617">
        <v>1.8082749974878607E-2</v>
      </c>
      <c r="AN251" s="617">
        <v>1.7768485983747105E-2</v>
      </c>
      <c r="AO251" s="617">
        <v>1.8155447661152426E-2</v>
      </c>
      <c r="AP251" s="617">
        <v>1.8168263211712374E-2</v>
      </c>
      <c r="AQ251" s="617">
        <v>1.8271893468014465E-2</v>
      </c>
      <c r="AR251" s="617">
        <v>1.8406954683420185E-2</v>
      </c>
      <c r="AS251" s="617">
        <v>1.8155447661152426E-2</v>
      </c>
      <c r="AT251" s="618">
        <v>1.7976897081366926E-2</v>
      </c>
      <c r="AU251" s="618">
        <v>5.3369900050079409E-3</v>
      </c>
      <c r="AV251" s="618">
        <v>5.242137931256793E-3</v>
      </c>
      <c r="AW251" s="618">
        <v>5.0292532959802802E-3</v>
      </c>
      <c r="AX251" s="618">
        <v>5.5340431086522432E-3</v>
      </c>
      <c r="AY251" s="618">
        <v>5.3369900050079409E-3</v>
      </c>
      <c r="AZ251" s="618">
        <v>5.1628509315859864E-3</v>
      </c>
      <c r="BA251" s="618">
        <v>5.6315662505075489E-3</v>
      </c>
      <c r="BB251" s="618">
        <v>5.5665800703614838E-3</v>
      </c>
      <c r="BC251" s="618">
        <v>5.3692022795295237E-3</v>
      </c>
      <c r="BD251" s="618">
        <v>5.7779088790712368E-3</v>
      </c>
      <c r="BE251" s="617">
        <v>5.6833278325157145E-3</v>
      </c>
      <c r="BF251" s="617">
        <v>5.5638456728539171E-3</v>
      </c>
      <c r="BG251" s="617"/>
      <c r="BH251" s="617"/>
      <c r="BI251" s="617"/>
      <c r="BJ251" s="617"/>
      <c r="BK251" s="617"/>
      <c r="BL251" s="617"/>
      <c r="BM251" s="617"/>
      <c r="BN251" s="617"/>
      <c r="BO251" s="617"/>
      <c r="BP251" s="617"/>
      <c r="BQ251" s="617"/>
      <c r="BR251" s="617"/>
      <c r="BS251" s="617"/>
      <c r="BT251" s="617"/>
      <c r="BU251" s="617"/>
      <c r="BV251" s="617"/>
      <c r="BW251" s="617"/>
      <c r="BX251" s="617"/>
      <c r="BY251" s="617"/>
      <c r="BZ251" s="617"/>
      <c r="CA251" s="617"/>
      <c r="CB251" s="617"/>
      <c r="CC251" s="617"/>
      <c r="CD251" s="617"/>
      <c r="CE251" s="617"/>
      <c r="CF251" s="617"/>
      <c r="CG251" s="617"/>
      <c r="CH251" s="617"/>
      <c r="CI251" s="617"/>
      <c r="CJ251" s="617"/>
      <c r="CK251" s="617"/>
      <c r="CL251" s="617"/>
    </row>
    <row r="252" spans="1:90">
      <c r="A252" s="151">
        <f t="shared" ca="1" si="34"/>
        <v>5</v>
      </c>
      <c r="B252" s="113">
        <f t="shared" si="36"/>
        <v>102</v>
      </c>
      <c r="C252" s="150">
        <f t="shared" si="43"/>
        <v>138</v>
      </c>
      <c r="D252" s="565">
        <f t="shared" si="44"/>
        <v>9.5000000000000001E-2</v>
      </c>
      <c r="E252" s="306">
        <f t="shared" si="37"/>
        <v>3033.6672376281731</v>
      </c>
      <c r="F252" s="306">
        <f t="shared" si="32"/>
        <v>6581.6388173496998</v>
      </c>
      <c r="G252" s="307">
        <f t="shared" si="33"/>
        <v>9615.3060549778729</v>
      </c>
      <c r="H252" s="306">
        <f>IF(N251&lt;0.01,0,IF(Adm!$S$3=Adm!$S$13,Cal!$E$94,IF(Adm!$R$3=Adm!$R$6,0,IF(Cal!$E$91=0,N251*Adm!$Y$3,N251*Adm!$X$3))))</f>
        <v>164.77603101222496</v>
      </c>
      <c r="I252" s="306">
        <f>IF(N251&lt;0.01,0,IF(Adm!$R$4=Adm!$R$6,0,Cal!$E$89*Adm!$AA$3))</f>
        <v>573.58240000000001</v>
      </c>
      <c r="J252" s="306">
        <f>IF(N251&lt;0.01,0,Adm!$O$3*1.16)</f>
        <v>290</v>
      </c>
      <c r="K252" s="306">
        <f>IF(N251&lt;0.01,0,IF(Adm!$N$3&gt;0,E252*Adm!$N$3,0))</f>
        <v>0</v>
      </c>
      <c r="L252" s="306">
        <f t="shared" si="38"/>
        <v>10643.664485990097</v>
      </c>
      <c r="M252" s="306">
        <f>IF(Adm!$F$3="si",MIN(N251+E252+H252+I252+J252-L252,Z252),0)</f>
        <v>0</v>
      </c>
      <c r="N252" s="306">
        <f t="shared" si="39"/>
        <v>376618.43330410373</v>
      </c>
      <c r="O252" s="361"/>
      <c r="P252" s="114"/>
      <c r="V252" s="571">
        <f t="shared" si="40"/>
        <v>6</v>
      </c>
      <c r="W252" s="293">
        <f>IF(V252=1,Adm!$AN$2,0)</f>
        <v>0</v>
      </c>
      <c r="Y252" s="304">
        <f t="shared" si="45"/>
        <v>0</v>
      </c>
      <c r="Z252" s="345">
        <f t="shared" ca="1" si="41"/>
        <v>0</v>
      </c>
      <c r="AB252" s="640">
        <f t="shared" si="46"/>
        <v>0</v>
      </c>
      <c r="AC252" s="639">
        <f t="shared" si="47"/>
        <v>0</v>
      </c>
      <c r="AD252" s="641">
        <f t="shared" si="42"/>
        <v>0</v>
      </c>
      <c r="AE252" s="639">
        <f t="shared" si="48"/>
        <v>0</v>
      </c>
      <c r="AF252" s="636">
        <f t="shared" si="35"/>
        <v>0</v>
      </c>
      <c r="AG252" s="637" t="e">
        <f>HLOOKUP($AG$110,anticipado,139,0)</f>
        <v>#N/A</v>
      </c>
      <c r="AI252" s="614">
        <v>1.8574593422149691E-2</v>
      </c>
      <c r="AJ252" s="615">
        <v>1.825408240134406E-2</v>
      </c>
      <c r="AK252" s="616">
        <v>1.7956338266319267E-2</v>
      </c>
      <c r="AL252" s="616">
        <v>1.8470916217789492E-2</v>
      </c>
      <c r="AM252" s="617">
        <v>1.8574593422149691E-2</v>
      </c>
      <c r="AN252" s="617">
        <v>1.825408240134406E-2</v>
      </c>
      <c r="AO252" s="617">
        <v>1.8637551377027543E-2</v>
      </c>
      <c r="AP252" s="617">
        <v>1.8657735644099269E-2</v>
      </c>
      <c r="AQ252" s="617">
        <v>1.877172212720097E-2</v>
      </c>
      <c r="AR252" s="617">
        <v>1.8895109130382493E-2</v>
      </c>
      <c r="AS252" s="617">
        <v>1.8637551377027543E-2</v>
      </c>
      <c r="AT252" s="618">
        <v>1.845685363301916E-2</v>
      </c>
      <c r="AU252" s="618">
        <v>5.4143193575988133E-3</v>
      </c>
      <c r="AV252" s="618">
        <v>5.3193424390625219E-3</v>
      </c>
      <c r="AW252" s="618">
        <v>5.1047579347230062E-3</v>
      </c>
      <c r="AX252" s="618">
        <v>5.6128359063317987E-3</v>
      </c>
      <c r="AY252" s="618">
        <v>5.4143193575988133E-3</v>
      </c>
      <c r="AZ252" s="618">
        <v>5.2389026651837242E-3</v>
      </c>
      <c r="BA252" s="618">
        <v>5.7103727333119919E-3</v>
      </c>
      <c r="BB252" s="618">
        <v>5.6457876114313753E-3</v>
      </c>
      <c r="BC252" s="618">
        <v>5.4473996978531237E-3</v>
      </c>
      <c r="BD252" s="618">
        <v>5.8574947284981199E-3</v>
      </c>
      <c r="BE252" s="617">
        <v>5.7622060159165812E-3</v>
      </c>
      <c r="BF252" s="617">
        <v>5.6425325413372316E-3</v>
      </c>
      <c r="BG252" s="617"/>
      <c r="BH252" s="617"/>
      <c r="BI252" s="617"/>
      <c r="BJ252" s="617"/>
      <c r="BK252" s="617"/>
      <c r="BL252" s="617"/>
      <c r="BM252" s="617"/>
      <c r="BN252" s="617"/>
      <c r="BO252" s="617"/>
      <c r="BP252" s="617"/>
      <c r="BQ252" s="617"/>
      <c r="BR252" s="617"/>
      <c r="BS252" s="617"/>
      <c r="BT252" s="617"/>
      <c r="BU252" s="617"/>
      <c r="BV252" s="617"/>
      <c r="BW252" s="617"/>
      <c r="BX252" s="617"/>
      <c r="BY252" s="617"/>
      <c r="BZ252" s="617"/>
      <c r="CA252" s="617"/>
      <c r="CB252" s="617"/>
      <c r="CC252" s="617"/>
      <c r="CD252" s="617"/>
      <c r="CE252" s="617"/>
      <c r="CF252" s="617"/>
      <c r="CG252" s="617"/>
      <c r="CH252" s="617"/>
      <c r="CI252" s="617"/>
      <c r="CJ252" s="617"/>
      <c r="CK252" s="617"/>
      <c r="CL252" s="617"/>
    </row>
    <row r="253" spans="1:90">
      <c r="A253" s="151">
        <f t="shared" ca="1" si="34"/>
        <v>6</v>
      </c>
      <c r="B253" s="113">
        <f t="shared" si="36"/>
        <v>101</v>
      </c>
      <c r="C253" s="150">
        <f t="shared" si="43"/>
        <v>139</v>
      </c>
      <c r="D253" s="565">
        <f t="shared" si="44"/>
        <v>9.5000000000000001E-2</v>
      </c>
      <c r="E253" s="306">
        <f t="shared" si="37"/>
        <v>2981.5625969908215</v>
      </c>
      <c r="F253" s="306">
        <f t="shared" si="32"/>
        <v>6633.7434579870514</v>
      </c>
      <c r="G253" s="307">
        <f t="shared" si="33"/>
        <v>9615.3060549778729</v>
      </c>
      <c r="H253" s="306">
        <f>IF(N252&lt;0.01,0,IF(Adm!$S$3=Adm!$S$13,Cal!$E$94,IF(Adm!$R$3=Adm!$R$6,0,IF(Cal!$E$91=0,N252*Adm!$Y$3,N252*Adm!$X$3))))</f>
        <v>161.94592632076461</v>
      </c>
      <c r="I253" s="306">
        <f>IF(N252&lt;0.01,0,IF(Adm!$R$4=Adm!$R$6,0,Cal!$E$89*Adm!$AA$3))</f>
        <v>573.58240000000001</v>
      </c>
      <c r="J253" s="306">
        <f>IF(N252&lt;0.01,0,Adm!$O$3*1.16)</f>
        <v>290</v>
      </c>
      <c r="K253" s="306">
        <f>IF(N252&lt;0.01,0,IF(Adm!$N$3&gt;0,E253*Adm!$N$3,0))</f>
        <v>0</v>
      </c>
      <c r="L253" s="306">
        <f t="shared" si="38"/>
        <v>10640.834381298637</v>
      </c>
      <c r="M253" s="306">
        <f>IF(Adm!$F$3="si",MIN(N252+E253+H253+I253+J253-L253,Z253),0)</f>
        <v>0</v>
      </c>
      <c r="N253" s="306">
        <f t="shared" si="39"/>
        <v>369984.6898461167</v>
      </c>
      <c r="O253" s="361"/>
      <c r="P253" s="114"/>
      <c r="V253" s="571">
        <f t="shared" si="40"/>
        <v>7</v>
      </c>
      <c r="W253" s="293">
        <f>IF(V253=1,Adm!$AN$2,0)</f>
        <v>0</v>
      </c>
      <c r="Y253" s="304">
        <f t="shared" si="45"/>
        <v>0</v>
      </c>
      <c r="Z253" s="345">
        <f t="shared" ca="1" si="41"/>
        <v>0</v>
      </c>
      <c r="AB253" s="640">
        <f t="shared" si="46"/>
        <v>0</v>
      </c>
      <c r="AC253" s="639">
        <f t="shared" si="47"/>
        <v>0</v>
      </c>
      <c r="AD253" s="641">
        <f t="shared" si="42"/>
        <v>0</v>
      </c>
      <c r="AE253" s="639">
        <f t="shared" si="48"/>
        <v>0</v>
      </c>
      <c r="AF253" s="636">
        <f t="shared" si="35"/>
        <v>0</v>
      </c>
      <c r="AG253" s="637" t="e">
        <f>HLOOKUP($AG$110,anticipado,140,0)</f>
        <v>#N/A</v>
      </c>
      <c r="AI253" s="614">
        <v>1.9089376701325104E-2</v>
      </c>
      <c r="AJ253" s="615">
        <v>1.8762225407762137E-2</v>
      </c>
      <c r="AK253" s="616">
        <v>1.8456692088595E-2</v>
      </c>
      <c r="AL253" s="616">
        <v>1.8975175471657425E-2</v>
      </c>
      <c r="AM253" s="617">
        <v>1.9089376701325104E-2</v>
      </c>
      <c r="AN253" s="617">
        <v>1.8762225407762137E-2</v>
      </c>
      <c r="AO253" s="617">
        <v>1.9141855983099015E-2</v>
      </c>
      <c r="AP253" s="617">
        <v>1.9169951780311747E-2</v>
      </c>
      <c r="AQ253" s="617">
        <v>1.9295047342606036E-2</v>
      </c>
      <c r="AR253" s="617">
        <v>1.9405860183436641E-2</v>
      </c>
      <c r="AS253" s="617">
        <v>1.9141855983099015E-2</v>
      </c>
      <c r="AT253" s="618">
        <v>1.8958890332285414E-2</v>
      </c>
      <c r="AU253" s="618">
        <v>5.4931962244219989E-3</v>
      </c>
      <c r="AV253" s="618">
        <v>5.3981029439234074E-3</v>
      </c>
      <c r="AW253" s="618">
        <v>5.1817893582689085E-3</v>
      </c>
      <c r="AX253" s="618">
        <v>5.6932016225127351E-3</v>
      </c>
      <c r="AY253" s="618">
        <v>5.4931962244219989E-3</v>
      </c>
      <c r="AZ253" s="618">
        <v>5.3164811100375317E-3</v>
      </c>
      <c r="BA253" s="618">
        <v>5.7907409433079326E-3</v>
      </c>
      <c r="BB253" s="618">
        <v>5.7265783334403226E-3</v>
      </c>
      <c r="BC253" s="618">
        <v>5.5271705321855618E-3</v>
      </c>
      <c r="BD253" s="618">
        <v>5.9386521856371497E-3</v>
      </c>
      <c r="BE253" s="617">
        <v>5.842642430775904E-3</v>
      </c>
      <c r="BF253" s="617">
        <v>5.7227850689170398E-3</v>
      </c>
      <c r="BG253" s="617"/>
      <c r="BH253" s="617"/>
      <c r="BI253" s="617"/>
      <c r="BJ253" s="617"/>
      <c r="BK253" s="617"/>
      <c r="BL253" s="617"/>
      <c r="BM253" s="617"/>
      <c r="BN253" s="617"/>
      <c r="BO253" s="617"/>
      <c r="BP253" s="617"/>
      <c r="BQ253" s="617"/>
      <c r="BR253" s="617"/>
      <c r="BS253" s="617"/>
      <c r="BT253" s="617"/>
      <c r="BU253" s="617"/>
      <c r="BV253" s="617"/>
      <c r="BW253" s="617"/>
      <c r="BX253" s="617"/>
      <c r="BY253" s="617"/>
      <c r="BZ253" s="617"/>
      <c r="CA253" s="617"/>
      <c r="CB253" s="617"/>
      <c r="CC253" s="617"/>
      <c r="CD253" s="617"/>
      <c r="CE253" s="617"/>
      <c r="CF253" s="617"/>
      <c r="CG253" s="617"/>
      <c r="CH253" s="617"/>
      <c r="CI253" s="617"/>
      <c r="CJ253" s="617"/>
      <c r="CK253" s="617"/>
      <c r="CL253" s="617"/>
    </row>
    <row r="254" spans="1:90">
      <c r="A254" s="151">
        <f t="shared" ca="1" si="34"/>
        <v>7</v>
      </c>
      <c r="B254" s="113">
        <f t="shared" si="36"/>
        <v>100</v>
      </c>
      <c r="C254" s="150">
        <f t="shared" si="43"/>
        <v>140</v>
      </c>
      <c r="D254" s="565">
        <f t="shared" si="44"/>
        <v>9.5000000000000001E-2</v>
      </c>
      <c r="E254" s="306">
        <f t="shared" si="37"/>
        <v>2929.0454612817575</v>
      </c>
      <c r="F254" s="306">
        <f t="shared" si="32"/>
        <v>6686.2605936961154</v>
      </c>
      <c r="G254" s="307">
        <f t="shared" si="33"/>
        <v>9615.3060549778729</v>
      </c>
      <c r="H254" s="306">
        <f>IF(N253&lt;0.01,0,IF(Adm!$S$3=Adm!$S$13,Cal!$E$94,IF(Adm!$R$3=Adm!$R$6,0,IF(Cal!$E$91=0,N253*Adm!$Y$3,N253*Adm!$X$3))))</f>
        <v>159.09341663383017</v>
      </c>
      <c r="I254" s="306">
        <f>IF(N253&lt;0.01,0,IF(Adm!$R$4=Adm!$R$6,0,Cal!$E$89*Adm!$AA$3))</f>
        <v>573.58240000000001</v>
      </c>
      <c r="J254" s="306">
        <f>IF(N253&lt;0.01,0,Adm!$O$3*1.16)</f>
        <v>290</v>
      </c>
      <c r="K254" s="306">
        <f>IF(N253&lt;0.01,0,IF(Adm!$N$3&gt;0,E254*Adm!$N$3,0))</f>
        <v>0</v>
      </c>
      <c r="L254" s="306">
        <f t="shared" si="38"/>
        <v>10637.981871611702</v>
      </c>
      <c r="M254" s="306">
        <f>IF(Adm!$F$3="si",MIN(N253+E254+H254+I254+J254-L254,Z254),0)</f>
        <v>0</v>
      </c>
      <c r="N254" s="306">
        <f t="shared" si="39"/>
        <v>363298.42925242061</v>
      </c>
      <c r="O254" s="361"/>
      <c r="P254" s="114"/>
      <c r="V254" s="571">
        <f t="shared" si="40"/>
        <v>8</v>
      </c>
      <c r="W254" s="293">
        <f>IF(V254=1,Adm!$AN$2,0)</f>
        <v>0</v>
      </c>
      <c r="Y254" s="304">
        <f t="shared" si="45"/>
        <v>0</v>
      </c>
      <c r="Z254" s="345">
        <f t="shared" ca="1" si="41"/>
        <v>0</v>
      </c>
      <c r="AB254" s="640">
        <f t="shared" si="46"/>
        <v>0</v>
      </c>
      <c r="AC254" s="639">
        <f t="shared" si="47"/>
        <v>0</v>
      </c>
      <c r="AD254" s="641">
        <f t="shared" si="42"/>
        <v>0</v>
      </c>
      <c r="AE254" s="639">
        <f t="shared" si="48"/>
        <v>0</v>
      </c>
      <c r="AF254" s="636">
        <f t="shared" si="35"/>
        <v>0</v>
      </c>
      <c r="AG254" s="637" t="e">
        <f>HLOOKUP($AG$110,anticipado,141,0)</f>
        <v>#N/A</v>
      </c>
      <c r="AI254" s="614">
        <v>1.9628722656326484E-2</v>
      </c>
      <c r="AJ254" s="615">
        <v>1.929450036837926E-2</v>
      </c>
      <c r="AK254" s="616">
        <v>1.8980658978398117E-2</v>
      </c>
      <c r="AL254" s="616">
        <v>1.9503220845260277E-2</v>
      </c>
      <c r="AM254" s="617">
        <v>1.9628722656326484E-2</v>
      </c>
      <c r="AN254" s="617">
        <v>1.929450036837926E-2</v>
      </c>
      <c r="AO254" s="617">
        <v>1.9669914343868777E-2</v>
      </c>
      <c r="AP254" s="617">
        <v>1.9706515839289115E-2</v>
      </c>
      <c r="AQ254" s="617">
        <v>1.9843545311867706E-2</v>
      </c>
      <c r="AR254" s="617">
        <v>1.9940798209331763E-2</v>
      </c>
      <c r="AS254" s="617">
        <v>1.9669914343868777E-2</v>
      </c>
      <c r="AT254" s="618">
        <v>1.9484548606987971E-2</v>
      </c>
      <c r="AU254" s="618">
        <v>5.573664211360671E-3</v>
      </c>
      <c r="AV254" s="618">
        <v>5.4784634052233994E-3</v>
      </c>
      <c r="AW254" s="618">
        <v>5.260390489954944E-3</v>
      </c>
      <c r="AX254" s="618">
        <v>5.7751847778545022E-3</v>
      </c>
      <c r="AY254" s="618">
        <v>5.573664211360671E-3</v>
      </c>
      <c r="AZ254" s="618">
        <v>5.3956291369570402E-3</v>
      </c>
      <c r="BA254" s="618">
        <v>5.8727149517075637E-3</v>
      </c>
      <c r="BB254" s="618">
        <v>5.8089971413040949E-3</v>
      </c>
      <c r="BC254" s="618">
        <v>5.6085593676019419E-3</v>
      </c>
      <c r="BD254" s="618">
        <v>6.0214256681448914E-3</v>
      </c>
      <c r="BE254" s="617">
        <v>5.9246810044645323E-3</v>
      </c>
      <c r="BF254" s="617">
        <v>5.8046474920003827E-3</v>
      </c>
      <c r="BG254" s="617"/>
      <c r="BH254" s="617"/>
      <c r="BI254" s="617"/>
      <c r="BJ254" s="617"/>
      <c r="BK254" s="617"/>
      <c r="BL254" s="617"/>
      <c r="BM254" s="617"/>
      <c r="BN254" s="617"/>
      <c r="BO254" s="617"/>
      <c r="BP254" s="617"/>
      <c r="BQ254" s="617"/>
      <c r="BR254" s="617"/>
      <c r="BS254" s="617"/>
      <c r="BT254" s="617"/>
      <c r="BU254" s="617"/>
      <c r="BV254" s="617"/>
      <c r="BW254" s="617"/>
      <c r="BX254" s="617"/>
      <c r="BY254" s="617"/>
      <c r="BZ254" s="617"/>
      <c r="CA254" s="617"/>
      <c r="CB254" s="617"/>
      <c r="CC254" s="617"/>
      <c r="CD254" s="617"/>
      <c r="CE254" s="617"/>
      <c r="CF254" s="617"/>
      <c r="CG254" s="617"/>
      <c r="CH254" s="617"/>
      <c r="CI254" s="617"/>
      <c r="CJ254" s="617"/>
      <c r="CK254" s="617"/>
      <c r="CL254" s="617"/>
    </row>
    <row r="255" spans="1:90">
      <c r="A255" s="151">
        <f t="shared" ca="1" si="34"/>
        <v>8</v>
      </c>
      <c r="B255" s="113">
        <f t="shared" si="36"/>
        <v>99</v>
      </c>
      <c r="C255" s="150">
        <f t="shared" si="43"/>
        <v>141</v>
      </c>
      <c r="D255" s="565">
        <f t="shared" si="44"/>
        <v>9.5000000000000001E-2</v>
      </c>
      <c r="E255" s="306">
        <f t="shared" si="37"/>
        <v>2876.1125649149963</v>
      </c>
      <c r="F255" s="306">
        <f t="shared" si="32"/>
        <v>6739.1934900628767</v>
      </c>
      <c r="G255" s="307">
        <f t="shared" si="33"/>
        <v>9615.3060549778729</v>
      </c>
      <c r="H255" s="306">
        <f>IF(N254&lt;0.01,0,IF(Adm!$S$3=Adm!$S$13,Cal!$E$94,IF(Adm!$R$3=Adm!$R$6,0,IF(Cal!$E$91=0,N254*Adm!$Y$3,N254*Adm!$X$3))))</f>
        <v>156.21832457854086</v>
      </c>
      <c r="I255" s="306">
        <f>IF(N254&lt;0.01,0,IF(Adm!$R$4=Adm!$R$6,0,Cal!$E$89*Adm!$AA$3))</f>
        <v>573.58240000000001</v>
      </c>
      <c r="J255" s="306">
        <f>IF(N254&lt;0.01,0,Adm!$O$3*1.16)</f>
        <v>290</v>
      </c>
      <c r="K255" s="306">
        <f>IF(N254&lt;0.01,0,IF(Adm!$N$3&gt;0,E255*Adm!$N$3,0))</f>
        <v>0</v>
      </c>
      <c r="L255" s="306">
        <f t="shared" si="38"/>
        <v>10635.106779556412</v>
      </c>
      <c r="M255" s="306">
        <f>IF(Adm!$F$3="si",MIN(N254+E255+H255+I255+J255-L255,Z255),0)</f>
        <v>0</v>
      </c>
      <c r="N255" s="306">
        <f t="shared" si="39"/>
        <v>356559.23576235771</v>
      </c>
      <c r="O255" s="361"/>
      <c r="P255" s="114"/>
      <c r="V255" s="571">
        <f t="shared" si="40"/>
        <v>9</v>
      </c>
      <c r="W255" s="293">
        <f>IF(V255=1,Adm!$AN$2,0)</f>
        <v>0</v>
      </c>
      <c r="Y255" s="304">
        <f t="shared" si="45"/>
        <v>0</v>
      </c>
      <c r="Z255" s="345">
        <f t="shared" ca="1" si="41"/>
        <v>0</v>
      </c>
      <c r="AB255" s="640">
        <f t="shared" si="46"/>
        <v>0</v>
      </c>
      <c r="AC255" s="639">
        <f t="shared" si="47"/>
        <v>0</v>
      </c>
      <c r="AD255" s="641">
        <f t="shared" si="42"/>
        <v>0</v>
      </c>
      <c r="AE255" s="639">
        <f t="shared" si="48"/>
        <v>0</v>
      </c>
      <c r="AF255" s="636">
        <f t="shared" si="35"/>
        <v>0</v>
      </c>
      <c r="AG255" s="637" t="e">
        <f>HLOOKUP($AG$110,anticipado,142,0)</f>
        <v>#N/A</v>
      </c>
      <c r="AI255" s="614">
        <v>2.0194410879600892E-2</v>
      </c>
      <c r="AJ255" s="615">
        <v>1.9852644822054743E-2</v>
      </c>
      <c r="AK255" s="616">
        <v>1.9529926214300119E-2</v>
      </c>
      <c r="AL255" s="616">
        <v>2.0056756510460187E-2</v>
      </c>
      <c r="AM255" s="617">
        <v>2.0194410879600892E-2</v>
      </c>
      <c r="AN255" s="617">
        <v>1.9852644822054743E-2</v>
      </c>
      <c r="AO255" s="617">
        <v>2.022342758747616E-2</v>
      </c>
      <c r="AP255" s="617">
        <v>2.0269186524111468E-2</v>
      </c>
      <c r="AQ255" s="617">
        <v>2.0419055529418122E-2</v>
      </c>
      <c r="AR255" s="617">
        <v>2.0501666388077613E-2</v>
      </c>
      <c r="AS255" s="617">
        <v>2.022342758747616E-2</v>
      </c>
      <c r="AT255" s="618">
        <v>2.0035516761971992E-2</v>
      </c>
      <c r="AU255" s="618">
        <v>5.6557685689392042E-3</v>
      </c>
      <c r="AV255" s="618">
        <v>5.560469443456049E-3</v>
      </c>
      <c r="AW255" s="618">
        <v>5.340605864694147E-3</v>
      </c>
      <c r="AX255" s="618">
        <v>5.8588315815291565E-3</v>
      </c>
      <c r="AY255" s="618">
        <v>5.6557685689392042E-3</v>
      </c>
      <c r="AZ255" s="618">
        <v>5.4763912262477069E-3</v>
      </c>
      <c r="BA255" s="618">
        <v>5.9563404971190994E-3</v>
      </c>
      <c r="BB255" s="618">
        <v>5.8930906468211176E-3</v>
      </c>
      <c r="BC255" s="618">
        <v>5.6916124803298952E-3</v>
      </c>
      <c r="BD255" s="618">
        <v>6.1058612778422342E-3</v>
      </c>
      <c r="BE255" s="617">
        <v>6.0083673250426288E-3</v>
      </c>
      <c r="BF255" s="617">
        <v>5.8881657220735024E-3</v>
      </c>
      <c r="BG255" s="617"/>
      <c r="BH255" s="617"/>
      <c r="BI255" s="617"/>
      <c r="BJ255" s="617"/>
      <c r="BK255" s="617"/>
      <c r="BL255" s="617"/>
      <c r="BM255" s="617"/>
      <c r="BN255" s="617"/>
      <c r="BO255" s="617"/>
      <c r="BP255" s="617"/>
      <c r="BQ255" s="617"/>
      <c r="BR255" s="617"/>
      <c r="BS255" s="617"/>
      <c r="BT255" s="617"/>
      <c r="BU255" s="617"/>
      <c r="BV255" s="617"/>
      <c r="BW255" s="617"/>
      <c r="BX255" s="617"/>
      <c r="BY255" s="617"/>
      <c r="BZ255" s="617"/>
      <c r="CA255" s="617"/>
      <c r="CB255" s="617"/>
      <c r="CC255" s="617"/>
      <c r="CD255" s="617"/>
      <c r="CE255" s="617"/>
      <c r="CF255" s="617"/>
      <c r="CG255" s="617"/>
      <c r="CH255" s="617"/>
      <c r="CI255" s="617"/>
      <c r="CJ255" s="617"/>
      <c r="CK255" s="617"/>
      <c r="CL255" s="617"/>
    </row>
    <row r="256" spans="1:90">
      <c r="A256" s="151">
        <f t="shared" ca="1" si="34"/>
        <v>9</v>
      </c>
      <c r="B256" s="113">
        <f t="shared" si="36"/>
        <v>98</v>
      </c>
      <c r="C256" s="150">
        <f t="shared" si="43"/>
        <v>142</v>
      </c>
      <c r="D256" s="565">
        <f t="shared" si="44"/>
        <v>9.5000000000000001E-2</v>
      </c>
      <c r="E256" s="306">
        <f t="shared" si="37"/>
        <v>2822.7606164519984</v>
      </c>
      <c r="F256" s="306">
        <f t="shared" ref="F256:F319" si="49">IF(N255&lt;0.01,0,G256-E256)</f>
        <v>6792.5454385258745</v>
      </c>
      <c r="G256" s="307">
        <f t="shared" si="33"/>
        <v>9615.3060549778729</v>
      </c>
      <c r="H256" s="306">
        <f>IF(N255&lt;0.01,0,IF(Adm!$S$3=Adm!$S$13,Cal!$E$94,IF(Adm!$R$3=Adm!$R$6,0,IF(Cal!$E$91=0,N255*Adm!$Y$3,N255*Adm!$X$3))))</f>
        <v>153.32047137781382</v>
      </c>
      <c r="I256" s="306">
        <f>IF(N255&lt;0.01,0,IF(Adm!$R$4=Adm!$R$6,0,Cal!$E$89*Adm!$AA$3))</f>
        <v>573.58240000000001</v>
      </c>
      <c r="J256" s="306">
        <f>IF(N255&lt;0.01,0,Adm!$O$3*1.16)</f>
        <v>290</v>
      </c>
      <c r="K256" s="306">
        <f>IF(N255&lt;0.01,0,IF(Adm!$N$3&gt;0,E256*Adm!$N$3,0))</f>
        <v>0</v>
      </c>
      <c r="L256" s="306">
        <f t="shared" si="38"/>
        <v>10632.208926355686</v>
      </c>
      <c r="M256" s="306">
        <f>IF(Adm!$F$3="si",MIN(N255+E256+H256+I256+J256-L256,Z256),0)</f>
        <v>0</v>
      </c>
      <c r="N256" s="306">
        <f t="shared" si="39"/>
        <v>349766.69032383186</v>
      </c>
      <c r="O256" s="361"/>
      <c r="P256" s="114"/>
      <c r="V256" s="571">
        <f t="shared" si="40"/>
        <v>10</v>
      </c>
      <c r="W256" s="293">
        <f>IF(V256=1,Adm!$AN$2,0)</f>
        <v>0</v>
      </c>
      <c r="Y256" s="304">
        <f t="shared" si="45"/>
        <v>0</v>
      </c>
      <c r="Z256" s="345">
        <f t="shared" ca="1" si="41"/>
        <v>0</v>
      </c>
      <c r="AB256" s="640">
        <f t="shared" si="46"/>
        <v>0</v>
      </c>
      <c r="AC256" s="639">
        <f t="shared" si="47"/>
        <v>0</v>
      </c>
      <c r="AD256" s="641">
        <f t="shared" si="42"/>
        <v>0</v>
      </c>
      <c r="AE256" s="639">
        <f t="shared" si="48"/>
        <v>0</v>
      </c>
      <c r="AF256" s="636">
        <f t="shared" si="35"/>
        <v>0</v>
      </c>
      <c r="AG256" s="637" t="e">
        <f>HLOOKUP($AG$110,anticipado,143,0)</f>
        <v>#N/A</v>
      </c>
      <c r="AI256" s="614">
        <v>2.0788397106126882E-2</v>
      </c>
      <c r="AJ256" s="615">
        <v>2.0438567188887573E-2</v>
      </c>
      <c r="AK256" s="616">
        <v>2.0106345718419606E-2</v>
      </c>
      <c r="AL256" s="616">
        <v>2.063765339755173E-2</v>
      </c>
      <c r="AM256" s="617">
        <v>2.0788397106126882E-2</v>
      </c>
      <c r="AN256" s="617">
        <v>2.0438567188887573E-2</v>
      </c>
      <c r="AO256" s="617">
        <v>2.0804263233558336E-2</v>
      </c>
      <c r="AP256" s="617">
        <v>2.0859896076943336E-2</v>
      </c>
      <c r="AQ256" s="617">
        <v>2.1023601169078719E-2</v>
      </c>
      <c r="AR256" s="617">
        <v>2.1090379519187023E-2</v>
      </c>
      <c r="AS256" s="617">
        <v>2.0804263233558336E-2</v>
      </c>
      <c r="AT256" s="618">
        <v>2.0613647900657592E-2</v>
      </c>
      <c r="AU256" s="618">
        <v>5.73955627065757E-3</v>
      </c>
      <c r="AV256" s="618">
        <v>5.6441684195002485E-3</v>
      </c>
      <c r="AW256" s="618">
        <v>5.4224817054005512E-3</v>
      </c>
      <c r="AX256" s="618">
        <v>5.9441900120892838E-3</v>
      </c>
      <c r="AY256" s="618">
        <v>5.73955627065757E-3</v>
      </c>
      <c r="AZ256" s="618">
        <v>5.55881354402435E-3</v>
      </c>
      <c r="BA256" s="618">
        <v>6.0416650652014578E-3</v>
      </c>
      <c r="BB256" s="618">
        <v>5.9789072506030725E-3</v>
      </c>
      <c r="BC256" s="618">
        <v>5.7763779187624343E-3</v>
      </c>
      <c r="BD256" s="618">
        <v>6.1920068813407321E-3</v>
      </c>
      <c r="BE256" s="617">
        <v>6.0937487205303467E-3</v>
      </c>
      <c r="BF256" s="617">
        <v>5.9733874257963679E-3</v>
      </c>
      <c r="BG256" s="617"/>
      <c r="BH256" s="617"/>
      <c r="BI256" s="617"/>
      <c r="BJ256" s="617"/>
      <c r="BK256" s="617"/>
      <c r="BL256" s="617"/>
      <c r="BM256" s="617"/>
      <c r="BN256" s="617"/>
      <c r="BO256" s="617"/>
      <c r="BP256" s="617"/>
      <c r="BQ256" s="617"/>
      <c r="BR256" s="617"/>
      <c r="BS256" s="617"/>
      <c r="BT256" s="617"/>
      <c r="BU256" s="617"/>
      <c r="BV256" s="617"/>
      <c r="BW256" s="617"/>
      <c r="BX256" s="617"/>
      <c r="BY256" s="617"/>
      <c r="BZ256" s="617"/>
      <c r="CA256" s="617"/>
      <c r="CB256" s="617"/>
      <c r="CC256" s="617"/>
      <c r="CD256" s="617"/>
      <c r="CE256" s="617"/>
      <c r="CF256" s="617"/>
      <c r="CG256" s="617"/>
      <c r="CH256" s="617"/>
      <c r="CI256" s="617"/>
      <c r="CJ256" s="617"/>
      <c r="CK256" s="617"/>
      <c r="CL256" s="617"/>
    </row>
    <row r="257" spans="1:90">
      <c r="A257" s="151">
        <f t="shared" ca="1" si="34"/>
        <v>10</v>
      </c>
      <c r="B257" s="113">
        <f t="shared" si="36"/>
        <v>97</v>
      </c>
      <c r="C257" s="150">
        <f t="shared" si="43"/>
        <v>143</v>
      </c>
      <c r="D257" s="565">
        <f t="shared" si="44"/>
        <v>9.5000000000000001E-2</v>
      </c>
      <c r="E257" s="306">
        <f t="shared" si="37"/>
        <v>2768.986298397002</v>
      </c>
      <c r="F257" s="306">
        <f t="shared" si="49"/>
        <v>6846.3197565808714</v>
      </c>
      <c r="G257" s="307">
        <f t="shared" ref="G257:G320" si="50">IF(N256&lt;0.1,0,MIN(N256+E257,IF(AB257&gt;0,AB257,G256*(1+W257))))</f>
        <v>9615.3060549778729</v>
      </c>
      <c r="H257" s="306">
        <f>IF(N256&lt;0.01,0,IF(Adm!$S$3=Adm!$S$13,Cal!$E$94,IF(Adm!$R$3=Adm!$R$6,0,IF(Cal!$E$91=0,N256*Adm!$Y$3,N256*Adm!$X$3))))</f>
        <v>150.39967683924769</v>
      </c>
      <c r="I257" s="306">
        <f>IF(N256&lt;0.01,0,IF(Adm!$R$4=Adm!$R$6,0,Cal!$E$89*Adm!$AA$3))</f>
        <v>573.58240000000001</v>
      </c>
      <c r="J257" s="306">
        <f>IF(N256&lt;0.01,0,Adm!$O$3*1.16)</f>
        <v>290</v>
      </c>
      <c r="K257" s="306">
        <f>IF(N256&lt;0.01,0,IF(Adm!$N$3&gt;0,E257*Adm!$N$3,0))</f>
        <v>0</v>
      </c>
      <c r="L257" s="306">
        <f t="shared" si="38"/>
        <v>10629.28813181712</v>
      </c>
      <c r="M257" s="306">
        <f>IF(Adm!$F$3="si",MIN(N256+E257+H257+I257+J257-L257,Z257),0)</f>
        <v>0</v>
      </c>
      <c r="N257" s="306">
        <f t="shared" si="39"/>
        <v>342920.370567251</v>
      </c>
      <c r="O257" s="361"/>
      <c r="P257" s="114"/>
      <c r="V257" s="571">
        <f t="shared" si="40"/>
        <v>11</v>
      </c>
      <c r="W257" s="293">
        <f>IF(V257=1,Adm!$AN$2,0)</f>
        <v>0</v>
      </c>
      <c r="Y257" s="304">
        <f t="shared" si="45"/>
        <v>0</v>
      </c>
      <c r="Z257" s="345">
        <f t="shared" ca="1" si="41"/>
        <v>0</v>
      </c>
      <c r="AB257" s="640">
        <f t="shared" si="46"/>
        <v>0</v>
      </c>
      <c r="AC257" s="639">
        <f t="shared" si="47"/>
        <v>0</v>
      </c>
      <c r="AD257" s="641">
        <f t="shared" si="42"/>
        <v>0</v>
      </c>
      <c r="AE257" s="639">
        <f t="shared" si="48"/>
        <v>0</v>
      </c>
      <c r="AF257" s="636">
        <f t="shared" si="35"/>
        <v>0</v>
      </c>
      <c r="AG257" s="637" t="e">
        <f>HLOOKUP($AG$110,anticipado,144,0)</f>
        <v>#N/A</v>
      </c>
      <c r="AI257" s="614">
        <v>2.1412835559955781E-2</v>
      </c>
      <c r="AJ257" s="615">
        <v>2.1054368307397049E-2</v>
      </c>
      <c r="AK257" s="616">
        <v>2.0711954641581605E-2</v>
      </c>
      <c r="AL257" s="616">
        <v>2.1247970104504663E-2</v>
      </c>
      <c r="AM257" s="617">
        <v>2.1412835559955781E-2</v>
      </c>
      <c r="AN257" s="617">
        <v>2.1054368307397049E-2</v>
      </c>
      <c r="AO257" s="617">
        <v>2.1414476047525458E-2</v>
      </c>
      <c r="AP257" s="617">
        <v>2.1480772225728539E-2</v>
      </c>
      <c r="AQ257" s="617">
        <v>2.1659412597792485E-2</v>
      </c>
      <c r="AR257" s="617">
        <v>2.1709045675312531E-2</v>
      </c>
      <c r="AS257" s="617">
        <v>2.1414476047525458E-2</v>
      </c>
      <c r="AT257" s="618">
        <v>2.1220980536321279E-2</v>
      </c>
      <c r="AU257" s="618">
        <v>5.8250760958467622E-3</v>
      </c>
      <c r="AV257" s="618">
        <v>5.7296095184806569E-3</v>
      </c>
      <c r="AW257" s="618">
        <v>5.5060660038059256E-3</v>
      </c>
      <c r="AX257" s="618">
        <v>6.0313099030289532E-3</v>
      </c>
      <c r="AY257" s="618">
        <v>5.8250760958467622E-3</v>
      </c>
      <c r="AZ257" s="618">
        <v>5.6429440229090969E-3</v>
      </c>
      <c r="BA257" s="618">
        <v>6.1287379729296982E-3</v>
      </c>
      <c r="BB257" s="618">
        <v>6.0664972287709446E-3</v>
      </c>
      <c r="BC257" s="618">
        <v>5.8629055891735744E-3</v>
      </c>
      <c r="BD257" s="618">
        <v>6.2799121953458093E-3</v>
      </c>
      <c r="BE257" s="617">
        <v>6.1808743427632911E-3</v>
      </c>
      <c r="BF257" s="617">
        <v>6.060362109737716E-3</v>
      </c>
      <c r="BG257" s="617"/>
      <c r="BH257" s="617"/>
      <c r="BI257" s="617"/>
      <c r="BJ257" s="617"/>
      <c r="BK257" s="617"/>
      <c r="BL257" s="617"/>
      <c r="BM257" s="617"/>
      <c r="BN257" s="617"/>
      <c r="BO257" s="617"/>
      <c r="BP257" s="617"/>
      <c r="BQ257" s="617"/>
      <c r="BR257" s="617"/>
      <c r="BS257" s="617"/>
      <c r="BT257" s="617"/>
      <c r="BU257" s="617"/>
      <c r="BV257" s="617"/>
      <c r="BW257" s="617"/>
      <c r="BX257" s="617"/>
      <c r="BY257" s="617"/>
      <c r="BZ257" s="617"/>
      <c r="CA257" s="617"/>
      <c r="CB257" s="617"/>
      <c r="CC257" s="617"/>
      <c r="CD257" s="617"/>
      <c r="CE257" s="617"/>
      <c r="CF257" s="617"/>
      <c r="CG257" s="617"/>
      <c r="CH257" s="617"/>
      <c r="CI257" s="617"/>
      <c r="CJ257" s="617"/>
      <c r="CK257" s="617"/>
      <c r="CL257" s="617"/>
    </row>
    <row r="258" spans="1:90">
      <c r="A258" s="151">
        <f t="shared" ca="1" si="34"/>
        <v>11</v>
      </c>
      <c r="B258" s="113">
        <f t="shared" si="36"/>
        <v>96</v>
      </c>
      <c r="C258" s="150">
        <f t="shared" si="43"/>
        <v>144</v>
      </c>
      <c r="D258" s="565">
        <f t="shared" si="44"/>
        <v>9.5000000000000001E-2</v>
      </c>
      <c r="E258" s="306">
        <f t="shared" si="37"/>
        <v>2714.7862669907372</v>
      </c>
      <c r="F258" s="306">
        <f t="shared" si="49"/>
        <v>6900.5197879871357</v>
      </c>
      <c r="G258" s="307">
        <f t="shared" si="50"/>
        <v>9615.3060549778729</v>
      </c>
      <c r="H258" s="306">
        <f>IF(N257&lt;0.01,0,IF(Adm!$S$3=Adm!$S$13,Cal!$E$94,IF(Adm!$R$3=Adm!$R$6,0,IF(Cal!$E$91=0,N257*Adm!$Y$3,N257*Adm!$X$3))))</f>
        <v>147.45575934391792</v>
      </c>
      <c r="I258" s="306">
        <f>IF(N257&lt;0.01,0,IF(Adm!$R$4=Adm!$R$6,0,Cal!$E$89*Adm!$AA$3))</f>
        <v>573.58240000000001</v>
      </c>
      <c r="J258" s="306">
        <f>IF(N257&lt;0.01,0,Adm!$O$3*1.16)</f>
        <v>290</v>
      </c>
      <c r="K258" s="306">
        <f>IF(N257&lt;0.01,0,IF(Adm!$N$3&gt;0,E258*Adm!$N$3,0))</f>
        <v>0</v>
      </c>
      <c r="L258" s="306">
        <f t="shared" si="38"/>
        <v>10626.344214321791</v>
      </c>
      <c r="M258" s="306">
        <f>IF(Adm!$F$3="si",MIN(N257+E258+H258+I258+J258-L258,Z258),0)</f>
        <v>0</v>
      </c>
      <c r="N258" s="306">
        <f t="shared" si="39"/>
        <v>336019.85077926388</v>
      </c>
      <c r="O258" s="361"/>
      <c r="P258" s="114"/>
      <c r="V258" s="571">
        <f t="shared" si="40"/>
        <v>12</v>
      </c>
      <c r="W258" s="293">
        <f>IF(V258=1,Adm!$AN$2,0)</f>
        <v>0</v>
      </c>
      <c r="Y258" s="304">
        <f t="shared" si="45"/>
        <v>0</v>
      </c>
      <c r="Z258" s="345">
        <f t="shared" ca="1" si="41"/>
        <v>0</v>
      </c>
      <c r="AB258" s="640">
        <f t="shared" si="46"/>
        <v>0</v>
      </c>
      <c r="AC258" s="639">
        <f t="shared" si="47"/>
        <v>0</v>
      </c>
      <c r="AD258" s="641">
        <f t="shared" si="42"/>
        <v>0</v>
      </c>
      <c r="AE258" s="639">
        <f t="shared" si="48"/>
        <v>0</v>
      </c>
      <c r="AF258" s="636">
        <f t="shared" si="35"/>
        <v>0</v>
      </c>
      <c r="AG258" s="637" t="e">
        <f>HLOOKUP($AG$110,anticipado,145,0)</f>
        <v>#N/A</v>
      </c>
      <c r="AI258" s="614">
        <v>2.2070104791348535E-2</v>
      </c>
      <c r="AJ258" s="615">
        <v>2.1702366313288705E-2</v>
      </c>
      <c r="AK258" s="616">
        <v>2.1348999116171802E-2</v>
      </c>
      <c r="AL258" s="616">
        <v>2.1889977033214703E-2</v>
      </c>
      <c r="AM258" s="617">
        <v>2.2070104791348535E-2</v>
      </c>
      <c r="AN258" s="617">
        <v>2.1702366313288705E-2</v>
      </c>
      <c r="AO258" s="617">
        <v>2.2056332111942498E-2</v>
      </c>
      <c r="AP258" s="617">
        <v>2.2134163547911364E-2</v>
      </c>
      <c r="AQ258" s="617">
        <v>2.2328954596404441E-2</v>
      </c>
      <c r="AR258" s="617">
        <v>2.2359991219265407E-2</v>
      </c>
      <c r="AS258" s="617">
        <v>2.2056332111942498E-2</v>
      </c>
      <c r="AT258" s="618">
        <v>2.1859762376154446E-2</v>
      </c>
      <c r="AU258" s="618">
        <v>5.9123787173526151E-3</v>
      </c>
      <c r="AV258" s="618">
        <v>5.8168438385250917E-3</v>
      </c>
      <c r="AW258" s="618">
        <v>5.5914086059656656E-3</v>
      </c>
      <c r="AX258" s="618">
        <v>6.1202430333586197E-3</v>
      </c>
      <c r="AY258" s="618">
        <v>5.9123787173526151E-3</v>
      </c>
      <c r="AZ258" s="618">
        <v>5.7288324474105727E-3</v>
      </c>
      <c r="BA258" s="618">
        <v>6.2176104577856489E-3</v>
      </c>
      <c r="BB258" s="618">
        <v>6.1559128247430893E-3</v>
      </c>
      <c r="BC258" s="618">
        <v>5.9512473464583123E-3</v>
      </c>
      <c r="BD258" s="618">
        <v>6.3696288769565243E-3</v>
      </c>
      <c r="BE258" s="617">
        <v>6.2697952561451414E-3</v>
      </c>
      <c r="BF258" s="617">
        <v>6.1491412100674074E-3</v>
      </c>
      <c r="BG258" s="617"/>
      <c r="BH258" s="617"/>
      <c r="BI258" s="617"/>
      <c r="BJ258" s="617"/>
      <c r="BK258" s="617"/>
      <c r="BL258" s="617"/>
      <c r="BM258" s="617"/>
      <c r="BN258" s="617"/>
      <c r="BO258" s="617"/>
      <c r="BP258" s="617"/>
      <c r="BQ258" s="617"/>
      <c r="BR258" s="617"/>
      <c r="BS258" s="617"/>
      <c r="BT258" s="617"/>
      <c r="BU258" s="617"/>
      <c r="BV258" s="617"/>
      <c r="BW258" s="617"/>
      <c r="BX258" s="617"/>
      <c r="BY258" s="617"/>
      <c r="BZ258" s="617"/>
      <c r="CA258" s="617"/>
      <c r="CB258" s="617"/>
      <c r="CC258" s="617"/>
      <c r="CD258" s="617"/>
      <c r="CE258" s="617"/>
      <c r="CF258" s="617"/>
      <c r="CG258" s="617"/>
      <c r="CH258" s="617"/>
      <c r="CI258" s="617"/>
      <c r="CJ258" s="617"/>
      <c r="CK258" s="617"/>
      <c r="CL258" s="617"/>
    </row>
    <row r="259" spans="1:90">
      <c r="A259" s="151">
        <f t="shared" ca="1" si="34"/>
        <v>12</v>
      </c>
      <c r="B259" s="113">
        <f t="shared" si="36"/>
        <v>95</v>
      </c>
      <c r="C259" s="150">
        <f t="shared" si="43"/>
        <v>145</v>
      </c>
      <c r="D259" s="565">
        <f t="shared" si="44"/>
        <v>9.5000000000000001E-2</v>
      </c>
      <c r="E259" s="306">
        <f t="shared" si="37"/>
        <v>2660.1571520025059</v>
      </c>
      <c r="F259" s="306">
        <f t="shared" si="49"/>
        <v>6955.1489029753666</v>
      </c>
      <c r="G259" s="307">
        <f t="shared" si="50"/>
        <v>9615.3060549778729</v>
      </c>
      <c r="H259" s="306">
        <f>IF(N258&lt;0.01,0,IF(Adm!$S$3=Adm!$S$13,Cal!$E$94,IF(Adm!$R$3=Adm!$R$6,0,IF(Cal!$E$91=0,N258*Adm!$Y$3,N258*Adm!$X$3))))</f>
        <v>144.48853583508347</v>
      </c>
      <c r="I259" s="306">
        <f>IF(N258&lt;0.01,0,IF(Adm!$R$4=Adm!$R$6,0,Cal!$E$89*Adm!$AA$3))</f>
        <v>573.58240000000001</v>
      </c>
      <c r="J259" s="306">
        <f>IF(N258&lt;0.01,0,Adm!$O$3*1.16)</f>
        <v>290</v>
      </c>
      <c r="K259" s="306">
        <f>IF(N258&lt;0.01,0,IF(Adm!$N$3&gt;0,E259*Adm!$N$3,0))</f>
        <v>0</v>
      </c>
      <c r="L259" s="306">
        <f t="shared" si="38"/>
        <v>10623.376990812956</v>
      </c>
      <c r="M259" s="306">
        <f>IF(Adm!$F$3="si",MIN(N258+E259+H259+I259+J259-L259,Z259),0)</f>
        <v>0</v>
      </c>
      <c r="N259" s="306">
        <f t="shared" si="39"/>
        <v>329064.70187628851</v>
      </c>
      <c r="O259" s="361"/>
      <c r="P259" s="114"/>
      <c r="V259" s="571">
        <f t="shared" si="40"/>
        <v>1</v>
      </c>
      <c r="W259" s="293">
        <f>IF(V259=1,Adm!$AN$2,0)</f>
        <v>0</v>
      </c>
      <c r="Y259" s="304">
        <f t="shared" si="45"/>
        <v>0</v>
      </c>
      <c r="Z259" s="345">
        <f t="shared" ca="1" si="41"/>
        <v>0</v>
      </c>
      <c r="AB259" s="640">
        <f t="shared" si="46"/>
        <v>0</v>
      </c>
      <c r="AC259" s="639">
        <f t="shared" si="47"/>
        <v>0</v>
      </c>
      <c r="AD259" s="641">
        <f t="shared" si="42"/>
        <v>0</v>
      </c>
      <c r="AE259" s="639">
        <f t="shared" si="48"/>
        <v>0</v>
      </c>
      <c r="AF259" s="636">
        <f t="shared" si="35"/>
        <v>0</v>
      </c>
      <c r="AG259" s="637" t="e">
        <f>HLOOKUP($AG$110,anticipado,146,0)</f>
        <v>#N/A</v>
      </c>
      <c r="AI259" s="614">
        <v>2.3547533599066837E-2</v>
      </c>
      <c r="AJ259" s="615">
        <v>2.317162861775195E-2</v>
      </c>
      <c r="AK259" s="616">
        <v>2.2805669137691695E-2</v>
      </c>
      <c r="AL259" s="616">
        <v>2.3338463957874974E-2</v>
      </c>
      <c r="AM259" s="617">
        <v>2.3547533599066837E-2</v>
      </c>
      <c r="AN259" s="617">
        <v>2.317162861775195E-2</v>
      </c>
      <c r="AO259" s="617">
        <v>2.3498561793702164E-2</v>
      </c>
      <c r="AP259" s="617">
        <v>2.3600318943952665E-2</v>
      </c>
      <c r="AQ259" s="617">
        <v>2.3825415270754852E-2</v>
      </c>
      <c r="AR259" s="617">
        <v>2.3812559555360026E-2</v>
      </c>
      <c r="AS259" s="617">
        <v>2.3498561793702164E-2</v>
      </c>
      <c r="AT259" s="618">
        <v>2.330183147613938E-2</v>
      </c>
      <c r="AU259" s="618">
        <v>6.1522819623233112E-3</v>
      </c>
      <c r="AV259" s="618">
        <v>6.0590670629367205E-3</v>
      </c>
      <c r="AW259" s="618">
        <v>5.8344302491353519E-3</v>
      </c>
      <c r="AX259" s="618">
        <v>6.3594036557755012E-3</v>
      </c>
      <c r="AY259" s="618">
        <v>6.1522819623233112E-3</v>
      </c>
      <c r="AZ259" s="618">
        <v>5.9696125164138483E-3</v>
      </c>
      <c r="BA259" s="618">
        <v>6.4542524632683019E-3</v>
      </c>
      <c r="BB259" s="618">
        <v>6.3955137632656723E-3</v>
      </c>
      <c r="BC259" s="618">
        <v>6.1930383278130186E-3</v>
      </c>
      <c r="BD259" s="618">
        <v>6.6049893921663293E-3</v>
      </c>
      <c r="BE259" s="617">
        <v>6.5053368436173769E-3</v>
      </c>
      <c r="BF259" s="617">
        <v>6.3871759694231877E-3</v>
      </c>
      <c r="BG259" s="617"/>
      <c r="BH259" s="617"/>
      <c r="BI259" s="617"/>
      <c r="BJ259" s="617"/>
      <c r="BK259" s="617"/>
      <c r="BL259" s="617"/>
      <c r="BM259" s="617"/>
      <c r="BN259" s="617"/>
      <c r="BO259" s="617"/>
      <c r="BP259" s="617"/>
      <c r="BQ259" s="617"/>
      <c r="BR259" s="617"/>
      <c r="BS259" s="617"/>
      <c r="BT259" s="617"/>
      <c r="BU259" s="617"/>
      <c r="BV259" s="617"/>
      <c r="BW259" s="617"/>
      <c r="BX259" s="617"/>
      <c r="BY259" s="617"/>
      <c r="BZ259" s="617"/>
      <c r="CA259" s="617"/>
      <c r="CB259" s="617"/>
      <c r="CC259" s="617"/>
      <c r="CD259" s="617"/>
      <c r="CE259" s="617"/>
      <c r="CF259" s="617"/>
      <c r="CG259" s="617"/>
      <c r="CH259" s="617"/>
      <c r="CI259" s="617"/>
      <c r="CJ259" s="617"/>
      <c r="CK259" s="617"/>
      <c r="CL259" s="617"/>
    </row>
    <row r="260" spans="1:90">
      <c r="A260" s="151">
        <f t="shared" ca="1" si="34"/>
        <v>1</v>
      </c>
      <c r="B260" s="113">
        <f t="shared" si="36"/>
        <v>94</v>
      </c>
      <c r="C260" s="150">
        <f t="shared" si="43"/>
        <v>146</v>
      </c>
      <c r="D260" s="565">
        <f t="shared" si="44"/>
        <v>9.5000000000000001E-2</v>
      </c>
      <c r="E260" s="306">
        <f t="shared" si="37"/>
        <v>2605.0955565206173</v>
      </c>
      <c r="F260" s="306">
        <f t="shared" si="49"/>
        <v>7010.2104984572561</v>
      </c>
      <c r="G260" s="307">
        <f t="shared" si="50"/>
        <v>9615.3060549778729</v>
      </c>
      <c r="H260" s="306">
        <f>IF(N259&lt;0.01,0,IF(Adm!$S$3=Adm!$S$13,Cal!$E$94,IF(Adm!$R$3=Adm!$R$6,0,IF(Cal!$E$91=0,N259*Adm!$Y$3,N259*Adm!$X$3))))</f>
        <v>141.49782180680407</v>
      </c>
      <c r="I260" s="306">
        <f>IF(N259&lt;0.01,0,IF(Adm!$R$4=Adm!$R$6,0,Cal!$E$89*Adm!$AA$3))</f>
        <v>573.58240000000001</v>
      </c>
      <c r="J260" s="306">
        <f>IF(N259&lt;0.01,0,Adm!$O$3*1.16)</f>
        <v>290</v>
      </c>
      <c r="K260" s="306">
        <f>IF(N259&lt;0.01,0,IF(Adm!$N$3&gt;0,E260*Adm!$N$3,0))</f>
        <v>0</v>
      </c>
      <c r="L260" s="306">
        <f t="shared" si="38"/>
        <v>10620.386276784677</v>
      </c>
      <c r="M260" s="306">
        <f>IF(Adm!$F$3="si",MIN(N259+E260+H260+I260+J260-L260,Z260),0)</f>
        <v>0</v>
      </c>
      <c r="N260" s="306">
        <f t="shared" si="39"/>
        <v>322054.49137783126</v>
      </c>
      <c r="O260" s="361"/>
      <c r="P260" s="114"/>
      <c r="V260" s="571">
        <f t="shared" si="40"/>
        <v>2</v>
      </c>
      <c r="W260" s="293">
        <f>IF(V260=1,Adm!$AN$2,0)</f>
        <v>0</v>
      </c>
      <c r="Y260" s="304">
        <f t="shared" si="45"/>
        <v>0</v>
      </c>
      <c r="Z260" s="345">
        <f t="shared" ca="1" si="41"/>
        <v>0</v>
      </c>
      <c r="AB260" s="640">
        <f t="shared" si="46"/>
        <v>0</v>
      </c>
      <c r="AC260" s="639">
        <f t="shared" si="47"/>
        <v>0</v>
      </c>
      <c r="AD260" s="641">
        <f t="shared" si="42"/>
        <v>0</v>
      </c>
      <c r="AE260" s="639">
        <f t="shared" si="48"/>
        <v>0</v>
      </c>
      <c r="AF260" s="636">
        <f t="shared" si="35"/>
        <v>0</v>
      </c>
      <c r="AG260" s="637" t="e">
        <f>HLOOKUP($AG$110,anticipado,147,0)</f>
        <v>#N/A</v>
      </c>
      <c r="AI260" s="614">
        <v>2.4323386845342593E-2</v>
      </c>
      <c r="AJ260" s="615">
        <v>2.3936560231529503E-2</v>
      </c>
      <c r="AK260" s="616">
        <v>2.3557476489364203E-2</v>
      </c>
      <c r="AL260" s="616">
        <v>2.4095099276346718E-2</v>
      </c>
      <c r="AM260" s="617">
        <v>2.4323386845342593E-2</v>
      </c>
      <c r="AN260" s="617">
        <v>2.3936560231529503E-2</v>
      </c>
      <c r="AO260" s="617">
        <v>2.425453885462206E-2</v>
      </c>
      <c r="AP260" s="617">
        <v>2.4370970939688864E-2</v>
      </c>
      <c r="AQ260" s="617">
        <v>2.4616413014372677E-2</v>
      </c>
      <c r="AR260" s="617">
        <v>2.4579429449574409E-2</v>
      </c>
      <c r="AS260" s="617">
        <v>2.425453885462206E-2</v>
      </c>
      <c r="AT260" s="618">
        <v>2.4054388716010591E-2</v>
      </c>
      <c r="AU260" s="618">
        <v>6.2465444237162753E-3</v>
      </c>
      <c r="AV260" s="618">
        <v>6.1533563845499878E-3</v>
      </c>
      <c r="AW260" s="618">
        <v>5.926819342909298E-3</v>
      </c>
      <c r="AX260" s="618">
        <v>6.4553054050988986E-3</v>
      </c>
      <c r="AY260" s="618">
        <v>6.2465444237162753E-3</v>
      </c>
      <c r="AZ260" s="618">
        <v>6.0624646534242089E-3</v>
      </c>
      <c r="BA260" s="618">
        <v>6.5499904800291539E-3</v>
      </c>
      <c r="BB260" s="618">
        <v>6.491927803350157E-3</v>
      </c>
      <c r="BC260" s="618">
        <v>6.2884427609423551E-3</v>
      </c>
      <c r="BD260" s="618">
        <v>6.7015425087021095E-3</v>
      </c>
      <c r="BE260" s="617">
        <v>6.6010807481299066E-3</v>
      </c>
      <c r="BF260" s="617">
        <v>6.4828742236171652E-3</v>
      </c>
      <c r="BG260" s="617"/>
      <c r="BH260" s="617"/>
      <c r="BI260" s="617"/>
      <c r="BJ260" s="617"/>
      <c r="BK260" s="617"/>
      <c r="BL260" s="617"/>
      <c r="BM260" s="617"/>
      <c r="BN260" s="617"/>
      <c r="BO260" s="617"/>
      <c r="BP260" s="617"/>
      <c r="BQ260" s="617"/>
      <c r="BR260" s="617"/>
      <c r="BS260" s="617"/>
      <c r="BT260" s="617"/>
      <c r="BU260" s="617"/>
      <c r="BV260" s="617"/>
      <c r="BW260" s="617"/>
      <c r="BX260" s="617"/>
      <c r="BY260" s="617"/>
      <c r="BZ260" s="617"/>
      <c r="CA260" s="617"/>
      <c r="CB260" s="617"/>
      <c r="CC260" s="617"/>
      <c r="CD260" s="617"/>
      <c r="CE260" s="617"/>
      <c r="CF260" s="617"/>
      <c r="CG260" s="617"/>
      <c r="CH260" s="617"/>
      <c r="CI260" s="617"/>
      <c r="CJ260" s="617"/>
      <c r="CK260" s="617"/>
      <c r="CL260" s="617"/>
    </row>
    <row r="261" spans="1:90">
      <c r="A261" s="151">
        <f t="shared" ca="1" si="34"/>
        <v>2</v>
      </c>
      <c r="B261" s="113">
        <f t="shared" si="36"/>
        <v>93</v>
      </c>
      <c r="C261" s="150">
        <f t="shared" si="43"/>
        <v>147</v>
      </c>
      <c r="D261" s="565">
        <f t="shared" si="44"/>
        <v>9.5000000000000001E-2</v>
      </c>
      <c r="E261" s="306">
        <f t="shared" si="37"/>
        <v>2549.5980567411643</v>
      </c>
      <c r="F261" s="306">
        <f t="shared" si="49"/>
        <v>7065.7079982367086</v>
      </c>
      <c r="G261" s="307">
        <f t="shared" si="50"/>
        <v>9615.3060549778729</v>
      </c>
      <c r="H261" s="306">
        <f>IF(N260&lt;0.01,0,IF(Adm!$S$3=Adm!$S$13,Cal!$E$94,IF(Adm!$R$3=Adm!$R$6,0,IF(Cal!$E$91=0,N260*Adm!$Y$3,N260*Adm!$X$3))))</f>
        <v>138.48343129246743</v>
      </c>
      <c r="I261" s="306">
        <f>IF(N260&lt;0.01,0,IF(Adm!$R$4=Adm!$R$6,0,Cal!$E$89*Adm!$AA$3))</f>
        <v>573.58240000000001</v>
      </c>
      <c r="J261" s="306">
        <f>IF(N260&lt;0.01,0,Adm!$O$3*1.16)</f>
        <v>290</v>
      </c>
      <c r="K261" s="306">
        <f>IF(N260&lt;0.01,0,IF(Adm!$N$3&gt;0,E261*Adm!$N$3,0))</f>
        <v>0</v>
      </c>
      <c r="L261" s="306">
        <f t="shared" si="38"/>
        <v>10617.371886270339</v>
      </c>
      <c r="M261" s="306">
        <f>IF(Adm!$F$3="si",MIN(N260+E261+H261+I261+J261-L261,Z261),0)</f>
        <v>0</v>
      </c>
      <c r="N261" s="306">
        <f t="shared" si="39"/>
        <v>314988.78337959456</v>
      </c>
      <c r="O261" s="361"/>
      <c r="P261" s="114"/>
      <c r="V261" s="571">
        <f t="shared" si="40"/>
        <v>3</v>
      </c>
      <c r="W261" s="293">
        <f>IF(V261=1,Adm!$AN$2,0)</f>
        <v>0</v>
      </c>
      <c r="Y261" s="304">
        <f t="shared" si="45"/>
        <v>0</v>
      </c>
      <c r="Z261" s="345">
        <f t="shared" ca="1" si="41"/>
        <v>0</v>
      </c>
      <c r="AB261" s="640">
        <f t="shared" si="46"/>
        <v>0</v>
      </c>
      <c r="AC261" s="639">
        <f t="shared" si="47"/>
        <v>0</v>
      </c>
      <c r="AD261" s="641">
        <f t="shared" si="42"/>
        <v>0</v>
      </c>
      <c r="AE261" s="639">
        <f t="shared" si="48"/>
        <v>0</v>
      </c>
      <c r="AF261" s="636">
        <f t="shared" si="35"/>
        <v>0</v>
      </c>
      <c r="AG261" s="637" t="e">
        <f>HLOOKUP($AG$110,anticipado,148,0)</f>
        <v>#N/A</v>
      </c>
      <c r="AI261" s="614">
        <v>2.5144782324504528E-2</v>
      </c>
      <c r="AJ261" s="615">
        <v>2.4746121544476748E-2</v>
      </c>
      <c r="AK261" s="616">
        <v>2.4352803680829548E-2</v>
      </c>
      <c r="AL261" s="616">
        <v>2.4895551769241613E-2</v>
      </c>
      <c r="AM261" s="617">
        <v>2.5144782324504528E-2</v>
      </c>
      <c r="AN261" s="617">
        <v>2.4746121544476748E-2</v>
      </c>
      <c r="AO261" s="617">
        <v>2.5054232817225974E-2</v>
      </c>
      <c r="AP261" s="617">
        <v>2.5186667353786014E-2</v>
      </c>
      <c r="AQ261" s="617">
        <v>2.5454297390296244E-2</v>
      </c>
      <c r="AR261" s="617">
        <v>2.5390942478434288E-2</v>
      </c>
      <c r="AS261" s="617">
        <v>2.5054232817225974E-2</v>
      </c>
      <c r="AT261" s="618">
        <v>2.4850398105454592E-2</v>
      </c>
      <c r="AU261" s="618">
        <v>6.3428527256855858E-3</v>
      </c>
      <c r="AV261" s="618">
        <v>6.2497058801135848E-3</v>
      </c>
      <c r="AW261" s="618">
        <v>6.0212309928820299E-3</v>
      </c>
      <c r="AX261" s="618">
        <v>6.5532858759540791E-3</v>
      </c>
      <c r="AY261" s="618">
        <v>6.3428527256855858E-3</v>
      </c>
      <c r="AZ261" s="618">
        <v>6.1573361800437232E-3</v>
      </c>
      <c r="BA261" s="618">
        <v>6.6477891904158613E-3</v>
      </c>
      <c r="BB261" s="618">
        <v>6.5904348106456418E-3</v>
      </c>
      <c r="BC261" s="618">
        <v>6.3859299524275069E-3</v>
      </c>
      <c r="BD261" s="618">
        <v>6.8001680018265568E-3</v>
      </c>
      <c r="BE261" s="617">
        <v>6.6988793638046839E-3</v>
      </c>
      <c r="BF261" s="617">
        <v>6.5806401167053993E-3</v>
      </c>
      <c r="BG261" s="617"/>
      <c r="BH261" s="617"/>
      <c r="BI261" s="617"/>
      <c r="BJ261" s="617"/>
      <c r="BK261" s="617"/>
      <c r="BL261" s="617"/>
      <c r="BM261" s="617"/>
      <c r="BN261" s="617"/>
      <c r="BO261" s="617"/>
      <c r="BP261" s="617"/>
      <c r="BQ261" s="617"/>
      <c r="BR261" s="617"/>
      <c r="BS261" s="617"/>
      <c r="BT261" s="617"/>
      <c r="BU261" s="617"/>
      <c r="BV261" s="617"/>
      <c r="BW261" s="617"/>
      <c r="BX261" s="617"/>
      <c r="BY261" s="617"/>
      <c r="BZ261" s="617"/>
      <c r="CA261" s="617"/>
      <c r="CB261" s="617"/>
      <c r="CC261" s="617"/>
      <c r="CD261" s="617"/>
      <c r="CE261" s="617"/>
      <c r="CF261" s="617"/>
      <c r="CG261" s="617"/>
      <c r="CH261" s="617"/>
      <c r="CI261" s="617"/>
      <c r="CJ261" s="617"/>
      <c r="CK261" s="617"/>
      <c r="CL261" s="617"/>
    </row>
    <row r="262" spans="1:90">
      <c r="A262" s="151">
        <f t="shared" ca="1" si="34"/>
        <v>3</v>
      </c>
      <c r="B262" s="113">
        <f t="shared" si="36"/>
        <v>92</v>
      </c>
      <c r="C262" s="150">
        <f t="shared" si="43"/>
        <v>148</v>
      </c>
      <c r="D262" s="565">
        <f t="shared" si="44"/>
        <v>9.5000000000000001E-2</v>
      </c>
      <c r="E262" s="306">
        <f t="shared" si="37"/>
        <v>2493.6612017551238</v>
      </c>
      <c r="F262" s="306">
        <f t="shared" si="49"/>
        <v>7121.6448532227496</v>
      </c>
      <c r="G262" s="307">
        <f t="shared" si="50"/>
        <v>9615.3060549778729</v>
      </c>
      <c r="H262" s="306">
        <f>IF(N261&lt;0.01,0,IF(Adm!$S$3=Adm!$S$13,Cal!$E$94,IF(Adm!$R$3=Adm!$R$6,0,IF(Cal!$E$91=0,N261*Adm!$Y$3,N261*Adm!$X$3))))</f>
        <v>135.44517685322566</v>
      </c>
      <c r="I262" s="306">
        <f>IF(N261&lt;0.01,0,IF(Adm!$R$4=Adm!$R$6,0,Cal!$E$89*Adm!$AA$3))</f>
        <v>573.58240000000001</v>
      </c>
      <c r="J262" s="306">
        <f>IF(N261&lt;0.01,0,Adm!$O$3*1.16)</f>
        <v>290</v>
      </c>
      <c r="K262" s="306">
        <f>IF(N261&lt;0.01,0,IF(Adm!$N$3&gt;0,E262*Adm!$N$3,0))</f>
        <v>0</v>
      </c>
      <c r="L262" s="306">
        <f t="shared" si="38"/>
        <v>10614.333631831098</v>
      </c>
      <c r="M262" s="306">
        <f>IF(Adm!$F$3="si",MIN(N261+E262+H262+I262+J262-L262,Z262),0)</f>
        <v>0</v>
      </c>
      <c r="N262" s="306">
        <f t="shared" si="39"/>
        <v>307867.1385263718</v>
      </c>
      <c r="O262" s="361"/>
      <c r="P262" s="114"/>
      <c r="V262" s="571">
        <f t="shared" si="40"/>
        <v>4</v>
      </c>
      <c r="W262" s="293">
        <f>IF(V262=1,Adm!$AN$2,0)</f>
        <v>0</v>
      </c>
      <c r="Y262" s="304">
        <f t="shared" si="45"/>
        <v>0</v>
      </c>
      <c r="Z262" s="345">
        <f t="shared" ca="1" si="41"/>
        <v>0</v>
      </c>
      <c r="AB262" s="640">
        <f t="shared" si="46"/>
        <v>0</v>
      </c>
      <c r="AC262" s="639">
        <f t="shared" si="47"/>
        <v>0</v>
      </c>
      <c r="AD262" s="641">
        <f t="shared" si="42"/>
        <v>0</v>
      </c>
      <c r="AE262" s="639">
        <f t="shared" si="48"/>
        <v>0</v>
      </c>
      <c r="AF262" s="636">
        <f t="shared" si="35"/>
        <v>0</v>
      </c>
      <c r="AG262" s="637" t="e">
        <f>HLOOKUP($AG$110,anticipado,149,0)</f>
        <v>#N/A</v>
      </c>
      <c r="AI262" s="614">
        <v>2.6015818156594848E-2</v>
      </c>
      <c r="AJ262" s="615">
        <v>2.5604299710182254E-2</v>
      </c>
      <c r="AK262" s="616">
        <v>2.5195504141456437E-2</v>
      </c>
      <c r="AL262" s="616">
        <v>2.5743711130912585E-2</v>
      </c>
      <c r="AM262" s="617">
        <v>2.6015818156594848E-2</v>
      </c>
      <c r="AN262" s="617">
        <v>2.5604299710182254E-2</v>
      </c>
      <c r="AO262" s="617">
        <v>2.5901521578989412E-2</v>
      </c>
      <c r="AP262" s="617">
        <v>2.6051446020024682E-2</v>
      </c>
      <c r="AQ262" s="617">
        <v>2.6343331093467107E-2</v>
      </c>
      <c r="AR262" s="617">
        <v>2.625108828753752E-2</v>
      </c>
      <c r="AS262" s="617">
        <v>2.5901521578989412E-2</v>
      </c>
      <c r="AT262" s="618">
        <v>2.5693705616549319E-2</v>
      </c>
      <c r="AU262" s="618">
        <v>6.4412701420485515E-3</v>
      </c>
      <c r="AV262" s="618">
        <v>6.3481794507101062E-3</v>
      </c>
      <c r="AW262" s="618">
        <v>6.1177276077140803E-3</v>
      </c>
      <c r="AX262" s="618">
        <v>6.6534096622004194E-3</v>
      </c>
      <c r="AY262" s="618">
        <v>6.4412701420485515E-3</v>
      </c>
      <c r="AZ262" s="618">
        <v>6.254289324557869E-3</v>
      </c>
      <c r="BA262" s="618">
        <v>6.7477124138546635E-3</v>
      </c>
      <c r="BB262" s="618">
        <v>6.6910999675848992E-3</v>
      </c>
      <c r="BC262" s="618">
        <v>6.4855647090946867E-3</v>
      </c>
      <c r="BD262" s="618">
        <v>6.9009301495602318E-3</v>
      </c>
      <c r="BE262" s="617">
        <v>6.7987962505423691E-3</v>
      </c>
      <c r="BF262" s="617">
        <v>6.6805377725647E-3</v>
      </c>
      <c r="BG262" s="617"/>
      <c r="BH262" s="617"/>
      <c r="BI262" s="617"/>
      <c r="BJ262" s="617"/>
      <c r="BK262" s="617"/>
      <c r="BL262" s="617"/>
      <c r="BM262" s="617"/>
      <c r="BN262" s="617"/>
      <c r="BO262" s="617"/>
      <c r="BP262" s="617"/>
      <c r="BQ262" s="617"/>
      <c r="BR262" s="617"/>
      <c r="BS262" s="617"/>
      <c r="BT262" s="617"/>
      <c r="BU262" s="617"/>
      <c r="BV262" s="617"/>
      <c r="BW262" s="617"/>
      <c r="BX262" s="617"/>
      <c r="BY262" s="617"/>
      <c r="BZ262" s="617"/>
      <c r="CA262" s="617"/>
      <c r="CB262" s="617"/>
      <c r="CC262" s="617"/>
      <c r="CD262" s="617"/>
      <c r="CE262" s="617"/>
      <c r="CF262" s="617"/>
      <c r="CG262" s="617"/>
      <c r="CH262" s="617"/>
      <c r="CI262" s="617"/>
      <c r="CJ262" s="617"/>
      <c r="CK262" s="617"/>
      <c r="CL262" s="617"/>
    </row>
    <row r="263" spans="1:90">
      <c r="A263" s="151">
        <f t="shared" ca="1" si="34"/>
        <v>4</v>
      </c>
      <c r="B263" s="113">
        <f t="shared" si="36"/>
        <v>91</v>
      </c>
      <c r="C263" s="150">
        <f t="shared" si="43"/>
        <v>149</v>
      </c>
      <c r="D263" s="565">
        <f t="shared" si="44"/>
        <v>9.5000000000000001E-2</v>
      </c>
      <c r="E263" s="306">
        <f t="shared" si="37"/>
        <v>2437.2815133337767</v>
      </c>
      <c r="F263" s="306">
        <f t="shared" si="49"/>
        <v>7178.0245416440957</v>
      </c>
      <c r="G263" s="307">
        <f t="shared" si="50"/>
        <v>9615.3060549778729</v>
      </c>
      <c r="H263" s="306">
        <f>IF(N262&lt;0.01,0,IF(Adm!$S$3=Adm!$S$13,Cal!$E$94,IF(Adm!$R$3=Adm!$R$6,0,IF(Cal!$E$91=0,N262*Adm!$Y$3,N262*Adm!$X$3))))</f>
        <v>132.38286956633988</v>
      </c>
      <c r="I263" s="306">
        <f>IF(N262&lt;0.01,0,IF(Adm!$R$4=Adm!$R$6,0,Cal!$E$89*Adm!$AA$3))</f>
        <v>573.58240000000001</v>
      </c>
      <c r="J263" s="306">
        <f>IF(N262&lt;0.01,0,Adm!$O$3*1.16)</f>
        <v>290</v>
      </c>
      <c r="K263" s="306">
        <f>IF(N262&lt;0.01,0,IF(Adm!$N$3&gt;0,E263*Adm!$N$3,0))</f>
        <v>0</v>
      </c>
      <c r="L263" s="306">
        <f t="shared" si="38"/>
        <v>10611.271324544212</v>
      </c>
      <c r="M263" s="306">
        <f>IF(Adm!$F$3="si",MIN(N262+E263+H263+I263+J263-L263,Z263),0)</f>
        <v>0</v>
      </c>
      <c r="N263" s="306">
        <f t="shared" si="39"/>
        <v>300689.11398472771</v>
      </c>
      <c r="O263" s="361"/>
      <c r="P263" s="114"/>
      <c r="V263" s="571">
        <f t="shared" si="40"/>
        <v>5</v>
      </c>
      <c r="W263" s="293">
        <f>IF(V263=1,Adm!$AN$2,0)</f>
        <v>0</v>
      </c>
      <c r="Y263" s="304">
        <f t="shared" si="45"/>
        <v>0</v>
      </c>
      <c r="Z263" s="345">
        <f t="shared" ca="1" si="41"/>
        <v>0</v>
      </c>
      <c r="AB263" s="640">
        <f t="shared" si="46"/>
        <v>0</v>
      </c>
      <c r="AC263" s="639">
        <f t="shared" si="47"/>
        <v>0</v>
      </c>
      <c r="AD263" s="641">
        <f t="shared" si="42"/>
        <v>0</v>
      </c>
      <c r="AE263" s="639">
        <f t="shared" si="48"/>
        <v>0</v>
      </c>
      <c r="AF263" s="636">
        <f t="shared" si="35"/>
        <v>0</v>
      </c>
      <c r="AG263" s="637" t="e">
        <f>HLOOKUP($AG$110,anticipado,150,0)</f>
        <v>#N/A</v>
      </c>
      <c r="AI263" s="614">
        <v>2.6941099329284915E-2</v>
      </c>
      <c r="AJ263" s="615">
        <v>2.6515571366301678E-2</v>
      </c>
      <c r="AK263" s="616">
        <v>2.6089900027103714E-2</v>
      </c>
      <c r="AL263" s="616">
        <v>2.6643941458370672E-2</v>
      </c>
      <c r="AM263" s="617">
        <v>2.6941099329284915E-2</v>
      </c>
      <c r="AN263" s="617">
        <v>2.6515571366301678E-2</v>
      </c>
      <c r="AO263" s="617">
        <v>2.6800755642086477E-2</v>
      </c>
      <c r="AP263" s="617">
        <v>2.6969842219986447E-2</v>
      </c>
      <c r="AQ263" s="617">
        <v>2.7288309661753322E-2</v>
      </c>
      <c r="AR263" s="617">
        <v>2.7164346493812316E-2</v>
      </c>
      <c r="AS263" s="617">
        <v>2.6800755642086477E-2</v>
      </c>
      <c r="AT263" s="618">
        <v>2.6588624873932057E-2</v>
      </c>
      <c r="AU263" s="618">
        <v>6.5418625726502396E-3</v>
      </c>
      <c r="AV263" s="618">
        <v>6.448843655818914E-3</v>
      </c>
      <c r="AW263" s="618">
        <v>6.2163741760103072E-3</v>
      </c>
      <c r="AX263" s="618">
        <v>6.7557440532964542E-3</v>
      </c>
      <c r="AY263" s="618">
        <v>6.5418625726502396E-3</v>
      </c>
      <c r="AZ263" s="618">
        <v>6.3533888863501293E-3</v>
      </c>
      <c r="BA263" s="618">
        <v>6.8498266251674871E-3</v>
      </c>
      <c r="BB263" s="618">
        <v>6.7939911831587417E-3</v>
      </c>
      <c r="BC263" s="618">
        <v>6.5874145439832341E-3</v>
      </c>
      <c r="BD263" s="618">
        <v>7.0038959096918249E-3</v>
      </c>
      <c r="BE263" s="617">
        <v>6.9008976102404836E-3</v>
      </c>
      <c r="BF263" s="617">
        <v>6.782633986173613E-3</v>
      </c>
      <c r="BG263" s="617"/>
      <c r="BH263" s="617"/>
      <c r="BI263" s="617"/>
      <c r="BJ263" s="617"/>
      <c r="BK263" s="617"/>
      <c r="BL263" s="617"/>
      <c r="BM263" s="617"/>
      <c r="BN263" s="617"/>
      <c r="BO263" s="617"/>
      <c r="BP263" s="617"/>
      <c r="BQ263" s="617"/>
      <c r="BR263" s="617"/>
      <c r="BS263" s="617"/>
      <c r="BT263" s="617"/>
      <c r="BU263" s="617"/>
      <c r="BV263" s="617"/>
      <c r="BW263" s="617"/>
      <c r="BX263" s="617"/>
      <c r="BY263" s="617"/>
      <c r="BZ263" s="617"/>
      <c r="CA263" s="617"/>
      <c r="CB263" s="617"/>
      <c r="CC263" s="617"/>
      <c r="CD263" s="617"/>
      <c r="CE263" s="617"/>
      <c r="CF263" s="617"/>
      <c r="CG263" s="617"/>
      <c r="CH263" s="617"/>
      <c r="CI263" s="617"/>
      <c r="CJ263" s="617"/>
      <c r="CK263" s="617"/>
      <c r="CL263" s="617"/>
    </row>
    <row r="264" spans="1:90">
      <c r="A264" s="151">
        <f t="shared" ca="1" si="34"/>
        <v>5</v>
      </c>
      <c r="B264" s="113">
        <f t="shared" si="36"/>
        <v>90</v>
      </c>
      <c r="C264" s="150">
        <f t="shared" si="43"/>
        <v>150</v>
      </c>
      <c r="D264" s="565">
        <f t="shared" si="44"/>
        <v>9.5000000000000001E-2</v>
      </c>
      <c r="E264" s="306">
        <f t="shared" si="37"/>
        <v>2380.4554857124276</v>
      </c>
      <c r="F264" s="306">
        <f t="shared" si="49"/>
        <v>7234.8505692654453</v>
      </c>
      <c r="G264" s="307">
        <f t="shared" si="50"/>
        <v>9615.3060549778729</v>
      </c>
      <c r="H264" s="306">
        <f>IF(N263&lt;0.01,0,IF(Adm!$S$3=Adm!$S$13,Cal!$E$94,IF(Adm!$R$3=Adm!$R$6,0,IF(Cal!$E$91=0,N263*Adm!$Y$3,N263*Adm!$X$3))))</f>
        <v>129.29631901343291</v>
      </c>
      <c r="I264" s="306">
        <f>IF(N263&lt;0.01,0,IF(Adm!$R$4=Adm!$R$6,0,Cal!$E$89*Adm!$AA$3))</f>
        <v>573.58240000000001</v>
      </c>
      <c r="J264" s="306">
        <f>IF(N263&lt;0.01,0,Adm!$O$3*1.16)</f>
        <v>290</v>
      </c>
      <c r="K264" s="306">
        <f>IF(N263&lt;0.01,0,IF(Adm!$N$3&gt;0,E264*Adm!$N$3,0))</f>
        <v>0</v>
      </c>
      <c r="L264" s="306">
        <f t="shared" si="38"/>
        <v>10608.184773991305</v>
      </c>
      <c r="M264" s="306">
        <f>IF(Adm!$F$3="si",MIN(N263+E264+H264+I264+J264-L264,Z264),0)</f>
        <v>0</v>
      </c>
      <c r="N264" s="306">
        <f t="shared" si="39"/>
        <v>293454.26341546228</v>
      </c>
      <c r="O264" s="361"/>
      <c r="P264" s="114"/>
      <c r="V264" s="571">
        <f t="shared" si="40"/>
        <v>6</v>
      </c>
      <c r="W264" s="293">
        <f>IF(V264=1,Adm!$AN$2,0)</f>
        <v>0</v>
      </c>
      <c r="Y264" s="304">
        <f t="shared" si="45"/>
        <v>0</v>
      </c>
      <c r="Z264" s="345">
        <f t="shared" ca="1" si="41"/>
        <v>0</v>
      </c>
      <c r="AB264" s="640">
        <f t="shared" si="46"/>
        <v>0</v>
      </c>
      <c r="AC264" s="639">
        <f t="shared" si="47"/>
        <v>0</v>
      </c>
      <c r="AD264" s="641">
        <f t="shared" si="42"/>
        <v>0</v>
      </c>
      <c r="AE264" s="639">
        <f t="shared" si="48"/>
        <v>0</v>
      </c>
      <c r="AF264" s="636">
        <f t="shared" si="35"/>
        <v>0</v>
      </c>
      <c r="AG264" s="637" t="e">
        <f>HLOOKUP($AG$110,anticipado,151,0)</f>
        <v>#N/A</v>
      </c>
      <c r="AI264" s="614">
        <v>2.7925818562750653E-2</v>
      </c>
      <c r="AJ264" s="615">
        <v>2.7484980128550836E-2</v>
      </c>
      <c r="AK264" s="616">
        <v>2.7040855725723512E-2</v>
      </c>
      <c r="AL264" s="616">
        <v>2.760115585170788E-2</v>
      </c>
      <c r="AM264" s="617">
        <v>2.7925818562750653E-2</v>
      </c>
      <c r="AN264" s="617">
        <v>2.7484980128550836E-2</v>
      </c>
      <c r="AO264" s="617">
        <v>2.7756832372739817E-2</v>
      </c>
      <c r="AP264" s="617">
        <v>2.794696772305998E-2</v>
      </c>
      <c r="AQ264" s="617">
        <v>2.8294647420257484E-2</v>
      </c>
      <c r="AR264" s="617">
        <v>2.8135764285754095E-2</v>
      </c>
      <c r="AS264" s="617">
        <v>2.7756832372739817E-2</v>
      </c>
      <c r="AT264" s="618">
        <v>2.7540010464533689E-2</v>
      </c>
      <c r="AU264" s="618">
        <v>6.6446986811055046E-3</v>
      </c>
      <c r="AV264" s="618">
        <v>6.5517678531012797E-3</v>
      </c>
      <c r="AW264" s="618">
        <v>6.3172384011314356E-3</v>
      </c>
      <c r="AX264" s="618">
        <v>6.8603591764660231E-3</v>
      </c>
      <c r="AY264" s="618">
        <v>6.6446986811055046E-3</v>
      </c>
      <c r="AZ264" s="618">
        <v>6.4547023701663825E-3</v>
      </c>
      <c r="BA264" s="618">
        <v>6.9542010941910483E-3</v>
      </c>
      <c r="BB264" s="618">
        <v>6.8991792370551057E-3</v>
      </c>
      <c r="BC264" s="618">
        <v>6.6915498191765137E-3</v>
      </c>
      <c r="BD264" s="618">
        <v>7.1091350609517314E-3</v>
      </c>
      <c r="BE264" s="617">
        <v>7.0052524255663252E-3</v>
      </c>
      <c r="BF264" s="617">
        <v>6.8869983642239957E-3</v>
      </c>
      <c r="BG264" s="617"/>
      <c r="BH264" s="617"/>
      <c r="BI264" s="617"/>
      <c r="BJ264" s="617"/>
      <c r="BK264" s="617"/>
      <c r="BL264" s="617"/>
      <c r="BM264" s="617"/>
      <c r="BN264" s="617"/>
      <c r="BO264" s="617"/>
      <c r="BP264" s="617"/>
      <c r="BQ264" s="617"/>
      <c r="BR264" s="617"/>
      <c r="BS264" s="617"/>
      <c r="BT264" s="617"/>
      <c r="BU264" s="617"/>
      <c r="BV264" s="617"/>
      <c r="BW264" s="617"/>
      <c r="BX264" s="617"/>
      <c r="BY264" s="617"/>
      <c r="BZ264" s="617"/>
      <c r="CA264" s="617"/>
      <c r="CB264" s="617"/>
      <c r="CC264" s="617"/>
      <c r="CD264" s="617"/>
      <c r="CE264" s="617"/>
      <c r="CF264" s="617"/>
      <c r="CG264" s="617"/>
      <c r="CH264" s="617"/>
      <c r="CI264" s="617"/>
      <c r="CJ264" s="617"/>
      <c r="CK264" s="617"/>
      <c r="CL264" s="617"/>
    </row>
    <row r="265" spans="1:90">
      <c r="A265" s="151">
        <f t="shared" ca="1" si="34"/>
        <v>6</v>
      </c>
      <c r="B265" s="113">
        <f t="shared" si="36"/>
        <v>89</v>
      </c>
      <c r="C265" s="150">
        <f t="shared" si="43"/>
        <v>151</v>
      </c>
      <c r="D265" s="565">
        <f t="shared" si="44"/>
        <v>9.5000000000000001E-2</v>
      </c>
      <c r="E265" s="306">
        <f t="shared" si="37"/>
        <v>2323.1795853724097</v>
      </c>
      <c r="F265" s="306">
        <f t="shared" si="49"/>
        <v>7292.1264696054632</v>
      </c>
      <c r="G265" s="307">
        <f t="shared" si="50"/>
        <v>9615.3060549778729</v>
      </c>
      <c r="H265" s="306">
        <f>IF(N264&lt;0.01,0,IF(Adm!$S$3=Adm!$S$13,Cal!$E$94,IF(Adm!$R$3=Adm!$R$6,0,IF(Cal!$E$91=0,N264*Adm!$Y$3,N264*Adm!$X$3))))</f>
        <v>126.18533326864878</v>
      </c>
      <c r="I265" s="306">
        <f>IF(N264&lt;0.01,0,IF(Adm!$R$4=Adm!$R$6,0,Cal!$E$89*Adm!$AA$3))</f>
        <v>573.58240000000001</v>
      </c>
      <c r="J265" s="306">
        <f>IF(N264&lt;0.01,0,Adm!$O$3*1.16)</f>
        <v>290</v>
      </c>
      <c r="K265" s="306">
        <f>IF(N264&lt;0.01,0,IF(Adm!$N$3&gt;0,E265*Adm!$N$3,0))</f>
        <v>0</v>
      </c>
      <c r="L265" s="306">
        <f t="shared" si="38"/>
        <v>10605.073788246522</v>
      </c>
      <c r="M265" s="306">
        <f>IF(Adm!$F$3="si",MIN(N264+E265+H265+I265+J265-L265,Z265),0)</f>
        <v>0</v>
      </c>
      <c r="N265" s="306">
        <f t="shared" si="39"/>
        <v>286162.13694585679</v>
      </c>
      <c r="O265" s="361"/>
      <c r="P265" s="114"/>
      <c r="V265" s="571">
        <f t="shared" si="40"/>
        <v>7</v>
      </c>
      <c r="W265" s="293">
        <f>IF(V265=1,Adm!$AN$2,0)</f>
        <v>0</v>
      </c>
      <c r="Y265" s="304">
        <f t="shared" si="45"/>
        <v>0</v>
      </c>
      <c r="Z265" s="345">
        <f t="shared" ca="1" si="41"/>
        <v>0</v>
      </c>
      <c r="AB265" s="640">
        <f t="shared" si="46"/>
        <v>0</v>
      </c>
      <c r="AC265" s="639">
        <f t="shared" si="47"/>
        <v>0</v>
      </c>
      <c r="AD265" s="641">
        <f t="shared" si="42"/>
        <v>0</v>
      </c>
      <c r="AE265" s="639">
        <f t="shared" si="48"/>
        <v>0</v>
      </c>
      <c r="AF265" s="636">
        <f t="shared" si="35"/>
        <v>0</v>
      </c>
      <c r="AG265" s="637" t="e">
        <f>HLOOKUP($AG$110,anticipado,152,0)</f>
        <v>#N/A</v>
      </c>
      <c r="AI265" s="614">
        <v>2.8975853166070979E-2</v>
      </c>
      <c r="AJ265" s="615">
        <v>2.8518229288513688E-2</v>
      </c>
      <c r="AK265" s="616">
        <v>2.8053865643422306E-2</v>
      </c>
      <c r="AL265" s="616">
        <v>2.8620905548844E-2</v>
      </c>
      <c r="AM265" s="617">
        <v>2.8975853166070979E-2</v>
      </c>
      <c r="AN265" s="617">
        <v>2.8518229288513688E-2</v>
      </c>
      <c r="AO265" s="617">
        <v>2.8775284716717125E-2</v>
      </c>
      <c r="AP265" s="617">
        <v>2.8988605391581036E-2</v>
      </c>
      <c r="AQ265" s="617">
        <v>2.9368480614881433E-2</v>
      </c>
      <c r="AR265" s="617">
        <v>2.9171049254217762E-2</v>
      </c>
      <c r="AS265" s="617">
        <v>2.8775284716717125E-2</v>
      </c>
      <c r="AT265" s="618">
        <v>2.8553345484211522E-2</v>
      </c>
      <c r="AU265" s="618">
        <v>6.7498500413036462E-3</v>
      </c>
      <c r="AV265" s="618">
        <v>6.6570243471005229E-3</v>
      </c>
      <c r="AW265" s="618">
        <v>6.4203908445494397E-3</v>
      </c>
      <c r="AX265" s="618">
        <v>6.9673281479583392E-3</v>
      </c>
      <c r="AY265" s="618">
        <v>6.7498500413036462E-3</v>
      </c>
      <c r="AZ265" s="618">
        <v>6.5583001288827035E-3</v>
      </c>
      <c r="BA265" s="618">
        <v>7.0609080342993727E-3</v>
      </c>
      <c r="BB265" s="618">
        <v>7.0067379330402821E-3</v>
      </c>
      <c r="BC265" s="618">
        <v>6.7980438977762563E-3</v>
      </c>
      <c r="BD265" s="618">
        <v>7.2167203532056568E-3</v>
      </c>
      <c r="BE265" s="617">
        <v>7.1119326075701492E-3</v>
      </c>
      <c r="BF265" s="617">
        <v>6.9937034747100946E-3</v>
      </c>
      <c r="BG265" s="617"/>
      <c r="BH265" s="617"/>
      <c r="BI265" s="617"/>
      <c r="BJ265" s="617"/>
      <c r="BK265" s="617"/>
      <c r="BL265" s="617"/>
      <c r="BM265" s="617"/>
      <c r="BN265" s="617"/>
      <c r="BO265" s="617"/>
      <c r="BP265" s="617"/>
      <c r="BQ265" s="617"/>
      <c r="BR265" s="617"/>
      <c r="BS265" s="617"/>
      <c r="BT265" s="617"/>
      <c r="BU265" s="617"/>
      <c r="BV265" s="617"/>
      <c r="BW265" s="617"/>
      <c r="BX265" s="617"/>
      <c r="BY265" s="617"/>
      <c r="BZ265" s="617"/>
      <c r="CA265" s="617"/>
      <c r="CB265" s="617"/>
      <c r="CC265" s="617"/>
      <c r="CD265" s="617"/>
      <c r="CE265" s="617"/>
      <c r="CF265" s="617"/>
      <c r="CG265" s="617"/>
      <c r="CH265" s="617"/>
      <c r="CI265" s="617"/>
      <c r="CJ265" s="617"/>
      <c r="CK265" s="617"/>
      <c r="CL265" s="617"/>
    </row>
    <row r="266" spans="1:90">
      <c r="A266" s="151">
        <f t="shared" ca="1" si="34"/>
        <v>7</v>
      </c>
      <c r="B266" s="113">
        <f t="shared" si="36"/>
        <v>88</v>
      </c>
      <c r="C266" s="150">
        <f t="shared" si="43"/>
        <v>152</v>
      </c>
      <c r="D266" s="565">
        <f t="shared" si="44"/>
        <v>9.5000000000000001E-2</v>
      </c>
      <c r="E266" s="306">
        <f t="shared" si="37"/>
        <v>2265.4502508213664</v>
      </c>
      <c r="F266" s="306">
        <f t="shared" si="49"/>
        <v>7349.8558041565066</v>
      </c>
      <c r="G266" s="307">
        <f t="shared" si="50"/>
        <v>9615.3060549778729</v>
      </c>
      <c r="H266" s="306">
        <f>IF(N265&lt;0.01,0,IF(Adm!$S$3=Adm!$S$13,Cal!$E$94,IF(Adm!$R$3=Adm!$R$6,0,IF(Cal!$E$91=0,N265*Adm!$Y$3,N265*Adm!$X$3))))</f>
        <v>123.04971888671842</v>
      </c>
      <c r="I266" s="306">
        <f>IF(N265&lt;0.01,0,IF(Adm!$R$4=Adm!$R$6,0,Cal!$E$89*Adm!$AA$3))</f>
        <v>573.58240000000001</v>
      </c>
      <c r="J266" s="306">
        <f>IF(N265&lt;0.01,0,Adm!$O$3*1.16)</f>
        <v>290</v>
      </c>
      <c r="K266" s="306">
        <f>IF(N265&lt;0.01,0,IF(Adm!$N$3&gt;0,E266*Adm!$N$3,0))</f>
        <v>0</v>
      </c>
      <c r="L266" s="306">
        <f t="shared" si="38"/>
        <v>10601.93817386459</v>
      </c>
      <c r="M266" s="306">
        <f>IF(Adm!$F$3="si",MIN(N265+E266+H266+I266+J266-L266,Z266),0)</f>
        <v>0</v>
      </c>
      <c r="N266" s="306">
        <f t="shared" si="39"/>
        <v>278812.28114170028</v>
      </c>
      <c r="O266" s="361"/>
      <c r="P266" s="114"/>
      <c r="V266" s="571">
        <f t="shared" si="40"/>
        <v>8</v>
      </c>
      <c r="W266" s="293">
        <f>IF(V266=1,Adm!$AN$2,0)</f>
        <v>0</v>
      </c>
      <c r="Y266" s="304">
        <f t="shared" si="45"/>
        <v>0</v>
      </c>
      <c r="Z266" s="345">
        <f t="shared" ca="1" si="41"/>
        <v>0</v>
      </c>
      <c r="AB266" s="640">
        <f t="shared" si="46"/>
        <v>0</v>
      </c>
      <c r="AC266" s="639">
        <f t="shared" si="47"/>
        <v>0</v>
      </c>
      <c r="AD266" s="641">
        <f t="shared" si="42"/>
        <v>0</v>
      </c>
      <c r="AE266" s="639">
        <f t="shared" si="48"/>
        <v>0</v>
      </c>
      <c r="AF266" s="636">
        <f t="shared" si="35"/>
        <v>0</v>
      </c>
      <c r="AG266" s="637" t="e">
        <f>HLOOKUP($AG$110,anticipado,153,0)</f>
        <v>#N/A</v>
      </c>
      <c r="AI266" s="614">
        <v>3.0097881700388573E-2</v>
      </c>
      <c r="AJ266" s="615">
        <v>2.9621793312942409E-2</v>
      </c>
      <c r="AK266" s="616">
        <v>2.9135159616052578E-2</v>
      </c>
      <c r="AL266" s="616">
        <v>2.9709487009131074E-2</v>
      </c>
      <c r="AM266" s="617">
        <v>3.0097881700388573E-2</v>
      </c>
      <c r="AN266" s="617">
        <v>2.9621793312942409E-2</v>
      </c>
      <c r="AO266" s="617">
        <v>2.9862387764296439E-2</v>
      </c>
      <c r="AP266" s="617">
        <v>3.0101323048526193E-2</v>
      </c>
      <c r="AQ266" s="617">
        <v>3.0516791884377201E-2</v>
      </c>
      <c r="AR266" s="617">
        <v>3.0276681059213741E-2</v>
      </c>
      <c r="AS266" s="617">
        <v>2.9862387764296439E-2</v>
      </c>
      <c r="AT266" s="618">
        <v>2.9634846654817189E-2</v>
      </c>
      <c r="AU266" s="618">
        <v>6.8573912933330185E-3</v>
      </c>
      <c r="AV266" s="618">
        <v>6.7646885475276027E-3</v>
      </c>
      <c r="AW266" s="618">
        <v>6.5259050783851797E-3</v>
      </c>
      <c r="AX266" s="618">
        <v>7.0767272340879648E-3</v>
      </c>
      <c r="AY266" s="618">
        <v>6.8573912933330185E-3</v>
      </c>
      <c r="AZ266" s="618">
        <v>6.6642555154116483E-3</v>
      </c>
      <c r="BA266" s="618">
        <v>7.1700227604992043E-3</v>
      </c>
      <c r="BB266" s="618">
        <v>7.1167442622811494E-3</v>
      </c>
      <c r="BC266" s="618">
        <v>6.9069733057106402E-3</v>
      </c>
      <c r="BD266" s="618">
        <v>7.32672766734788E-3</v>
      </c>
      <c r="BE266" s="617">
        <v>7.2210131528027037E-3</v>
      </c>
      <c r="BF266" s="617">
        <v>7.1028250061710473E-3</v>
      </c>
      <c r="BG266" s="617"/>
      <c r="BH266" s="617"/>
      <c r="BI266" s="617"/>
      <c r="BJ266" s="617"/>
      <c r="BK266" s="617"/>
      <c r="BL266" s="617"/>
      <c r="BM266" s="617"/>
      <c r="BN266" s="617"/>
      <c r="BO266" s="617"/>
      <c r="BP266" s="617"/>
      <c r="BQ266" s="617"/>
      <c r="BR266" s="617"/>
      <c r="BS266" s="617"/>
      <c r="BT266" s="617"/>
      <c r="BU266" s="617"/>
      <c r="BV266" s="617"/>
      <c r="BW266" s="617"/>
      <c r="BX266" s="617"/>
      <c r="BY266" s="617"/>
      <c r="BZ266" s="617"/>
      <c r="CA266" s="617"/>
      <c r="CB266" s="617"/>
      <c r="CC266" s="617"/>
      <c r="CD266" s="617"/>
      <c r="CE266" s="617"/>
      <c r="CF266" s="617"/>
      <c r="CG266" s="617"/>
      <c r="CH266" s="617"/>
      <c r="CI266" s="617"/>
      <c r="CJ266" s="617"/>
      <c r="CK266" s="617"/>
      <c r="CL266" s="617"/>
    </row>
    <row r="267" spans="1:90">
      <c r="A267" s="151">
        <f t="shared" ca="1" si="34"/>
        <v>8</v>
      </c>
      <c r="B267" s="113">
        <f t="shared" si="36"/>
        <v>87</v>
      </c>
      <c r="C267" s="150">
        <f t="shared" si="43"/>
        <v>153</v>
      </c>
      <c r="D267" s="565">
        <f t="shared" si="44"/>
        <v>9.5000000000000001E-2</v>
      </c>
      <c r="E267" s="306">
        <f t="shared" si="37"/>
        <v>2207.2638923717936</v>
      </c>
      <c r="F267" s="306">
        <f t="shared" si="49"/>
        <v>7408.0421626060797</v>
      </c>
      <c r="G267" s="307">
        <f t="shared" si="50"/>
        <v>9615.3060549778729</v>
      </c>
      <c r="H267" s="306">
        <f>IF(N266&lt;0.01,0,IF(Adm!$S$3=Adm!$S$13,Cal!$E$94,IF(Adm!$R$3=Adm!$R$6,0,IF(Cal!$E$91=0,N266*Adm!$Y$3,N266*Adm!$X$3))))</f>
        <v>119.88928089093112</v>
      </c>
      <c r="I267" s="306">
        <f>IF(N266&lt;0.01,0,IF(Adm!$R$4=Adm!$R$6,0,Cal!$E$89*Adm!$AA$3))</f>
        <v>573.58240000000001</v>
      </c>
      <c r="J267" s="306">
        <f>IF(N266&lt;0.01,0,Adm!$O$3*1.16)</f>
        <v>290</v>
      </c>
      <c r="K267" s="306">
        <f>IF(N266&lt;0.01,0,IF(Adm!$N$3&gt;0,E267*Adm!$N$3,0))</f>
        <v>0</v>
      </c>
      <c r="L267" s="306">
        <f t="shared" si="38"/>
        <v>10598.777735868804</v>
      </c>
      <c r="M267" s="306">
        <f>IF(Adm!$F$3="si",MIN(N266+E267+H267+I267+J267-L267,Z267),0)</f>
        <v>0</v>
      </c>
      <c r="N267" s="306">
        <f t="shared" si="39"/>
        <v>271404.2389790942</v>
      </c>
      <c r="O267" s="361"/>
      <c r="P267" s="114"/>
      <c r="V267" s="571">
        <f t="shared" si="40"/>
        <v>9</v>
      </c>
      <c r="W267" s="293">
        <f>IF(V267=1,Adm!$AN$2,0)</f>
        <v>0</v>
      </c>
      <c r="Y267" s="304">
        <f t="shared" si="45"/>
        <v>0</v>
      </c>
      <c r="Z267" s="345">
        <f t="shared" ca="1" si="41"/>
        <v>0</v>
      </c>
      <c r="AB267" s="640">
        <f t="shared" si="46"/>
        <v>0</v>
      </c>
      <c r="AC267" s="639">
        <f t="shared" si="47"/>
        <v>0</v>
      </c>
      <c r="AD267" s="641">
        <f t="shared" si="42"/>
        <v>0</v>
      </c>
      <c r="AE267" s="639">
        <f t="shared" si="48"/>
        <v>0</v>
      </c>
      <c r="AF267" s="636">
        <f t="shared" si="35"/>
        <v>0</v>
      </c>
      <c r="AG267" s="637" t="e">
        <f>HLOOKUP($AG$110,anticipado,154,0)</f>
        <v>#N/A</v>
      </c>
      <c r="AI267" s="614">
        <v>3.1299525341047588E-2</v>
      </c>
      <c r="AJ267" s="615">
        <v>3.0803052749201879E-2</v>
      </c>
      <c r="AK267" s="616">
        <v>3.0291830217901185E-2</v>
      </c>
      <c r="AL267" s="616">
        <v>3.0874071308954462E-2</v>
      </c>
      <c r="AM267" s="617">
        <v>3.1299525341047588E-2</v>
      </c>
      <c r="AN267" s="617">
        <v>3.0803052749201879E-2</v>
      </c>
      <c r="AO267" s="617">
        <v>3.1025287499918459E-2</v>
      </c>
      <c r="AP267" s="617">
        <v>3.1292611344215696E-2</v>
      </c>
      <c r="AQ267" s="617">
        <v>3.1747561405637087E-2</v>
      </c>
      <c r="AR267" s="617">
        <v>3.1460046547723691E-2</v>
      </c>
      <c r="AS267" s="617">
        <v>3.1025287499918459E-2</v>
      </c>
      <c r="AT267" s="618">
        <v>3.079159126815351E-2</v>
      </c>
      <c r="AU267" s="618">
        <v>6.9674003095398195E-3</v>
      </c>
      <c r="AV267" s="618">
        <v>6.8748391378609056E-3</v>
      </c>
      <c r="AW267" s="618">
        <v>6.6338578478219012E-3</v>
      </c>
      <c r="AX267" s="618">
        <v>7.1886360228004707E-3</v>
      </c>
      <c r="AY267" s="618">
        <v>6.9674003095398195E-3</v>
      </c>
      <c r="AZ267" s="618">
        <v>6.7726450444367432E-3</v>
      </c>
      <c r="BA267" s="618">
        <v>7.2816238578260117E-3</v>
      </c>
      <c r="BB267" s="618">
        <v>7.2292785773683151E-3</v>
      </c>
      <c r="BC267" s="618">
        <v>7.0184179041264932E-3</v>
      </c>
      <c r="BD267" s="618">
        <v>7.4392361856329293E-3</v>
      </c>
      <c r="BE267" s="617">
        <v>7.3325723106587616E-3</v>
      </c>
      <c r="BF267" s="617">
        <v>7.214441937321475E-3</v>
      </c>
      <c r="BG267" s="617"/>
      <c r="BH267" s="617"/>
      <c r="BI267" s="617"/>
      <c r="BJ267" s="617"/>
      <c r="BK267" s="617"/>
      <c r="BL267" s="617"/>
      <c r="BM267" s="617"/>
      <c r="BN267" s="617"/>
      <c r="BO267" s="617"/>
      <c r="BP267" s="617"/>
      <c r="BQ267" s="617"/>
      <c r="BR267" s="617"/>
      <c r="BS267" s="617"/>
      <c r="BT267" s="617"/>
      <c r="BU267" s="617"/>
      <c r="BV267" s="617"/>
      <c r="BW267" s="617"/>
      <c r="BX267" s="617"/>
      <c r="BY267" s="617"/>
      <c r="BZ267" s="617"/>
      <c r="CA267" s="617"/>
      <c r="CB267" s="617"/>
      <c r="CC267" s="617"/>
      <c r="CD267" s="617"/>
      <c r="CE267" s="617"/>
      <c r="CF267" s="617"/>
      <c r="CG267" s="617"/>
      <c r="CH267" s="617"/>
      <c r="CI267" s="617"/>
      <c r="CJ267" s="617"/>
      <c r="CK267" s="617"/>
      <c r="CL267" s="617"/>
    </row>
    <row r="268" spans="1:90">
      <c r="A268" s="151">
        <f t="shared" ca="1" si="34"/>
        <v>9</v>
      </c>
      <c r="B268" s="113">
        <f t="shared" si="36"/>
        <v>86</v>
      </c>
      <c r="C268" s="150">
        <f t="shared" si="43"/>
        <v>154</v>
      </c>
      <c r="D268" s="565">
        <f t="shared" si="44"/>
        <v>9.5000000000000001E-2</v>
      </c>
      <c r="E268" s="306">
        <f t="shared" si="37"/>
        <v>2148.616891917829</v>
      </c>
      <c r="F268" s="306">
        <f t="shared" si="49"/>
        <v>7466.6891630600439</v>
      </c>
      <c r="G268" s="307">
        <f t="shared" si="50"/>
        <v>9615.3060549778729</v>
      </c>
      <c r="H268" s="306">
        <f>IF(N267&lt;0.01,0,IF(Adm!$S$3=Adm!$S$13,Cal!$E$94,IF(Adm!$R$3=Adm!$R$6,0,IF(Cal!$E$91=0,N267*Adm!$Y$3,N267*Adm!$X$3))))</f>
        <v>116.7038227610105</v>
      </c>
      <c r="I268" s="306">
        <f>IF(N267&lt;0.01,0,IF(Adm!$R$4=Adm!$R$6,0,Cal!$E$89*Adm!$AA$3))</f>
        <v>573.58240000000001</v>
      </c>
      <c r="J268" s="306">
        <f>IF(N267&lt;0.01,0,Adm!$O$3*1.16)</f>
        <v>290</v>
      </c>
      <c r="K268" s="306">
        <f>IF(N267&lt;0.01,0,IF(Adm!$N$3&gt;0,E268*Adm!$N$3,0))</f>
        <v>0</v>
      </c>
      <c r="L268" s="306">
        <f t="shared" si="38"/>
        <v>10595.592277738882</v>
      </c>
      <c r="M268" s="306">
        <f>IF(Adm!$F$3="si",MIN(N267+E268+H268+I268+J268-L268,Z268),0)</f>
        <v>0</v>
      </c>
      <c r="N268" s="306">
        <f t="shared" si="39"/>
        <v>263937.54981603415</v>
      </c>
      <c r="O268" s="361"/>
      <c r="P268" s="114"/>
      <c r="V268" s="571">
        <f t="shared" si="40"/>
        <v>10</v>
      </c>
      <c r="W268" s="293">
        <f>IF(V268=1,Adm!$AN$2,0)</f>
        <v>0</v>
      </c>
      <c r="Y268" s="304">
        <f t="shared" si="45"/>
        <v>0</v>
      </c>
      <c r="Z268" s="345">
        <f t="shared" ca="1" si="41"/>
        <v>0</v>
      </c>
      <c r="AB268" s="640">
        <f t="shared" si="46"/>
        <v>0</v>
      </c>
      <c r="AC268" s="639">
        <f t="shared" si="47"/>
        <v>0</v>
      </c>
      <c r="AD268" s="641">
        <f t="shared" si="42"/>
        <v>0</v>
      </c>
      <c r="AE268" s="639">
        <f t="shared" si="48"/>
        <v>0</v>
      </c>
      <c r="AF268" s="636">
        <f t="shared" si="35"/>
        <v>0</v>
      </c>
      <c r="AG268" s="637" t="e">
        <f>HLOOKUP($AG$110,anticipado,155,0)</f>
        <v>#N/A</v>
      </c>
      <c r="AI268" s="614">
        <v>3.2589520262420332E-2</v>
      </c>
      <c r="AJ268" s="615">
        <v>3.207045847706088E-2</v>
      </c>
      <c r="AK268" s="616">
        <v>3.1531987464577922E-2</v>
      </c>
      <c r="AL268" s="616">
        <v>3.2122861468218966E-2</v>
      </c>
      <c r="AM268" s="617">
        <v>3.2589520262420332E-2</v>
      </c>
      <c r="AN268" s="617">
        <v>3.207045847706088E-2</v>
      </c>
      <c r="AO268" s="617">
        <v>3.2272157318336811E-2</v>
      </c>
      <c r="AP268" s="617">
        <v>3.2571051737958559E-2</v>
      </c>
      <c r="AQ268" s="617">
        <v>3.3069951627683475E-2</v>
      </c>
      <c r="AR268" s="617">
        <v>3.2729604276683116E-2</v>
      </c>
      <c r="AS268" s="617">
        <v>3.2272157318336811E-2</v>
      </c>
      <c r="AT268" s="618">
        <v>3.2031671433951914E-2</v>
      </c>
      <c r="AU268" s="618">
        <v>7.0799583714979963E-3</v>
      </c>
      <c r="AV268" s="618">
        <v>6.9875582550528665E-3</v>
      </c>
      <c r="AW268" s="618">
        <v>6.7443292441486591E-3</v>
      </c>
      <c r="AX268" s="618">
        <v>7.303137606575221E-3</v>
      </c>
      <c r="AY268" s="618">
        <v>7.0799583714979963E-3</v>
      </c>
      <c r="AZ268" s="618">
        <v>6.8835485647252151E-3</v>
      </c>
      <c r="BA268" s="618">
        <v>7.3957933608321258E-3</v>
      </c>
      <c r="BB268" s="618">
        <v>7.3444247778671201E-3</v>
      </c>
      <c r="BC268" s="618">
        <v>7.1324610731822871E-3</v>
      </c>
      <c r="BD268" s="618">
        <v>7.5543285732494669E-3</v>
      </c>
      <c r="BE268" s="617">
        <v>7.4466917617316926E-3</v>
      </c>
      <c r="BF268" s="617">
        <v>7.3286367178694968E-3</v>
      </c>
      <c r="BG268" s="617"/>
      <c r="BH268" s="617"/>
      <c r="BI268" s="617"/>
      <c r="BJ268" s="617"/>
      <c r="BK268" s="617"/>
      <c r="BL268" s="617"/>
      <c r="BM268" s="617"/>
      <c r="BN268" s="617"/>
      <c r="BO268" s="617"/>
      <c r="BP268" s="617"/>
      <c r="BQ268" s="617"/>
      <c r="BR268" s="617"/>
      <c r="BS268" s="617"/>
      <c r="BT268" s="617"/>
      <c r="BU268" s="617"/>
      <c r="BV268" s="617"/>
      <c r="BW268" s="617"/>
      <c r="BX268" s="617"/>
      <c r="BY268" s="617"/>
      <c r="BZ268" s="617"/>
      <c r="CA268" s="617"/>
      <c r="CB268" s="617"/>
      <c r="CC268" s="617"/>
      <c r="CD268" s="617"/>
      <c r="CE268" s="617"/>
      <c r="CF268" s="617"/>
      <c r="CG268" s="617"/>
      <c r="CH268" s="617"/>
      <c r="CI268" s="617"/>
      <c r="CJ268" s="617"/>
      <c r="CK268" s="617"/>
      <c r="CL268" s="617"/>
    </row>
    <row r="269" spans="1:90">
      <c r="A269" s="151">
        <f t="shared" ca="1" si="34"/>
        <v>10</v>
      </c>
      <c r="B269" s="113">
        <f t="shared" si="36"/>
        <v>85</v>
      </c>
      <c r="C269" s="150">
        <f t="shared" si="43"/>
        <v>155</v>
      </c>
      <c r="D269" s="565">
        <f t="shared" si="44"/>
        <v>9.5000000000000001E-2</v>
      </c>
      <c r="E269" s="306">
        <f t="shared" si="37"/>
        <v>2089.5056027102705</v>
      </c>
      <c r="F269" s="306">
        <f t="shared" si="49"/>
        <v>7525.8004522676019</v>
      </c>
      <c r="G269" s="307">
        <f t="shared" si="50"/>
        <v>9615.3060549778729</v>
      </c>
      <c r="H269" s="306">
        <f>IF(N268&lt;0.01,0,IF(Adm!$S$3=Adm!$S$13,Cal!$E$94,IF(Adm!$R$3=Adm!$R$6,0,IF(Cal!$E$91=0,N268*Adm!$Y$3,N268*Adm!$X$3))))</f>
        <v>113.49314642089469</v>
      </c>
      <c r="I269" s="306">
        <f>IF(N268&lt;0.01,0,IF(Adm!$R$4=Adm!$R$6,0,Cal!$E$89*Adm!$AA$3))</f>
        <v>573.58240000000001</v>
      </c>
      <c r="J269" s="306">
        <f>IF(N268&lt;0.01,0,Adm!$O$3*1.16)</f>
        <v>290</v>
      </c>
      <c r="K269" s="306">
        <f>IF(N268&lt;0.01,0,IF(Adm!$N$3&gt;0,E269*Adm!$N$3,0))</f>
        <v>0</v>
      </c>
      <c r="L269" s="306">
        <f t="shared" si="38"/>
        <v>10592.381601398767</v>
      </c>
      <c r="M269" s="306">
        <f>IF(Adm!$F$3="si",MIN(N268+E269+H269+I269+J269-L269,Z269),0)</f>
        <v>0</v>
      </c>
      <c r="N269" s="306">
        <f t="shared" si="39"/>
        <v>256411.74936376655</v>
      </c>
      <c r="O269" s="361"/>
      <c r="P269" s="114"/>
      <c r="V269" s="571">
        <f t="shared" si="40"/>
        <v>11</v>
      </c>
      <c r="W269" s="293">
        <f>IF(V269=1,Adm!$AN$2,0)</f>
        <v>0</v>
      </c>
      <c r="Y269" s="304">
        <f t="shared" si="45"/>
        <v>0</v>
      </c>
      <c r="Z269" s="345">
        <f t="shared" ca="1" si="41"/>
        <v>0</v>
      </c>
      <c r="AB269" s="640">
        <f t="shared" si="46"/>
        <v>0</v>
      </c>
      <c r="AC269" s="639">
        <f t="shared" si="47"/>
        <v>0</v>
      </c>
      <c r="AD269" s="641">
        <f t="shared" si="42"/>
        <v>0</v>
      </c>
      <c r="AE269" s="639">
        <f t="shared" si="48"/>
        <v>0</v>
      </c>
      <c r="AF269" s="636">
        <f t="shared" si="35"/>
        <v>0</v>
      </c>
      <c r="AG269" s="637" t="e">
        <f>HLOOKUP($AG$110,anticipado,156,0)</f>
        <v>#N/A</v>
      </c>
      <c r="AI269" s="614">
        <v>3.3977929289747001E-2</v>
      </c>
      <c r="AJ269" s="615">
        <v>3.3433733034764775E-2</v>
      </c>
      <c r="AK269" s="616">
        <v>3.2864948043023791E-2</v>
      </c>
      <c r="AL269" s="616">
        <v>3.3465285004123817E-2</v>
      </c>
      <c r="AM269" s="617">
        <v>3.3977929289747001E-2</v>
      </c>
      <c r="AN269" s="617">
        <v>3.3433733034764775E-2</v>
      </c>
      <c r="AO269" s="617">
        <v>3.3612389553971299E-2</v>
      </c>
      <c r="AP269" s="617">
        <v>3.3946522559118134E-2</v>
      </c>
      <c r="AQ269" s="617">
        <v>3.4494534637709601E-2</v>
      </c>
      <c r="AR269" s="617">
        <v>3.4095086188005656E-2</v>
      </c>
      <c r="AS269" s="617">
        <v>3.3612389553971299E-2</v>
      </c>
      <c r="AT269" s="618">
        <v>3.3364382738151829E-2</v>
      </c>
      <c r="AU269" s="618">
        <v>7.1951503587358622E-3</v>
      </c>
      <c r="AV269" s="618">
        <v>7.1029316812065806E-3</v>
      </c>
      <c r="AW269" s="618">
        <v>6.8574028892543397E-3</v>
      </c>
      <c r="AX269" s="618">
        <v>7.4203187775490273E-3</v>
      </c>
      <c r="AY269" s="618">
        <v>7.1951503587358622E-3</v>
      </c>
      <c r="AZ269" s="618">
        <v>6.9970494428349371E-3</v>
      </c>
      <c r="BA269" s="618">
        <v>7.5126169450288709E-3</v>
      </c>
      <c r="BB269" s="618">
        <v>7.4622705082974354E-3</v>
      </c>
      <c r="BC269" s="618">
        <v>7.2491899081313163E-3</v>
      </c>
      <c r="BD269" s="618">
        <v>7.6720911720116617E-3</v>
      </c>
      <c r="BE269" s="617">
        <v>7.5634568080336804E-3</v>
      </c>
      <c r="BF269" s="617">
        <v>7.4454954613924797E-3</v>
      </c>
      <c r="BG269" s="617"/>
      <c r="BH269" s="617"/>
      <c r="BI269" s="617"/>
      <c r="BJ269" s="617"/>
      <c r="BK269" s="617"/>
      <c r="BL269" s="617"/>
      <c r="BM269" s="617"/>
      <c r="BN269" s="617"/>
      <c r="BO269" s="617"/>
      <c r="BP269" s="617"/>
      <c r="BQ269" s="617"/>
      <c r="BR269" s="617"/>
      <c r="BS269" s="617"/>
      <c r="BT269" s="617"/>
      <c r="BU269" s="617"/>
      <c r="BV269" s="617"/>
      <c r="BW269" s="617"/>
      <c r="BX269" s="617"/>
      <c r="BY269" s="617"/>
      <c r="BZ269" s="617"/>
      <c r="CA269" s="617"/>
      <c r="CB269" s="617"/>
      <c r="CC269" s="617"/>
      <c r="CD269" s="617"/>
      <c r="CE269" s="617"/>
      <c r="CF269" s="617"/>
      <c r="CG269" s="617"/>
      <c r="CH269" s="617"/>
      <c r="CI269" s="617"/>
      <c r="CJ269" s="617"/>
      <c r="CK269" s="617"/>
      <c r="CL269" s="617"/>
    </row>
    <row r="270" spans="1:90">
      <c r="A270" s="151">
        <f t="shared" ca="1" si="34"/>
        <v>11</v>
      </c>
      <c r="B270" s="113">
        <f t="shared" si="36"/>
        <v>84</v>
      </c>
      <c r="C270" s="150">
        <f t="shared" si="43"/>
        <v>156</v>
      </c>
      <c r="D270" s="565">
        <f t="shared" si="44"/>
        <v>9.5000000000000001E-2</v>
      </c>
      <c r="E270" s="306">
        <f t="shared" si="37"/>
        <v>2029.9263491298186</v>
      </c>
      <c r="F270" s="306">
        <f t="shared" si="49"/>
        <v>7585.3797058480541</v>
      </c>
      <c r="G270" s="307">
        <f t="shared" si="50"/>
        <v>9615.3060549778729</v>
      </c>
      <c r="H270" s="306">
        <f>IF(N269&lt;0.01,0,IF(Adm!$S$3=Adm!$S$13,Cal!$E$94,IF(Adm!$R$3=Adm!$R$6,0,IF(Cal!$E$91=0,N269*Adm!$Y$3,N269*Adm!$X$3))))</f>
        <v>110.25705222641962</v>
      </c>
      <c r="I270" s="306">
        <f>IF(N269&lt;0.01,0,IF(Adm!$R$4=Adm!$R$6,0,Cal!$E$89*Adm!$AA$3))</f>
        <v>573.58240000000001</v>
      </c>
      <c r="J270" s="306">
        <f>IF(N269&lt;0.01,0,Adm!$O$3*1.16)</f>
        <v>290</v>
      </c>
      <c r="K270" s="306">
        <f>IF(N269&lt;0.01,0,IF(Adm!$N$3&gt;0,E270*Adm!$N$3,0))</f>
        <v>0</v>
      </c>
      <c r="L270" s="306">
        <f t="shared" si="38"/>
        <v>10589.145507204292</v>
      </c>
      <c r="M270" s="306">
        <f>IF(Adm!$F$3="si",MIN(N269+E270+H270+I270+J270-L270,Z270),0)</f>
        <v>0</v>
      </c>
      <c r="N270" s="306">
        <f t="shared" si="39"/>
        <v>248826.36965791849</v>
      </c>
      <c r="O270" s="361"/>
      <c r="P270" s="114"/>
      <c r="V270" s="571">
        <f t="shared" si="40"/>
        <v>12</v>
      </c>
      <c r="W270" s="293">
        <f>IF(V270=1,Adm!$AN$2,0)</f>
        <v>0</v>
      </c>
      <c r="Y270" s="304">
        <f t="shared" si="45"/>
        <v>0</v>
      </c>
      <c r="Z270" s="345">
        <f t="shared" ca="1" si="41"/>
        <v>0</v>
      </c>
      <c r="AB270" s="640">
        <f t="shared" si="46"/>
        <v>0</v>
      </c>
      <c r="AC270" s="639">
        <f t="shared" si="47"/>
        <v>0</v>
      </c>
      <c r="AD270" s="641">
        <f t="shared" si="42"/>
        <v>0</v>
      </c>
      <c r="AE270" s="639">
        <f t="shared" si="48"/>
        <v>0</v>
      </c>
      <c r="AF270" s="636">
        <f t="shared" si="35"/>
        <v>0</v>
      </c>
      <c r="AG270" s="637" t="e">
        <f>HLOOKUP($AG$110,anticipado,157,0)</f>
        <v>#N/A</v>
      </c>
      <c r="AI270" s="614">
        <v>3.5476403665056895E-2</v>
      </c>
      <c r="AJ270" s="615">
        <v>3.4904119163997986E-2</v>
      </c>
      <c r="AK270" s="616">
        <v>3.4301468406163223E-2</v>
      </c>
      <c r="AL270" s="616">
        <v>3.4912231271410799E-2</v>
      </c>
      <c r="AM270" s="617">
        <v>3.5476403665056895E-2</v>
      </c>
      <c r="AN270" s="617">
        <v>3.4904119163997986E-2</v>
      </c>
      <c r="AO270" s="617">
        <v>3.5056831515362534E-2</v>
      </c>
      <c r="AP270" s="617">
        <v>3.5430453613865702E-2</v>
      </c>
      <c r="AQ270" s="617">
        <v>3.6033574096474591E-2</v>
      </c>
      <c r="AR270" s="617">
        <v>3.5567746606242165E-2</v>
      </c>
      <c r="AS270" s="617">
        <v>3.5056831515362534E-2</v>
      </c>
      <c r="AT270" s="618">
        <v>3.4800456613121394E-2</v>
      </c>
      <c r="AU270" s="618">
        <v>7.3130649501408542E-3</v>
      </c>
      <c r="AV270" s="618">
        <v>7.2210490481630077E-3</v>
      </c>
      <c r="AW270" s="618">
        <v>6.9731661324660592E-3</v>
      </c>
      <c r="AX270" s="618">
        <v>7.5402702358240668E-3</v>
      </c>
      <c r="AY270" s="618">
        <v>7.3130649501408542E-3</v>
      </c>
      <c r="AZ270" s="618">
        <v>7.113234759104455E-3</v>
      </c>
      <c r="BA270" s="618">
        <v>7.6321841312219944E-3</v>
      </c>
      <c r="BB270" s="618">
        <v>7.5829073695244057E-3</v>
      </c>
      <c r="BC270" s="618">
        <v>7.3686954286646834E-3</v>
      </c>
      <c r="BD270" s="618">
        <v>7.7926142071221075E-3</v>
      </c>
      <c r="BE270" s="617">
        <v>7.6829565760128905E-3</v>
      </c>
      <c r="BF270" s="617">
        <v>7.5651081512191614E-3</v>
      </c>
      <c r="BG270" s="617"/>
      <c r="BH270" s="617"/>
      <c r="BI270" s="617"/>
      <c r="BJ270" s="617"/>
      <c r="BK270" s="617"/>
      <c r="BL270" s="617"/>
      <c r="BM270" s="617"/>
      <c r="BN270" s="617"/>
      <c r="BO270" s="617"/>
      <c r="BP270" s="617"/>
      <c r="BQ270" s="617"/>
      <c r="BR270" s="617"/>
      <c r="BS270" s="617"/>
      <c r="BT270" s="617"/>
      <c r="BU270" s="617"/>
      <c r="BV270" s="617"/>
      <c r="BW270" s="617"/>
      <c r="BX270" s="617"/>
      <c r="BY270" s="617"/>
      <c r="BZ270" s="617"/>
      <c r="CA270" s="617"/>
      <c r="CB270" s="617"/>
      <c r="CC270" s="617"/>
      <c r="CD270" s="617"/>
      <c r="CE270" s="617"/>
      <c r="CF270" s="617"/>
      <c r="CG270" s="617"/>
      <c r="CH270" s="617"/>
      <c r="CI270" s="617"/>
      <c r="CJ270" s="617"/>
      <c r="CK270" s="617"/>
      <c r="CL270" s="617"/>
    </row>
    <row r="271" spans="1:90">
      <c r="A271" s="151">
        <f t="shared" ca="1" si="34"/>
        <v>12</v>
      </c>
      <c r="B271" s="113">
        <f t="shared" si="36"/>
        <v>83</v>
      </c>
      <c r="C271" s="150">
        <f t="shared" si="43"/>
        <v>157</v>
      </c>
      <c r="D271" s="565">
        <f t="shared" si="44"/>
        <v>9.5000000000000001E-2</v>
      </c>
      <c r="E271" s="306">
        <f t="shared" si="37"/>
        <v>1969.8754264585214</v>
      </c>
      <c r="F271" s="306">
        <f t="shared" si="49"/>
        <v>7645.4306285193516</v>
      </c>
      <c r="G271" s="307">
        <f t="shared" si="50"/>
        <v>9615.3060549778729</v>
      </c>
      <c r="H271" s="306">
        <f>IF(N270&lt;0.01,0,IF(Adm!$S$3=Adm!$S$13,Cal!$E$94,IF(Adm!$R$3=Adm!$R$6,0,IF(Cal!$E$91=0,N270*Adm!$Y$3,N270*Adm!$X$3))))</f>
        <v>106.99533895290494</v>
      </c>
      <c r="I271" s="306">
        <f>IF(N270&lt;0.01,0,IF(Adm!$R$4=Adm!$R$6,0,Cal!$E$89*Adm!$AA$3))</f>
        <v>573.58240000000001</v>
      </c>
      <c r="J271" s="306">
        <f>IF(N270&lt;0.01,0,Adm!$O$3*1.16)</f>
        <v>290</v>
      </c>
      <c r="K271" s="306">
        <f>IF(N270&lt;0.01,0,IF(Adm!$N$3&gt;0,E271*Adm!$N$3,0))</f>
        <v>0</v>
      </c>
      <c r="L271" s="306">
        <f t="shared" si="38"/>
        <v>10585.883793930778</v>
      </c>
      <c r="M271" s="306">
        <f>IF(Adm!$F$3="si",MIN(N270+E271+H271+I271+J271-L271,Z271),0)</f>
        <v>0</v>
      </c>
      <c r="N271" s="306">
        <f t="shared" si="39"/>
        <v>241180.93902939913</v>
      </c>
      <c r="O271" s="361"/>
      <c r="P271" s="114"/>
      <c r="V271" s="571">
        <f t="shared" si="40"/>
        <v>1</v>
      </c>
      <c r="W271" s="293">
        <f>IF(V271=1,Adm!$AN$2,0)</f>
        <v>0</v>
      </c>
      <c r="Y271" s="304">
        <f t="shared" si="45"/>
        <v>0</v>
      </c>
      <c r="Z271" s="345">
        <f t="shared" ca="1" si="41"/>
        <v>0</v>
      </c>
      <c r="AB271" s="640">
        <f t="shared" si="46"/>
        <v>0</v>
      </c>
      <c r="AC271" s="639">
        <f t="shared" si="47"/>
        <v>0</v>
      </c>
      <c r="AD271" s="641">
        <f t="shared" si="42"/>
        <v>0</v>
      </c>
      <c r="AE271" s="639">
        <f t="shared" si="48"/>
        <v>0</v>
      </c>
      <c r="AF271" s="636">
        <f t="shared" si="35"/>
        <v>0</v>
      </c>
      <c r="AG271" s="637" t="e">
        <f>HLOOKUP($AG$110,anticipado,158,0)</f>
        <v>#N/A</v>
      </c>
      <c r="AI271" s="614">
        <v>3.8241597072847217E-2</v>
      </c>
      <c r="AJ271" s="615">
        <v>3.7633931245307124E-2</v>
      </c>
      <c r="AK271" s="616">
        <v>3.6985593256820659E-2</v>
      </c>
      <c r="AL271" s="616">
        <v>3.7596379888153585E-2</v>
      </c>
      <c r="AM271" s="617">
        <v>3.8241597072847217E-2</v>
      </c>
      <c r="AN271" s="617">
        <v>3.7633931245307124E-2</v>
      </c>
      <c r="AO271" s="617">
        <v>3.7731447206975625E-2</v>
      </c>
      <c r="AP271" s="617">
        <v>3.8169130139883267E-2</v>
      </c>
      <c r="AQ271" s="617">
        <v>3.8858495434393944E-2</v>
      </c>
      <c r="AR271" s="617">
        <v>3.8280313842010888E-2</v>
      </c>
      <c r="AS271" s="617">
        <v>3.7731447206975625E-2</v>
      </c>
      <c r="AT271" s="618">
        <v>3.7467199094885995E-2</v>
      </c>
      <c r="AU271" s="618">
        <v>7.5988827874378323E-3</v>
      </c>
      <c r="AV271" s="618">
        <v>7.5095074299184241E-3</v>
      </c>
      <c r="AW271" s="618">
        <v>7.2617106966468628E-3</v>
      </c>
      <c r="AX271" s="618">
        <v>7.8259676801313051E-3</v>
      </c>
      <c r="AY271" s="618">
        <v>7.5988827874378323E-3</v>
      </c>
      <c r="AZ271" s="618">
        <v>7.3994341387306562E-3</v>
      </c>
      <c r="BA271" s="618">
        <v>7.9149677221358565E-3</v>
      </c>
      <c r="BB271" s="618">
        <v>7.8693287894118415E-3</v>
      </c>
      <c r="BC271" s="618">
        <v>7.6571501972645057E-3</v>
      </c>
      <c r="BD271" s="618">
        <v>8.0743185947943375E-3</v>
      </c>
      <c r="BE271" s="617">
        <v>7.9645037423838865E-3</v>
      </c>
      <c r="BF271" s="617">
        <v>7.84944454895657E-3</v>
      </c>
      <c r="BG271" s="617"/>
      <c r="BH271" s="617"/>
      <c r="BI271" s="617"/>
      <c r="BJ271" s="617"/>
      <c r="BK271" s="617"/>
      <c r="BL271" s="617"/>
      <c r="BM271" s="617"/>
      <c r="BN271" s="617"/>
      <c r="BO271" s="617"/>
      <c r="BP271" s="617"/>
      <c r="BQ271" s="617"/>
      <c r="BR271" s="617"/>
      <c r="BS271" s="617"/>
      <c r="BT271" s="617"/>
      <c r="BU271" s="617"/>
      <c r="BV271" s="617"/>
      <c r="BW271" s="617"/>
      <c r="BX271" s="617"/>
      <c r="BY271" s="617"/>
      <c r="BZ271" s="617"/>
      <c r="CA271" s="617"/>
      <c r="CB271" s="617"/>
      <c r="CC271" s="617"/>
      <c r="CD271" s="617"/>
      <c r="CE271" s="617"/>
      <c r="CF271" s="617"/>
      <c r="CG271" s="617"/>
      <c r="CH271" s="617"/>
      <c r="CI271" s="617"/>
      <c r="CJ271" s="617"/>
      <c r="CK271" s="617"/>
      <c r="CL271" s="617"/>
    </row>
    <row r="272" spans="1:90">
      <c r="A272" s="151">
        <f t="shared" ca="1" si="34"/>
        <v>1</v>
      </c>
      <c r="B272" s="113">
        <f t="shared" si="36"/>
        <v>82</v>
      </c>
      <c r="C272" s="150">
        <f t="shared" si="43"/>
        <v>158</v>
      </c>
      <c r="D272" s="565">
        <f t="shared" si="44"/>
        <v>9.5000000000000001E-2</v>
      </c>
      <c r="E272" s="306">
        <f t="shared" si="37"/>
        <v>1909.3491006494098</v>
      </c>
      <c r="F272" s="306">
        <f t="shared" si="49"/>
        <v>7705.9569543284633</v>
      </c>
      <c r="G272" s="307">
        <f t="shared" si="50"/>
        <v>9615.3060549778729</v>
      </c>
      <c r="H272" s="306">
        <f>IF(N271&lt;0.01,0,IF(Adm!$S$3=Adm!$S$13,Cal!$E$94,IF(Adm!$R$3=Adm!$R$6,0,IF(Cal!$E$91=0,N271*Adm!$Y$3,N271*Adm!$X$3))))</f>
        <v>103.70780378264162</v>
      </c>
      <c r="I272" s="306">
        <f>IF(N271&lt;0.01,0,IF(Adm!$R$4=Adm!$R$6,0,Cal!$E$89*Adm!$AA$3))</f>
        <v>573.58240000000001</v>
      </c>
      <c r="J272" s="306">
        <f>IF(N271&lt;0.01,0,Adm!$O$3*1.16)</f>
        <v>290</v>
      </c>
      <c r="K272" s="306">
        <f>IF(N271&lt;0.01,0,IF(Adm!$N$3&gt;0,E272*Adm!$N$3,0))</f>
        <v>0</v>
      </c>
      <c r="L272" s="306">
        <f t="shared" si="38"/>
        <v>10582.596258760514</v>
      </c>
      <c r="M272" s="306">
        <f>IF(Adm!$F$3="si",MIN(N271+E272+H272+I272+J272-L272,Z272),0)</f>
        <v>0</v>
      </c>
      <c r="N272" s="306">
        <f t="shared" si="39"/>
        <v>233474.98207507067</v>
      </c>
      <c r="O272" s="361"/>
      <c r="P272" s="114"/>
      <c r="V272" s="571">
        <f t="shared" si="40"/>
        <v>2</v>
      </c>
      <c r="W272" s="293">
        <f>IF(V272=1,Adm!$AN$2,0)</f>
        <v>0</v>
      </c>
      <c r="Y272" s="304">
        <f t="shared" si="45"/>
        <v>0</v>
      </c>
      <c r="Z272" s="345">
        <f t="shared" ca="1" si="41"/>
        <v>0</v>
      </c>
      <c r="AB272" s="640">
        <f t="shared" si="46"/>
        <v>0</v>
      </c>
      <c r="AC272" s="639">
        <f t="shared" si="47"/>
        <v>0</v>
      </c>
      <c r="AD272" s="641">
        <f t="shared" si="42"/>
        <v>0</v>
      </c>
      <c r="AE272" s="639">
        <f t="shared" si="48"/>
        <v>0</v>
      </c>
      <c r="AF272" s="636">
        <f t="shared" si="35"/>
        <v>0</v>
      </c>
      <c r="AG272" s="637" t="e">
        <f>HLOOKUP($AG$110,anticipado,159,0)</f>
        <v>#N/A</v>
      </c>
      <c r="AI272" s="614">
        <v>4.0105114475950228E-2</v>
      </c>
      <c r="AJ272" s="615">
        <v>3.9460513420323258E-2</v>
      </c>
      <c r="AK272" s="616">
        <v>3.8767401385998351E-2</v>
      </c>
      <c r="AL272" s="616">
        <v>3.9390302528492988E-2</v>
      </c>
      <c r="AM272" s="617">
        <v>4.0105114475950228E-2</v>
      </c>
      <c r="AN272" s="617">
        <v>3.9460513420323258E-2</v>
      </c>
      <c r="AO272" s="617">
        <v>3.9521352315816702E-2</v>
      </c>
      <c r="AP272" s="617">
        <v>4.0012541678426682E-2</v>
      </c>
      <c r="AQ272" s="617">
        <v>4.0776546083349345E-2</v>
      </c>
      <c r="AR272" s="617">
        <v>4.0107530073705558E-2</v>
      </c>
      <c r="AS272" s="617">
        <v>3.9521352315816702E-2</v>
      </c>
      <c r="AT272" s="618">
        <v>3.9246445653838676E-2</v>
      </c>
      <c r="AU272" s="618">
        <v>7.7265558409195722E-3</v>
      </c>
      <c r="AV272" s="618">
        <v>7.637513342177423E-3</v>
      </c>
      <c r="AW272" s="618">
        <v>7.3873066303766898E-3</v>
      </c>
      <c r="AX272" s="618">
        <v>7.9557279209537379E-3</v>
      </c>
      <c r="AY272" s="618">
        <v>7.7265558409195722E-3</v>
      </c>
      <c r="AZ272" s="618">
        <v>7.5253504360196354E-3</v>
      </c>
      <c r="BA272" s="618">
        <v>8.0441996184311814E-3</v>
      </c>
      <c r="BB272" s="618">
        <v>7.9998271314770109E-3</v>
      </c>
      <c r="BC272" s="618">
        <v>7.786580902724884E-3</v>
      </c>
      <c r="BD272" s="618">
        <v>8.2044859168690972E-3</v>
      </c>
      <c r="BE272" s="617">
        <v>8.0936105559888064E-3</v>
      </c>
      <c r="BF272" s="617">
        <v>7.9787939281291027E-3</v>
      </c>
      <c r="BG272" s="617"/>
      <c r="BH272" s="617"/>
      <c r="BI272" s="617"/>
      <c r="BJ272" s="617"/>
      <c r="BK272" s="617"/>
      <c r="BL272" s="617"/>
      <c r="BM272" s="617"/>
      <c r="BN272" s="617"/>
      <c r="BO272" s="617"/>
      <c r="BP272" s="617"/>
      <c r="BQ272" s="617"/>
      <c r="BR272" s="617"/>
      <c r="BS272" s="617"/>
      <c r="BT272" s="617"/>
      <c r="BU272" s="617"/>
      <c r="BV272" s="617"/>
      <c r="BW272" s="617"/>
      <c r="BX272" s="617"/>
      <c r="BY272" s="617"/>
      <c r="BZ272" s="617"/>
      <c r="CA272" s="617"/>
      <c r="CB272" s="617"/>
      <c r="CC272" s="617"/>
      <c r="CD272" s="617"/>
      <c r="CE272" s="617"/>
      <c r="CF272" s="617"/>
      <c r="CG272" s="617"/>
      <c r="CH272" s="617"/>
      <c r="CI272" s="617"/>
      <c r="CJ272" s="617"/>
      <c r="CK272" s="617"/>
      <c r="CL272" s="617"/>
    </row>
    <row r="273" spans="1:90">
      <c r="A273" s="151">
        <f t="shared" ca="1" si="34"/>
        <v>2</v>
      </c>
      <c r="B273" s="113">
        <f t="shared" si="36"/>
        <v>81</v>
      </c>
      <c r="C273" s="150">
        <f t="shared" si="43"/>
        <v>159</v>
      </c>
      <c r="D273" s="565">
        <f t="shared" si="44"/>
        <v>9.5000000000000001E-2</v>
      </c>
      <c r="E273" s="306">
        <f t="shared" si="37"/>
        <v>1848.3436080943095</v>
      </c>
      <c r="F273" s="306">
        <f t="shared" si="49"/>
        <v>7766.9624468835636</v>
      </c>
      <c r="G273" s="307">
        <f t="shared" si="50"/>
        <v>9615.3060549778729</v>
      </c>
      <c r="H273" s="306">
        <f>IF(N272&lt;0.01,0,IF(Adm!$S$3=Adm!$S$13,Cal!$E$94,IF(Adm!$R$3=Adm!$R$6,0,IF(Cal!$E$91=0,N272*Adm!$Y$3,N272*Adm!$X$3))))</f>
        <v>100.39424229228038</v>
      </c>
      <c r="I273" s="306">
        <f>IF(N272&lt;0.01,0,IF(Adm!$R$4=Adm!$R$6,0,Cal!$E$89*Adm!$AA$3))</f>
        <v>573.58240000000001</v>
      </c>
      <c r="J273" s="306">
        <f>IF(N272&lt;0.01,0,Adm!$O$3*1.16)</f>
        <v>290</v>
      </c>
      <c r="K273" s="306">
        <f>IF(N272&lt;0.01,0,IF(Adm!$N$3&gt;0,E273*Adm!$N$3,0))</f>
        <v>0</v>
      </c>
      <c r="L273" s="306">
        <f t="shared" si="38"/>
        <v>10579.282697270153</v>
      </c>
      <c r="M273" s="306">
        <f>IF(Adm!$F$3="si",MIN(N272+E273+H273+I273+J273-L273,Z273),0)</f>
        <v>0</v>
      </c>
      <c r="N273" s="306">
        <f t="shared" si="39"/>
        <v>225708.01962818712</v>
      </c>
      <c r="O273" s="361"/>
      <c r="P273" s="114"/>
      <c r="V273" s="571">
        <f t="shared" si="40"/>
        <v>3</v>
      </c>
      <c r="W273" s="293">
        <f>IF(V273=1,Adm!$AN$2,0)</f>
        <v>0</v>
      </c>
      <c r="Y273" s="304">
        <f t="shared" si="45"/>
        <v>0</v>
      </c>
      <c r="Z273" s="345">
        <f t="shared" ca="1" si="41"/>
        <v>0</v>
      </c>
      <c r="AB273" s="640">
        <f t="shared" si="46"/>
        <v>0</v>
      </c>
      <c r="AC273" s="639">
        <f t="shared" si="47"/>
        <v>0</v>
      </c>
      <c r="AD273" s="641">
        <f t="shared" si="42"/>
        <v>0</v>
      </c>
      <c r="AE273" s="639">
        <f t="shared" si="48"/>
        <v>0</v>
      </c>
      <c r="AF273" s="636">
        <f t="shared" si="35"/>
        <v>0</v>
      </c>
      <c r="AG273" s="637" t="e">
        <f>HLOOKUP($AG$110,anticipado,160,0)</f>
        <v>#N/A</v>
      </c>
      <c r="AI273" s="614">
        <v>4.2141094507677536E-2</v>
      </c>
      <c r="AJ273" s="615">
        <v>4.1454430698523635E-2</v>
      </c>
      <c r="AK273" s="616">
        <v>4.0710373407153964E-2</v>
      </c>
      <c r="AL273" s="616">
        <v>4.1346893438186205E-2</v>
      </c>
      <c r="AM273" s="617">
        <v>4.2141094507677536E-2</v>
      </c>
      <c r="AN273" s="617">
        <v>4.1454430698523635E-2</v>
      </c>
      <c r="AO273" s="617">
        <v>4.1473311025041003E-2</v>
      </c>
      <c r="AP273" s="617">
        <v>4.2025527051363504E-2</v>
      </c>
      <c r="AQ273" s="617">
        <v>4.287483234760265E-2</v>
      </c>
      <c r="AR273" s="617">
        <v>4.210195543425891E-2</v>
      </c>
      <c r="AS273" s="617">
        <v>4.1473311025041003E-2</v>
      </c>
      <c r="AT273" s="618">
        <v>4.1186318382863824E-2</v>
      </c>
      <c r="AU273" s="618">
        <v>7.8573848580451976E-3</v>
      </c>
      <c r="AV273" s="618">
        <v>7.7687031877865433E-3</v>
      </c>
      <c r="AW273" s="618">
        <v>7.5160257134933781E-3</v>
      </c>
      <c r="AX273" s="618">
        <v>8.0886975512243914E-3</v>
      </c>
      <c r="AY273" s="618">
        <v>7.8573848580451976E-3</v>
      </c>
      <c r="AZ273" s="618">
        <v>7.6543804491587247E-3</v>
      </c>
      <c r="BA273" s="618">
        <v>8.1766066614566719E-3</v>
      </c>
      <c r="BB273" s="618">
        <v>8.1335593833862171E-3</v>
      </c>
      <c r="BC273" s="618">
        <v>7.9192323083444559E-3</v>
      </c>
      <c r="BD273" s="618">
        <v>8.3378458357810017E-3</v>
      </c>
      <c r="BE273" s="617">
        <v>8.2258807704374999E-3</v>
      </c>
      <c r="BF273" s="617">
        <v>8.1113323256269479E-3</v>
      </c>
      <c r="BG273" s="617"/>
      <c r="BH273" s="617"/>
      <c r="BI273" s="617"/>
      <c r="BJ273" s="617"/>
      <c r="BK273" s="617"/>
      <c r="BL273" s="617"/>
      <c r="BM273" s="617"/>
      <c r="BN273" s="617"/>
      <c r="BO273" s="617"/>
      <c r="BP273" s="617"/>
      <c r="BQ273" s="617"/>
      <c r="BR273" s="617"/>
      <c r="BS273" s="617"/>
      <c r="BT273" s="617"/>
      <c r="BU273" s="617"/>
      <c r="BV273" s="617"/>
      <c r="BW273" s="617"/>
      <c r="BX273" s="617"/>
      <c r="BY273" s="617"/>
      <c r="BZ273" s="617"/>
      <c r="CA273" s="617"/>
      <c r="CB273" s="617"/>
      <c r="CC273" s="617"/>
      <c r="CD273" s="617"/>
      <c r="CE273" s="617"/>
      <c r="CF273" s="617"/>
      <c r="CG273" s="617"/>
      <c r="CH273" s="617"/>
      <c r="CI273" s="617"/>
      <c r="CJ273" s="617"/>
      <c r="CK273" s="617"/>
      <c r="CL273" s="617"/>
    </row>
    <row r="274" spans="1:90">
      <c r="A274" s="151">
        <f t="shared" ca="1" si="34"/>
        <v>3</v>
      </c>
      <c r="B274" s="113">
        <f t="shared" si="36"/>
        <v>80</v>
      </c>
      <c r="C274" s="150">
        <f t="shared" si="43"/>
        <v>160</v>
      </c>
      <c r="D274" s="565">
        <f t="shared" si="44"/>
        <v>9.5000000000000001E-2</v>
      </c>
      <c r="E274" s="306">
        <f t="shared" si="37"/>
        <v>1786.8551553898149</v>
      </c>
      <c r="F274" s="306">
        <f t="shared" si="49"/>
        <v>7828.4508995880578</v>
      </c>
      <c r="G274" s="307">
        <f t="shared" si="50"/>
        <v>9615.3060549778729</v>
      </c>
      <c r="H274" s="306">
        <f>IF(N273&lt;0.01,0,IF(Adm!$S$3=Adm!$S$13,Cal!$E$94,IF(Adm!$R$3=Adm!$R$6,0,IF(Cal!$E$91=0,N273*Adm!$Y$3,N273*Adm!$X$3))))</f>
        <v>97.054448440120453</v>
      </c>
      <c r="I274" s="306">
        <f>IF(N273&lt;0.01,0,IF(Adm!$R$4=Adm!$R$6,0,Cal!$E$89*Adm!$AA$3))</f>
        <v>573.58240000000001</v>
      </c>
      <c r="J274" s="306">
        <f>IF(N273&lt;0.01,0,Adm!$O$3*1.16)</f>
        <v>290</v>
      </c>
      <c r="K274" s="306">
        <f>IF(N273&lt;0.01,0,IF(Adm!$N$3&gt;0,E274*Adm!$N$3,0))</f>
        <v>0</v>
      </c>
      <c r="L274" s="306">
        <f t="shared" si="38"/>
        <v>10575.942903417992</v>
      </c>
      <c r="M274" s="306">
        <f>IF(Adm!$F$3="si",MIN(N273+E274+H274+I274+J274-L274,Z274),0)</f>
        <v>0</v>
      </c>
      <c r="N274" s="306">
        <f t="shared" si="39"/>
        <v>217879.56872859906</v>
      </c>
      <c r="O274" s="361"/>
      <c r="P274" s="114"/>
      <c r="V274" s="571">
        <f t="shared" si="40"/>
        <v>4</v>
      </c>
      <c r="W274" s="293">
        <f>IF(V274=1,Adm!$AN$2,0)</f>
        <v>0</v>
      </c>
      <c r="Y274" s="304">
        <f t="shared" si="45"/>
        <v>0</v>
      </c>
      <c r="Z274" s="345">
        <f t="shared" ca="1" si="41"/>
        <v>0</v>
      </c>
      <c r="AB274" s="640">
        <f t="shared" si="46"/>
        <v>0</v>
      </c>
      <c r="AC274" s="639">
        <f t="shared" si="47"/>
        <v>0</v>
      </c>
      <c r="AD274" s="641">
        <f t="shared" si="42"/>
        <v>0</v>
      </c>
      <c r="AE274" s="639">
        <f t="shared" si="48"/>
        <v>0</v>
      </c>
      <c r="AF274" s="636">
        <f t="shared" si="35"/>
        <v>0</v>
      </c>
      <c r="AG274" s="637" t="e">
        <f>HLOOKUP($AG$110,anticipado,161,0)</f>
        <v>#N/A</v>
      </c>
      <c r="AI274" s="614">
        <v>4.4374553709410541E-2</v>
      </c>
      <c r="AJ274" s="615">
        <v>4.3639688082431058E-2</v>
      </c>
      <c r="AK274" s="616">
        <v>4.2837313185848012E-2</v>
      </c>
      <c r="AL274" s="616">
        <v>4.3489251785333749E-2</v>
      </c>
      <c r="AM274" s="617">
        <v>4.4374553709410541E-2</v>
      </c>
      <c r="AN274" s="617">
        <v>4.3639688082431058E-2</v>
      </c>
      <c r="AO274" s="617">
        <v>4.3610305153518047E-2</v>
      </c>
      <c r="AP274" s="617">
        <v>4.4232534057001859E-2</v>
      </c>
      <c r="AQ274" s="617">
        <v>4.5179922947086865E-2</v>
      </c>
      <c r="AR274" s="617">
        <v>4.4287576412871177E-2</v>
      </c>
      <c r="AS274" s="617">
        <v>4.3610305153518047E-2</v>
      </c>
      <c r="AT274" s="618">
        <v>4.3309522054550992E-2</v>
      </c>
      <c r="AU274" s="618">
        <v>7.9914827814321129E-3</v>
      </c>
      <c r="AV274" s="618">
        <v>7.9031912842687548E-3</v>
      </c>
      <c r="AW274" s="618">
        <v>7.6479794115178103E-3</v>
      </c>
      <c r="AX274" s="618">
        <v>8.2249920405811916E-3</v>
      </c>
      <c r="AY274" s="618">
        <v>7.9914827814321129E-3</v>
      </c>
      <c r="AZ274" s="618">
        <v>7.7866351447386075E-3</v>
      </c>
      <c r="BA274" s="618">
        <v>8.3123026491824202E-3</v>
      </c>
      <c r="BB274" s="618">
        <v>8.2706421941854263E-3</v>
      </c>
      <c r="BC274" s="618">
        <v>8.0552204717663795E-3</v>
      </c>
      <c r="BD274" s="618">
        <v>8.474512964613207E-3</v>
      </c>
      <c r="BE274" s="617">
        <v>8.3614276092754281E-3</v>
      </c>
      <c r="BF274" s="617">
        <v>8.2471742212506857E-3</v>
      </c>
      <c r="BG274" s="617"/>
      <c r="BH274" s="617"/>
      <c r="BI274" s="617"/>
      <c r="BJ274" s="617"/>
      <c r="BK274" s="617"/>
      <c r="BL274" s="617"/>
      <c r="BM274" s="617"/>
      <c r="BN274" s="617"/>
      <c r="BO274" s="617"/>
      <c r="BP274" s="617"/>
      <c r="BQ274" s="617"/>
      <c r="BR274" s="617"/>
      <c r="BS274" s="617"/>
      <c r="BT274" s="617"/>
      <c r="BU274" s="617"/>
      <c r="BV274" s="617"/>
      <c r="BW274" s="617"/>
      <c r="BX274" s="617"/>
      <c r="BY274" s="617"/>
      <c r="BZ274" s="617"/>
      <c r="CA274" s="617"/>
      <c r="CB274" s="617"/>
      <c r="CC274" s="617"/>
      <c r="CD274" s="617"/>
      <c r="CE274" s="617"/>
      <c r="CF274" s="617"/>
      <c r="CG274" s="617"/>
      <c r="CH274" s="617"/>
      <c r="CI274" s="617"/>
      <c r="CJ274" s="617"/>
      <c r="CK274" s="617"/>
      <c r="CL274" s="617"/>
    </row>
    <row r="275" spans="1:90">
      <c r="A275" s="151">
        <f t="shared" ca="1" si="34"/>
        <v>4</v>
      </c>
      <c r="B275" s="113">
        <f t="shared" si="36"/>
        <v>79</v>
      </c>
      <c r="C275" s="150">
        <f t="shared" si="43"/>
        <v>161</v>
      </c>
      <c r="D275" s="565">
        <f t="shared" si="44"/>
        <v>9.5000000000000001E-2</v>
      </c>
      <c r="E275" s="306">
        <f t="shared" si="37"/>
        <v>1724.8799191014093</v>
      </c>
      <c r="F275" s="306">
        <f t="shared" si="49"/>
        <v>7890.4261358764634</v>
      </c>
      <c r="G275" s="307">
        <f t="shared" si="50"/>
        <v>9615.3060549778729</v>
      </c>
      <c r="H275" s="306">
        <f>IF(N274&lt;0.01,0,IF(Adm!$S$3=Adm!$S$13,Cal!$E$94,IF(Adm!$R$3=Adm!$R$6,0,IF(Cal!$E$91=0,N274*Adm!$Y$3,N274*Adm!$X$3))))</f>
        <v>93.688214553297598</v>
      </c>
      <c r="I275" s="306">
        <f>IF(N274&lt;0.01,0,IF(Adm!$R$4=Adm!$R$6,0,Cal!$E$89*Adm!$AA$3))</f>
        <v>573.58240000000001</v>
      </c>
      <c r="J275" s="306">
        <f>IF(N274&lt;0.01,0,Adm!$O$3*1.16)</f>
        <v>290</v>
      </c>
      <c r="K275" s="306">
        <f>IF(N274&lt;0.01,0,IF(Adm!$N$3&gt;0,E275*Adm!$N$3,0))</f>
        <v>0</v>
      </c>
      <c r="L275" s="306">
        <f t="shared" si="38"/>
        <v>10572.57666953117</v>
      </c>
      <c r="M275" s="306">
        <f>IF(Adm!$F$3="si",MIN(N274+E275+H275+I275+J275-L275,Z275),0)</f>
        <v>0</v>
      </c>
      <c r="N275" s="306">
        <f t="shared" si="39"/>
        <v>209989.14259272261</v>
      </c>
      <c r="O275" s="361"/>
      <c r="P275" s="114"/>
      <c r="V275" s="571">
        <f t="shared" si="40"/>
        <v>5</v>
      </c>
      <c r="W275" s="293">
        <f>IF(V275=1,Adm!$AN$2,0)</f>
        <v>0</v>
      </c>
      <c r="Y275" s="304">
        <f t="shared" si="45"/>
        <v>0</v>
      </c>
      <c r="Z275" s="345">
        <f t="shared" ca="1" si="41"/>
        <v>0</v>
      </c>
      <c r="AB275" s="640">
        <f t="shared" si="46"/>
        <v>0</v>
      </c>
      <c r="AC275" s="639">
        <f t="shared" si="47"/>
        <v>0</v>
      </c>
      <c r="AD275" s="641">
        <f t="shared" si="42"/>
        <v>0</v>
      </c>
      <c r="AE275" s="639">
        <f t="shared" si="48"/>
        <v>0</v>
      </c>
      <c r="AF275" s="636">
        <f t="shared" si="35"/>
        <v>0</v>
      </c>
      <c r="AG275" s="637" t="e">
        <f>HLOOKUP($AG$110,anticipado,162,0)</f>
        <v>#N/A</v>
      </c>
      <c r="AI275" s="614">
        <v>4.6835592761668959E-2</v>
      </c>
      <c r="AJ275" s="615">
        <v>4.604511260351702E-2</v>
      </c>
      <c r="AK275" s="616">
        <v>4.5175539647630096E-2</v>
      </c>
      <c r="AL275" s="616">
        <v>4.584506748961828E-2</v>
      </c>
      <c r="AM275" s="617">
        <v>4.6835592761668959E-2</v>
      </c>
      <c r="AN275" s="617">
        <v>4.604511260351702E-2</v>
      </c>
      <c r="AO275" s="617">
        <v>4.5959877693690261E-2</v>
      </c>
      <c r="AP275" s="617">
        <v>4.6662947285792941E-2</v>
      </c>
      <c r="AQ275" s="617">
        <v>4.7723878436199671E-2</v>
      </c>
      <c r="AR275" s="617">
        <v>4.6693197746163859E-2</v>
      </c>
      <c r="AS275" s="617">
        <v>4.5959877693690261E-2</v>
      </c>
      <c r="AT275" s="618">
        <v>4.5643252133745128E-2</v>
      </c>
      <c r="AU275" s="618">
        <v>8.1289679954399795E-3</v>
      </c>
      <c r="AV275" s="618">
        <v>8.0410974737386565E-3</v>
      </c>
      <c r="AW275" s="618">
        <v>7.7832845407754345E-3</v>
      </c>
      <c r="AX275" s="618">
        <v>8.36473245479347E-3</v>
      </c>
      <c r="AY275" s="618">
        <v>8.1289679954399795E-3</v>
      </c>
      <c r="AZ275" s="618">
        <v>7.9222308108438649E-3</v>
      </c>
      <c r="BA275" s="618">
        <v>8.4514068745457534E-3</v>
      </c>
      <c r="BB275" s="618">
        <v>8.4111978811180713E-3</v>
      </c>
      <c r="BC275" s="618">
        <v>8.1946670817703675E-3</v>
      </c>
      <c r="BD275" s="618">
        <v>8.6146074615342221E-3</v>
      </c>
      <c r="BE275" s="617">
        <v>8.5003697564076577E-3</v>
      </c>
      <c r="BF275" s="617">
        <v>8.3864396308630448E-3</v>
      </c>
      <c r="BG275" s="617"/>
      <c r="BH275" s="617"/>
      <c r="BI275" s="617"/>
      <c r="BJ275" s="617"/>
      <c r="BK275" s="617"/>
      <c r="BL275" s="617"/>
      <c r="BM275" s="617"/>
      <c r="BN275" s="617"/>
      <c r="BO275" s="617"/>
      <c r="BP275" s="617"/>
      <c r="BQ275" s="617"/>
      <c r="BR275" s="617"/>
      <c r="BS275" s="617"/>
      <c r="BT275" s="617"/>
      <c r="BU275" s="617"/>
      <c r="BV275" s="617"/>
      <c r="BW275" s="617"/>
      <c r="BX275" s="617"/>
      <c r="BY275" s="617"/>
      <c r="BZ275" s="617"/>
      <c r="CA275" s="617"/>
      <c r="CB275" s="617"/>
      <c r="CC275" s="617"/>
      <c r="CD275" s="617"/>
      <c r="CE275" s="617"/>
      <c r="CF275" s="617"/>
      <c r="CG275" s="617"/>
      <c r="CH275" s="617"/>
      <c r="CI275" s="617"/>
      <c r="CJ275" s="617"/>
      <c r="CK275" s="617"/>
      <c r="CL275" s="617"/>
    </row>
    <row r="276" spans="1:90">
      <c r="A276" s="151">
        <f t="shared" ca="1" si="34"/>
        <v>5</v>
      </c>
      <c r="B276" s="113">
        <f t="shared" si="36"/>
        <v>78</v>
      </c>
      <c r="C276" s="150">
        <f t="shared" si="43"/>
        <v>162</v>
      </c>
      <c r="D276" s="565">
        <f t="shared" si="44"/>
        <v>9.5000000000000001E-2</v>
      </c>
      <c r="E276" s="306">
        <f t="shared" si="37"/>
        <v>1662.4140455257209</v>
      </c>
      <c r="F276" s="306">
        <f t="shared" si="49"/>
        <v>7952.8920094521518</v>
      </c>
      <c r="G276" s="307">
        <f t="shared" si="50"/>
        <v>9615.3060549778729</v>
      </c>
      <c r="H276" s="306">
        <f>IF(N275&lt;0.01,0,IF(Adm!$S$3=Adm!$S$13,Cal!$E$94,IF(Adm!$R$3=Adm!$R$6,0,IF(Cal!$E$91=0,N275*Adm!$Y$3,N275*Adm!$X$3))))</f>
        <v>90.295331314870722</v>
      </c>
      <c r="I276" s="306">
        <f>IF(N275&lt;0.01,0,IF(Adm!$R$4=Adm!$R$6,0,Cal!$E$89*Adm!$AA$3))</f>
        <v>573.58240000000001</v>
      </c>
      <c r="J276" s="306">
        <f>IF(N275&lt;0.01,0,Adm!$O$3*1.16)</f>
        <v>290</v>
      </c>
      <c r="K276" s="306">
        <f>IF(N275&lt;0.01,0,IF(Adm!$N$3&gt;0,E276*Adm!$N$3,0))</f>
        <v>0</v>
      </c>
      <c r="L276" s="306">
        <f t="shared" si="38"/>
        <v>10569.183786292742</v>
      </c>
      <c r="M276" s="306">
        <f>IF(Adm!$F$3="si",MIN(N275+E276+H276+I276+J276-L276,Z276),0)</f>
        <v>0</v>
      </c>
      <c r="N276" s="306">
        <f t="shared" si="39"/>
        <v>202036.25058327045</v>
      </c>
      <c r="O276" s="361"/>
      <c r="P276" s="114"/>
      <c r="V276" s="571">
        <f t="shared" si="40"/>
        <v>6</v>
      </c>
      <c r="W276" s="293">
        <f>IF(V276=1,Adm!$AN$2,0)</f>
        <v>0</v>
      </c>
      <c r="Y276" s="304">
        <f t="shared" si="45"/>
        <v>0</v>
      </c>
      <c r="Z276" s="345">
        <f t="shared" ca="1" si="41"/>
        <v>0</v>
      </c>
      <c r="AB276" s="640">
        <f t="shared" si="46"/>
        <v>0</v>
      </c>
      <c r="AC276" s="639">
        <f t="shared" si="47"/>
        <v>0</v>
      </c>
      <c r="AD276" s="641">
        <f t="shared" si="42"/>
        <v>0</v>
      </c>
      <c r="AE276" s="639">
        <f t="shared" si="48"/>
        <v>0</v>
      </c>
      <c r="AF276" s="636">
        <f t="shared" si="35"/>
        <v>0</v>
      </c>
      <c r="AG276" s="637" t="e">
        <f>HLOOKUP($AG$110,anticipado,163,0)</f>
        <v>#N/A</v>
      </c>
      <c r="AI276" s="614">
        <v>4.9560757189946653E-2</v>
      </c>
      <c r="AJ276" s="615">
        <v>4.8705628132164482E-2</v>
      </c>
      <c r="AK276" s="616">
        <v>4.7758062425756989E-2</v>
      </c>
      <c r="AL276" s="616">
        <v>4.8447821314350735E-2</v>
      </c>
      <c r="AM276" s="617">
        <v>4.9560757189946653E-2</v>
      </c>
      <c r="AN276" s="617">
        <v>4.8705628132164482E-2</v>
      </c>
      <c r="AO276" s="617">
        <v>4.8555323452695434E-2</v>
      </c>
      <c r="AP276" s="617">
        <v>4.9352400495212355E-2</v>
      </c>
      <c r="AQ276" s="617">
        <v>5.0545747502030808E-2</v>
      </c>
      <c r="AR276" s="617">
        <v>4.9353716209454473E-2</v>
      </c>
      <c r="AS276" s="617">
        <v>4.8555323452695434E-2</v>
      </c>
      <c r="AT276" s="618">
        <v>4.8220362779750899E-2</v>
      </c>
      <c r="AU276" s="618">
        <v>8.2699646580271183E-3</v>
      </c>
      <c r="AV276" s="618">
        <v>8.1825474608536331E-3</v>
      </c>
      <c r="AW276" s="618">
        <v>7.9220635935321991E-3</v>
      </c>
      <c r="AX276" s="618">
        <v>8.5080457990381452E-3</v>
      </c>
      <c r="AY276" s="618">
        <v>8.2699646580271183E-3</v>
      </c>
      <c r="AZ276" s="618">
        <v>8.0612893800586227E-3</v>
      </c>
      <c r="BA276" s="618">
        <v>8.5940444612633143E-3</v>
      </c>
      <c r="BB276" s="618">
        <v>8.555354778247341E-3</v>
      </c>
      <c r="BC276" s="618">
        <v>8.3376998041216933E-3</v>
      </c>
      <c r="BD276" s="618">
        <v>8.7582553693259842E-3</v>
      </c>
      <c r="BE276" s="617">
        <v>8.6428316893658388E-3</v>
      </c>
      <c r="BF276" s="617">
        <v>8.5292544452265414E-3</v>
      </c>
      <c r="BG276" s="617"/>
      <c r="BH276" s="617"/>
      <c r="BI276" s="617"/>
      <c r="BJ276" s="617"/>
      <c r="BK276" s="617"/>
      <c r="BL276" s="617"/>
      <c r="BM276" s="617"/>
      <c r="BN276" s="617"/>
      <c r="BO276" s="617"/>
      <c r="BP276" s="617"/>
      <c r="BQ276" s="617"/>
      <c r="BR276" s="617"/>
      <c r="BS276" s="617"/>
      <c r="BT276" s="617"/>
      <c r="BU276" s="617"/>
      <c r="BV276" s="617"/>
      <c r="BW276" s="617"/>
      <c r="BX276" s="617"/>
      <c r="BY276" s="617"/>
      <c r="BZ276" s="617"/>
      <c r="CA276" s="617"/>
      <c r="CB276" s="617"/>
      <c r="CC276" s="617"/>
      <c r="CD276" s="617"/>
      <c r="CE276" s="617"/>
      <c r="CF276" s="617"/>
      <c r="CG276" s="617"/>
      <c r="CH276" s="617"/>
      <c r="CI276" s="617"/>
      <c r="CJ276" s="617"/>
      <c r="CK276" s="617"/>
      <c r="CL276" s="617"/>
    </row>
    <row r="277" spans="1:90">
      <c r="A277" s="151">
        <f t="shared" ca="1" si="34"/>
        <v>6</v>
      </c>
      <c r="B277" s="113">
        <f t="shared" si="36"/>
        <v>77</v>
      </c>
      <c r="C277" s="150">
        <f t="shared" si="43"/>
        <v>163</v>
      </c>
      <c r="D277" s="565">
        <f t="shared" si="44"/>
        <v>9.5000000000000001E-2</v>
      </c>
      <c r="E277" s="306">
        <f t="shared" si="37"/>
        <v>1599.4536504508912</v>
      </c>
      <c r="F277" s="306">
        <f t="shared" si="49"/>
        <v>8015.8524045269814</v>
      </c>
      <c r="G277" s="307">
        <f t="shared" si="50"/>
        <v>9615.3060549778729</v>
      </c>
      <c r="H277" s="306">
        <f>IF(N276&lt;0.01,0,IF(Adm!$S$3=Adm!$S$13,Cal!$E$94,IF(Adm!$R$3=Adm!$R$6,0,IF(Cal!$E$91=0,N276*Adm!$Y$3,N276*Adm!$X$3))))</f>
        <v>86.875587750806289</v>
      </c>
      <c r="I277" s="306">
        <f>IF(N276&lt;0.01,0,IF(Adm!$R$4=Adm!$R$6,0,Cal!$E$89*Adm!$AA$3))</f>
        <v>573.58240000000001</v>
      </c>
      <c r="J277" s="306">
        <f>IF(N276&lt;0.01,0,Adm!$O$3*1.16)</f>
        <v>290</v>
      </c>
      <c r="K277" s="306">
        <f>IF(N276&lt;0.01,0,IF(Adm!$N$3&gt;0,E277*Adm!$N$3,0))</f>
        <v>0</v>
      </c>
      <c r="L277" s="306">
        <f t="shared" si="38"/>
        <v>10565.764042728679</v>
      </c>
      <c r="M277" s="306">
        <f>IF(Adm!$F$3="si",MIN(N276+E277+H277+I277+J277-L277,Z277),0)</f>
        <v>0</v>
      </c>
      <c r="N277" s="306">
        <f t="shared" si="39"/>
        <v>194020.39817874346</v>
      </c>
      <c r="O277" s="361"/>
      <c r="P277" s="114"/>
      <c r="V277" s="571">
        <f t="shared" si="40"/>
        <v>7</v>
      </c>
      <c r="W277" s="293">
        <f>IF(V277=1,Adm!$AN$2,0)</f>
        <v>0</v>
      </c>
      <c r="Y277" s="304">
        <f t="shared" si="45"/>
        <v>0</v>
      </c>
      <c r="Z277" s="345">
        <f t="shared" ca="1" si="41"/>
        <v>0</v>
      </c>
      <c r="AB277" s="640">
        <f t="shared" si="46"/>
        <v>0</v>
      </c>
      <c r="AC277" s="639">
        <f t="shared" si="47"/>
        <v>0</v>
      </c>
      <c r="AD277" s="641">
        <f t="shared" si="42"/>
        <v>0</v>
      </c>
      <c r="AE277" s="639">
        <f t="shared" si="48"/>
        <v>0</v>
      </c>
      <c r="AF277" s="636">
        <f t="shared" si="35"/>
        <v>0</v>
      </c>
      <c r="AG277" s="637" t="e">
        <f>HLOOKUP($AG$110,anticipado,164,0)</f>
        <v>#N/A</v>
      </c>
      <c r="AI277" s="614">
        <v>5.2594859796524798E-2</v>
      </c>
      <c r="AJ277" s="615">
        <v>5.1663957194410907E-2</v>
      </c>
      <c r="AK277" s="616">
        <v>5.0625145033222282E-2</v>
      </c>
      <c r="AL277" s="616">
        <v>5.1338382193890135E-2</v>
      </c>
      <c r="AM277" s="617">
        <v>5.2594859796524798E-2</v>
      </c>
      <c r="AN277" s="617">
        <v>5.1663957194410907E-2</v>
      </c>
      <c r="AO277" s="617">
        <v>5.1437273201170086E-2</v>
      </c>
      <c r="AP277" s="617">
        <v>5.2344531144070658E-2</v>
      </c>
      <c r="AQ277" s="617">
        <v>5.3693580672579365E-2</v>
      </c>
      <c r="AR277" s="617">
        <v>5.2311821066886435E-2</v>
      </c>
      <c r="AS277" s="617">
        <v>5.1437273201170086E-2</v>
      </c>
      <c r="AT277" s="618">
        <v>5.1080919400965111E-2</v>
      </c>
      <c r="AU277" s="618">
        <v>8.4146030571930278E-3</v>
      </c>
      <c r="AV277" s="618">
        <v>8.3276731758812911E-3</v>
      </c>
      <c r="AW277" s="618">
        <v>8.0644450871315866E-3</v>
      </c>
      <c r="AX277" s="618">
        <v>8.6550653867590657E-3</v>
      </c>
      <c r="AY277" s="618">
        <v>8.4146030571930278E-3</v>
      </c>
      <c r="AZ277" s="618">
        <v>8.2039387762896324E-3</v>
      </c>
      <c r="BA277" s="618">
        <v>8.7403467245753038E-3</v>
      </c>
      <c r="BB277" s="618">
        <v>8.7032476111301178E-3</v>
      </c>
      <c r="BC277" s="618">
        <v>8.4844526532274964E-3</v>
      </c>
      <c r="BD277" s="618">
        <v>8.9055889801690595E-3</v>
      </c>
      <c r="BE277" s="617">
        <v>8.788944037286044E-3</v>
      </c>
      <c r="BF277" s="617">
        <v>8.6757507940366831E-3</v>
      </c>
      <c r="BG277" s="617"/>
      <c r="BH277" s="617"/>
      <c r="BI277" s="617"/>
      <c r="BJ277" s="617"/>
      <c r="BK277" s="617"/>
      <c r="BL277" s="617"/>
      <c r="BM277" s="617"/>
      <c r="BN277" s="617"/>
      <c r="BO277" s="617"/>
      <c r="BP277" s="617"/>
      <c r="BQ277" s="617"/>
      <c r="BR277" s="617"/>
      <c r="BS277" s="617"/>
      <c r="BT277" s="617"/>
      <c r="BU277" s="617"/>
      <c r="BV277" s="617"/>
      <c r="BW277" s="617"/>
      <c r="BX277" s="617"/>
      <c r="BY277" s="617"/>
      <c r="BZ277" s="617"/>
      <c r="CA277" s="617"/>
      <c r="CB277" s="617"/>
      <c r="CC277" s="617"/>
      <c r="CD277" s="617"/>
      <c r="CE277" s="617"/>
      <c r="CF277" s="617"/>
      <c r="CG277" s="617"/>
      <c r="CH277" s="617"/>
      <c r="CI277" s="617"/>
      <c r="CJ277" s="617"/>
      <c r="CK277" s="617"/>
      <c r="CL277" s="617"/>
    </row>
    <row r="278" spans="1:90">
      <c r="A278" s="151">
        <f t="shared" ca="1" si="34"/>
        <v>7</v>
      </c>
      <c r="B278" s="113">
        <f t="shared" si="36"/>
        <v>76</v>
      </c>
      <c r="C278" s="150">
        <f t="shared" si="43"/>
        <v>164</v>
      </c>
      <c r="D278" s="565">
        <f t="shared" si="44"/>
        <v>9.5000000000000001E-2</v>
      </c>
      <c r="E278" s="306">
        <f t="shared" si="37"/>
        <v>1535.9948189150525</v>
      </c>
      <c r="F278" s="306">
        <f t="shared" si="49"/>
        <v>8079.3112360628202</v>
      </c>
      <c r="G278" s="307">
        <f t="shared" si="50"/>
        <v>9615.3060549778729</v>
      </c>
      <c r="H278" s="306">
        <f>IF(N277&lt;0.01,0,IF(Adm!$S$3=Adm!$S$13,Cal!$E$94,IF(Adm!$R$3=Adm!$R$6,0,IF(Cal!$E$91=0,N277*Adm!$Y$3,N277*Adm!$X$3))))</f>
        <v>83.428771216859687</v>
      </c>
      <c r="I278" s="306">
        <f>IF(N277&lt;0.01,0,IF(Adm!$R$4=Adm!$R$6,0,Cal!$E$89*Adm!$AA$3))</f>
        <v>573.58240000000001</v>
      </c>
      <c r="J278" s="306">
        <f>IF(N277&lt;0.01,0,Adm!$O$3*1.16)</f>
        <v>290</v>
      </c>
      <c r="K278" s="306">
        <f>IF(N277&lt;0.01,0,IF(Adm!$N$3&gt;0,E278*Adm!$N$3,0))</f>
        <v>0</v>
      </c>
      <c r="L278" s="306">
        <f t="shared" si="38"/>
        <v>10562.317226194731</v>
      </c>
      <c r="M278" s="306">
        <f>IF(Adm!$F$3="si",MIN(N277+E278+H278+I278+J278-L278,Z278),0)</f>
        <v>0</v>
      </c>
      <c r="N278" s="306">
        <f t="shared" si="39"/>
        <v>185941.08694268065</v>
      </c>
      <c r="O278" s="361"/>
      <c r="P278" s="114"/>
      <c r="V278" s="571">
        <f t="shared" si="40"/>
        <v>8</v>
      </c>
      <c r="W278" s="293">
        <f>IF(V278=1,Adm!$AN$2,0)</f>
        <v>0</v>
      </c>
      <c r="Y278" s="304">
        <f t="shared" si="45"/>
        <v>0</v>
      </c>
      <c r="Z278" s="345">
        <f t="shared" ca="1" si="41"/>
        <v>0</v>
      </c>
      <c r="AB278" s="640">
        <f t="shared" si="46"/>
        <v>0</v>
      </c>
      <c r="AC278" s="639">
        <f t="shared" si="47"/>
        <v>0</v>
      </c>
      <c r="AD278" s="641">
        <f t="shared" si="42"/>
        <v>0</v>
      </c>
      <c r="AE278" s="639">
        <f t="shared" si="48"/>
        <v>0</v>
      </c>
      <c r="AF278" s="636">
        <f t="shared" si="35"/>
        <v>0</v>
      </c>
      <c r="AG278" s="637" t="e">
        <f>HLOOKUP($AG$110,anticipado,165,0)</f>
        <v>#N/A</v>
      </c>
      <c r="AI278" s="614">
        <v>5.5993458565019555E-2</v>
      </c>
      <c r="AJ278" s="615">
        <v>5.4972926528995714E-2</v>
      </c>
      <c r="AK278" s="616">
        <v>5.3826413250150189E-2</v>
      </c>
      <c r="AL278" s="616">
        <v>5.4567164154241454E-2</v>
      </c>
      <c r="AM278" s="617">
        <v>5.5993458565019555E-2</v>
      </c>
      <c r="AN278" s="617">
        <v>5.4972926528995714E-2</v>
      </c>
      <c r="AO278" s="617">
        <v>5.4655831905085106E-2</v>
      </c>
      <c r="AP278" s="617">
        <v>5.5693361224867073E-2</v>
      </c>
      <c r="AQ278" s="617">
        <v>5.7227182937047129E-2</v>
      </c>
      <c r="AR278" s="617">
        <v>5.5620297766995452E-2</v>
      </c>
      <c r="AS278" s="617">
        <v>5.4655831905085106E-2</v>
      </c>
      <c r="AT278" s="618">
        <v>5.4274292049415349E-2</v>
      </c>
      <c r="AU278" s="618">
        <v>8.5630199941587083E-3</v>
      </c>
      <c r="AV278" s="618">
        <v>8.4766131650882686E-3</v>
      </c>
      <c r="AW278" s="618">
        <v>8.2105639392255139E-3</v>
      </c>
      <c r="AX278" s="618">
        <v>8.8059312363618792E-3</v>
      </c>
      <c r="AY278" s="618">
        <v>8.5630199941587083E-3</v>
      </c>
      <c r="AZ278" s="618">
        <v>8.3503132874812487E-3</v>
      </c>
      <c r="BA278" s="618">
        <v>8.8904515591085188E-3</v>
      </c>
      <c r="BB278" s="618">
        <v>8.8550178998422994E-3</v>
      </c>
      <c r="BC278" s="618">
        <v>8.6350663918754317E-3</v>
      </c>
      <c r="BD278" s="618">
        <v>9.0567472279043989E-3</v>
      </c>
      <c r="BE278" s="617">
        <v>8.9388439657617953E-3</v>
      </c>
      <c r="BF278" s="617">
        <v>8.8260674373639263E-3</v>
      </c>
      <c r="BG278" s="617"/>
      <c r="BH278" s="617"/>
      <c r="BI278" s="617"/>
      <c r="BJ278" s="617"/>
      <c r="BK278" s="617"/>
      <c r="BL278" s="617"/>
      <c r="BM278" s="617"/>
      <c r="BN278" s="617"/>
      <c r="BO278" s="617"/>
      <c r="BP278" s="617"/>
      <c r="BQ278" s="617"/>
      <c r="BR278" s="617"/>
      <c r="BS278" s="617"/>
      <c r="BT278" s="617"/>
      <c r="BU278" s="617"/>
      <c r="BV278" s="617"/>
      <c r="BW278" s="617"/>
      <c r="BX278" s="617"/>
      <c r="BY278" s="617"/>
      <c r="BZ278" s="617"/>
      <c r="CA278" s="617"/>
      <c r="CB278" s="617"/>
      <c r="CC278" s="617"/>
      <c r="CD278" s="617"/>
      <c r="CE278" s="617"/>
      <c r="CF278" s="617"/>
      <c r="CG278" s="617"/>
      <c r="CH278" s="617"/>
      <c r="CI278" s="617"/>
      <c r="CJ278" s="617"/>
      <c r="CK278" s="617"/>
      <c r="CL278" s="617"/>
    </row>
    <row r="279" spans="1:90">
      <c r="A279" s="151">
        <f t="shared" ca="1" si="34"/>
        <v>8</v>
      </c>
      <c r="B279" s="113">
        <f t="shared" si="36"/>
        <v>75</v>
      </c>
      <c r="C279" s="150">
        <f t="shared" si="43"/>
        <v>165</v>
      </c>
      <c r="D279" s="565">
        <f t="shared" si="44"/>
        <v>9.5000000000000001E-2</v>
      </c>
      <c r="E279" s="306">
        <f t="shared" si="37"/>
        <v>1472.0336049628886</v>
      </c>
      <c r="F279" s="306">
        <f t="shared" si="49"/>
        <v>8143.2724500149843</v>
      </c>
      <c r="G279" s="307">
        <f t="shared" si="50"/>
        <v>9615.3060549778729</v>
      </c>
      <c r="H279" s="306">
        <f>IF(N278&lt;0.01,0,IF(Adm!$S$3=Adm!$S$13,Cal!$E$94,IF(Adm!$R$3=Adm!$R$6,0,IF(Cal!$E$91=0,N278*Adm!$Y$3,N278*Adm!$X$3))))</f>
        <v>79.954667385352678</v>
      </c>
      <c r="I279" s="306">
        <f>IF(N278&lt;0.01,0,IF(Adm!$R$4=Adm!$R$6,0,Cal!$E$89*Adm!$AA$3))</f>
        <v>573.58240000000001</v>
      </c>
      <c r="J279" s="306">
        <f>IF(N278&lt;0.01,0,Adm!$O$3*1.16)</f>
        <v>290</v>
      </c>
      <c r="K279" s="306">
        <f>IF(N278&lt;0.01,0,IF(Adm!$N$3&gt;0,E279*Adm!$N$3,0))</f>
        <v>0</v>
      </c>
      <c r="L279" s="306">
        <f t="shared" si="38"/>
        <v>10558.843122363225</v>
      </c>
      <c r="M279" s="306">
        <f>IF(Adm!$F$3="si",MIN(N278+E279+H279+I279+J279-L279,Z279),0)</f>
        <v>0</v>
      </c>
      <c r="N279" s="306">
        <f t="shared" si="39"/>
        <v>177797.81449266567</v>
      </c>
      <c r="O279" s="361"/>
      <c r="P279" s="114"/>
      <c r="V279" s="571">
        <f t="shared" si="40"/>
        <v>9</v>
      </c>
      <c r="W279" s="293">
        <f>IF(V279=1,Adm!$AN$2,0)</f>
        <v>0</v>
      </c>
      <c r="Y279" s="304">
        <f t="shared" si="45"/>
        <v>0</v>
      </c>
      <c r="Z279" s="345">
        <f t="shared" ca="1" si="41"/>
        <v>0</v>
      </c>
      <c r="AB279" s="640">
        <f t="shared" si="46"/>
        <v>0</v>
      </c>
      <c r="AC279" s="639">
        <f t="shared" si="47"/>
        <v>0</v>
      </c>
      <c r="AD279" s="641">
        <f t="shared" si="42"/>
        <v>0</v>
      </c>
      <c r="AE279" s="639">
        <f t="shared" si="48"/>
        <v>0</v>
      </c>
      <c r="AF279" s="636">
        <f t="shared" si="35"/>
        <v>0</v>
      </c>
      <c r="AG279" s="637" t="e">
        <f>HLOOKUP($AG$110,anticipado,166,0)</f>
        <v>#N/A</v>
      </c>
      <c r="AI279" s="614">
        <v>5.9826282622251009E-2</v>
      </c>
      <c r="AJ279" s="615">
        <v>5.869864196959259E-2</v>
      </c>
      <c r="AK279" s="616">
        <v>5.7423744278025282E-2</v>
      </c>
      <c r="AL279" s="616">
        <v>5.8197085725930846E-2</v>
      </c>
      <c r="AM279" s="617">
        <v>5.9826282622251009E-2</v>
      </c>
      <c r="AN279" s="617">
        <v>5.869864196959259E-2</v>
      </c>
      <c r="AO279" s="617">
        <v>5.8273511136883636E-2</v>
      </c>
      <c r="AP279" s="617">
        <v>5.9466581716702792E-2</v>
      </c>
      <c r="AQ279" s="617">
        <v>6.1221942210569008E-2</v>
      </c>
      <c r="AR279" s="617">
        <v>5.9345200246204668E-2</v>
      </c>
      <c r="AS279" s="617">
        <v>5.8273511136883636E-2</v>
      </c>
      <c r="AT279" s="618">
        <v>5.7862023008382911E-2</v>
      </c>
      <c r="AU279" s="618">
        <v>8.7153591956543614E-3</v>
      </c>
      <c r="AV279" s="618">
        <v>8.6295130108794624E-3</v>
      </c>
      <c r="AW279" s="618">
        <v>8.3605618714030095E-3</v>
      </c>
      <c r="AX279" s="618">
        <v>8.9607904982263297E-3</v>
      </c>
      <c r="AY279" s="618">
        <v>8.7153591956543614E-3</v>
      </c>
      <c r="AZ279" s="618">
        <v>8.5005539665057219E-3</v>
      </c>
      <c r="BA279" s="618">
        <v>9.0445038562667768E-3</v>
      </c>
      <c r="BB279" s="618">
        <v>9.0108143928904847E-3</v>
      </c>
      <c r="BC279" s="618">
        <v>8.7896889615617195E-3</v>
      </c>
      <c r="BD279" s="618">
        <v>9.2118761102169804E-3</v>
      </c>
      <c r="BE279" s="617">
        <v>9.0926755909560755E-3</v>
      </c>
      <c r="BF279" s="617">
        <v>8.9803501869426226E-3</v>
      </c>
      <c r="BG279" s="617"/>
      <c r="BH279" s="617"/>
      <c r="BI279" s="617"/>
      <c r="BJ279" s="617"/>
      <c r="BK279" s="617"/>
      <c r="BL279" s="617"/>
      <c r="BM279" s="617"/>
      <c r="BN279" s="617"/>
      <c r="BO279" s="617"/>
      <c r="BP279" s="617"/>
      <c r="BQ279" s="617"/>
      <c r="BR279" s="617"/>
      <c r="BS279" s="617"/>
      <c r="BT279" s="617"/>
      <c r="BU279" s="617"/>
      <c r="BV279" s="617"/>
      <c r="BW279" s="617"/>
      <c r="BX279" s="617"/>
      <c r="BY279" s="617"/>
      <c r="BZ279" s="617"/>
      <c r="CA279" s="617"/>
      <c r="CB279" s="617"/>
      <c r="CC279" s="617"/>
      <c r="CD279" s="617"/>
      <c r="CE279" s="617"/>
      <c r="CF279" s="617"/>
      <c r="CG279" s="617"/>
      <c r="CH279" s="617"/>
      <c r="CI279" s="617"/>
      <c r="CJ279" s="617"/>
      <c r="CK279" s="617"/>
      <c r="CL279" s="617"/>
    </row>
    <row r="280" spans="1:90">
      <c r="A280" s="151">
        <f t="shared" ca="1" si="34"/>
        <v>9</v>
      </c>
      <c r="B280" s="113">
        <f t="shared" si="36"/>
        <v>74</v>
      </c>
      <c r="C280" s="150">
        <f t="shared" si="43"/>
        <v>166</v>
      </c>
      <c r="D280" s="565">
        <f t="shared" si="44"/>
        <v>9.5000000000000001E-2</v>
      </c>
      <c r="E280" s="306">
        <f t="shared" si="37"/>
        <v>1407.5660314002698</v>
      </c>
      <c r="F280" s="306">
        <f t="shared" si="49"/>
        <v>8207.740023577604</v>
      </c>
      <c r="G280" s="307">
        <f t="shared" si="50"/>
        <v>9615.3060549778729</v>
      </c>
      <c r="H280" s="306">
        <f>IF(N279&lt;0.01,0,IF(Adm!$S$3=Adm!$S$13,Cal!$E$94,IF(Adm!$R$3=Adm!$R$6,0,IF(Cal!$E$91=0,N279*Adm!$Y$3,N279*Adm!$X$3))))</f>
        <v>76.453060231846237</v>
      </c>
      <c r="I280" s="306">
        <f>IF(N279&lt;0.01,0,IF(Adm!$R$4=Adm!$R$6,0,Cal!$E$89*Adm!$AA$3))</f>
        <v>573.58240000000001</v>
      </c>
      <c r="J280" s="306">
        <f>IF(N279&lt;0.01,0,Adm!$O$3*1.16)</f>
        <v>290</v>
      </c>
      <c r="K280" s="306">
        <f>IF(N279&lt;0.01,0,IF(Adm!$N$3&gt;0,E280*Adm!$N$3,0))</f>
        <v>0</v>
      </c>
      <c r="L280" s="306">
        <f t="shared" si="38"/>
        <v>10555.341515209719</v>
      </c>
      <c r="M280" s="306">
        <f>IF(Adm!$F$3="si",MIN(N279+E280+H280+I280+J280-L280,Z280),0)</f>
        <v>0</v>
      </c>
      <c r="N280" s="306">
        <f t="shared" si="39"/>
        <v>169590.07446908805</v>
      </c>
      <c r="O280" s="361"/>
      <c r="P280" s="114"/>
      <c r="V280" s="571">
        <f t="shared" si="40"/>
        <v>10</v>
      </c>
      <c r="W280" s="293">
        <f>IF(V280=1,Adm!$AN$2,0)</f>
        <v>0</v>
      </c>
      <c r="Y280" s="304">
        <f t="shared" si="45"/>
        <v>0</v>
      </c>
      <c r="Z280" s="345">
        <f t="shared" ca="1" si="41"/>
        <v>0</v>
      </c>
      <c r="AB280" s="640">
        <f t="shared" si="46"/>
        <v>0</v>
      </c>
      <c r="AC280" s="639">
        <f t="shared" si="47"/>
        <v>0</v>
      </c>
      <c r="AD280" s="641">
        <f t="shared" si="42"/>
        <v>0</v>
      </c>
      <c r="AE280" s="639">
        <f t="shared" si="48"/>
        <v>0</v>
      </c>
      <c r="AF280" s="636">
        <f t="shared" si="35"/>
        <v>0</v>
      </c>
      <c r="AG280" s="637" t="e">
        <f>HLOOKUP($AG$110,anticipado,167,0)</f>
        <v>#N/A</v>
      </c>
      <c r="AI280" s="614">
        <v>6.4182058267028969E-2</v>
      </c>
      <c r="AJ280" s="615">
        <v>6.2924940711233154E-2</v>
      </c>
      <c r="AK280" s="616">
        <v>6.1495296166826308E-2</v>
      </c>
      <c r="AL280" s="616">
        <v>6.2307703209678746E-2</v>
      </c>
      <c r="AM280" s="617">
        <v>6.4182058267028969E-2</v>
      </c>
      <c r="AN280" s="617">
        <v>6.2924940711233154E-2</v>
      </c>
      <c r="AO280" s="617">
        <v>6.2369322509933108E-2</v>
      </c>
      <c r="AP280" s="617">
        <v>6.3750167798073812E-2</v>
      </c>
      <c r="AQ280" s="617">
        <v>6.5774258394231039E-2</v>
      </c>
      <c r="AR280" s="617">
        <v>6.3570299554877391E-2</v>
      </c>
      <c r="AS280" s="617">
        <v>6.2369322509933108E-2</v>
      </c>
      <c r="AT280" s="618">
        <v>6.1921824551602903E-2</v>
      </c>
      <c r="AU280" s="618">
        <v>8.8717717579271244E-3</v>
      </c>
      <c r="AV280" s="618">
        <v>8.7865257843667745E-3</v>
      </c>
      <c r="AW280" s="618">
        <v>8.5145878437560465E-3</v>
      </c>
      <c r="AX280" s="618">
        <v>9.1197979147739829E-3</v>
      </c>
      <c r="AY280" s="618">
        <v>8.8717717579271244E-3</v>
      </c>
      <c r="AZ280" s="618">
        <v>8.6548090627454749E-3</v>
      </c>
      <c r="BA280" s="618">
        <v>9.2026559538049384E-3</v>
      </c>
      <c r="BB280" s="618">
        <v>9.1707935348071274E-3</v>
      </c>
      <c r="BC280" s="618">
        <v>8.9484759461748494E-3</v>
      </c>
      <c r="BD280" s="618">
        <v>9.3711291434383972E-3</v>
      </c>
      <c r="BE280" s="617">
        <v>9.2505904256007954E-3</v>
      </c>
      <c r="BF280" s="617">
        <v>9.1387523599961475E-3</v>
      </c>
      <c r="BG280" s="617"/>
      <c r="BH280" s="617"/>
      <c r="BI280" s="617"/>
      <c r="BJ280" s="617"/>
      <c r="BK280" s="617"/>
      <c r="BL280" s="617"/>
      <c r="BM280" s="617"/>
      <c r="BN280" s="617"/>
      <c r="BO280" s="617"/>
      <c r="BP280" s="617"/>
      <c r="BQ280" s="617"/>
      <c r="BR280" s="617"/>
      <c r="BS280" s="617"/>
      <c r="BT280" s="617"/>
      <c r="BU280" s="617"/>
      <c r="BV280" s="617"/>
      <c r="BW280" s="617"/>
      <c r="BX280" s="617"/>
      <c r="BY280" s="617"/>
      <c r="BZ280" s="617"/>
      <c r="CA280" s="617"/>
      <c r="CB280" s="617"/>
      <c r="CC280" s="617"/>
      <c r="CD280" s="617"/>
      <c r="CE280" s="617"/>
      <c r="CF280" s="617"/>
      <c r="CG280" s="617"/>
      <c r="CH280" s="617"/>
      <c r="CI280" s="617"/>
      <c r="CJ280" s="617"/>
      <c r="CK280" s="617"/>
      <c r="CL280" s="617"/>
    </row>
    <row r="281" spans="1:90">
      <c r="A281" s="151">
        <f t="shared" ca="1" si="34"/>
        <v>10</v>
      </c>
      <c r="B281" s="113">
        <f t="shared" si="36"/>
        <v>73</v>
      </c>
      <c r="C281" s="150">
        <f t="shared" si="43"/>
        <v>167</v>
      </c>
      <c r="D281" s="565">
        <f t="shared" si="44"/>
        <v>9.5000000000000001E-2</v>
      </c>
      <c r="E281" s="306">
        <f t="shared" si="37"/>
        <v>1342.588089546947</v>
      </c>
      <c r="F281" s="306">
        <f t="shared" si="49"/>
        <v>8272.7179654309257</v>
      </c>
      <c r="G281" s="307">
        <f t="shared" si="50"/>
        <v>9615.3060549778729</v>
      </c>
      <c r="H281" s="306">
        <f>IF(N280&lt;0.01,0,IF(Adm!$S$3=Adm!$S$13,Cal!$E$94,IF(Adm!$R$3=Adm!$R$6,0,IF(Cal!$E$91=0,N280*Adm!$Y$3,N280*Adm!$X$3))))</f>
        <v>72.923732021707863</v>
      </c>
      <c r="I281" s="306">
        <f>IF(N280&lt;0.01,0,IF(Adm!$R$4=Adm!$R$6,0,Cal!$E$89*Adm!$AA$3))</f>
        <v>573.58240000000001</v>
      </c>
      <c r="J281" s="306">
        <f>IF(N280&lt;0.01,0,Adm!$O$3*1.16)</f>
        <v>290</v>
      </c>
      <c r="K281" s="306">
        <f>IF(N280&lt;0.01,0,IF(Adm!$N$3&gt;0,E281*Adm!$N$3,0))</f>
        <v>0</v>
      </c>
      <c r="L281" s="306">
        <f t="shared" si="38"/>
        <v>10551.812186999579</v>
      </c>
      <c r="M281" s="306">
        <f>IF(Adm!$F$3="si",MIN(N280+E281+H281+I281+J281-L281,Z281),0)</f>
        <v>0</v>
      </c>
      <c r="N281" s="306">
        <f t="shared" si="39"/>
        <v>161317.35650365712</v>
      </c>
      <c r="O281" s="361"/>
      <c r="P281" s="114"/>
      <c r="V281" s="571">
        <f t="shared" si="40"/>
        <v>11</v>
      </c>
      <c r="W281" s="293">
        <f>IF(V281=1,Adm!$AN$2,0)</f>
        <v>0</v>
      </c>
      <c r="Y281" s="304">
        <f t="shared" si="45"/>
        <v>0</v>
      </c>
      <c r="Z281" s="345">
        <f t="shared" ca="1" si="41"/>
        <v>0</v>
      </c>
      <c r="AB281" s="640">
        <f t="shared" si="46"/>
        <v>0</v>
      </c>
      <c r="AC281" s="639">
        <f t="shared" si="47"/>
        <v>0</v>
      </c>
      <c r="AD281" s="641">
        <f t="shared" si="42"/>
        <v>0</v>
      </c>
      <c r="AE281" s="639">
        <f t="shared" si="48"/>
        <v>0</v>
      </c>
      <c r="AF281" s="636">
        <f t="shared" si="35"/>
        <v>0</v>
      </c>
      <c r="AG281" s="637" t="e">
        <f>HLOOKUP($AG$110,anticipado,168,0)</f>
        <v>#N/A</v>
      </c>
      <c r="AI281" s="614">
        <v>6.9175451370063548E-2</v>
      </c>
      <c r="AJ281" s="615">
        <v>6.7759763659039851E-2</v>
      </c>
      <c r="AK281" s="616">
        <v>6.6141239525028483E-2</v>
      </c>
      <c r="AL281" s="616">
        <v>6.7001099458693786E-2</v>
      </c>
      <c r="AM281" s="617">
        <v>6.9175451370063548E-2</v>
      </c>
      <c r="AN281" s="617">
        <v>6.7759763659039851E-2</v>
      </c>
      <c r="AO281" s="617">
        <v>6.7044606320633152E-2</v>
      </c>
      <c r="AP281" s="617">
        <v>6.8654999421284765E-2</v>
      </c>
      <c r="AQ281" s="617">
        <v>7.1009412205616171E-2</v>
      </c>
      <c r="AR281" s="617">
        <v>6.8403450956900883E-2</v>
      </c>
      <c r="AS281" s="617">
        <v>6.7044606320633152E-2</v>
      </c>
      <c r="AT281" s="618">
        <v>6.6553263067981233E-2</v>
      </c>
      <c r="AU281" s="618">
        <v>9.0324166253529497E-3</v>
      </c>
      <c r="AV281" s="618">
        <v>8.9478125333257736E-3</v>
      </c>
      <c r="AW281" s="618">
        <v>8.6727985231847844E-3</v>
      </c>
      <c r="AX281" s="618">
        <v>9.2831163166157849E-3</v>
      </c>
      <c r="AY281" s="618">
        <v>9.0324166253529497E-3</v>
      </c>
      <c r="AZ281" s="618">
        <v>8.8132344871441372E-3</v>
      </c>
      <c r="BA281" s="618">
        <v>9.3650681205193782E-3</v>
      </c>
      <c r="BB281" s="618">
        <v>9.3351199705198444E-3</v>
      </c>
      <c r="BC281" s="618">
        <v>9.1115910720907974E-3</v>
      </c>
      <c r="BD281" s="618">
        <v>9.5346678529470413E-3</v>
      </c>
      <c r="BE281" s="617">
        <v>9.4127478597855838E-3</v>
      </c>
      <c r="BF281" s="617">
        <v>9.3014352685680916E-3</v>
      </c>
      <c r="BG281" s="617"/>
      <c r="BH281" s="617"/>
      <c r="BI281" s="617"/>
      <c r="BJ281" s="617"/>
      <c r="BK281" s="617"/>
      <c r="BL281" s="617"/>
      <c r="BM281" s="617"/>
      <c r="BN281" s="617"/>
      <c r="BO281" s="617"/>
      <c r="BP281" s="617"/>
      <c r="BQ281" s="617"/>
      <c r="BR281" s="617"/>
      <c r="BS281" s="617"/>
      <c r="BT281" s="617"/>
      <c r="BU281" s="617"/>
      <c r="BV281" s="617"/>
      <c r="BW281" s="617"/>
      <c r="BX281" s="617"/>
      <c r="BY281" s="617"/>
      <c r="BZ281" s="617"/>
      <c r="CA281" s="617"/>
      <c r="CB281" s="617"/>
      <c r="CC281" s="617"/>
      <c r="CD281" s="617"/>
      <c r="CE281" s="617"/>
      <c r="CF281" s="617"/>
      <c r="CG281" s="617"/>
      <c r="CH281" s="617"/>
      <c r="CI281" s="617"/>
      <c r="CJ281" s="617"/>
      <c r="CK281" s="617"/>
      <c r="CL281" s="617"/>
    </row>
    <row r="282" spans="1:90">
      <c r="A282" s="151">
        <f t="shared" ca="1" si="34"/>
        <v>11</v>
      </c>
      <c r="B282" s="113">
        <f t="shared" si="36"/>
        <v>72</v>
      </c>
      <c r="C282" s="150">
        <f t="shared" si="43"/>
        <v>168</v>
      </c>
      <c r="D282" s="565">
        <f t="shared" si="44"/>
        <v>9.5000000000000001E-2</v>
      </c>
      <c r="E282" s="306">
        <f t="shared" si="37"/>
        <v>1277.0957389872856</v>
      </c>
      <c r="F282" s="306">
        <f t="shared" si="49"/>
        <v>8338.2103159905873</v>
      </c>
      <c r="G282" s="307">
        <f t="shared" si="50"/>
        <v>9615.3060549778729</v>
      </c>
      <c r="H282" s="306">
        <f>IF(N281&lt;0.01,0,IF(Adm!$S$3=Adm!$S$13,Cal!$E$94,IF(Adm!$R$3=Adm!$R$6,0,IF(Cal!$E$91=0,N281*Adm!$Y$3,N281*Adm!$X$3))))</f>
        <v>69.366463296572562</v>
      </c>
      <c r="I282" s="306">
        <f>IF(N281&lt;0.01,0,IF(Adm!$R$4=Adm!$R$6,0,Cal!$E$89*Adm!$AA$3))</f>
        <v>573.58240000000001</v>
      </c>
      <c r="J282" s="306">
        <f>IF(N281&lt;0.01,0,Adm!$O$3*1.16)</f>
        <v>290</v>
      </c>
      <c r="K282" s="306">
        <f>IF(N281&lt;0.01,0,IF(Adm!$N$3&gt;0,E282*Adm!$N$3,0))</f>
        <v>0</v>
      </c>
      <c r="L282" s="306">
        <f t="shared" si="38"/>
        <v>10548.254918274444</v>
      </c>
      <c r="M282" s="306">
        <f>IF(Adm!$F$3="si",MIN(N281+E282+H282+I282+J282-L282,Z282),0)</f>
        <v>0</v>
      </c>
      <c r="N282" s="306">
        <f t="shared" si="39"/>
        <v>152979.14618766654</v>
      </c>
      <c r="O282" s="361"/>
      <c r="P282" s="114"/>
      <c r="V282" s="571">
        <f t="shared" si="40"/>
        <v>12</v>
      </c>
      <c r="W282" s="293">
        <f>IF(V282=1,Adm!$AN$2,0)</f>
        <v>0</v>
      </c>
      <c r="Y282" s="304">
        <f t="shared" si="45"/>
        <v>0</v>
      </c>
      <c r="Z282" s="345">
        <f t="shared" ca="1" si="41"/>
        <v>0</v>
      </c>
      <c r="AB282" s="640">
        <f t="shared" si="46"/>
        <v>0</v>
      </c>
      <c r="AC282" s="639">
        <f t="shared" si="47"/>
        <v>0</v>
      </c>
      <c r="AD282" s="641">
        <f t="shared" si="42"/>
        <v>0</v>
      </c>
      <c r="AE282" s="639">
        <f t="shared" si="48"/>
        <v>0</v>
      </c>
      <c r="AF282" s="636">
        <f t="shared" si="35"/>
        <v>0</v>
      </c>
      <c r="AG282" s="637" t="e">
        <f>HLOOKUP($AG$110,anticipado,169,0)</f>
        <v>#N/A</v>
      </c>
      <c r="AI282" s="614">
        <v>7.495729430516912E-2</v>
      </c>
      <c r="AJ282" s="615">
        <v>7.3344488736740279E-2</v>
      </c>
      <c r="AK282" s="616">
        <v>7.1492094071702122E-2</v>
      </c>
      <c r="AL282" s="616">
        <v>7.2410464334407232E-2</v>
      </c>
      <c r="AM282" s="617">
        <v>7.495729430516912E-2</v>
      </c>
      <c r="AN282" s="617">
        <v>7.3344488736740279E-2</v>
      </c>
      <c r="AO282" s="617">
        <v>7.2431518782660506E-2</v>
      </c>
      <c r="AP282" s="617">
        <v>7.4326583192562523E-2</v>
      </c>
      <c r="AQ282" s="617">
        <v>7.7093256488657419E-2</v>
      </c>
      <c r="AR282" s="617">
        <v>7.3985919485473006E-2</v>
      </c>
      <c r="AS282" s="617">
        <v>7.2431518782660506E-2</v>
      </c>
      <c r="AT282" s="618">
        <v>7.1886022225875992E-2</v>
      </c>
      <c r="AU282" s="618">
        <v>9.1974611068404918E-3</v>
      </c>
      <c r="AV282" s="618">
        <v>9.1135428088111609E-3</v>
      </c>
      <c r="AW282" s="618">
        <v>8.8353587885383854E-3</v>
      </c>
      <c r="AX282" s="618">
        <v>9.4509171581241645E-3</v>
      </c>
      <c r="AY282" s="618">
        <v>9.1974611068404918E-3</v>
      </c>
      <c r="AZ282" s="618">
        <v>8.9759943137940178E-3</v>
      </c>
      <c r="BA282" s="618">
        <v>9.5319090792972284E-3</v>
      </c>
      <c r="BB282" s="618">
        <v>9.5039670899136897E-3</v>
      </c>
      <c r="BC282" s="618">
        <v>9.2792067480597304E-3</v>
      </c>
      <c r="BD282" s="618">
        <v>9.702662302459468E-3</v>
      </c>
      <c r="BE282" s="617">
        <v>9.579315679743558E-3</v>
      </c>
      <c r="BF282" s="617">
        <v>9.468568747643109E-3</v>
      </c>
      <c r="BG282" s="617"/>
      <c r="BH282" s="617"/>
      <c r="BI282" s="617"/>
      <c r="BJ282" s="617"/>
      <c r="BK282" s="617"/>
      <c r="BL282" s="617"/>
      <c r="BM282" s="617"/>
      <c r="BN282" s="617"/>
      <c r="BO282" s="617"/>
      <c r="BP282" s="617"/>
      <c r="BQ282" s="617"/>
      <c r="BR282" s="617"/>
      <c r="BS282" s="617"/>
      <c r="BT282" s="617"/>
      <c r="BU282" s="617"/>
      <c r="BV282" s="617"/>
      <c r="BW282" s="617"/>
      <c r="BX282" s="617"/>
      <c r="BY282" s="617"/>
      <c r="BZ282" s="617"/>
      <c r="CA282" s="617"/>
      <c r="CB282" s="617"/>
      <c r="CC282" s="617"/>
      <c r="CD282" s="617"/>
      <c r="CE282" s="617"/>
      <c r="CF282" s="617"/>
      <c r="CG282" s="617"/>
      <c r="CH282" s="617"/>
      <c r="CI282" s="617"/>
      <c r="CJ282" s="617"/>
      <c r="CK282" s="617"/>
      <c r="CL282" s="617"/>
    </row>
    <row r="283" spans="1:90">
      <c r="A283" s="151">
        <f t="shared" ca="1" si="34"/>
        <v>12</v>
      </c>
      <c r="B283" s="113">
        <f t="shared" si="36"/>
        <v>71</v>
      </c>
      <c r="C283" s="150">
        <f t="shared" si="43"/>
        <v>169</v>
      </c>
      <c r="D283" s="565">
        <f t="shared" si="44"/>
        <v>9.5000000000000001E-2</v>
      </c>
      <c r="E283" s="306">
        <f t="shared" si="37"/>
        <v>1211.0849073190268</v>
      </c>
      <c r="F283" s="306">
        <f t="shared" si="49"/>
        <v>8404.2211476588454</v>
      </c>
      <c r="G283" s="307">
        <f t="shared" si="50"/>
        <v>9615.3060549778729</v>
      </c>
      <c r="H283" s="306">
        <f>IF(N282&lt;0.01,0,IF(Adm!$S$3=Adm!$S$13,Cal!$E$94,IF(Adm!$R$3=Adm!$R$6,0,IF(Cal!$E$91=0,N282*Adm!$Y$3,N282*Adm!$X$3))))</f>
        <v>65.781032860696612</v>
      </c>
      <c r="I283" s="306">
        <f>IF(N282&lt;0.01,0,IF(Adm!$R$4=Adm!$R$6,0,Cal!$E$89*Adm!$AA$3))</f>
        <v>573.58240000000001</v>
      </c>
      <c r="J283" s="306">
        <f>IF(N282&lt;0.01,0,Adm!$O$3*1.16)</f>
        <v>290</v>
      </c>
      <c r="K283" s="306">
        <f>IF(N282&lt;0.01,0,IF(Adm!$N$3&gt;0,E283*Adm!$N$3,0))</f>
        <v>0</v>
      </c>
      <c r="L283" s="306">
        <f t="shared" si="38"/>
        <v>10544.66948783857</v>
      </c>
      <c r="M283" s="306">
        <f>IF(Adm!$F$3="si",MIN(N282+E283+H283+I283+J283-L283,Z283),0)</f>
        <v>0</v>
      </c>
      <c r="N283" s="306">
        <f t="shared" si="39"/>
        <v>144574.92504000769</v>
      </c>
      <c r="O283" s="361"/>
      <c r="P283" s="114"/>
      <c r="V283" s="571">
        <f t="shared" si="40"/>
        <v>1</v>
      </c>
      <c r="W283" s="293">
        <f>IF(V283=1,Adm!$AN$2,0)</f>
        <v>0</v>
      </c>
      <c r="Y283" s="304">
        <f t="shared" si="45"/>
        <v>0</v>
      </c>
      <c r="Z283" s="345">
        <f t="shared" ca="1" si="41"/>
        <v>0</v>
      </c>
      <c r="AB283" s="640">
        <f t="shared" si="46"/>
        <v>0</v>
      </c>
      <c r="AC283" s="639">
        <f t="shared" si="47"/>
        <v>0</v>
      </c>
      <c r="AD283" s="641">
        <f t="shared" si="42"/>
        <v>0</v>
      </c>
      <c r="AE283" s="639">
        <f t="shared" si="48"/>
        <v>0</v>
      </c>
      <c r="AF283" s="636">
        <f t="shared" si="35"/>
        <v>0</v>
      </c>
      <c r="AG283" s="637" t="e">
        <f>HLOOKUP($AG$110,anticipado,170,0)</f>
        <v>#N/A</v>
      </c>
      <c r="AI283" s="614">
        <v>8.3988942183833903E-2</v>
      </c>
      <c r="AJ283" s="615">
        <v>8.2091539159726973E-2</v>
      </c>
      <c r="AK283" s="616">
        <v>7.9899401755101004E-2</v>
      </c>
      <c r="AL283" s="616">
        <v>8.0888868592628421E-2</v>
      </c>
      <c r="AM283" s="617">
        <v>8.3988942183833903E-2</v>
      </c>
      <c r="AN283" s="617">
        <v>8.2091539159726973E-2</v>
      </c>
      <c r="AO283" s="617">
        <v>8.087126840576625E-2</v>
      </c>
      <c r="AP283" s="617">
        <v>8.3190790155142871E-2</v>
      </c>
      <c r="AQ283" s="617">
        <v>8.657092270062014E-2</v>
      </c>
      <c r="AR283" s="617">
        <v>8.2709687379840066E-2</v>
      </c>
      <c r="AS283" s="617">
        <v>8.087126840576625E-2</v>
      </c>
      <c r="AT283" s="618">
        <v>8.0250569288909571E-2</v>
      </c>
      <c r="AU283" s="618">
        <v>9.5515022478903453E-3</v>
      </c>
      <c r="AV283" s="618">
        <v>9.4708175197259631E-3</v>
      </c>
      <c r="AW283" s="618">
        <v>9.1915500321100314E-3</v>
      </c>
      <c r="AX283" s="618">
        <v>9.80586490709494E-3</v>
      </c>
      <c r="AY283" s="618">
        <v>9.5515022478903453E-3</v>
      </c>
      <c r="AZ283" s="618">
        <v>9.3296106013345467E-3</v>
      </c>
      <c r="BA283" s="618">
        <v>9.8832234711679311E-3</v>
      </c>
      <c r="BB283" s="618">
        <v>9.8601261258705938E-3</v>
      </c>
      <c r="BC283" s="618">
        <v>9.6371863617806842E-3</v>
      </c>
      <c r="BD283" s="618">
        <v>1.0053211249184658E-2</v>
      </c>
      <c r="BE283" s="617">
        <v>9.9291420011327642E-3</v>
      </c>
      <c r="BF283" s="617">
        <v>9.821735042949812E-3</v>
      </c>
      <c r="BG283" s="617"/>
      <c r="BH283" s="617"/>
      <c r="BI283" s="617"/>
      <c r="BJ283" s="617"/>
      <c r="BK283" s="617"/>
      <c r="BL283" s="617"/>
      <c r="BM283" s="617"/>
      <c r="BN283" s="617"/>
      <c r="BO283" s="617"/>
      <c r="BP283" s="617"/>
      <c r="BQ283" s="617"/>
      <c r="BR283" s="617"/>
      <c r="BS283" s="617"/>
      <c r="BT283" s="617"/>
      <c r="BU283" s="617"/>
      <c r="BV283" s="617"/>
      <c r="BW283" s="617"/>
      <c r="BX283" s="617"/>
      <c r="BY283" s="617"/>
      <c r="BZ283" s="617"/>
      <c r="CA283" s="617"/>
      <c r="CB283" s="617"/>
      <c r="CC283" s="617"/>
      <c r="CD283" s="617"/>
      <c r="CE283" s="617"/>
      <c r="CF283" s="617"/>
      <c r="CG283" s="617"/>
      <c r="CH283" s="617"/>
      <c r="CI283" s="617"/>
      <c r="CJ283" s="617"/>
      <c r="CK283" s="617"/>
      <c r="CL283" s="617"/>
    </row>
    <row r="284" spans="1:90">
      <c r="A284" s="151">
        <f t="shared" ca="1" si="34"/>
        <v>1</v>
      </c>
      <c r="B284" s="113">
        <f t="shared" si="36"/>
        <v>70</v>
      </c>
      <c r="C284" s="150">
        <f t="shared" si="43"/>
        <v>170</v>
      </c>
      <c r="D284" s="565">
        <f t="shared" si="44"/>
        <v>9.5000000000000001E-2</v>
      </c>
      <c r="E284" s="306">
        <f t="shared" si="37"/>
        <v>1144.5514899000609</v>
      </c>
      <c r="F284" s="306">
        <f t="shared" si="49"/>
        <v>8470.754565077812</v>
      </c>
      <c r="G284" s="307">
        <f t="shared" si="50"/>
        <v>9615.3060549778729</v>
      </c>
      <c r="H284" s="306">
        <f>IF(N283&lt;0.01,0,IF(Adm!$S$3=Adm!$S$13,Cal!$E$94,IF(Adm!$R$3=Adm!$R$6,0,IF(Cal!$E$91=0,N283*Adm!$Y$3,N283*Adm!$X$3))))</f>
        <v>62.167217767203304</v>
      </c>
      <c r="I284" s="306">
        <f>IF(N283&lt;0.01,0,IF(Adm!$R$4=Adm!$R$6,0,Cal!$E$89*Adm!$AA$3))</f>
        <v>573.58240000000001</v>
      </c>
      <c r="J284" s="306">
        <f>IF(N283&lt;0.01,0,Adm!$O$3*1.16)</f>
        <v>290</v>
      </c>
      <c r="K284" s="306">
        <f>IF(N283&lt;0.01,0,IF(Adm!$N$3&gt;0,E284*Adm!$N$3,0))</f>
        <v>0</v>
      </c>
      <c r="L284" s="306">
        <f t="shared" si="38"/>
        <v>10541.055672745075</v>
      </c>
      <c r="M284" s="306">
        <f>IF(Adm!$F$3="si",MIN(N283+E284+H284+I284+J284-L284,Z284),0)</f>
        <v>0</v>
      </c>
      <c r="N284" s="306">
        <f t="shared" si="39"/>
        <v>136104.17047492988</v>
      </c>
      <c r="O284" s="361"/>
      <c r="P284" s="114"/>
      <c r="V284" s="571">
        <f t="shared" si="40"/>
        <v>2</v>
      </c>
      <c r="W284" s="293">
        <f>IF(V284=1,Adm!$AN$2,0)</f>
        <v>0</v>
      </c>
      <c r="Y284" s="304">
        <f t="shared" si="45"/>
        <v>0</v>
      </c>
      <c r="Z284" s="345">
        <f t="shared" ca="1" si="41"/>
        <v>0</v>
      </c>
      <c r="AB284" s="640">
        <f t="shared" si="46"/>
        <v>0</v>
      </c>
      <c r="AC284" s="639">
        <f t="shared" si="47"/>
        <v>0</v>
      </c>
      <c r="AD284" s="641">
        <f t="shared" si="42"/>
        <v>0</v>
      </c>
      <c r="AE284" s="639">
        <f t="shared" si="48"/>
        <v>0</v>
      </c>
      <c r="AF284" s="636">
        <f t="shared" si="35"/>
        <v>0</v>
      </c>
      <c r="AG284" s="637" t="e">
        <f>HLOOKUP($AG$110,anticipado,171,0)</f>
        <v>#N/A</v>
      </c>
      <c r="AI284" s="614">
        <v>9.2480703248421434E-2</v>
      </c>
      <c r="AJ284" s="615">
        <v>9.024485927689474E-2</v>
      </c>
      <c r="AK284" s="616">
        <v>8.7654678318642251E-2</v>
      </c>
      <c r="AL284" s="616">
        <v>8.8740377128031692E-2</v>
      </c>
      <c r="AM284" s="617">
        <v>9.2480703248421434E-2</v>
      </c>
      <c r="AN284" s="617">
        <v>9.024485927689474E-2</v>
      </c>
      <c r="AO284" s="617">
        <v>8.8683441697294238E-2</v>
      </c>
      <c r="AP284" s="617">
        <v>9.1491104473585619E-2</v>
      </c>
      <c r="AQ284" s="617">
        <v>9.5589238351470068E-2</v>
      </c>
      <c r="AR284" s="617">
        <v>9.0854931747896578E-2</v>
      </c>
      <c r="AS284" s="617">
        <v>8.8683441697294238E-2</v>
      </c>
      <c r="AT284" s="618">
        <v>8.7971750815048766E-2</v>
      </c>
      <c r="AU284" s="618">
        <v>9.7311290316098812E-3</v>
      </c>
      <c r="AV284" s="618">
        <v>9.6513280951024405E-3</v>
      </c>
      <c r="AW284" s="618">
        <v>9.3687361810237072E-3</v>
      </c>
      <c r="AX284" s="618">
        <v>9.988385248303519E-3</v>
      </c>
      <c r="AY284" s="618">
        <v>9.7311290316098812E-3</v>
      </c>
      <c r="AZ284" s="618">
        <v>9.506859452021189E-3</v>
      </c>
      <c r="BA284" s="618">
        <v>1.0064559799222085E-2</v>
      </c>
      <c r="BB284" s="618">
        <v>1.0043791930332731E-2</v>
      </c>
      <c r="BC284" s="618">
        <v>9.8196794583991255E-3</v>
      </c>
      <c r="BD284" s="618">
        <v>1.0235700834345166E-2</v>
      </c>
      <c r="BE284" s="617">
        <v>1.011011833766489E-2</v>
      </c>
      <c r="BF284" s="617">
        <v>1.0003471234792791E-2</v>
      </c>
      <c r="BG284" s="617"/>
      <c r="BH284" s="617"/>
      <c r="BI284" s="617"/>
      <c r="BJ284" s="617"/>
      <c r="BK284" s="617"/>
      <c r="BL284" s="617"/>
      <c r="BM284" s="617"/>
      <c r="BN284" s="617"/>
      <c r="BO284" s="617"/>
      <c r="BP284" s="617"/>
      <c r="BQ284" s="617"/>
      <c r="BR284" s="617"/>
      <c r="BS284" s="617"/>
      <c r="BT284" s="617"/>
      <c r="BU284" s="617"/>
      <c r="BV284" s="617"/>
      <c r="BW284" s="617"/>
      <c r="BX284" s="617"/>
      <c r="BY284" s="617"/>
      <c r="BZ284" s="617"/>
      <c r="CA284" s="617"/>
      <c r="CB284" s="617"/>
      <c r="CC284" s="617"/>
      <c r="CD284" s="617"/>
      <c r="CE284" s="617"/>
      <c r="CF284" s="617"/>
      <c r="CG284" s="617"/>
      <c r="CH284" s="617"/>
      <c r="CI284" s="617"/>
      <c r="CJ284" s="617"/>
      <c r="CK284" s="617"/>
      <c r="CL284" s="617"/>
    </row>
    <row r="285" spans="1:90">
      <c r="A285" s="151">
        <f t="shared" ca="1" si="34"/>
        <v>2</v>
      </c>
      <c r="B285" s="113">
        <f t="shared" si="36"/>
        <v>69</v>
      </c>
      <c r="C285" s="150">
        <f t="shared" si="43"/>
        <v>171</v>
      </c>
      <c r="D285" s="565">
        <f t="shared" si="44"/>
        <v>9.5000000000000001E-2</v>
      </c>
      <c r="E285" s="306">
        <f t="shared" si="37"/>
        <v>1077.4913495931949</v>
      </c>
      <c r="F285" s="306">
        <f t="shared" si="49"/>
        <v>8537.8147053846787</v>
      </c>
      <c r="G285" s="307">
        <f t="shared" si="50"/>
        <v>9615.3060549778729</v>
      </c>
      <c r="H285" s="306">
        <f>IF(N284&lt;0.01,0,IF(Adm!$S$3=Adm!$S$13,Cal!$E$94,IF(Adm!$R$3=Adm!$R$6,0,IF(Cal!$E$91=0,N284*Adm!$Y$3,N284*Adm!$X$3))))</f>
        <v>58.524793304219848</v>
      </c>
      <c r="I285" s="306">
        <f>IF(N284&lt;0.01,0,IF(Adm!$R$4=Adm!$R$6,0,Cal!$E$89*Adm!$AA$3))</f>
        <v>573.58240000000001</v>
      </c>
      <c r="J285" s="306">
        <f>IF(N284&lt;0.01,0,Adm!$O$3*1.16)</f>
        <v>290</v>
      </c>
      <c r="K285" s="306">
        <f>IF(N284&lt;0.01,0,IF(Adm!$N$3&gt;0,E285*Adm!$N$3,0))</f>
        <v>0</v>
      </c>
      <c r="L285" s="306">
        <f t="shared" si="38"/>
        <v>10537.413248282091</v>
      </c>
      <c r="M285" s="306">
        <f>IF(Adm!$F$3="si",MIN(N284+E285+H285+I285+J285-L285,Z285),0)</f>
        <v>0</v>
      </c>
      <c r="N285" s="306">
        <f t="shared" si="39"/>
        <v>127566.3557695452</v>
      </c>
      <c r="O285" s="361"/>
      <c r="P285" s="114"/>
      <c r="V285" s="571">
        <f t="shared" si="40"/>
        <v>3</v>
      </c>
      <c r="W285" s="293">
        <f>IF(V285=1,Adm!$AN$2,0)</f>
        <v>0</v>
      </c>
      <c r="Y285" s="304">
        <f t="shared" si="45"/>
        <v>0</v>
      </c>
      <c r="Z285" s="345">
        <f t="shared" ca="1" si="41"/>
        <v>0</v>
      </c>
      <c r="AB285" s="640">
        <f t="shared" si="46"/>
        <v>0</v>
      </c>
      <c r="AC285" s="639">
        <f t="shared" si="47"/>
        <v>0</v>
      </c>
      <c r="AD285" s="641">
        <f t="shared" si="42"/>
        <v>0</v>
      </c>
      <c r="AE285" s="639">
        <f t="shared" si="48"/>
        <v>0</v>
      </c>
      <c r="AF285" s="636">
        <f t="shared" si="35"/>
        <v>0</v>
      </c>
      <c r="AG285" s="637" t="e">
        <f>HLOOKUP($AG$110,anticipado,172,0)</f>
        <v>#N/A</v>
      </c>
      <c r="AI285" s="614">
        <v>0.10278387429096485</v>
      </c>
      <c r="AJ285" s="615">
        <v>0.10009707810219334</v>
      </c>
      <c r="AK285" s="616">
        <v>9.698012435404596E-2</v>
      </c>
      <c r="AL285" s="616">
        <v>9.8192807539980692E-2</v>
      </c>
      <c r="AM285" s="617">
        <v>0.10278387429096485</v>
      </c>
      <c r="AN285" s="617">
        <v>0.10009707810219334</v>
      </c>
      <c r="AO285" s="617">
        <v>9.8083940349489307E-2</v>
      </c>
      <c r="AP285" s="617">
        <v>0.10153885805985823</v>
      </c>
      <c r="AQ285" s="617">
        <v>0.10659947529990438</v>
      </c>
      <c r="AR285" s="617">
        <v>0.10069647166263719</v>
      </c>
      <c r="AS285" s="617">
        <v>9.8083940349489307E-2</v>
      </c>
      <c r="AT285" s="618">
        <v>9.7252233952857023E-2</v>
      </c>
      <c r="AU285" s="618">
        <v>9.9159322437039239E-3</v>
      </c>
      <c r="AV285" s="618">
        <v>9.8370718145074244E-3</v>
      </c>
      <c r="AW285" s="618">
        <v>9.5510459719816768E-3</v>
      </c>
      <c r="AX285" s="618">
        <v>1.0176178663920944E-2</v>
      </c>
      <c r="AY285" s="618">
        <v>9.9159322437039239E-3</v>
      </c>
      <c r="AZ285" s="618">
        <v>9.6892093444252824E-3</v>
      </c>
      <c r="BA285" s="618">
        <v>1.0251100719087409E-2</v>
      </c>
      <c r="BB285" s="618">
        <v>1.0232777027737505E-2</v>
      </c>
      <c r="BC285" s="618">
        <v>1.0007472373693318E-2</v>
      </c>
      <c r="BD285" s="618">
        <v>1.0423424521016904E-2</v>
      </c>
      <c r="BE285" s="617">
        <v>1.0296275360504148E-2</v>
      </c>
      <c r="BF285" s="617">
        <v>1.0190440518889104E-2</v>
      </c>
      <c r="BG285" s="617"/>
      <c r="BH285" s="617"/>
      <c r="BI285" s="617"/>
      <c r="BJ285" s="617"/>
      <c r="BK285" s="617"/>
      <c r="BL285" s="617"/>
      <c r="BM285" s="617"/>
      <c r="BN285" s="617"/>
      <c r="BO285" s="617"/>
      <c r="BP285" s="617"/>
      <c r="BQ285" s="617"/>
      <c r="BR285" s="617"/>
      <c r="BS285" s="617"/>
      <c r="BT285" s="617"/>
      <c r="BU285" s="617"/>
      <c r="BV285" s="617"/>
      <c r="BW285" s="617"/>
      <c r="BX285" s="617"/>
      <c r="BY285" s="617"/>
      <c r="BZ285" s="617"/>
      <c r="CA285" s="617"/>
      <c r="CB285" s="617"/>
      <c r="CC285" s="617"/>
      <c r="CD285" s="617"/>
      <c r="CE285" s="617"/>
      <c r="CF285" s="617"/>
      <c r="CG285" s="617"/>
      <c r="CH285" s="617"/>
      <c r="CI285" s="617"/>
      <c r="CJ285" s="617"/>
      <c r="CK285" s="617"/>
      <c r="CL285" s="617"/>
    </row>
    <row r="286" spans="1:90">
      <c r="A286" s="151">
        <f t="shared" ca="1" si="34"/>
        <v>3</v>
      </c>
      <c r="B286" s="113">
        <f t="shared" si="36"/>
        <v>68</v>
      </c>
      <c r="C286" s="150">
        <f t="shared" si="43"/>
        <v>172</v>
      </c>
      <c r="D286" s="565">
        <f t="shared" si="44"/>
        <v>9.5000000000000001E-2</v>
      </c>
      <c r="E286" s="306">
        <f t="shared" si="37"/>
        <v>1009.9003165088994</v>
      </c>
      <c r="F286" s="306">
        <f t="shared" si="49"/>
        <v>8605.4057384689731</v>
      </c>
      <c r="G286" s="307">
        <f t="shared" si="50"/>
        <v>9615.3060549778729</v>
      </c>
      <c r="H286" s="306">
        <f>IF(N285&lt;0.01,0,IF(Adm!$S$3=Adm!$S$13,Cal!$E$94,IF(Adm!$R$3=Adm!$R$6,0,IF(Cal!$E$91=0,N285*Adm!$Y$3,N285*Adm!$X$3))))</f>
        <v>54.853532980904433</v>
      </c>
      <c r="I286" s="306">
        <f>IF(N285&lt;0.01,0,IF(Adm!$R$4=Adm!$R$6,0,Cal!$E$89*Adm!$AA$3))</f>
        <v>573.58240000000001</v>
      </c>
      <c r="J286" s="306">
        <f>IF(N285&lt;0.01,0,Adm!$O$3*1.16)</f>
        <v>290</v>
      </c>
      <c r="K286" s="306">
        <f>IF(N285&lt;0.01,0,IF(Adm!$N$3&gt;0,E286*Adm!$N$3,0))</f>
        <v>0</v>
      </c>
      <c r="L286" s="306">
        <f t="shared" si="38"/>
        <v>10533.741987958776</v>
      </c>
      <c r="M286" s="306">
        <f>IF(Adm!$F$3="si",MIN(N285+E286+H286+I286+J286-L286,Z286),0)</f>
        <v>0</v>
      </c>
      <c r="N286" s="306">
        <f t="shared" si="39"/>
        <v>118960.95003107624</v>
      </c>
      <c r="O286" s="361"/>
      <c r="P286" s="114"/>
      <c r="V286" s="571">
        <f t="shared" si="40"/>
        <v>4</v>
      </c>
      <c r="W286" s="293">
        <f>IF(V286=1,Adm!$AN$2,0)</f>
        <v>0</v>
      </c>
      <c r="Y286" s="304">
        <f t="shared" si="45"/>
        <v>0</v>
      </c>
      <c r="Z286" s="345">
        <f t="shared" ca="1" si="41"/>
        <v>0</v>
      </c>
      <c r="AB286" s="640">
        <f t="shared" si="46"/>
        <v>0</v>
      </c>
      <c r="AC286" s="639">
        <f t="shared" si="47"/>
        <v>0</v>
      </c>
      <c r="AD286" s="641">
        <f t="shared" si="42"/>
        <v>0</v>
      </c>
      <c r="AE286" s="639">
        <f t="shared" si="48"/>
        <v>0</v>
      </c>
      <c r="AF286" s="636">
        <f t="shared" si="35"/>
        <v>0</v>
      </c>
      <c r="AG286" s="637" t="e">
        <f>HLOOKUP($AG$110,anticipado,173,0)</f>
        <v>#N/A</v>
      </c>
      <c r="AI286" s="614">
        <v>0.1155467252940842</v>
      </c>
      <c r="AJ286" s="615">
        <v>0.11224039463385692</v>
      </c>
      <c r="AK286" s="616">
        <v>0.10840574867818033</v>
      </c>
      <c r="AL286" s="616">
        <v>0.10979094366353764</v>
      </c>
      <c r="AM286" s="617">
        <v>0.1155467252940842</v>
      </c>
      <c r="AN286" s="617">
        <v>0.11224039463385692</v>
      </c>
      <c r="AO286" s="617">
        <v>0.1096115732199042</v>
      </c>
      <c r="AP286" s="617">
        <v>0.11395032404670753</v>
      </c>
      <c r="AQ286" s="617">
        <v>0.12034294939064791</v>
      </c>
      <c r="AR286" s="617">
        <v>0.11282540217167</v>
      </c>
      <c r="AS286" s="617">
        <v>0.1096115732199042</v>
      </c>
      <c r="AT286" s="618">
        <v>0.10861700037988753</v>
      </c>
      <c r="AU286" s="618">
        <v>1.0106131039448702E-2</v>
      </c>
      <c r="AV286" s="618">
        <v>1.0028271088030552E-2</v>
      </c>
      <c r="AW286" s="618">
        <v>9.738695649004845E-3</v>
      </c>
      <c r="AX286" s="618">
        <v>1.0369469782049525E-2</v>
      </c>
      <c r="AY286" s="618">
        <v>1.0106131039448702E-2</v>
      </c>
      <c r="AZ286" s="618">
        <v>9.8768752012800866E-3</v>
      </c>
      <c r="BA286" s="618">
        <v>1.0443066934337246E-2</v>
      </c>
      <c r="BB286" s="618">
        <v>1.0427308688703139E-2</v>
      </c>
      <c r="BC286" s="618">
        <v>1.0200791300631033E-2</v>
      </c>
      <c r="BD286" s="618">
        <v>1.0616604675984556E-2</v>
      </c>
      <c r="BE286" s="617">
        <v>1.0487832405899533E-2</v>
      </c>
      <c r="BF286" s="617">
        <v>1.0382865233881168E-2</v>
      </c>
      <c r="BG286" s="617"/>
      <c r="BH286" s="617"/>
      <c r="BI286" s="617"/>
      <c r="BJ286" s="617"/>
      <c r="BK286" s="617"/>
      <c r="BL286" s="617"/>
      <c r="BM286" s="617"/>
      <c r="BN286" s="617"/>
      <c r="BO286" s="617"/>
      <c r="BP286" s="617"/>
      <c r="BQ286" s="617"/>
      <c r="BR286" s="617"/>
      <c r="BS286" s="617"/>
      <c r="BT286" s="617"/>
      <c r="BU286" s="617"/>
      <c r="BV286" s="617"/>
      <c r="BW286" s="617"/>
      <c r="BX286" s="617"/>
      <c r="BY286" s="617"/>
      <c r="BZ286" s="617"/>
      <c r="CA286" s="617"/>
      <c r="CB286" s="617"/>
      <c r="CC286" s="617"/>
      <c r="CD286" s="617"/>
      <c r="CE286" s="617"/>
      <c r="CF286" s="617"/>
      <c r="CG286" s="617"/>
      <c r="CH286" s="617"/>
      <c r="CI286" s="617"/>
      <c r="CJ286" s="617"/>
      <c r="CK286" s="617"/>
      <c r="CL286" s="617"/>
    </row>
    <row r="287" spans="1:90">
      <c r="A287" s="151">
        <f t="shared" ca="1" si="34"/>
        <v>4</v>
      </c>
      <c r="B287" s="113">
        <f t="shared" si="36"/>
        <v>67</v>
      </c>
      <c r="C287" s="150">
        <f t="shared" si="43"/>
        <v>173</v>
      </c>
      <c r="D287" s="565">
        <f t="shared" si="44"/>
        <v>9.5000000000000001E-2</v>
      </c>
      <c r="E287" s="306">
        <f t="shared" si="37"/>
        <v>941.77418774602029</v>
      </c>
      <c r="F287" s="306">
        <f t="shared" si="49"/>
        <v>8673.5318672318535</v>
      </c>
      <c r="G287" s="307">
        <f t="shared" si="50"/>
        <v>9615.3060549778729</v>
      </c>
      <c r="H287" s="306">
        <f>IF(N286&lt;0.01,0,IF(Adm!$S$3=Adm!$S$13,Cal!$E$94,IF(Adm!$R$3=Adm!$R$6,0,IF(Cal!$E$91=0,N286*Adm!$Y$3,N286*Adm!$X$3))))</f>
        <v>51.153208513362785</v>
      </c>
      <c r="I287" s="306">
        <f>IF(N286&lt;0.01,0,IF(Adm!$R$4=Adm!$R$6,0,Cal!$E$89*Adm!$AA$3))</f>
        <v>573.58240000000001</v>
      </c>
      <c r="J287" s="306">
        <f>IF(N286&lt;0.01,0,Adm!$O$3*1.16)</f>
        <v>290</v>
      </c>
      <c r="K287" s="306">
        <f>IF(N286&lt;0.01,0,IF(Adm!$N$3&gt;0,E287*Adm!$N$3,0))</f>
        <v>0</v>
      </c>
      <c r="L287" s="306">
        <f t="shared" si="38"/>
        <v>10530.041663491234</v>
      </c>
      <c r="M287" s="306">
        <f>IF(Adm!$F$3="si",MIN(N286+E287+H287+I287+J287-L287,Z287),0)</f>
        <v>0</v>
      </c>
      <c r="N287" s="306">
        <f t="shared" si="39"/>
        <v>110287.41816384438</v>
      </c>
      <c r="O287" s="361"/>
      <c r="P287" s="114"/>
      <c r="V287" s="571">
        <f t="shared" si="40"/>
        <v>5</v>
      </c>
      <c r="W287" s="293">
        <f>IF(V287=1,Adm!$AN$2,0)</f>
        <v>0</v>
      </c>
      <c r="Y287" s="304">
        <f t="shared" si="45"/>
        <v>0</v>
      </c>
      <c r="Z287" s="345">
        <f t="shared" ca="1" si="41"/>
        <v>0</v>
      </c>
      <c r="AB287" s="640">
        <f t="shared" si="46"/>
        <v>0</v>
      </c>
      <c r="AC287" s="639">
        <f t="shared" si="47"/>
        <v>0</v>
      </c>
      <c r="AD287" s="641">
        <f t="shared" si="42"/>
        <v>0</v>
      </c>
      <c r="AE287" s="639">
        <f t="shared" si="48"/>
        <v>0</v>
      </c>
      <c r="AF287" s="636">
        <f t="shared" si="35"/>
        <v>0</v>
      </c>
      <c r="AG287" s="637" t="e">
        <f>HLOOKUP($AG$110,anticipado,174,0)</f>
        <v>#N/A</v>
      </c>
      <c r="AI287" s="614">
        <v>0.13176876510350061</v>
      </c>
      <c r="AJ287" s="615">
        <v>0.127578429487617</v>
      </c>
      <c r="AK287" s="616">
        <v>0.12273034054982615</v>
      </c>
      <c r="AL287" s="616">
        <v>0.12435837681221554</v>
      </c>
      <c r="AM287" s="617">
        <v>0.13176876510350061</v>
      </c>
      <c r="AN287" s="617">
        <v>0.127578429487617</v>
      </c>
      <c r="AO287" s="617">
        <v>0.12407992757432908</v>
      </c>
      <c r="AP287" s="617">
        <v>0.12967017051342428</v>
      </c>
      <c r="AQ287" s="617">
        <v>0.13798092444720964</v>
      </c>
      <c r="AR287" s="617">
        <v>0.1281435425918579</v>
      </c>
      <c r="AS287" s="617">
        <v>0.12407992757432908</v>
      </c>
      <c r="AT287" s="618">
        <v>0.12285648877982126</v>
      </c>
      <c r="AU287" s="618">
        <v>1.0301957107119024E-2</v>
      </c>
      <c r="AV287" s="618">
        <v>1.0225161092538529E-2</v>
      </c>
      <c r="AW287" s="618">
        <v>9.9319137772155269E-3</v>
      </c>
      <c r="AX287" s="618">
        <v>1.0568496160497692E-2</v>
      </c>
      <c r="AY287" s="618">
        <v>1.0301957107119024E-2</v>
      </c>
      <c r="AZ287" s="618">
        <v>1.0070084173042429E-2</v>
      </c>
      <c r="BA287" s="618">
        <v>1.0640691795423936E-2</v>
      </c>
      <c r="BB287" s="618">
        <v>1.0627627305490682E-2</v>
      </c>
      <c r="BC287" s="618">
        <v>1.0399875473917101E-2</v>
      </c>
      <c r="BD287" s="618">
        <v>1.0815476434018499E-2</v>
      </c>
      <c r="BE287" s="617">
        <v>1.0685021358859258E-2</v>
      </c>
      <c r="BF287" s="617">
        <v>1.0580980482764023E-2</v>
      </c>
      <c r="BG287" s="617"/>
      <c r="BH287" s="617"/>
      <c r="BI287" s="617"/>
      <c r="BJ287" s="617"/>
      <c r="BK287" s="617"/>
      <c r="BL287" s="617"/>
      <c r="BM287" s="617"/>
      <c r="BN287" s="617"/>
      <c r="BO287" s="617"/>
      <c r="BP287" s="617"/>
      <c r="BQ287" s="617"/>
      <c r="BR287" s="617"/>
      <c r="BS287" s="617"/>
      <c r="BT287" s="617"/>
      <c r="BU287" s="617"/>
      <c r="BV287" s="617"/>
      <c r="BW287" s="617"/>
      <c r="BX287" s="617"/>
      <c r="BY287" s="617"/>
      <c r="BZ287" s="617"/>
      <c r="CA287" s="617"/>
      <c r="CB287" s="617"/>
      <c r="CC287" s="617"/>
      <c r="CD287" s="617"/>
      <c r="CE287" s="617"/>
      <c r="CF287" s="617"/>
      <c r="CG287" s="617"/>
      <c r="CH287" s="617"/>
      <c r="CI287" s="617"/>
      <c r="CJ287" s="617"/>
      <c r="CK287" s="617"/>
      <c r="CL287" s="617"/>
    </row>
    <row r="288" spans="1:90">
      <c r="A288" s="151">
        <f t="shared" ca="1" si="34"/>
        <v>5</v>
      </c>
      <c r="B288" s="113">
        <f t="shared" si="36"/>
        <v>66</v>
      </c>
      <c r="C288" s="150">
        <f t="shared" si="43"/>
        <v>174</v>
      </c>
      <c r="D288" s="565">
        <f t="shared" si="44"/>
        <v>9.5000000000000001E-2</v>
      </c>
      <c r="E288" s="306">
        <f t="shared" si="37"/>
        <v>873.10872713043466</v>
      </c>
      <c r="F288" s="306">
        <f t="shared" si="49"/>
        <v>8742.1973278474379</v>
      </c>
      <c r="G288" s="307">
        <f t="shared" si="50"/>
        <v>9615.3060549778729</v>
      </c>
      <c r="H288" s="306">
        <f>IF(N287&lt;0.01,0,IF(Adm!$S$3=Adm!$S$13,Cal!$E$94,IF(Adm!$R$3=Adm!$R$6,0,IF(Cal!$E$91=0,N287*Adm!$Y$3,N287*Adm!$X$3))))</f>
        <v>47.423589810453088</v>
      </c>
      <c r="I288" s="306">
        <f>IF(N287&lt;0.01,0,IF(Adm!$R$4=Adm!$R$6,0,Cal!$E$89*Adm!$AA$3))</f>
        <v>573.58240000000001</v>
      </c>
      <c r="J288" s="306">
        <f>IF(N287&lt;0.01,0,Adm!$O$3*1.16)</f>
        <v>290</v>
      </c>
      <c r="K288" s="306">
        <f>IF(N287&lt;0.01,0,IF(Adm!$N$3&gt;0,E288*Adm!$N$3,0))</f>
        <v>0</v>
      </c>
      <c r="L288" s="306">
        <f t="shared" si="38"/>
        <v>10526.312044788325</v>
      </c>
      <c r="M288" s="306">
        <f>IF(Adm!$F$3="si",MIN(N287+E288+H288+I288+J288-L288,Z288),0)</f>
        <v>0</v>
      </c>
      <c r="N288" s="306">
        <f t="shared" si="39"/>
        <v>101545.22083599695</v>
      </c>
      <c r="O288" s="361"/>
      <c r="P288" s="114"/>
      <c r="V288" s="571">
        <f t="shared" si="40"/>
        <v>6</v>
      </c>
      <c r="W288" s="293">
        <f>IF(V288=1,Adm!$AN$2,0)</f>
        <v>0</v>
      </c>
      <c r="Y288" s="304">
        <f t="shared" si="45"/>
        <v>0</v>
      </c>
      <c r="Z288" s="345">
        <f t="shared" ca="1" si="41"/>
        <v>0</v>
      </c>
      <c r="AB288" s="640">
        <f t="shared" si="46"/>
        <v>0</v>
      </c>
      <c r="AC288" s="639">
        <f t="shared" si="47"/>
        <v>0</v>
      </c>
      <c r="AD288" s="641">
        <f t="shared" si="42"/>
        <v>0</v>
      </c>
      <c r="AE288" s="639">
        <f t="shared" si="48"/>
        <v>0</v>
      </c>
      <c r="AF288" s="636">
        <f t="shared" si="35"/>
        <v>0</v>
      </c>
      <c r="AG288" s="637" t="e">
        <f>HLOOKUP($AG$110,anticipado,175,0)</f>
        <v>#N/A</v>
      </c>
      <c r="AI288" s="614">
        <v>0.153075891952173</v>
      </c>
      <c r="AJ288" s="615">
        <v>0.14756192199558857</v>
      </c>
      <c r="AK288" s="616">
        <v>0.141216588501963</v>
      </c>
      <c r="AL288" s="616">
        <v>0.14320203263371606</v>
      </c>
      <c r="AM288" s="617">
        <v>0.153075891952173</v>
      </c>
      <c r="AN288" s="617">
        <v>0.14756192199558857</v>
      </c>
      <c r="AO288" s="617">
        <v>0.14277812660991596</v>
      </c>
      <c r="AP288" s="617">
        <v>0.15022382013070343</v>
      </c>
      <c r="AQ288" s="617">
        <v>0.1614410454039413</v>
      </c>
      <c r="AR288" s="617">
        <v>0.14809850406794148</v>
      </c>
      <c r="AS288" s="617">
        <v>0.14277812660991596</v>
      </c>
      <c r="AT288" s="618">
        <v>0.14121865968759159</v>
      </c>
      <c r="AU288" s="618">
        <v>1.0503655577089257E-2</v>
      </c>
      <c r="AV288" s="618">
        <v>1.0427990701276207E-2</v>
      </c>
      <c r="AW288" s="618">
        <v>1.013094213330808E-2</v>
      </c>
      <c r="AX288" s="618">
        <v>1.0773509230823021E-2</v>
      </c>
      <c r="AY288" s="618">
        <v>1.0503655577089257E-2</v>
      </c>
      <c r="AZ288" s="618">
        <v>1.0269076520256623E-2</v>
      </c>
      <c r="BA288" s="618">
        <v>1.0844222218854619E-2</v>
      </c>
      <c r="BB288" s="618">
        <v>1.0833987353016401E-2</v>
      </c>
      <c r="BC288" s="618">
        <v>1.0604978123879607E-2</v>
      </c>
      <c r="BD288" s="618">
        <v>1.1020288627737188E-2</v>
      </c>
      <c r="BE288" s="617">
        <v>1.0888087563730926E-2</v>
      </c>
      <c r="BF288" s="617">
        <v>1.0785035062368364E-2</v>
      </c>
      <c r="BG288" s="617"/>
      <c r="BH288" s="617"/>
      <c r="BI288" s="617"/>
      <c r="BJ288" s="617"/>
      <c r="BK288" s="617"/>
      <c r="BL288" s="617"/>
      <c r="BM288" s="617"/>
      <c r="BN288" s="617"/>
      <c r="BO288" s="617"/>
      <c r="BP288" s="617"/>
      <c r="BQ288" s="617"/>
      <c r="BR288" s="617"/>
      <c r="BS288" s="617"/>
      <c r="BT288" s="617"/>
      <c r="BU288" s="617"/>
      <c r="BV288" s="617"/>
      <c r="BW288" s="617"/>
      <c r="BX288" s="617"/>
      <c r="BY288" s="617"/>
      <c r="BZ288" s="617"/>
      <c r="CA288" s="617"/>
      <c r="CB288" s="617"/>
      <c r="CC288" s="617"/>
      <c r="CD288" s="617"/>
      <c r="CE288" s="617"/>
      <c r="CF288" s="617"/>
      <c r="CG288" s="617"/>
      <c r="CH288" s="617"/>
      <c r="CI288" s="617"/>
      <c r="CJ288" s="617"/>
      <c r="CK288" s="617"/>
      <c r="CL288" s="617"/>
    </row>
    <row r="289" spans="1:90">
      <c r="A289" s="151">
        <f t="shared" ca="1" si="34"/>
        <v>6</v>
      </c>
      <c r="B289" s="113">
        <f t="shared" si="36"/>
        <v>65</v>
      </c>
      <c r="C289" s="150">
        <f t="shared" si="43"/>
        <v>175</v>
      </c>
      <c r="D289" s="565">
        <f t="shared" si="44"/>
        <v>9.5000000000000001E-2</v>
      </c>
      <c r="E289" s="306">
        <f t="shared" si="37"/>
        <v>803.89966495164254</v>
      </c>
      <c r="F289" s="306">
        <f t="shared" si="49"/>
        <v>8811.4063900262299</v>
      </c>
      <c r="G289" s="307">
        <f t="shared" si="50"/>
        <v>9615.3060549778729</v>
      </c>
      <c r="H289" s="306">
        <f>IF(N288&lt;0.01,0,IF(Adm!$S$3=Adm!$S$13,Cal!$E$94,IF(Adm!$R$3=Adm!$R$6,0,IF(Cal!$E$91=0,N288*Adm!$Y$3,N288*Adm!$X$3))))</f>
        <v>43.664444959478686</v>
      </c>
      <c r="I289" s="306">
        <f>IF(N288&lt;0.01,0,IF(Adm!$R$4=Adm!$R$6,0,Cal!$E$89*Adm!$AA$3))</f>
        <v>573.58240000000001</v>
      </c>
      <c r="J289" s="306">
        <f>IF(N288&lt;0.01,0,Adm!$O$3*1.16)</f>
        <v>290</v>
      </c>
      <c r="K289" s="306">
        <f>IF(N288&lt;0.01,0,IF(Adm!$N$3&gt;0,E289*Adm!$N$3,0))</f>
        <v>0</v>
      </c>
      <c r="L289" s="306">
        <f t="shared" si="38"/>
        <v>10522.552899937351</v>
      </c>
      <c r="M289" s="306">
        <f>IF(Adm!$F$3="si",MIN(N288+E289+H289+I289+J289-L289,Z289),0)</f>
        <v>0</v>
      </c>
      <c r="N289" s="306">
        <f t="shared" si="39"/>
        <v>92733.814445970726</v>
      </c>
      <c r="O289" s="361"/>
      <c r="P289" s="114"/>
      <c r="V289" s="571">
        <f t="shared" si="40"/>
        <v>7</v>
      </c>
      <c r="W289" s="293">
        <f>IF(V289=1,Adm!$AN$2,0)</f>
        <v>0</v>
      </c>
      <c r="Y289" s="304">
        <f t="shared" si="45"/>
        <v>0</v>
      </c>
      <c r="Z289" s="345">
        <f t="shared" ca="1" si="41"/>
        <v>0</v>
      </c>
      <c r="AB289" s="640">
        <f t="shared" si="46"/>
        <v>0</v>
      </c>
      <c r="AC289" s="639">
        <f t="shared" si="47"/>
        <v>0</v>
      </c>
      <c r="AD289" s="641">
        <f t="shared" si="42"/>
        <v>0</v>
      </c>
      <c r="AE289" s="639">
        <f t="shared" si="48"/>
        <v>0</v>
      </c>
      <c r="AF289" s="636">
        <f t="shared" si="35"/>
        <v>0</v>
      </c>
      <c r="AG289" s="637" t="e">
        <f>HLOOKUP($AG$110,anticipado,176,0)</f>
        <v>#N/A</v>
      </c>
      <c r="AI289" s="614">
        <v>0.18230225123257623</v>
      </c>
      <c r="AJ289" s="615">
        <v>0.17467667186604485</v>
      </c>
      <c r="AK289" s="616">
        <v>0.16598504271307929</v>
      </c>
      <c r="AL289" s="616">
        <v>0.16852769854163618</v>
      </c>
      <c r="AM289" s="617">
        <v>0.18230225123257623</v>
      </c>
      <c r="AN289" s="617">
        <v>0.17467667186604485</v>
      </c>
      <c r="AO289" s="617">
        <v>0.16787771977452953</v>
      </c>
      <c r="AP289" s="617">
        <v>0.17824478691642073</v>
      </c>
      <c r="AQ289" s="617">
        <v>0.19417447851208058</v>
      </c>
      <c r="AR289" s="617">
        <v>0.17517019969332331</v>
      </c>
      <c r="AS289" s="617">
        <v>0.16787771977452953</v>
      </c>
      <c r="AT289" s="618">
        <v>0.16579602993708983</v>
      </c>
      <c r="AU289" s="618">
        <v>1.0711486011232133E-2</v>
      </c>
      <c r="AV289" s="618">
        <v>1.0637023495895162E-2</v>
      </c>
      <c r="AW289" s="618">
        <v>1.0336036674381519E-2</v>
      </c>
      <c r="AX289" s="618">
        <v>1.0984775326315446E-2</v>
      </c>
      <c r="AY289" s="618">
        <v>1.0711486011232133E-2</v>
      </c>
      <c r="AZ289" s="618">
        <v>1.0474106573445425E-2</v>
      </c>
      <c r="BA289" s="618">
        <v>1.1053919687717108E-2</v>
      </c>
      <c r="BB289" s="618">
        <v>1.1046658435580631E-2</v>
      </c>
      <c r="BC289" s="618">
        <v>1.0816367515322143E-2</v>
      </c>
      <c r="BD289" s="618">
        <v>1.1231304799934814E-2</v>
      </c>
      <c r="BE289" s="617">
        <v>1.1097290815239726E-2</v>
      </c>
      <c r="BF289" s="617">
        <v>1.0995292475265225E-2</v>
      </c>
      <c r="BG289" s="617"/>
      <c r="BH289" s="617"/>
      <c r="BI289" s="617"/>
      <c r="BJ289" s="617"/>
      <c r="BK289" s="617"/>
      <c r="BL289" s="617"/>
      <c r="BM289" s="617"/>
      <c r="BN289" s="617"/>
      <c r="BO289" s="617"/>
      <c r="BP289" s="617"/>
      <c r="BQ289" s="617"/>
      <c r="BR289" s="617"/>
      <c r="BS289" s="617"/>
      <c r="BT289" s="617"/>
      <c r="BU289" s="617"/>
      <c r="BV289" s="617"/>
      <c r="BW289" s="617"/>
      <c r="BX289" s="617"/>
      <c r="BY289" s="617"/>
      <c r="BZ289" s="617"/>
      <c r="CA289" s="617"/>
      <c r="CB289" s="617"/>
      <c r="CC289" s="617"/>
      <c r="CD289" s="617"/>
      <c r="CE289" s="617"/>
      <c r="CF289" s="617"/>
      <c r="CG289" s="617"/>
      <c r="CH289" s="617"/>
      <c r="CI289" s="617"/>
      <c r="CJ289" s="617"/>
      <c r="CK289" s="617"/>
      <c r="CL289" s="617"/>
    </row>
    <row r="290" spans="1:90">
      <c r="A290" s="151">
        <f t="shared" ca="1" si="34"/>
        <v>7</v>
      </c>
      <c r="B290" s="113">
        <f t="shared" si="36"/>
        <v>64</v>
      </c>
      <c r="C290" s="150">
        <f t="shared" si="43"/>
        <v>176</v>
      </c>
      <c r="D290" s="565">
        <f t="shared" si="44"/>
        <v>9.5000000000000001E-2</v>
      </c>
      <c r="E290" s="306">
        <f t="shared" si="37"/>
        <v>734.14269769726832</v>
      </c>
      <c r="F290" s="306">
        <f t="shared" si="49"/>
        <v>8881.163357280604</v>
      </c>
      <c r="G290" s="307">
        <f t="shared" si="50"/>
        <v>9615.3060549778729</v>
      </c>
      <c r="H290" s="306">
        <f>IF(N289&lt;0.01,0,IF(Adm!$S$3=Adm!$S$13,Cal!$E$94,IF(Adm!$R$3=Adm!$R$6,0,IF(Cal!$E$91=0,N289*Adm!$Y$3,N289*Adm!$X$3))))</f>
        <v>39.875540211767408</v>
      </c>
      <c r="I290" s="306">
        <f>IF(N289&lt;0.01,0,IF(Adm!$R$4=Adm!$R$6,0,Cal!$E$89*Adm!$AA$3))</f>
        <v>573.58240000000001</v>
      </c>
      <c r="J290" s="306">
        <f>IF(N289&lt;0.01,0,Adm!$O$3*1.16)</f>
        <v>290</v>
      </c>
      <c r="K290" s="306">
        <f>IF(N289&lt;0.01,0,IF(Adm!$N$3&gt;0,E290*Adm!$N$3,0))</f>
        <v>0</v>
      </c>
      <c r="L290" s="306">
        <f t="shared" si="38"/>
        <v>10518.76399518964</v>
      </c>
      <c r="M290" s="306">
        <f>IF(Adm!$F$3="si",MIN(N289+E290+H290+I290+J290-L290,Z290),0)</f>
        <v>0</v>
      </c>
      <c r="N290" s="306">
        <f t="shared" si="39"/>
        <v>83852.651088690123</v>
      </c>
      <c r="O290" s="361"/>
      <c r="P290" s="114"/>
      <c r="V290" s="571">
        <f t="shared" si="40"/>
        <v>8</v>
      </c>
      <c r="W290" s="293">
        <f>IF(V290=1,Adm!$AN$2,0)</f>
        <v>0</v>
      </c>
      <c r="Y290" s="304">
        <f t="shared" si="45"/>
        <v>0</v>
      </c>
      <c r="Z290" s="345">
        <f t="shared" ca="1" si="41"/>
        <v>0</v>
      </c>
      <c r="AB290" s="640">
        <f t="shared" si="46"/>
        <v>0</v>
      </c>
      <c r="AC290" s="639">
        <f t="shared" si="47"/>
        <v>0</v>
      </c>
      <c r="AD290" s="641">
        <f t="shared" si="42"/>
        <v>0</v>
      </c>
      <c r="AE290" s="639">
        <f t="shared" si="48"/>
        <v>0</v>
      </c>
      <c r="AF290" s="636">
        <f t="shared" si="35"/>
        <v>0</v>
      </c>
      <c r="AG290" s="637" t="e">
        <f>HLOOKUP($AG$110,anticipado,177,0)</f>
        <v>#N/A</v>
      </c>
      <c r="AI290" s="614">
        <v>0.22486867357360951</v>
      </c>
      <c r="AJ290" s="615">
        <v>0.21356704294516299</v>
      </c>
      <c r="AK290" s="616">
        <v>0.20089170327149361</v>
      </c>
      <c r="AL290" s="616">
        <v>0.20437324410439744</v>
      </c>
      <c r="AM290" s="617">
        <v>0.22486867357360951</v>
      </c>
      <c r="AN290" s="617">
        <v>0.21356704294516299</v>
      </c>
      <c r="AO290" s="617">
        <v>0.20334361396608269</v>
      </c>
      <c r="AP290" s="617">
        <v>0.21870411655435312</v>
      </c>
      <c r="AQ290" s="617">
        <v>0.24303169552679885</v>
      </c>
      <c r="AR290" s="617">
        <v>0.2139906589218272</v>
      </c>
      <c r="AS290" s="617">
        <v>0.20334361396608269</v>
      </c>
      <c r="AT290" s="618">
        <v>0.20038560298134486</v>
      </c>
      <c r="AU290" s="618">
        <v>1.0925723481013533E-2</v>
      </c>
      <c r="AV290" s="618">
        <v>1.0852538869564721E-2</v>
      </c>
      <c r="AW290" s="618">
        <v>1.0547468593299072E-2</v>
      </c>
      <c r="AX290" s="618">
        <v>1.1202576802759018E-2</v>
      </c>
      <c r="AY290" s="618">
        <v>1.0925723481013533E-2</v>
      </c>
      <c r="AZ290" s="618">
        <v>1.0685443778593257E-2</v>
      </c>
      <c r="BA290" s="618">
        <v>1.1270061342081377E-2</v>
      </c>
      <c r="BB290" s="618">
        <v>1.126592642836725E-2</v>
      </c>
      <c r="BC290" s="618">
        <v>1.1034328080304714E-2</v>
      </c>
      <c r="BD290" s="618">
        <v>1.1448804307034745E-2</v>
      </c>
      <c r="BE290" s="617">
        <v>1.1312906438402642E-2</v>
      </c>
      <c r="BF290" s="617">
        <v>1.121203203274708E-2</v>
      </c>
      <c r="BG290" s="617"/>
      <c r="BH290" s="617"/>
      <c r="BI290" s="617"/>
      <c r="BJ290" s="617"/>
      <c r="BK290" s="617"/>
      <c r="BL290" s="617"/>
      <c r="BM290" s="617"/>
      <c r="BN290" s="617"/>
      <c r="BO290" s="617"/>
      <c r="BP290" s="617"/>
      <c r="BQ290" s="617"/>
      <c r="BR290" s="617"/>
      <c r="BS290" s="617"/>
      <c r="BT290" s="617"/>
      <c r="BU290" s="617"/>
      <c r="BV290" s="617"/>
      <c r="BW290" s="617"/>
      <c r="BX290" s="617"/>
      <c r="BY290" s="617"/>
      <c r="BZ290" s="617"/>
      <c r="CA290" s="617"/>
      <c r="CB290" s="617"/>
      <c r="CC290" s="617"/>
      <c r="CD290" s="617"/>
      <c r="CE290" s="617"/>
      <c r="CF290" s="617"/>
      <c r="CG290" s="617"/>
      <c r="CH290" s="617"/>
      <c r="CI290" s="617"/>
      <c r="CJ290" s="617"/>
      <c r="CK290" s="617"/>
      <c r="CL290" s="617"/>
    </row>
    <row r="291" spans="1:90">
      <c r="A291" s="151">
        <f t="shared" ca="1" si="34"/>
        <v>8</v>
      </c>
      <c r="B291" s="113">
        <f t="shared" si="36"/>
        <v>63</v>
      </c>
      <c r="C291" s="150">
        <f t="shared" si="43"/>
        <v>177</v>
      </c>
      <c r="D291" s="565">
        <f t="shared" si="44"/>
        <v>9.5000000000000001E-2</v>
      </c>
      <c r="E291" s="306">
        <f t="shared" si="37"/>
        <v>663.83348778546349</v>
      </c>
      <c r="F291" s="306">
        <f t="shared" si="49"/>
        <v>8951.4725671924098</v>
      </c>
      <c r="G291" s="307">
        <f t="shared" si="50"/>
        <v>9615.3060549778729</v>
      </c>
      <c r="H291" s="306">
        <f>IF(N290&lt;0.01,0,IF(Adm!$S$3=Adm!$S$13,Cal!$E$94,IF(Adm!$R$3=Adm!$R$6,0,IF(Cal!$E$91=0,N290*Adm!$Y$3,N290*Adm!$X$3))))</f>
        <v>36.05663996813675</v>
      </c>
      <c r="I291" s="306">
        <f>IF(N290&lt;0.01,0,IF(Adm!$R$4=Adm!$R$6,0,Cal!$E$89*Adm!$AA$3))</f>
        <v>573.58240000000001</v>
      </c>
      <c r="J291" s="306">
        <f>IF(N290&lt;0.01,0,Adm!$O$3*1.16)</f>
        <v>290</v>
      </c>
      <c r="K291" s="306">
        <f>IF(N290&lt;0.01,0,IF(Adm!$N$3&gt;0,E291*Adm!$N$3,0))</f>
        <v>0</v>
      </c>
      <c r="L291" s="306">
        <f t="shared" si="38"/>
        <v>10514.94509494601</v>
      </c>
      <c r="M291" s="306">
        <f>IF(Adm!$F$3="si",MIN(N290+E291+H291+I291+J291-L291,Z291),0)</f>
        <v>0</v>
      </c>
      <c r="N291" s="306">
        <f t="shared" si="39"/>
        <v>74901.178521497714</v>
      </c>
      <c r="O291" s="361"/>
      <c r="P291" s="114"/>
      <c r="V291" s="571">
        <f t="shared" si="40"/>
        <v>9</v>
      </c>
      <c r="W291" s="293">
        <f>IF(V291=1,Adm!$AN$2,0)</f>
        <v>0</v>
      </c>
      <c r="Y291" s="304">
        <f t="shared" si="45"/>
        <v>0</v>
      </c>
      <c r="Z291" s="345">
        <f t="shared" ca="1" si="41"/>
        <v>0</v>
      </c>
      <c r="AB291" s="640">
        <f t="shared" si="46"/>
        <v>0</v>
      </c>
      <c r="AC291" s="639">
        <f t="shared" si="47"/>
        <v>0</v>
      </c>
      <c r="AD291" s="641">
        <f t="shared" si="42"/>
        <v>0</v>
      </c>
      <c r="AE291" s="639">
        <f t="shared" si="48"/>
        <v>0</v>
      </c>
      <c r="AF291" s="636">
        <f t="shared" si="35"/>
        <v>0</v>
      </c>
      <c r="AG291" s="637" t="e">
        <f>HLOOKUP($AG$110,anticipado,178,0)</f>
        <v>#N/A</v>
      </c>
      <c r="AI291" s="614">
        <v>0.29260611479714266</v>
      </c>
      <c r="AJ291" s="615">
        <v>0.27402865295339268</v>
      </c>
      <c r="AK291" s="616">
        <v>0.25376004755544057</v>
      </c>
      <c r="AL291" s="616">
        <v>0.25900920228555818</v>
      </c>
      <c r="AM291" s="617">
        <v>0.29260611479714266</v>
      </c>
      <c r="AN291" s="617">
        <v>0.27402865295339268</v>
      </c>
      <c r="AO291" s="617">
        <v>0.25726702398883639</v>
      </c>
      <c r="AP291" s="617">
        <v>0.28224353964420429</v>
      </c>
      <c r="AQ291" s="617">
        <v>0.323815034436159</v>
      </c>
      <c r="AR291" s="617">
        <v>0.27432541374169411</v>
      </c>
      <c r="AS291" s="617">
        <v>0.25726702398883639</v>
      </c>
      <c r="AT291" s="618">
        <v>0.25266817991172635</v>
      </c>
      <c r="AU291" s="618">
        <v>1.1146659743700342E-2</v>
      </c>
      <c r="AV291" s="618">
        <v>1.1074833230874555E-2</v>
      </c>
      <c r="AW291" s="618">
        <v>1.0765525469726646E-2</v>
      </c>
      <c r="AX291" s="618">
        <v>1.1427213261890648E-2</v>
      </c>
      <c r="AY291" s="618">
        <v>1.1146659743700342E-2</v>
      </c>
      <c r="AZ291" s="618">
        <v>1.0903373837260101E-2</v>
      </c>
      <c r="BA291" s="618">
        <v>1.1492941168838696E-2</v>
      </c>
      <c r="BB291" s="618">
        <v>1.149209472387777E-2</v>
      </c>
      <c r="BC291" s="618">
        <v>1.1259161654912989E-2</v>
      </c>
      <c r="BD291" s="618">
        <v>1.1673083523384335E-2</v>
      </c>
      <c r="BE291" s="617">
        <v>1.1535226466758568E-2</v>
      </c>
      <c r="BF291" s="617">
        <v>1.1435550058594476E-2</v>
      </c>
      <c r="BG291" s="617"/>
      <c r="BH291" s="617"/>
      <c r="BI291" s="617"/>
      <c r="BJ291" s="617"/>
      <c r="BK291" s="617"/>
      <c r="BL291" s="617"/>
      <c r="BM291" s="617"/>
      <c r="BN291" s="617"/>
      <c r="BO291" s="617"/>
      <c r="BP291" s="617"/>
      <c r="BQ291" s="617"/>
      <c r="BR291" s="617"/>
      <c r="BS291" s="617"/>
      <c r="BT291" s="617"/>
      <c r="BU291" s="617"/>
      <c r="BV291" s="617"/>
      <c r="BW291" s="617"/>
      <c r="BX291" s="617"/>
      <c r="BY291" s="617"/>
      <c r="BZ291" s="617"/>
      <c r="CA291" s="617"/>
      <c r="CB291" s="617"/>
      <c r="CC291" s="617"/>
      <c r="CD291" s="617"/>
      <c r="CE291" s="617"/>
      <c r="CF291" s="617"/>
      <c r="CG291" s="617"/>
      <c r="CH291" s="617"/>
      <c r="CI291" s="617"/>
      <c r="CJ291" s="617"/>
      <c r="CK291" s="617"/>
      <c r="CL291" s="617"/>
    </row>
    <row r="292" spans="1:90">
      <c r="A292" s="151">
        <f t="shared" ca="1" si="34"/>
        <v>9</v>
      </c>
      <c r="B292" s="113">
        <f t="shared" si="36"/>
        <v>62</v>
      </c>
      <c r="C292" s="150">
        <f t="shared" si="43"/>
        <v>178</v>
      </c>
      <c r="D292" s="565">
        <f t="shared" si="44"/>
        <v>9.5000000000000001E-2</v>
      </c>
      <c r="E292" s="306">
        <f t="shared" si="37"/>
        <v>592.96766329519016</v>
      </c>
      <c r="F292" s="306">
        <f t="shared" si="49"/>
        <v>9022.3383916826824</v>
      </c>
      <c r="G292" s="307">
        <f t="shared" si="50"/>
        <v>9615.3060549778729</v>
      </c>
      <c r="H292" s="306">
        <f>IF(N291&lt;0.01,0,IF(Adm!$S$3=Adm!$S$13,Cal!$E$94,IF(Adm!$R$3=Adm!$R$6,0,IF(Cal!$E$91=0,N291*Adm!$Y$3,N291*Adm!$X$3))))</f>
        <v>32.207506764244016</v>
      </c>
      <c r="I292" s="306">
        <f>IF(N291&lt;0.01,0,IF(Adm!$R$4=Adm!$R$6,0,Cal!$E$89*Adm!$AA$3))</f>
        <v>573.58240000000001</v>
      </c>
      <c r="J292" s="306">
        <f>IF(N291&lt;0.01,0,Adm!$O$3*1.16)</f>
        <v>290</v>
      </c>
      <c r="K292" s="306">
        <f>IF(N291&lt;0.01,0,IF(Adm!$N$3&gt;0,E292*Adm!$N$3,0))</f>
        <v>0</v>
      </c>
      <c r="L292" s="306">
        <f t="shared" si="38"/>
        <v>10511.095961742116</v>
      </c>
      <c r="M292" s="306">
        <f>IF(Adm!$F$3="si",MIN(N291+E292+H292+I292+J292-L292,Z292),0)</f>
        <v>0</v>
      </c>
      <c r="N292" s="306">
        <f t="shared" si="39"/>
        <v>65878.840129815027</v>
      </c>
      <c r="O292" s="361"/>
      <c r="P292" s="114"/>
      <c r="V292" s="571">
        <f t="shared" si="40"/>
        <v>10</v>
      </c>
      <c r="W292" s="293">
        <f>IF(V292=1,Adm!$AN$2,0)</f>
        <v>0</v>
      </c>
      <c r="Y292" s="304">
        <f t="shared" si="45"/>
        <v>0</v>
      </c>
      <c r="Z292" s="345">
        <f t="shared" ca="1" si="41"/>
        <v>0</v>
      </c>
      <c r="AB292" s="640">
        <f t="shared" si="46"/>
        <v>0</v>
      </c>
      <c r="AC292" s="639">
        <f t="shared" si="47"/>
        <v>0</v>
      </c>
      <c r="AD292" s="641">
        <f t="shared" si="42"/>
        <v>0</v>
      </c>
      <c r="AE292" s="639">
        <f t="shared" si="48"/>
        <v>0</v>
      </c>
      <c r="AF292" s="636">
        <f t="shared" si="35"/>
        <v>0</v>
      </c>
      <c r="AG292" s="637" t="e">
        <f>HLOOKUP($AG$110,anticipado,179,0)</f>
        <v>#N/A</v>
      </c>
      <c r="AI292" s="614">
        <v>0.41720722883070227</v>
      </c>
      <c r="AJ292" s="615">
        <v>0.38089032591143368</v>
      </c>
      <c r="AK292" s="616">
        <v>0.34325086164366775</v>
      </c>
      <c r="AL292" s="616">
        <v>0.35245438229481452</v>
      </c>
      <c r="AM292" s="617">
        <v>0.41720722883070227</v>
      </c>
      <c r="AN292" s="617">
        <v>0.38089032591143368</v>
      </c>
      <c r="AO292" s="617">
        <v>0.34912105647263453</v>
      </c>
      <c r="AP292" s="617">
        <v>0.39648748939603912</v>
      </c>
      <c r="AQ292" s="617">
        <v>0.48299572372588412</v>
      </c>
      <c r="AR292" s="617">
        <v>0.38091060408595195</v>
      </c>
      <c r="AS292" s="617">
        <v>0.34912105647263453</v>
      </c>
      <c r="AT292" s="618">
        <v>0.34088015521370602</v>
      </c>
      <c r="AU292" s="618">
        <v>1.1374604527258931E-2</v>
      </c>
      <c r="AV292" s="618">
        <v>1.1304221319439388E-2</v>
      </c>
      <c r="AW292" s="618">
        <v>1.0990512527125306E-2</v>
      </c>
      <c r="AX292" s="618">
        <v>1.1659002888704683E-2</v>
      </c>
      <c r="AY292" s="618">
        <v>1.1374604527258931E-2</v>
      </c>
      <c r="AZ292" s="618">
        <v>1.112819995147211E-2</v>
      </c>
      <c r="BA292" s="618">
        <v>1.1722871301721123E-2</v>
      </c>
      <c r="BB292" s="618">
        <v>1.1725485594729145E-2</v>
      </c>
      <c r="BC292" s="618">
        <v>1.1491188831325976E-2</v>
      </c>
      <c r="BD292" s="618">
        <v>1.1904457157308946E-2</v>
      </c>
      <c r="BE292" s="617">
        <v>1.1764560929517725E-2</v>
      </c>
      <c r="BF292" s="617">
        <v>1.1666161204538663E-2</v>
      </c>
      <c r="BG292" s="617"/>
      <c r="BH292" s="617"/>
      <c r="BI292" s="617"/>
      <c r="BJ292" s="617"/>
      <c r="BK292" s="617"/>
      <c r="BL292" s="617"/>
      <c r="BM292" s="617"/>
      <c r="BN292" s="617"/>
      <c r="BO292" s="617"/>
      <c r="BP292" s="617"/>
      <c r="BQ292" s="617"/>
      <c r="BR292" s="617"/>
      <c r="BS292" s="617"/>
      <c r="BT292" s="617"/>
      <c r="BU292" s="617"/>
      <c r="BV292" s="617"/>
      <c r="BW292" s="617"/>
      <c r="BX292" s="617"/>
      <c r="BY292" s="617"/>
      <c r="BZ292" s="617"/>
      <c r="CA292" s="617"/>
      <c r="CB292" s="617"/>
      <c r="CC292" s="617"/>
      <c r="CD292" s="617"/>
      <c r="CE292" s="617"/>
      <c r="CF292" s="617"/>
      <c r="CG292" s="617"/>
      <c r="CH292" s="617"/>
      <c r="CI292" s="617"/>
      <c r="CJ292" s="617"/>
      <c r="CK292" s="617"/>
      <c r="CL292" s="617"/>
    </row>
    <row r="293" spans="1:90">
      <c r="A293" s="151">
        <f t="shared" ca="1" si="34"/>
        <v>10</v>
      </c>
      <c r="B293" s="113">
        <f t="shared" si="36"/>
        <v>61</v>
      </c>
      <c r="C293" s="150">
        <f t="shared" si="43"/>
        <v>179</v>
      </c>
      <c r="D293" s="565">
        <f t="shared" si="44"/>
        <v>9.5000000000000001E-2</v>
      </c>
      <c r="E293" s="306">
        <f t="shared" si="37"/>
        <v>521.54081769436891</v>
      </c>
      <c r="F293" s="306">
        <f t="shared" si="49"/>
        <v>9093.7652372835037</v>
      </c>
      <c r="G293" s="307">
        <f t="shared" si="50"/>
        <v>9615.3060549778729</v>
      </c>
      <c r="H293" s="306">
        <f>IF(N292&lt;0.01,0,IF(Adm!$S$3=Adm!$S$13,Cal!$E$94,IF(Adm!$R$3=Adm!$R$6,0,IF(Cal!$E$91=0,N292*Adm!$Y$3,N292*Adm!$X$3))))</f>
        <v>28.327901255820461</v>
      </c>
      <c r="I293" s="306">
        <f>IF(N292&lt;0.01,0,IF(Adm!$R$4=Adm!$R$6,0,Cal!$E$89*Adm!$AA$3))</f>
        <v>573.58240000000001</v>
      </c>
      <c r="J293" s="306">
        <f>IF(N292&lt;0.01,0,Adm!$O$3*1.16)</f>
        <v>290</v>
      </c>
      <c r="K293" s="306">
        <f>IF(N292&lt;0.01,0,IF(Adm!$N$3&gt;0,E293*Adm!$N$3,0))</f>
        <v>0</v>
      </c>
      <c r="L293" s="306">
        <f t="shared" si="38"/>
        <v>10507.216356233692</v>
      </c>
      <c r="M293" s="306">
        <f>IF(Adm!$F$3="si",MIN(N292+E293+H293+I293+J293-L293,Z293),0)</f>
        <v>0</v>
      </c>
      <c r="N293" s="306">
        <f t="shared" si="39"/>
        <v>56785.074892531527</v>
      </c>
      <c r="O293" s="361"/>
      <c r="P293" s="114"/>
      <c r="V293" s="571">
        <f t="shared" si="40"/>
        <v>11</v>
      </c>
      <c r="W293" s="293">
        <f>IF(V293=1,Adm!$AN$2,0)</f>
        <v>0</v>
      </c>
      <c r="Y293" s="304">
        <f t="shared" si="45"/>
        <v>0</v>
      </c>
      <c r="Z293" s="345">
        <f t="shared" ca="1" si="41"/>
        <v>0</v>
      </c>
      <c r="AB293" s="640">
        <f t="shared" si="46"/>
        <v>0</v>
      </c>
      <c r="AC293" s="639">
        <f t="shared" si="47"/>
        <v>0</v>
      </c>
      <c r="AD293" s="641">
        <f t="shared" si="42"/>
        <v>0</v>
      </c>
      <c r="AE293" s="639">
        <f t="shared" si="48"/>
        <v>0</v>
      </c>
      <c r="AF293" s="636">
        <f t="shared" si="35"/>
        <v>0</v>
      </c>
      <c r="AG293" s="637" t="e">
        <f>HLOOKUP($AG$110,anticipado,180,0)</f>
        <v>#N/A</v>
      </c>
      <c r="AI293" s="614">
        <v>0.72205020720328339</v>
      </c>
      <c r="AJ293" s="615">
        <v>0.62080584701717556</v>
      </c>
      <c r="AK293" s="616">
        <v>0.52756868632384191</v>
      </c>
      <c r="AL293" s="616">
        <v>0.54882398291392687</v>
      </c>
      <c r="AM293" s="617">
        <v>0.72205020720328339</v>
      </c>
      <c r="AN293" s="617">
        <v>0.62080584701717556</v>
      </c>
      <c r="AO293" s="617">
        <v>0.54063038142859854</v>
      </c>
      <c r="AP293" s="617">
        <v>0.66240835178898638</v>
      </c>
      <c r="AQ293" s="617">
        <v>0.94223869971031982</v>
      </c>
      <c r="AR293" s="617">
        <v>0.6199670838739334</v>
      </c>
      <c r="AS293" s="617">
        <v>0.54063038142859854</v>
      </c>
      <c r="AT293" s="618">
        <v>0.52143715372079746</v>
      </c>
      <c r="AU293" s="618">
        <v>1.1609886935845234E-2</v>
      </c>
      <c r="AV293" s="618">
        <v>1.154103764548701E-2</v>
      </c>
      <c r="AW293" s="618">
        <v>1.1222754007253807E-2</v>
      </c>
      <c r="AX293" s="618">
        <v>1.1898283915157206E-2</v>
      </c>
      <c r="AY293" s="618">
        <v>1.1609886935845234E-2</v>
      </c>
      <c r="AZ293" s="618">
        <v>1.1360244184797473E-2</v>
      </c>
      <c r="BA293" s="618">
        <v>1.1960183443591245E-2</v>
      </c>
      <c r="BB293" s="618">
        <v>1.1966441685689624E-2</v>
      </c>
      <c r="BC293" s="618">
        <v>1.17307504379202E-2</v>
      </c>
      <c r="BD293" s="618">
        <v>1.2143259691215123E-2</v>
      </c>
      <c r="BE293" s="617">
        <v>1.2001239259561139E-2</v>
      </c>
      <c r="BF293" s="617">
        <v>1.1904199889701553E-2</v>
      </c>
      <c r="BG293" s="617"/>
      <c r="BH293" s="617"/>
      <c r="BI293" s="617"/>
      <c r="BJ293" s="617"/>
      <c r="BK293" s="617"/>
      <c r="BL293" s="617"/>
      <c r="BM293" s="617"/>
      <c r="BN293" s="617"/>
      <c r="BO293" s="617"/>
      <c r="BP293" s="617"/>
      <c r="BQ293" s="617"/>
      <c r="BR293" s="617"/>
      <c r="BS293" s="617"/>
      <c r="BT293" s="617"/>
      <c r="BU293" s="617"/>
      <c r="BV293" s="617"/>
      <c r="BW293" s="617"/>
      <c r="BX293" s="617"/>
      <c r="BY293" s="617"/>
      <c r="BZ293" s="617"/>
      <c r="CA293" s="617"/>
      <c r="CB293" s="617"/>
      <c r="CC293" s="617"/>
      <c r="CD293" s="617"/>
      <c r="CE293" s="617"/>
      <c r="CF293" s="617"/>
      <c r="CG293" s="617"/>
      <c r="CH293" s="617"/>
      <c r="CI293" s="617"/>
      <c r="CJ293" s="617"/>
      <c r="CK293" s="617"/>
      <c r="CL293" s="617"/>
    </row>
    <row r="294" spans="1:90">
      <c r="A294" s="151">
        <f t="shared" ca="1" si="34"/>
        <v>11</v>
      </c>
      <c r="B294" s="113">
        <f t="shared" si="36"/>
        <v>60</v>
      </c>
      <c r="C294" s="150">
        <f t="shared" si="43"/>
        <v>180</v>
      </c>
      <c r="D294" s="565">
        <f t="shared" si="44"/>
        <v>9.5000000000000001E-2</v>
      </c>
      <c r="E294" s="306">
        <f t="shared" si="37"/>
        <v>449.54850956587461</v>
      </c>
      <c r="F294" s="306">
        <f t="shared" si="49"/>
        <v>9165.7575454119979</v>
      </c>
      <c r="G294" s="307">
        <f t="shared" si="50"/>
        <v>9615.3060549778729</v>
      </c>
      <c r="H294" s="306">
        <f>IF(N293&lt;0.01,0,IF(Adm!$S$3=Adm!$S$13,Cal!$E$94,IF(Adm!$R$3=Adm!$R$6,0,IF(Cal!$E$91=0,N293*Adm!$Y$3,N293*Adm!$X$3))))</f>
        <v>24.417582203788555</v>
      </c>
      <c r="I294" s="306">
        <f>IF(N293&lt;0.01,0,IF(Adm!$R$4=Adm!$R$6,0,Cal!$E$89*Adm!$AA$3))</f>
        <v>573.58240000000001</v>
      </c>
      <c r="J294" s="306">
        <f>IF(N293&lt;0.01,0,Adm!$O$3*1.16)</f>
        <v>290</v>
      </c>
      <c r="K294" s="306">
        <f>IF(N293&lt;0.01,0,IF(Adm!$N$3&gt;0,E294*Adm!$N$3,0))</f>
        <v>0</v>
      </c>
      <c r="L294" s="306">
        <f t="shared" si="38"/>
        <v>10503.306037181661</v>
      </c>
      <c r="M294" s="306">
        <f>IF(Adm!$F$3="si",MIN(N293+E294+H294+I294+J294-L294,Z294),0)</f>
        <v>0</v>
      </c>
      <c r="N294" s="306">
        <f t="shared" si="39"/>
        <v>47619.317347119533</v>
      </c>
      <c r="O294" s="361"/>
      <c r="P294" s="114"/>
      <c r="V294" s="571">
        <f t="shared" si="40"/>
        <v>12</v>
      </c>
      <c r="W294" s="293">
        <f>IF(V294=1,Adm!$AN$2,0)</f>
        <v>0</v>
      </c>
      <c r="Y294" s="304">
        <f t="shared" si="45"/>
        <v>0</v>
      </c>
      <c r="Z294" s="345">
        <f t="shared" ca="1" si="41"/>
        <v>0</v>
      </c>
      <c r="AB294" s="640">
        <f t="shared" si="46"/>
        <v>0</v>
      </c>
      <c r="AC294" s="639">
        <f t="shared" si="47"/>
        <v>0</v>
      </c>
      <c r="AD294" s="641">
        <f t="shared" si="42"/>
        <v>0</v>
      </c>
      <c r="AE294" s="639">
        <f t="shared" si="48"/>
        <v>0</v>
      </c>
      <c r="AF294" s="636">
        <f t="shared" si="35"/>
        <v>0</v>
      </c>
      <c r="AG294" s="637" t="e">
        <f>HLOOKUP($AG$110,anticipado,181,0)</f>
        <v>#N/A</v>
      </c>
      <c r="AI294" s="614">
        <v>1</v>
      </c>
      <c r="AJ294" s="615">
        <v>1</v>
      </c>
      <c r="AK294" s="616">
        <v>1</v>
      </c>
      <c r="AL294" s="616">
        <v>1</v>
      </c>
      <c r="AM294" s="617">
        <v>1</v>
      </c>
      <c r="AN294" s="617">
        <v>1</v>
      </c>
      <c r="AO294" s="617">
        <v>1</v>
      </c>
      <c r="AP294" s="617">
        <v>1</v>
      </c>
      <c r="AQ294" s="617">
        <v>1</v>
      </c>
      <c r="AR294" s="617">
        <v>1</v>
      </c>
      <c r="AS294" s="617">
        <v>1</v>
      </c>
      <c r="AT294" s="618">
        <v>1.0000000000000002</v>
      </c>
      <c r="AU294" s="618">
        <v>1.1852856989300551E-2</v>
      </c>
      <c r="AV294" s="618">
        <v>1.178563806727885E-2</v>
      </c>
      <c r="AW294" s="618">
        <v>1.1462594675200308E-2</v>
      </c>
      <c r="AX294" s="618">
        <v>1.214541622443148E-2</v>
      </c>
      <c r="AY294" s="618">
        <v>1.1852856989300551E-2</v>
      </c>
      <c r="AZ294" s="618">
        <v>1.1599848952458202E-2</v>
      </c>
      <c r="BA294" s="618">
        <v>1.2205230424632228E-2</v>
      </c>
      <c r="BB294" s="618">
        <v>1.2215327649480898E-2</v>
      </c>
      <c r="BC294" s="618">
        <v>1.1978209161782659E-2</v>
      </c>
      <c r="BD294" s="618">
        <v>1.2389846959602104E-2</v>
      </c>
      <c r="BE294" s="617">
        <v>1.2245611835738319E-2</v>
      </c>
      <c r="BF294" s="617">
        <v>1.2150021877862334E-2</v>
      </c>
      <c r="BG294" s="617"/>
      <c r="BH294" s="617"/>
      <c r="BI294" s="617"/>
      <c r="BJ294" s="617"/>
      <c r="BK294" s="617"/>
      <c r="BL294" s="617"/>
      <c r="BM294" s="617"/>
      <c r="BN294" s="617"/>
      <c r="BO294" s="617"/>
      <c r="BP294" s="617"/>
      <c r="BQ294" s="617"/>
      <c r="BR294" s="617"/>
      <c r="BS294" s="617"/>
      <c r="BT294" s="617"/>
      <c r="BU294" s="617"/>
      <c r="BV294" s="617"/>
      <c r="BW294" s="617"/>
      <c r="BX294" s="617"/>
      <c r="BY294" s="617"/>
      <c r="BZ294" s="617"/>
      <c r="CA294" s="617"/>
      <c r="CB294" s="617"/>
      <c r="CC294" s="617"/>
      <c r="CD294" s="617"/>
      <c r="CE294" s="617"/>
      <c r="CF294" s="617"/>
      <c r="CG294" s="617"/>
      <c r="CH294" s="617"/>
      <c r="CI294" s="617"/>
      <c r="CJ294" s="617"/>
      <c r="CK294" s="617"/>
      <c r="CL294" s="617"/>
    </row>
    <row r="295" spans="1:90">
      <c r="A295" s="151">
        <f t="shared" ca="1" si="34"/>
        <v>12</v>
      </c>
      <c r="B295" s="113">
        <f t="shared" si="36"/>
        <v>59</v>
      </c>
      <c r="C295" s="150">
        <f t="shared" si="43"/>
        <v>181</v>
      </c>
      <c r="D295" s="565">
        <f t="shared" si="44"/>
        <v>9.5000000000000001E-2</v>
      </c>
      <c r="E295" s="306">
        <f t="shared" si="37"/>
        <v>376.98626233136298</v>
      </c>
      <c r="F295" s="306">
        <f t="shared" si="49"/>
        <v>9238.3197926465091</v>
      </c>
      <c r="G295" s="307">
        <f t="shared" si="50"/>
        <v>9615.3060549778729</v>
      </c>
      <c r="H295" s="306">
        <f>IF(N294&lt;0.01,0,IF(Adm!$S$3=Adm!$S$13,Cal!$E$94,IF(Adm!$R$3=Adm!$R$6,0,IF(Cal!$E$91=0,N294*Adm!$Y$3,N294*Adm!$X$3))))</f>
        <v>20.476306459261398</v>
      </c>
      <c r="I295" s="306">
        <f>IF(N294&lt;0.01,0,IF(Adm!$R$4=Adm!$R$6,0,Cal!$E$89*Adm!$AA$3))</f>
        <v>573.58240000000001</v>
      </c>
      <c r="J295" s="306">
        <f>IF(N294&lt;0.01,0,Adm!$O$3*1.16)</f>
        <v>290</v>
      </c>
      <c r="K295" s="306">
        <f>IF(N294&lt;0.01,0,IF(Adm!$N$3&gt;0,E295*Adm!$N$3,0))</f>
        <v>0</v>
      </c>
      <c r="L295" s="306">
        <f t="shared" si="38"/>
        <v>10499.364761437133</v>
      </c>
      <c r="M295" s="306">
        <f>IF(Adm!$F$3="si",MIN(N294+E295+H295+I295+J295-L295,Z295),0)</f>
        <v>0</v>
      </c>
      <c r="N295" s="306">
        <f t="shared" si="39"/>
        <v>38380.997554473026</v>
      </c>
      <c r="O295" s="361"/>
      <c r="P295" s="114"/>
      <c r="V295" s="571">
        <f t="shared" si="40"/>
        <v>1</v>
      </c>
      <c r="W295" s="293">
        <f>IF(V295=1,Adm!$AN$2,0)</f>
        <v>0</v>
      </c>
      <c r="Y295" s="304">
        <f t="shared" si="45"/>
        <v>0</v>
      </c>
      <c r="Z295" s="345">
        <f t="shared" ca="1" si="41"/>
        <v>0</v>
      </c>
      <c r="AB295" s="640">
        <f t="shared" si="46"/>
        <v>0</v>
      </c>
      <c r="AC295" s="639">
        <f t="shared" si="47"/>
        <v>0</v>
      </c>
      <c r="AD295" s="641">
        <f t="shared" si="42"/>
        <v>0</v>
      </c>
      <c r="AE295" s="639">
        <f t="shared" si="48"/>
        <v>0</v>
      </c>
      <c r="AF295" s="636">
        <f t="shared" si="35"/>
        <v>0</v>
      </c>
      <c r="AG295" s="637" t="e">
        <f>HLOOKUP($AG$110,anticipado,182,0)</f>
        <v>#N/A</v>
      </c>
      <c r="AI295" s="415"/>
      <c r="AJ295" s="415"/>
      <c r="AK295" s="415"/>
      <c r="AL295" s="415"/>
      <c r="AM295" s="415"/>
      <c r="AN295" s="415"/>
      <c r="AO295" s="415"/>
      <c r="AP295" s="415"/>
      <c r="AQ295" s="415"/>
      <c r="AR295" s="415"/>
      <c r="AS295" s="415"/>
      <c r="AT295" s="459"/>
      <c r="AU295" s="459">
        <v>1.2315676184917822E-2</v>
      </c>
      <c r="AV295" s="459">
        <v>1.2252868870562228E-2</v>
      </c>
      <c r="AW295" s="459">
        <v>1.1926588817667118E-2</v>
      </c>
      <c r="AX295" s="459">
        <v>1.2611040942886216E-2</v>
      </c>
      <c r="AY295" s="459">
        <v>1.2315676184917822E-2</v>
      </c>
      <c r="AZ295" s="459">
        <v>1.2060769108195406E-2</v>
      </c>
      <c r="BA295" s="459">
        <v>1.2665805124284635E-2</v>
      </c>
      <c r="BB295" s="459">
        <v>1.2683090595532904E-2</v>
      </c>
      <c r="BC295" s="459">
        <v>1.2447457509844049E-2</v>
      </c>
      <c r="BD295" s="459">
        <v>1.2850210526112174E-2</v>
      </c>
      <c r="BE295" s="415">
        <v>1.270419885806231E-2</v>
      </c>
      <c r="BF295" s="415">
        <v>1.2613046068278861E-2</v>
      </c>
      <c r="BG295" s="415"/>
      <c r="BH295" s="415"/>
      <c r="BI295" s="415"/>
      <c r="BJ295" s="415"/>
      <c r="BK295" s="617"/>
      <c r="BL295" s="617"/>
      <c r="BM295" s="617"/>
      <c r="BN295" s="617"/>
      <c r="BO295" s="617"/>
      <c r="BP295" s="617"/>
      <c r="BQ295" s="617"/>
      <c r="BR295" s="617"/>
      <c r="BS295" s="617"/>
      <c r="BT295" s="617"/>
      <c r="BU295" s="617"/>
      <c r="BV295" s="617"/>
      <c r="BW295" s="617"/>
      <c r="BX295" s="617"/>
      <c r="BY295" s="617"/>
      <c r="BZ295" s="617"/>
      <c r="CA295" s="617"/>
      <c r="CB295" s="617"/>
      <c r="CC295" s="617"/>
      <c r="CD295" s="617"/>
      <c r="CE295" s="617"/>
      <c r="CF295" s="617"/>
      <c r="CG295" s="617"/>
      <c r="CH295" s="617"/>
      <c r="CI295" s="617"/>
      <c r="CJ295" s="617"/>
      <c r="CK295" s="617"/>
      <c r="CL295" s="617"/>
    </row>
    <row r="296" spans="1:90">
      <c r="A296" s="151">
        <f t="shared" ca="1" si="34"/>
        <v>1</v>
      </c>
      <c r="B296" s="113">
        <f t="shared" si="36"/>
        <v>58</v>
      </c>
      <c r="C296" s="150">
        <f t="shared" si="43"/>
        <v>182</v>
      </c>
      <c r="D296" s="565">
        <f t="shared" si="44"/>
        <v>9.5000000000000001E-2</v>
      </c>
      <c r="E296" s="306">
        <f t="shared" si="37"/>
        <v>303.84956397291143</v>
      </c>
      <c r="F296" s="306">
        <f t="shared" si="49"/>
        <v>9311.4564910049612</v>
      </c>
      <c r="G296" s="307">
        <f t="shared" si="50"/>
        <v>9615.3060549778729</v>
      </c>
      <c r="H296" s="306">
        <f>IF(N295&lt;0.01,0,IF(Adm!$S$3=Adm!$S$13,Cal!$E$94,IF(Adm!$R$3=Adm!$R$6,0,IF(Cal!$E$91=0,N295*Adm!$Y$3,N295*Adm!$X$3))))</f>
        <v>16.503828948423401</v>
      </c>
      <c r="I296" s="306">
        <f>IF(N295&lt;0.01,0,IF(Adm!$R$4=Adm!$R$6,0,Cal!$E$89*Adm!$AA$3))</f>
        <v>573.58240000000001</v>
      </c>
      <c r="J296" s="306">
        <f>IF(N295&lt;0.01,0,Adm!$O$3*1.16)</f>
        <v>290</v>
      </c>
      <c r="K296" s="306">
        <f>IF(N295&lt;0.01,0,IF(Adm!$N$3&gt;0,E296*Adm!$N$3,0))</f>
        <v>0</v>
      </c>
      <c r="L296" s="306">
        <f t="shared" si="38"/>
        <v>10495.392283926296</v>
      </c>
      <c r="M296" s="306">
        <f>IF(Adm!$F$3="si",MIN(N295+E296+H296+I296+J296-L296,Z296),0)</f>
        <v>0</v>
      </c>
      <c r="N296" s="306">
        <f t="shared" si="39"/>
        <v>29069.541063468067</v>
      </c>
      <c r="O296" s="361"/>
      <c r="P296" s="114"/>
      <c r="V296" s="571">
        <f t="shared" si="40"/>
        <v>2</v>
      </c>
      <c r="W296" s="293">
        <f>IF(V296=1,Adm!$AN$2,0)</f>
        <v>0</v>
      </c>
      <c r="Y296" s="304">
        <f t="shared" si="45"/>
        <v>0</v>
      </c>
      <c r="Z296" s="345">
        <f t="shared" ca="1" si="41"/>
        <v>0</v>
      </c>
      <c r="AB296" s="640">
        <f t="shared" si="46"/>
        <v>0</v>
      </c>
      <c r="AC296" s="639">
        <f t="shared" si="47"/>
        <v>0</v>
      </c>
      <c r="AD296" s="641">
        <f t="shared" si="42"/>
        <v>0</v>
      </c>
      <c r="AE296" s="639">
        <f t="shared" si="48"/>
        <v>0</v>
      </c>
      <c r="AF296" s="636">
        <f t="shared" si="35"/>
        <v>0</v>
      </c>
      <c r="AG296" s="637" t="e">
        <f>HLOOKUP($AG$110,anticipado,183,0)</f>
        <v>#N/A</v>
      </c>
      <c r="AI296" s="415"/>
      <c r="AJ296" s="415"/>
      <c r="AK296" s="415"/>
      <c r="AL296" s="415"/>
      <c r="AM296" s="415"/>
      <c r="AN296" s="415"/>
      <c r="AO296" s="415"/>
      <c r="AP296" s="415"/>
      <c r="AQ296" s="415"/>
      <c r="AR296" s="415"/>
      <c r="AS296" s="415"/>
      <c r="AT296" s="459"/>
      <c r="AU296" s="459">
        <v>1.2582401731651521E-2</v>
      </c>
      <c r="AV296" s="459">
        <v>1.2521573138910324E-2</v>
      </c>
      <c r="AW296" s="459">
        <v>1.2190148321863405E-2</v>
      </c>
      <c r="AX296" s="459">
        <v>1.2882270005495222E-2</v>
      </c>
      <c r="AY296" s="459">
        <v>1.2582401731651521E-2</v>
      </c>
      <c r="AZ296" s="459">
        <v>1.2323881396352218E-2</v>
      </c>
      <c r="BA296" s="459">
        <v>1.2934546657397693E-2</v>
      </c>
      <c r="BB296" s="459">
        <v>1.2956279455931852E-2</v>
      </c>
      <c r="BC296" s="459">
        <v>1.2719259270130432E-2</v>
      </c>
      <c r="BD296" s="459">
        <v>1.3120543100502277E-2</v>
      </c>
      <c r="BE296" s="415">
        <v>1.2972114933181018E-2</v>
      </c>
      <c r="BF296" s="415">
        <v>1.2882747649447726E-2</v>
      </c>
      <c r="BG296" s="415"/>
      <c r="BH296" s="415"/>
      <c r="BI296" s="415"/>
      <c r="BJ296" s="415"/>
      <c r="BK296" s="617"/>
      <c r="BL296" s="617"/>
      <c r="BM296" s="617"/>
      <c r="BN296" s="617"/>
      <c r="BO296" s="617"/>
      <c r="BP296" s="617"/>
      <c r="BQ296" s="617"/>
      <c r="BR296" s="617"/>
      <c r="BS296" s="617"/>
      <c r="BT296" s="617"/>
      <c r="BU296" s="617"/>
      <c r="BV296" s="617"/>
      <c r="BW296" s="617"/>
      <c r="BX296" s="617"/>
      <c r="BY296" s="617"/>
      <c r="BZ296" s="617"/>
      <c r="CA296" s="617"/>
      <c r="CB296" s="617"/>
      <c r="CC296" s="617"/>
      <c r="CD296" s="617"/>
      <c r="CE296" s="617"/>
      <c r="CF296" s="617"/>
      <c r="CG296" s="617"/>
      <c r="CH296" s="617"/>
      <c r="CI296" s="617"/>
      <c r="CJ296" s="617"/>
      <c r="CK296" s="617"/>
      <c r="CL296" s="617"/>
    </row>
    <row r="297" spans="1:90">
      <c r="A297" s="151">
        <f t="shared" ca="1" si="34"/>
        <v>2</v>
      </c>
      <c r="B297" s="113">
        <f t="shared" si="36"/>
        <v>57</v>
      </c>
      <c r="C297" s="150">
        <f t="shared" si="43"/>
        <v>183</v>
      </c>
      <c r="D297" s="565">
        <f t="shared" si="44"/>
        <v>9.5000000000000001E-2</v>
      </c>
      <c r="E297" s="306">
        <f t="shared" si="37"/>
        <v>230.13386675245553</v>
      </c>
      <c r="F297" s="306">
        <f t="shared" si="49"/>
        <v>9385.1721882254169</v>
      </c>
      <c r="G297" s="307">
        <f t="shared" si="50"/>
        <v>9615.3060549778729</v>
      </c>
      <c r="H297" s="306">
        <f>IF(N296&lt;0.01,0,IF(Adm!$S$3=Adm!$S$13,Cal!$E$94,IF(Adm!$R$3=Adm!$R$6,0,IF(Cal!$E$91=0,N296*Adm!$Y$3,N296*Adm!$X$3))))</f>
        <v>12.499902657291269</v>
      </c>
      <c r="I297" s="306">
        <f>IF(N296&lt;0.01,0,IF(Adm!$R$4=Adm!$R$6,0,Cal!$E$89*Adm!$AA$3))</f>
        <v>573.58240000000001</v>
      </c>
      <c r="J297" s="306">
        <f>IF(N296&lt;0.01,0,Adm!$O$3*1.16)</f>
        <v>290</v>
      </c>
      <c r="K297" s="306">
        <f>IF(N296&lt;0.01,0,IF(Adm!$N$3&gt;0,E297*Adm!$N$3,0))</f>
        <v>0</v>
      </c>
      <c r="L297" s="306">
        <f t="shared" si="38"/>
        <v>10491.388357635164</v>
      </c>
      <c r="M297" s="306">
        <f>IF(Adm!$F$3="si",MIN(N296+E297+H297+I297+J297-L297,Z297),0)</f>
        <v>0</v>
      </c>
      <c r="N297" s="306">
        <f t="shared" si="39"/>
        <v>19684.36887524265</v>
      </c>
      <c r="O297" s="361"/>
      <c r="P297" s="114"/>
      <c r="V297" s="571">
        <f t="shared" si="40"/>
        <v>3</v>
      </c>
      <c r="W297" s="293">
        <f>IF(V297=1,Adm!$AN$2,0)</f>
        <v>0</v>
      </c>
      <c r="Y297" s="304">
        <f t="shared" si="45"/>
        <v>0</v>
      </c>
      <c r="Z297" s="345">
        <f t="shared" ca="1" si="41"/>
        <v>0</v>
      </c>
      <c r="AB297" s="640">
        <f t="shared" si="46"/>
        <v>0</v>
      </c>
      <c r="AC297" s="639">
        <f t="shared" si="47"/>
        <v>0</v>
      </c>
      <c r="AD297" s="641">
        <f t="shared" si="42"/>
        <v>0</v>
      </c>
      <c r="AE297" s="639">
        <f t="shared" si="48"/>
        <v>0</v>
      </c>
      <c r="AF297" s="636">
        <f t="shared" si="35"/>
        <v>0</v>
      </c>
      <c r="AG297" s="637" t="e">
        <f>HLOOKUP($AG$110,anticipado,184,0)</f>
        <v>#N/A</v>
      </c>
      <c r="AI297" s="415"/>
      <c r="AJ297" s="415"/>
      <c r="AK297" s="415"/>
      <c r="AL297" s="415"/>
      <c r="AM297" s="415"/>
      <c r="AN297" s="415"/>
      <c r="AO297" s="415"/>
      <c r="AP297" s="415"/>
      <c r="AQ297" s="415"/>
      <c r="AR297" s="415"/>
      <c r="AS297" s="415"/>
      <c r="AT297" s="459"/>
      <c r="AU297" s="459">
        <v>1.2858376283380494E-2</v>
      </c>
      <c r="AV297" s="459">
        <v>1.2799652052182918E-2</v>
      </c>
      <c r="AW297" s="459">
        <v>1.2462856443378075E-2</v>
      </c>
      <c r="AX297" s="459">
        <v>1.3162948237557186E-2</v>
      </c>
      <c r="AY297" s="459">
        <v>1.2858376283380494E-2</v>
      </c>
      <c r="AZ297" s="459">
        <v>1.2596088268484717E-2</v>
      </c>
      <c r="BA297" s="459">
        <v>1.3212586637200244E-2</v>
      </c>
      <c r="BB297" s="459">
        <v>1.3239015911128037E-2</v>
      </c>
      <c r="BC297" s="459">
        <v>1.300057419093823E-2</v>
      </c>
      <c r="BD297" s="459">
        <v>1.3400232393388792E-2</v>
      </c>
      <c r="BE297" s="415">
        <v>1.3249276402327814E-2</v>
      </c>
      <c r="BF297" s="415">
        <v>1.3161811298030205E-2</v>
      </c>
      <c r="BG297" s="415"/>
      <c r="BH297" s="415"/>
      <c r="BI297" s="415"/>
      <c r="BJ297" s="415"/>
      <c r="BK297" s="617"/>
      <c r="BL297" s="617"/>
      <c r="BM297" s="617"/>
      <c r="BN297" s="617"/>
      <c r="BO297" s="617"/>
      <c r="BP297" s="617"/>
      <c r="BQ297" s="617"/>
      <c r="BR297" s="617"/>
      <c r="BS297" s="617"/>
      <c r="BT297" s="617"/>
      <c r="BU297" s="617"/>
      <c r="BV297" s="617"/>
      <c r="BW297" s="617"/>
      <c r="BX297" s="617"/>
      <c r="BY297" s="617"/>
      <c r="BZ297" s="617"/>
      <c r="CA297" s="617"/>
      <c r="CB297" s="617"/>
      <c r="CC297" s="617"/>
      <c r="CD297" s="617"/>
      <c r="CE297" s="617"/>
      <c r="CF297" s="617"/>
      <c r="CG297" s="617"/>
      <c r="CH297" s="617"/>
      <c r="CI297" s="617"/>
      <c r="CJ297" s="617"/>
      <c r="CK297" s="617"/>
      <c r="CL297" s="617"/>
    </row>
    <row r="298" spans="1:90">
      <c r="A298" s="151">
        <f t="shared" ca="1" si="34"/>
        <v>3</v>
      </c>
      <c r="B298" s="113">
        <f t="shared" si="36"/>
        <v>56</v>
      </c>
      <c r="C298" s="150">
        <f t="shared" si="43"/>
        <v>184</v>
      </c>
      <c r="D298" s="565">
        <f t="shared" si="44"/>
        <v>9.5000000000000001E-2</v>
      </c>
      <c r="E298" s="306">
        <f t="shared" si="37"/>
        <v>155.8345869290043</v>
      </c>
      <c r="F298" s="306">
        <f t="shared" si="49"/>
        <v>9459.4714680488687</v>
      </c>
      <c r="G298" s="307">
        <f t="shared" si="50"/>
        <v>9615.3060549778729</v>
      </c>
      <c r="H298" s="306">
        <f>IF(N297&lt;0.01,0,IF(Adm!$S$3=Adm!$S$13,Cal!$E$94,IF(Adm!$R$3=Adm!$R$6,0,IF(Cal!$E$91=0,N297*Adm!$Y$3,N297*Adm!$X$3))))</f>
        <v>8.4642786163543384</v>
      </c>
      <c r="I298" s="306">
        <f>IF(N297&lt;0.01,0,IF(Adm!$R$4=Adm!$R$6,0,Cal!$E$89*Adm!$AA$3))</f>
        <v>573.58240000000001</v>
      </c>
      <c r="J298" s="306">
        <f>IF(N297&lt;0.01,0,Adm!$O$3*1.16)</f>
        <v>290</v>
      </c>
      <c r="K298" s="306">
        <f>IF(N297&lt;0.01,0,IF(Adm!$N$3&gt;0,E298*Adm!$N$3,0))</f>
        <v>0</v>
      </c>
      <c r="L298" s="306">
        <f t="shared" si="38"/>
        <v>10487.352733594227</v>
      </c>
      <c r="M298" s="306">
        <f>IF(Adm!$F$3="si",MIN(N297+E298+H298+I298+J298-L298,Z298),0)</f>
        <v>0</v>
      </c>
      <c r="N298" s="306">
        <f t="shared" si="39"/>
        <v>10224.897407193781</v>
      </c>
      <c r="O298" s="361"/>
      <c r="P298" s="114"/>
      <c r="V298" s="571">
        <f t="shared" si="40"/>
        <v>4</v>
      </c>
      <c r="W298" s="293">
        <f>IF(V298=1,Adm!$AN$2,0)</f>
        <v>0</v>
      </c>
      <c r="Y298" s="304">
        <f t="shared" si="45"/>
        <v>0</v>
      </c>
      <c r="Z298" s="345">
        <f t="shared" ca="1" si="41"/>
        <v>0</v>
      </c>
      <c r="AB298" s="640">
        <f t="shared" si="46"/>
        <v>0</v>
      </c>
      <c r="AC298" s="639">
        <f t="shared" si="47"/>
        <v>0</v>
      </c>
      <c r="AD298" s="641">
        <f t="shared" si="42"/>
        <v>0</v>
      </c>
      <c r="AE298" s="639">
        <f t="shared" si="48"/>
        <v>0</v>
      </c>
      <c r="AF298" s="636">
        <f t="shared" si="35"/>
        <v>0</v>
      </c>
      <c r="AG298" s="637" t="e">
        <f>HLOOKUP($AG$110,anticipado,185,0)</f>
        <v>#N/A</v>
      </c>
      <c r="AI298" s="415"/>
      <c r="AJ298" s="415"/>
      <c r="AK298" s="415"/>
      <c r="AL298" s="415"/>
      <c r="AM298" s="415"/>
      <c r="AN298" s="415"/>
      <c r="AO298" s="415"/>
      <c r="AP298" s="415"/>
      <c r="AQ298" s="415"/>
      <c r="AR298" s="415"/>
      <c r="AS298" s="415"/>
      <c r="AT298" s="459"/>
      <c r="AU298" s="459">
        <v>1.3144077543099273E-2</v>
      </c>
      <c r="AV298" s="459">
        <v>1.3087592069936637E-2</v>
      </c>
      <c r="AW298" s="459">
        <v>1.2745183977561334E-2</v>
      </c>
      <c r="AX298" s="459">
        <v>1.3453567275767537E-2</v>
      </c>
      <c r="AY298" s="459">
        <v>1.3144077543099273E-2</v>
      </c>
      <c r="AZ298" s="459">
        <v>1.2877856760092107E-2</v>
      </c>
      <c r="BA298" s="459">
        <v>1.3500406182839887E-2</v>
      </c>
      <c r="BB298" s="459">
        <v>1.3531798493256961E-2</v>
      </c>
      <c r="BC298" s="459">
        <v>1.3291898403647312E-2</v>
      </c>
      <c r="BD298" s="459">
        <v>1.3689763579884119E-2</v>
      </c>
      <c r="BE298" s="415">
        <v>1.3536160696960396E-2</v>
      </c>
      <c r="BF298" s="415">
        <v>1.3450722566303305E-2</v>
      </c>
      <c r="BG298" s="415"/>
      <c r="BH298" s="415"/>
      <c r="BI298" s="415"/>
      <c r="BJ298" s="415"/>
      <c r="BK298" s="617"/>
      <c r="BL298" s="617"/>
      <c r="BM298" s="617"/>
      <c r="BN298" s="617"/>
      <c r="BO298" s="617"/>
      <c r="BP298" s="617"/>
      <c r="BQ298" s="617"/>
      <c r="BR298" s="617"/>
      <c r="BS298" s="617"/>
      <c r="BT298" s="617"/>
      <c r="BU298" s="617"/>
      <c r="BV298" s="617"/>
      <c r="BW298" s="617"/>
      <c r="BX298" s="617"/>
      <c r="BY298" s="617"/>
      <c r="BZ298" s="617"/>
      <c r="CA298" s="617"/>
      <c r="CB298" s="617"/>
      <c r="CC298" s="617"/>
      <c r="CD298" s="617"/>
      <c r="CE298" s="617"/>
      <c r="CF298" s="617"/>
      <c r="CG298" s="617"/>
      <c r="CH298" s="617"/>
      <c r="CI298" s="617"/>
      <c r="CJ298" s="617"/>
      <c r="CK298" s="617"/>
      <c r="CL298" s="617"/>
    </row>
    <row r="299" spans="1:90">
      <c r="A299" s="151">
        <f t="shared" ca="1" si="34"/>
        <v>4</v>
      </c>
      <c r="B299" s="113">
        <f t="shared" si="36"/>
        <v>55</v>
      </c>
      <c r="C299" s="150">
        <f t="shared" si="43"/>
        <v>185</v>
      </c>
      <c r="D299" s="565">
        <f t="shared" si="44"/>
        <v>9.5000000000000001E-2</v>
      </c>
      <c r="E299" s="306">
        <f t="shared" si="37"/>
        <v>80.947104473617429</v>
      </c>
      <c r="F299" s="306">
        <f t="shared" si="49"/>
        <v>9534.3589505042546</v>
      </c>
      <c r="G299" s="307">
        <f t="shared" si="50"/>
        <v>9615.3060549778729</v>
      </c>
      <c r="H299" s="306">
        <f>IF(N298&lt;0.01,0,IF(Adm!$S$3=Adm!$S$13,Cal!$E$94,IF(Adm!$R$3=Adm!$R$6,0,IF(Cal!$E$91=0,N298*Adm!$Y$3,N298*Adm!$X$3))))</f>
        <v>4.3967058850933256</v>
      </c>
      <c r="I299" s="306">
        <f>IF(N298&lt;0.01,0,IF(Adm!$R$4=Adm!$R$6,0,Cal!$E$89*Adm!$AA$3))</f>
        <v>573.58240000000001</v>
      </c>
      <c r="J299" s="306">
        <f>IF(N298&lt;0.01,0,Adm!$O$3*1.16)</f>
        <v>290</v>
      </c>
      <c r="K299" s="306">
        <f>IF(N298&lt;0.01,0,IF(Adm!$N$3&gt;0,E299*Adm!$N$3,0))</f>
        <v>0</v>
      </c>
      <c r="L299" s="306">
        <f t="shared" si="38"/>
        <v>10483.285160862966</v>
      </c>
      <c r="M299" s="306">
        <f>IF(Adm!$F$3="si",MIN(N298+E299+H299+I299+J299-L299,Z299),0)</f>
        <v>0</v>
      </c>
      <c r="N299" s="306">
        <f t="shared" si="39"/>
        <v>690.53845668952636</v>
      </c>
      <c r="O299" s="361"/>
      <c r="P299" s="114"/>
      <c r="V299" s="571">
        <f t="shared" si="40"/>
        <v>5</v>
      </c>
      <c r="W299" s="293">
        <f>IF(V299=1,Adm!$AN$2,0)</f>
        <v>0</v>
      </c>
      <c r="Y299" s="304">
        <f t="shared" si="45"/>
        <v>0</v>
      </c>
      <c r="Z299" s="345">
        <f t="shared" ca="1" si="41"/>
        <v>0</v>
      </c>
      <c r="AB299" s="640">
        <f t="shared" si="46"/>
        <v>0</v>
      </c>
      <c r="AC299" s="639">
        <f t="shared" si="47"/>
        <v>0</v>
      </c>
      <c r="AD299" s="641">
        <f t="shared" si="42"/>
        <v>0</v>
      </c>
      <c r="AE299" s="639">
        <f t="shared" si="48"/>
        <v>0</v>
      </c>
      <c r="AF299" s="636">
        <f t="shared" si="35"/>
        <v>0</v>
      </c>
      <c r="AG299" s="637" t="e">
        <f>HLOOKUP($AG$110,anticipado,186,0)</f>
        <v>#N/A</v>
      </c>
      <c r="AI299" s="620"/>
      <c r="AJ299" s="620"/>
      <c r="AK299" s="620"/>
      <c r="AL299" s="620"/>
      <c r="AM299" s="620"/>
      <c r="AN299" s="415"/>
      <c r="AO299" s="415"/>
      <c r="AP299" s="415"/>
      <c r="AQ299" s="415"/>
      <c r="AR299" s="415"/>
      <c r="AS299" s="415"/>
      <c r="AT299" s="459"/>
      <c r="AU299" s="459">
        <v>1.3440016668068537E-2</v>
      </c>
      <c r="AV299" s="459">
        <v>1.3385913878992853E-2</v>
      </c>
      <c r="AW299" s="459">
        <v>1.3037634559903855E-2</v>
      </c>
      <c r="AX299" s="459">
        <v>1.3754653449052729E-2</v>
      </c>
      <c r="AY299" s="459">
        <v>1.3440016668068537E-2</v>
      </c>
      <c r="AZ299" s="459">
        <v>1.3169686419120748E-2</v>
      </c>
      <c r="BA299" s="459">
        <v>1.3798520174465133E-2</v>
      </c>
      <c r="BB299" s="459">
        <v>1.3835161041661607E-2</v>
      </c>
      <c r="BC299" s="459">
        <v>1.3593763129197097E-2</v>
      </c>
      <c r="BD299" s="459">
        <v>1.3989655957513815E-2</v>
      </c>
      <c r="BE299" s="415">
        <v>1.3833278684523611E-2</v>
      </c>
      <c r="BF299" s="415">
        <v>1.3750001158992844E-2</v>
      </c>
      <c r="BG299" s="415"/>
      <c r="BH299" s="415"/>
      <c r="BI299" s="415"/>
      <c r="BJ299" s="415"/>
      <c r="BK299" s="617"/>
      <c r="BL299" s="617"/>
      <c r="BM299" s="617"/>
      <c r="BN299" s="617"/>
      <c r="BO299" s="617"/>
      <c r="BP299" s="617"/>
      <c r="BQ299" s="617"/>
      <c r="BR299" s="617"/>
      <c r="BS299" s="617"/>
      <c r="BT299" s="617"/>
      <c r="BU299" s="617"/>
      <c r="BV299" s="617"/>
      <c r="BW299" s="617"/>
      <c r="BX299" s="617"/>
      <c r="BY299" s="617"/>
      <c r="BZ299" s="617"/>
      <c r="CA299" s="617"/>
      <c r="CB299" s="617"/>
      <c r="CC299" s="617"/>
      <c r="CD299" s="617"/>
      <c r="CE299" s="617"/>
      <c r="CF299" s="617"/>
      <c r="CG299" s="617"/>
      <c r="CH299" s="617"/>
      <c r="CI299" s="617"/>
      <c r="CJ299" s="617"/>
      <c r="CK299" s="617"/>
      <c r="CL299" s="617"/>
    </row>
    <row r="300" spans="1:90">
      <c r="A300" s="151">
        <f t="shared" ca="1" si="34"/>
        <v>5</v>
      </c>
      <c r="B300" s="113">
        <f t="shared" si="36"/>
        <v>54</v>
      </c>
      <c r="C300" s="150">
        <f t="shared" si="43"/>
        <v>186</v>
      </c>
      <c r="D300" s="565">
        <f t="shared" si="44"/>
        <v>9.5000000000000001E-2</v>
      </c>
      <c r="E300" s="306">
        <f t="shared" si="37"/>
        <v>5.466762782125417</v>
      </c>
      <c r="F300" s="306">
        <f t="shared" si="49"/>
        <v>690.53845668952636</v>
      </c>
      <c r="G300" s="307">
        <f t="shared" si="50"/>
        <v>696.0052194716518</v>
      </c>
      <c r="H300" s="306">
        <f>IF(N299&lt;0.01,0,IF(Adm!$S$3=Adm!$S$13,Cal!$E$94,IF(Adm!$R$3=Adm!$R$6,0,IF(Cal!$E$91=0,N299*Adm!$Y$3,N299*Adm!$X$3))))</f>
        <v>0.29693153637649633</v>
      </c>
      <c r="I300" s="306">
        <f>IF(N299&lt;0.01,0,IF(Adm!$R$4=Adm!$R$6,0,Cal!$E$89*Adm!$AA$3))</f>
        <v>573.58240000000001</v>
      </c>
      <c r="J300" s="306">
        <f>IF(N299&lt;0.01,0,Adm!$O$3*1.16)</f>
        <v>290</v>
      </c>
      <c r="K300" s="306">
        <f>IF(N299&lt;0.01,0,IF(Adm!$N$3&gt;0,E300*Adm!$N$3,0))</f>
        <v>0</v>
      </c>
      <c r="L300" s="306">
        <f t="shared" si="38"/>
        <v>1559.8845510080282</v>
      </c>
      <c r="M300" s="306">
        <f>IF(Adm!$F$3="si",MIN(N299+E300+H300+I300+J300-L300,Z300),0)</f>
        <v>0</v>
      </c>
      <c r="N300" s="306">
        <f t="shared" si="39"/>
        <v>0</v>
      </c>
      <c r="O300" s="361"/>
      <c r="P300" s="114"/>
      <c r="V300" s="571">
        <f t="shared" si="40"/>
        <v>6</v>
      </c>
      <c r="W300" s="293">
        <f>IF(V300=1,Adm!$AN$2,0)</f>
        <v>0</v>
      </c>
      <c r="Y300" s="304">
        <f t="shared" si="45"/>
        <v>0</v>
      </c>
      <c r="Z300" s="345">
        <f t="shared" ca="1" si="41"/>
        <v>0</v>
      </c>
      <c r="AB300" s="640">
        <f t="shared" si="46"/>
        <v>0</v>
      </c>
      <c r="AC300" s="639">
        <f t="shared" si="47"/>
        <v>0</v>
      </c>
      <c r="AD300" s="641">
        <f t="shared" si="42"/>
        <v>0</v>
      </c>
      <c r="AE300" s="639">
        <f t="shared" si="48"/>
        <v>0</v>
      </c>
      <c r="AF300" s="636">
        <f t="shared" si="35"/>
        <v>0</v>
      </c>
      <c r="AG300" s="637" t="e">
        <f>HLOOKUP($AG$110,anticipado,187,0)</f>
        <v>#N/A</v>
      </c>
      <c r="AI300" s="620"/>
      <c r="AJ300" s="620"/>
      <c r="AK300" s="620"/>
      <c r="AL300" s="620"/>
      <c r="AM300" s="620"/>
      <c r="AN300" s="415"/>
      <c r="AO300" s="415"/>
      <c r="AP300" s="415"/>
      <c r="AQ300" s="415"/>
      <c r="AR300" s="415"/>
      <c r="AS300" s="415"/>
      <c r="AT300" s="459"/>
      <c r="AU300" s="459">
        <v>1.374674125087464E-2</v>
      </c>
      <c r="AV300" s="459">
        <v>1.3695175457975869E-2</v>
      </c>
      <c r="AW300" s="459">
        <v>1.3340747580714853E-2</v>
      </c>
      <c r="AX300" s="459">
        <v>1.4066770893842843E-2</v>
      </c>
      <c r="AY300" s="459">
        <v>1.374674125087464E-2</v>
      </c>
      <c r="AZ300" s="459">
        <v>1.347211218560318E-2</v>
      </c>
      <c r="BA300" s="459">
        <v>1.4107480267661142E-2</v>
      </c>
      <c r="BB300" s="459">
        <v>1.4149675885161056E-2</v>
      </c>
      <c r="BC300" s="459">
        <v>1.3906737836440019E-2</v>
      </c>
      <c r="BD300" s="459">
        <v>1.4300465999881261E-2</v>
      </c>
      <c r="BE300" s="415">
        <v>1.4141177647842958E-2</v>
      </c>
      <c r="BF300" s="415">
        <v>1.4060203990002493E-2</v>
      </c>
      <c r="BG300" s="415"/>
      <c r="BH300" s="415"/>
      <c r="BI300" s="415"/>
      <c r="BJ300" s="415"/>
      <c r="BK300" s="617"/>
      <c r="BL300" s="617"/>
      <c r="BM300" s="617"/>
      <c r="BN300" s="617"/>
      <c r="BO300" s="617"/>
      <c r="BP300" s="617"/>
      <c r="BQ300" s="617"/>
      <c r="BR300" s="617"/>
      <c r="BS300" s="617"/>
      <c r="BT300" s="617"/>
      <c r="BU300" s="617"/>
      <c r="BV300" s="617"/>
      <c r="BW300" s="617"/>
      <c r="BX300" s="617"/>
      <c r="BY300" s="617"/>
      <c r="BZ300" s="617"/>
      <c r="CA300" s="617"/>
      <c r="CB300" s="617"/>
      <c r="CC300" s="617"/>
      <c r="CD300" s="617"/>
      <c r="CE300" s="617"/>
      <c r="CF300" s="617"/>
      <c r="CG300" s="617"/>
      <c r="CH300" s="617"/>
      <c r="CI300" s="617"/>
      <c r="CJ300" s="617"/>
      <c r="CK300" s="617"/>
      <c r="CL300" s="617"/>
    </row>
    <row r="301" spans="1:90">
      <c r="A301" s="151">
        <f t="shared" ca="1" si="34"/>
        <v>6</v>
      </c>
      <c r="B301" s="113">
        <f t="shared" si="36"/>
        <v>0</v>
      </c>
      <c r="C301" s="150">
        <f t="shared" si="43"/>
        <v>0</v>
      </c>
      <c r="D301" s="565">
        <f t="shared" si="44"/>
        <v>0</v>
      </c>
      <c r="E301" s="306">
        <f t="shared" si="37"/>
        <v>0</v>
      </c>
      <c r="F301" s="306">
        <f t="shared" si="49"/>
        <v>0</v>
      </c>
      <c r="G301" s="307">
        <f t="shared" si="50"/>
        <v>0</v>
      </c>
      <c r="H301" s="306">
        <f>IF(N300&lt;0.01,0,IF(Adm!$S$3=Adm!$S$13,Cal!$E$94,IF(Adm!$R$3=Adm!$R$6,0,IF(Cal!$E$91=0,N300*Adm!$Y$3,N300*Adm!$X$3))))</f>
        <v>0</v>
      </c>
      <c r="I301" s="306">
        <f>IF(N300&lt;0.01,0,IF(Adm!$R$4=Adm!$R$6,0,Cal!$E$89*Adm!$AA$3))</f>
        <v>0</v>
      </c>
      <c r="J301" s="306">
        <f>IF(N300&lt;0.01,0,Adm!$O$3*1.16)</f>
        <v>0</v>
      </c>
      <c r="K301" s="306">
        <f>IF(N300&lt;0.01,0,IF(Adm!$N$3&gt;0,E301*Adm!$N$3,0))</f>
        <v>0</v>
      </c>
      <c r="L301" s="306">
        <f t="shared" si="38"/>
        <v>0</v>
      </c>
      <c r="M301" s="306">
        <f>IF(Adm!$F$3="si",MIN(N300+E301+H301+I301+J301-L301,Z301),0)</f>
        <v>0</v>
      </c>
      <c r="N301" s="306">
        <f t="shared" si="39"/>
        <v>0</v>
      </c>
      <c r="O301" s="361"/>
      <c r="P301" s="114"/>
      <c r="V301" s="571">
        <f t="shared" si="40"/>
        <v>7</v>
      </c>
      <c r="W301" s="293">
        <f>IF(V301=1,Adm!$AN$2,0)</f>
        <v>0</v>
      </c>
      <c r="Y301" s="304">
        <f t="shared" si="45"/>
        <v>0</v>
      </c>
      <c r="Z301" s="345">
        <f t="shared" ca="1" si="41"/>
        <v>0</v>
      </c>
      <c r="AB301" s="640">
        <f t="shared" si="46"/>
        <v>0</v>
      </c>
      <c r="AC301" s="639">
        <f t="shared" si="47"/>
        <v>0</v>
      </c>
      <c r="AD301" s="641">
        <f t="shared" si="42"/>
        <v>0</v>
      </c>
      <c r="AE301" s="639">
        <f t="shared" si="48"/>
        <v>0</v>
      </c>
      <c r="AF301" s="636">
        <f t="shared" si="35"/>
        <v>0</v>
      </c>
      <c r="AG301" s="637" t="e">
        <f>HLOOKUP($AG$110,anticipado,188,0)</f>
        <v>#N/A</v>
      </c>
      <c r="AI301" s="620"/>
      <c r="AJ301" s="620"/>
      <c r="AK301" s="620"/>
      <c r="AL301" s="620"/>
      <c r="AM301" s="620"/>
      <c r="AN301" s="415"/>
      <c r="AO301" s="415"/>
      <c r="AP301" s="415"/>
      <c r="AQ301" s="415"/>
      <c r="AR301" s="415"/>
      <c r="AS301" s="415"/>
      <c r="AT301" s="459"/>
      <c r="AU301" s="459">
        <v>1.4064838625040061E-2</v>
      </c>
      <c r="AV301" s="459">
        <v>1.4015975477116797E-2</v>
      </c>
      <c r="AW301" s="459">
        <v>1.3655101415838193E-2</v>
      </c>
      <c r="AX301" s="459">
        <v>1.4390525011176571E-2</v>
      </c>
      <c r="AY301" s="459">
        <v>1.4064838625040061E-2</v>
      </c>
      <c r="AZ301" s="459">
        <v>1.3785707582879335E-2</v>
      </c>
      <c r="BA301" s="459">
        <v>1.4427878236740637E-2</v>
      </c>
      <c r="BB301" s="459">
        <v>1.4475957374823175E-2</v>
      </c>
      <c r="BC301" s="459">
        <v>1.4231433747884051E-2</v>
      </c>
      <c r="BD301" s="459">
        <v>1.4622790744241727E-2</v>
      </c>
      <c r="BE301" s="415">
        <v>1.44604445888828E-2</v>
      </c>
      <c r="BF301" s="415">
        <v>1.4381928573429579E-2</v>
      </c>
      <c r="BG301" s="415"/>
      <c r="BH301" s="415"/>
      <c r="BI301" s="415"/>
      <c r="BJ301" s="415"/>
      <c r="BK301" s="617"/>
      <c r="BL301" s="617"/>
      <c r="BM301" s="617"/>
      <c r="BN301" s="617"/>
      <c r="BO301" s="617"/>
      <c r="BP301" s="617"/>
      <c r="BQ301" s="617"/>
      <c r="BR301" s="617"/>
      <c r="BS301" s="617"/>
      <c r="BT301" s="617"/>
      <c r="BU301" s="617"/>
      <c r="BV301" s="617"/>
      <c r="BW301" s="617"/>
      <c r="BX301" s="617"/>
      <c r="BY301" s="617"/>
      <c r="BZ301" s="617"/>
      <c r="CA301" s="617"/>
      <c r="CB301" s="617"/>
      <c r="CC301" s="617"/>
      <c r="CD301" s="617"/>
      <c r="CE301" s="617"/>
      <c r="CF301" s="617"/>
      <c r="CG301" s="617"/>
      <c r="CH301" s="617"/>
      <c r="CI301" s="617"/>
      <c r="CJ301" s="617"/>
      <c r="CK301" s="617"/>
      <c r="CL301" s="617"/>
    </row>
    <row r="302" spans="1:90">
      <c r="A302" s="151">
        <f t="shared" ca="1" si="34"/>
        <v>7</v>
      </c>
      <c r="B302" s="113">
        <f t="shared" si="36"/>
        <v>0</v>
      </c>
      <c r="C302" s="150">
        <f t="shared" si="43"/>
        <v>0</v>
      </c>
      <c r="D302" s="565">
        <f t="shared" si="44"/>
        <v>0</v>
      </c>
      <c r="E302" s="306">
        <f t="shared" si="37"/>
        <v>0</v>
      </c>
      <c r="F302" s="306">
        <f t="shared" si="49"/>
        <v>0</v>
      </c>
      <c r="G302" s="307">
        <f t="shared" si="50"/>
        <v>0</v>
      </c>
      <c r="H302" s="306">
        <f>IF(N301&lt;0.01,0,IF(Adm!$S$3=Adm!$S$13,Cal!$E$94,IF(Adm!$R$3=Adm!$R$6,0,IF(Cal!$E$91=0,N301*Adm!$Y$3,N301*Adm!$X$3))))</f>
        <v>0</v>
      </c>
      <c r="I302" s="306">
        <f>IF(N301&lt;0.01,0,IF(Adm!$R$4=Adm!$R$6,0,Cal!$E$89*Adm!$AA$3))</f>
        <v>0</v>
      </c>
      <c r="J302" s="306">
        <f>IF(N301&lt;0.01,0,Adm!$O$3*1.16)</f>
        <v>0</v>
      </c>
      <c r="K302" s="306">
        <f>IF(N301&lt;0.01,0,IF(Adm!$N$3&gt;0,E302*Adm!$N$3,0))</f>
        <v>0</v>
      </c>
      <c r="L302" s="306">
        <f t="shared" si="38"/>
        <v>0</v>
      </c>
      <c r="M302" s="306">
        <f>IF(Adm!$F$3="si",MIN(N301+E302+H302+I302+J302-L302,Z302),0)</f>
        <v>0</v>
      </c>
      <c r="N302" s="306">
        <f t="shared" si="39"/>
        <v>0</v>
      </c>
      <c r="O302" s="361"/>
      <c r="P302" s="114"/>
      <c r="V302" s="571">
        <f t="shared" si="40"/>
        <v>8</v>
      </c>
      <c r="W302" s="293">
        <f>IF(V302=1,Adm!$AN$2,0)</f>
        <v>0</v>
      </c>
      <c r="Y302" s="304">
        <f t="shared" si="45"/>
        <v>0</v>
      </c>
      <c r="Z302" s="345">
        <f t="shared" ca="1" si="41"/>
        <v>0</v>
      </c>
      <c r="AB302" s="640">
        <f t="shared" si="46"/>
        <v>0</v>
      </c>
      <c r="AC302" s="639">
        <f t="shared" si="47"/>
        <v>0</v>
      </c>
      <c r="AD302" s="641">
        <f t="shared" si="42"/>
        <v>0</v>
      </c>
      <c r="AE302" s="639">
        <f t="shared" si="48"/>
        <v>0</v>
      </c>
      <c r="AF302" s="636">
        <f t="shared" si="35"/>
        <v>0</v>
      </c>
      <c r="AG302" s="637" t="e">
        <f>HLOOKUP($AG$110,anticipado,189,0)</f>
        <v>#N/A</v>
      </c>
      <c r="AI302" s="620"/>
      <c r="AJ302" s="620"/>
      <c r="AK302" s="620"/>
      <c r="AL302" s="620"/>
      <c r="AM302" s="620"/>
      <c r="AN302" s="415"/>
      <c r="AO302" s="415"/>
      <c r="AP302" s="415"/>
      <c r="AQ302" s="415"/>
      <c r="AR302" s="415"/>
      <c r="AS302" s="415"/>
      <c r="AT302" s="459"/>
      <c r="AU302" s="459">
        <v>1.4394939537169801E-2</v>
      </c>
      <c r="AV302" s="459">
        <v>1.4348957076909502E-2</v>
      </c>
      <c r="AW302" s="459">
        <v>1.3981317014121607E-2</v>
      </c>
      <c r="AX302" s="459">
        <v>1.4726566310213853E-2</v>
      </c>
      <c r="AY302" s="459">
        <v>1.4394939537169801E-2</v>
      </c>
      <c r="AZ302" s="459">
        <v>1.4111088260454997E-2</v>
      </c>
      <c r="BA302" s="459">
        <v>1.4760349689520419E-2</v>
      </c>
      <c r="BB302" s="459">
        <v>1.4814665813123436E-2</v>
      </c>
      <c r="BC302" s="459">
        <v>1.4568507738234482E-2</v>
      </c>
      <c r="BD302" s="459">
        <v>1.4957271556373964E-2</v>
      </c>
      <c r="BE302" s="415">
        <v>1.4791709898829417E-2</v>
      </c>
      <c r="BF302" s="415">
        <v>1.4715816792310411E-2</v>
      </c>
      <c r="BG302" s="415"/>
      <c r="BH302" s="415"/>
      <c r="BI302" s="415"/>
      <c r="BJ302" s="415"/>
      <c r="BK302" s="617"/>
      <c r="BL302" s="617"/>
      <c r="BM302" s="617"/>
      <c r="BN302" s="617"/>
      <c r="BO302" s="617"/>
      <c r="BP302" s="617"/>
      <c r="BQ302" s="617"/>
      <c r="BR302" s="617"/>
      <c r="BS302" s="617"/>
      <c r="BT302" s="617"/>
      <c r="BU302" s="617"/>
      <c r="BV302" s="617"/>
      <c r="BW302" s="617"/>
      <c r="BX302" s="617"/>
      <c r="BY302" s="617"/>
      <c r="BZ302" s="617"/>
      <c r="CA302" s="617"/>
      <c r="CB302" s="617"/>
      <c r="CC302" s="617"/>
      <c r="CD302" s="617"/>
      <c r="CE302" s="617"/>
      <c r="CF302" s="617"/>
      <c r="CG302" s="617"/>
      <c r="CH302" s="617"/>
      <c r="CI302" s="617"/>
      <c r="CJ302" s="617"/>
      <c r="CK302" s="617"/>
      <c r="CL302" s="617"/>
    </row>
    <row r="303" spans="1:90">
      <c r="A303" s="151">
        <f t="shared" ca="1" si="34"/>
        <v>8</v>
      </c>
      <c r="B303" s="113">
        <f t="shared" si="36"/>
        <v>0</v>
      </c>
      <c r="C303" s="150">
        <f t="shared" si="43"/>
        <v>0</v>
      </c>
      <c r="D303" s="565">
        <f t="shared" si="44"/>
        <v>0</v>
      </c>
      <c r="E303" s="306">
        <f t="shared" si="37"/>
        <v>0</v>
      </c>
      <c r="F303" s="306">
        <f t="shared" si="49"/>
        <v>0</v>
      </c>
      <c r="G303" s="307">
        <f t="shared" si="50"/>
        <v>0</v>
      </c>
      <c r="H303" s="306">
        <f>IF(N302&lt;0.01,0,IF(Adm!$S$3=Adm!$S$13,Cal!$E$94,IF(Adm!$R$3=Adm!$R$6,0,IF(Cal!$E$91=0,N302*Adm!$Y$3,N302*Adm!$X$3))))</f>
        <v>0</v>
      </c>
      <c r="I303" s="306">
        <f>IF(N302&lt;0.01,0,IF(Adm!$R$4=Adm!$R$6,0,Cal!$E$89*Adm!$AA$3))</f>
        <v>0</v>
      </c>
      <c r="J303" s="306">
        <f>IF(N302&lt;0.01,0,Adm!$O$3*1.16)</f>
        <v>0</v>
      </c>
      <c r="K303" s="306">
        <f>IF(N302&lt;0.01,0,IF(Adm!$N$3&gt;0,E303*Adm!$N$3,0))</f>
        <v>0</v>
      </c>
      <c r="L303" s="306">
        <f t="shared" si="38"/>
        <v>0</v>
      </c>
      <c r="M303" s="306">
        <f>IF(Adm!$F$3="si",MIN(N302+E303+H303+I303+J303-L303,Z303),0)</f>
        <v>0</v>
      </c>
      <c r="N303" s="306">
        <f t="shared" si="39"/>
        <v>0</v>
      </c>
      <c r="O303" s="361"/>
      <c r="P303" s="114"/>
      <c r="V303" s="571">
        <f t="shared" si="40"/>
        <v>9</v>
      </c>
      <c r="W303" s="293">
        <f>IF(V303=1,Adm!$AN$2,0)</f>
        <v>0</v>
      </c>
      <c r="Y303" s="304">
        <f t="shared" si="45"/>
        <v>0</v>
      </c>
      <c r="Z303" s="345">
        <f t="shared" ca="1" si="41"/>
        <v>0</v>
      </c>
      <c r="AB303" s="640">
        <f t="shared" si="46"/>
        <v>0</v>
      </c>
      <c r="AC303" s="639">
        <f t="shared" si="47"/>
        <v>0</v>
      </c>
      <c r="AD303" s="641">
        <f t="shared" si="42"/>
        <v>0</v>
      </c>
      <c r="AE303" s="639">
        <f t="shared" si="48"/>
        <v>0</v>
      </c>
      <c r="AF303" s="636">
        <f t="shared" si="35"/>
        <v>0</v>
      </c>
      <c r="AG303" s="637" t="e">
        <f>HLOOKUP($AG$110,anticipado,190,0)</f>
        <v>#N/A</v>
      </c>
      <c r="AI303" s="620"/>
      <c r="AJ303" s="620"/>
      <c r="AK303" s="620"/>
      <c r="AL303" s="620"/>
      <c r="AM303" s="620"/>
      <c r="AN303" s="415"/>
      <c r="AO303" s="415"/>
      <c r="AP303" s="415"/>
      <c r="AQ303" s="415"/>
      <c r="AR303" s="415"/>
      <c r="AS303" s="415"/>
      <c r="AT303" s="459"/>
      <c r="AU303" s="459">
        <v>1.4737722233942827E-2</v>
      </c>
      <c r="AV303" s="459">
        <v>1.4694812075803717E-2</v>
      </c>
      <c r="AW303" s="459">
        <v>1.432006188846094E-2</v>
      </c>
      <c r="AX303" s="459">
        <v>1.5075594689500281E-2</v>
      </c>
      <c r="AY303" s="459">
        <v>1.4737722233942827E-2</v>
      </c>
      <c r="AZ303" s="459">
        <v>1.4448915934547443E-2</v>
      </c>
      <c r="BA303" s="459">
        <v>1.5105578202648778E-2</v>
      </c>
      <c r="BB303" s="459">
        <v>1.5166511832366706E-2</v>
      </c>
      <c r="BC303" s="459">
        <v>1.4918666678058152E-2</v>
      </c>
      <c r="BD303" s="459">
        <v>1.5304598322702473E-2</v>
      </c>
      <c r="BE303" s="415">
        <v>1.5135651442779646E-2</v>
      </c>
      <c r="BF303" s="415">
        <v>1.5062559095112071E-2</v>
      </c>
      <c r="BG303" s="415"/>
      <c r="BH303" s="415"/>
      <c r="BI303" s="415"/>
      <c r="BJ303" s="415"/>
      <c r="BK303" s="617"/>
      <c r="BL303" s="617"/>
      <c r="BM303" s="617"/>
      <c r="BN303" s="617"/>
      <c r="BO303" s="617"/>
      <c r="BP303" s="617"/>
      <c r="BQ303" s="617"/>
      <c r="BR303" s="617"/>
      <c r="BS303" s="617"/>
      <c r="BT303" s="617"/>
      <c r="BU303" s="617"/>
      <c r="BV303" s="617"/>
      <c r="BW303" s="617"/>
      <c r="BX303" s="617"/>
      <c r="BY303" s="617"/>
      <c r="BZ303" s="617"/>
      <c r="CA303" s="617"/>
      <c r="CB303" s="617"/>
      <c r="CC303" s="617"/>
      <c r="CD303" s="617"/>
      <c r="CE303" s="617"/>
      <c r="CF303" s="617"/>
      <c r="CG303" s="617"/>
      <c r="CH303" s="617"/>
      <c r="CI303" s="617"/>
      <c r="CJ303" s="617"/>
      <c r="CK303" s="617"/>
      <c r="CL303" s="617"/>
    </row>
    <row r="304" spans="1:90">
      <c r="A304" s="151">
        <f t="shared" ca="1" si="34"/>
        <v>9</v>
      </c>
      <c r="B304" s="113">
        <f t="shared" si="36"/>
        <v>0</v>
      </c>
      <c r="C304" s="150">
        <f t="shared" si="43"/>
        <v>0</v>
      </c>
      <c r="D304" s="565">
        <f t="shared" si="44"/>
        <v>0</v>
      </c>
      <c r="E304" s="306">
        <f t="shared" si="37"/>
        <v>0</v>
      </c>
      <c r="F304" s="306">
        <f t="shared" si="49"/>
        <v>0</v>
      </c>
      <c r="G304" s="307">
        <f t="shared" si="50"/>
        <v>0</v>
      </c>
      <c r="H304" s="306">
        <f>IF(N303&lt;0.01,0,IF(Adm!$S$3=Adm!$S$13,Cal!$E$94,IF(Adm!$R$3=Adm!$R$6,0,IF(Cal!$E$91=0,N303*Adm!$Y$3,N303*Adm!$X$3))))</f>
        <v>0</v>
      </c>
      <c r="I304" s="306">
        <f>IF(N303&lt;0.01,0,IF(Adm!$R$4=Adm!$R$6,0,Cal!$E$89*Adm!$AA$3))</f>
        <v>0</v>
      </c>
      <c r="J304" s="306">
        <f>IF(N303&lt;0.01,0,Adm!$O$3*1.16)</f>
        <v>0</v>
      </c>
      <c r="K304" s="306">
        <f>IF(N303&lt;0.01,0,IF(Adm!$N$3&gt;0,E304*Adm!$N$3,0))</f>
        <v>0</v>
      </c>
      <c r="L304" s="306">
        <f t="shared" si="38"/>
        <v>0</v>
      </c>
      <c r="M304" s="306">
        <f>IF(Adm!$F$3="si",MIN(N303+E304+H304+I304+J304-L304,Z304),0)</f>
        <v>0</v>
      </c>
      <c r="N304" s="306">
        <f t="shared" si="39"/>
        <v>0</v>
      </c>
      <c r="O304" s="361"/>
      <c r="P304" s="114"/>
      <c r="V304" s="571">
        <f t="shared" si="40"/>
        <v>10</v>
      </c>
      <c r="W304" s="293">
        <f>IF(V304=1,Adm!$AN$2,0)</f>
        <v>0</v>
      </c>
      <c r="Y304" s="304">
        <f t="shared" si="45"/>
        <v>0</v>
      </c>
      <c r="Z304" s="345">
        <f t="shared" ca="1" si="41"/>
        <v>0</v>
      </c>
      <c r="AB304" s="640">
        <f t="shared" si="46"/>
        <v>0</v>
      </c>
      <c r="AC304" s="639">
        <f t="shared" si="47"/>
        <v>0</v>
      </c>
      <c r="AD304" s="641">
        <f t="shared" si="42"/>
        <v>0</v>
      </c>
      <c r="AE304" s="639">
        <f t="shared" si="48"/>
        <v>0</v>
      </c>
      <c r="AF304" s="636">
        <f t="shared" si="35"/>
        <v>0</v>
      </c>
      <c r="AG304" s="637" t="e">
        <f>HLOOKUP($AG$110,anticipado,191,0)</f>
        <v>#N/A</v>
      </c>
      <c r="AI304" s="620"/>
      <c r="AJ304" s="620"/>
      <c r="AK304" s="620"/>
      <c r="AL304" s="620"/>
      <c r="AM304" s="620"/>
      <c r="AN304" s="415"/>
      <c r="AO304" s="415"/>
      <c r="AP304" s="415"/>
      <c r="AQ304" s="415"/>
      <c r="AR304" s="415"/>
      <c r="AS304" s="415"/>
      <c r="AT304" s="459"/>
      <c r="AU304" s="459">
        <v>1.5093917019673995E-2</v>
      </c>
      <c r="AV304" s="459">
        <v>1.5054285664864216E-2</v>
      </c>
      <c r="AW304" s="459">
        <v>1.4672054564398842E-2</v>
      </c>
      <c r="AX304" s="459">
        <v>1.5438364215275602E-2</v>
      </c>
      <c r="AY304" s="459">
        <v>1.5093917019673995E-2</v>
      </c>
      <c r="AZ304" s="459">
        <v>1.4799902779391763E-2</v>
      </c>
      <c r="BA304" s="459">
        <v>1.5464299934097779E-2</v>
      </c>
      <c r="BB304" s="459">
        <v>1.5532261283466967E-2</v>
      </c>
      <c r="BC304" s="459">
        <v>1.5282672283013388E-2</v>
      </c>
      <c r="BD304" s="459">
        <v>1.5665514127327911E-2</v>
      </c>
      <c r="BE304" s="415">
        <v>1.5492999114727348E-2</v>
      </c>
      <c r="BF304" s="415">
        <v>1.5422899177702624E-2</v>
      </c>
      <c r="BG304" s="415"/>
      <c r="BH304" s="415"/>
      <c r="BI304" s="415"/>
      <c r="BJ304" s="415"/>
      <c r="BK304" s="617"/>
      <c r="BL304" s="617"/>
      <c r="BM304" s="617"/>
      <c r="BN304" s="617"/>
      <c r="BO304" s="617"/>
      <c r="BP304" s="617"/>
      <c r="BQ304" s="617"/>
      <c r="BR304" s="617"/>
      <c r="BS304" s="617"/>
      <c r="BT304" s="617"/>
      <c r="BU304" s="617"/>
      <c r="BV304" s="617"/>
      <c r="BW304" s="617"/>
      <c r="BX304" s="617"/>
      <c r="BY304" s="617"/>
      <c r="BZ304" s="617"/>
      <c r="CA304" s="617"/>
      <c r="CB304" s="617"/>
      <c r="CC304" s="617"/>
      <c r="CD304" s="617"/>
      <c r="CE304" s="617"/>
      <c r="CF304" s="617"/>
      <c r="CG304" s="617"/>
      <c r="CH304" s="617"/>
      <c r="CI304" s="617"/>
      <c r="CJ304" s="617"/>
      <c r="CK304" s="617"/>
      <c r="CL304" s="617"/>
    </row>
    <row r="305" spans="1:90">
      <c r="A305" s="151">
        <f t="shared" ca="1" si="34"/>
        <v>10</v>
      </c>
      <c r="B305" s="113">
        <f t="shared" si="36"/>
        <v>0</v>
      </c>
      <c r="C305" s="150">
        <f t="shared" si="43"/>
        <v>0</v>
      </c>
      <c r="D305" s="565">
        <f t="shared" si="44"/>
        <v>0</v>
      </c>
      <c r="E305" s="306">
        <f t="shared" si="37"/>
        <v>0</v>
      </c>
      <c r="F305" s="306">
        <f t="shared" si="49"/>
        <v>0</v>
      </c>
      <c r="G305" s="307">
        <f t="shared" si="50"/>
        <v>0</v>
      </c>
      <c r="H305" s="306">
        <f>IF(N304&lt;0.01,0,IF(Adm!$S$3=Adm!$S$13,Cal!$E$94,IF(Adm!$R$3=Adm!$R$6,0,IF(Cal!$E$91=0,N304*Adm!$Y$3,N304*Adm!$X$3))))</f>
        <v>0</v>
      </c>
      <c r="I305" s="306">
        <f>IF(N304&lt;0.01,0,IF(Adm!$R$4=Adm!$R$6,0,Cal!$E$89*Adm!$AA$3))</f>
        <v>0</v>
      </c>
      <c r="J305" s="306">
        <f>IF(N304&lt;0.01,0,Adm!$O$3*1.16)</f>
        <v>0</v>
      </c>
      <c r="K305" s="306">
        <f>IF(N304&lt;0.01,0,IF(Adm!$N$3&gt;0,E305*Adm!$N$3,0))</f>
        <v>0</v>
      </c>
      <c r="L305" s="306">
        <f t="shared" si="38"/>
        <v>0</v>
      </c>
      <c r="M305" s="306">
        <f>IF(Adm!$F$3="si",MIN(N304+E305+H305+I305+J305-L305,Z305),0)</f>
        <v>0</v>
      </c>
      <c r="N305" s="306">
        <f t="shared" si="39"/>
        <v>0</v>
      </c>
      <c r="O305" s="361"/>
      <c r="P305" s="114"/>
      <c r="V305" s="571">
        <f t="shared" si="40"/>
        <v>11</v>
      </c>
      <c r="W305" s="293">
        <f>IF(V305=1,Adm!$AN$2,0)</f>
        <v>0</v>
      </c>
      <c r="Y305" s="304">
        <f t="shared" si="45"/>
        <v>0</v>
      </c>
      <c r="Z305" s="345">
        <f t="shared" ca="1" si="41"/>
        <v>0</v>
      </c>
      <c r="AB305" s="640">
        <f t="shared" si="46"/>
        <v>0</v>
      </c>
      <c r="AC305" s="639">
        <f t="shared" si="47"/>
        <v>0</v>
      </c>
      <c r="AD305" s="641">
        <f t="shared" si="42"/>
        <v>0</v>
      </c>
      <c r="AE305" s="639">
        <f t="shared" si="48"/>
        <v>0</v>
      </c>
      <c r="AF305" s="636">
        <f t="shared" si="35"/>
        <v>0</v>
      </c>
      <c r="AG305" s="637" t="e">
        <f>HLOOKUP($AG$110,anticipado,192,0)</f>
        <v>#N/A</v>
      </c>
      <c r="AI305" s="620"/>
      <c r="AJ305" s="620"/>
      <c r="AK305" s="620"/>
      <c r="AL305" s="620"/>
      <c r="AM305" s="620"/>
      <c r="AN305" s="415"/>
      <c r="AO305" s="415"/>
      <c r="AP305" s="415"/>
      <c r="AQ305" s="415"/>
      <c r="AR305" s="415"/>
      <c r="AS305" s="415"/>
      <c r="AT305" s="459"/>
      <c r="AU305" s="459">
        <v>1.5464311348894146E-2</v>
      </c>
      <c r="AV305" s="459">
        <v>1.5428181656439943E-2</v>
      </c>
      <c r="AW305" s="459">
        <v>1.5038069548669057E-2</v>
      </c>
      <c r="AX305" s="459">
        <v>1.5815688465477731E-2</v>
      </c>
      <c r="AY305" s="459">
        <v>1.5464311348894146E-2</v>
      </c>
      <c r="AZ305" s="459">
        <v>1.5164816330633532E-2</v>
      </c>
      <c r="BA305" s="459">
        <v>1.5837308778315344E-2</v>
      </c>
      <c r="BB305" s="459">
        <v>1.5912740705862915E-2</v>
      </c>
      <c r="BC305" s="459">
        <v>1.5661346538654489E-2</v>
      </c>
      <c r="BD305" s="459">
        <v>1.6040820480690103E-2</v>
      </c>
      <c r="BE305" s="415">
        <v>1.5864539927257101E-2</v>
      </c>
      <c r="BF305" s="415">
        <v>1.5797639217612049E-2</v>
      </c>
      <c r="BG305" s="415"/>
      <c r="BH305" s="415"/>
      <c r="BI305" s="415"/>
      <c r="BJ305" s="415"/>
      <c r="BK305" s="617"/>
      <c r="BL305" s="617"/>
      <c r="BM305" s="617"/>
      <c r="BN305" s="617"/>
      <c r="BO305" s="617"/>
      <c r="BP305" s="617"/>
      <c r="BQ305" s="617"/>
      <c r="BR305" s="617"/>
      <c r="BS305" s="617"/>
      <c r="BT305" s="617"/>
      <c r="BU305" s="617"/>
      <c r="BV305" s="617"/>
      <c r="BW305" s="617"/>
      <c r="BX305" s="617"/>
      <c r="BY305" s="617"/>
      <c r="BZ305" s="617"/>
      <c r="CA305" s="617"/>
      <c r="CB305" s="617"/>
      <c r="CC305" s="617"/>
      <c r="CD305" s="617"/>
      <c r="CE305" s="617"/>
      <c r="CF305" s="617"/>
      <c r="CG305" s="617"/>
      <c r="CH305" s="617"/>
      <c r="CI305" s="617"/>
      <c r="CJ305" s="617"/>
      <c r="CK305" s="617"/>
      <c r="CL305" s="617"/>
    </row>
    <row r="306" spans="1:90">
      <c r="A306" s="151">
        <f t="shared" ca="1" si="34"/>
        <v>11</v>
      </c>
      <c r="B306" s="113">
        <f t="shared" si="36"/>
        <v>0</v>
      </c>
      <c r="C306" s="150">
        <f t="shared" si="43"/>
        <v>0</v>
      </c>
      <c r="D306" s="565">
        <f t="shared" si="44"/>
        <v>0</v>
      </c>
      <c r="E306" s="306">
        <f t="shared" si="37"/>
        <v>0</v>
      </c>
      <c r="F306" s="306">
        <f t="shared" si="49"/>
        <v>0</v>
      </c>
      <c r="G306" s="307">
        <f t="shared" si="50"/>
        <v>0</v>
      </c>
      <c r="H306" s="306">
        <f>IF(N305&lt;0.01,0,IF(Adm!$S$3=Adm!$S$13,Cal!$E$94,IF(Adm!$R$3=Adm!$R$6,0,IF(Cal!$E$91=0,N305*Adm!$Y$3,N305*Adm!$X$3))))</f>
        <v>0</v>
      </c>
      <c r="I306" s="306">
        <f>IF(N305&lt;0.01,0,IF(Adm!$R$4=Adm!$R$6,0,Cal!$E$89*Adm!$AA$3))</f>
        <v>0</v>
      </c>
      <c r="J306" s="306">
        <f>IF(N305&lt;0.01,0,Adm!$O$3*1.16)</f>
        <v>0</v>
      </c>
      <c r="K306" s="306">
        <f>IF(N305&lt;0.01,0,IF(Adm!$N$3&gt;0,E306*Adm!$N$3,0))</f>
        <v>0</v>
      </c>
      <c r="L306" s="306">
        <f t="shared" si="38"/>
        <v>0</v>
      </c>
      <c r="M306" s="306">
        <f>IF(Adm!$F$3="si",MIN(N305+E306+H306+I306+J306-L306,Z306),0)</f>
        <v>0</v>
      </c>
      <c r="N306" s="306">
        <f t="shared" si="39"/>
        <v>0</v>
      </c>
      <c r="O306" s="361"/>
      <c r="P306" s="114"/>
      <c r="V306" s="571">
        <f t="shared" si="40"/>
        <v>12</v>
      </c>
      <c r="W306" s="293">
        <f>IF(V306=1,Adm!$AN$2,0)</f>
        <v>0</v>
      </c>
      <c r="Y306" s="304">
        <f t="shared" si="45"/>
        <v>0</v>
      </c>
      <c r="Z306" s="345">
        <f t="shared" ca="1" si="41"/>
        <v>0</v>
      </c>
      <c r="AB306" s="640">
        <f t="shared" si="46"/>
        <v>0</v>
      </c>
      <c r="AC306" s="639">
        <f t="shared" si="47"/>
        <v>0</v>
      </c>
      <c r="AD306" s="641">
        <f t="shared" si="42"/>
        <v>0</v>
      </c>
      <c r="AE306" s="639">
        <f t="shared" si="48"/>
        <v>0</v>
      </c>
      <c r="AF306" s="636">
        <f t="shared" si="35"/>
        <v>0</v>
      </c>
      <c r="AG306" s="637" t="e">
        <f>HLOOKUP($AG$110,anticipado,193,0)</f>
        <v>#N/A</v>
      </c>
      <c r="AI306" s="620"/>
      <c r="AJ306" s="620"/>
      <c r="AK306" s="620"/>
      <c r="AL306" s="620"/>
      <c r="AM306" s="620"/>
      <c r="AN306" s="415"/>
      <c r="AO306" s="415"/>
      <c r="AP306" s="415"/>
      <c r="AQ306" s="415"/>
      <c r="AR306" s="415"/>
      <c r="AS306" s="415"/>
      <c r="AT306" s="459"/>
      <c r="AU306" s="459">
        <v>1.5849755528684801E-2</v>
      </c>
      <c r="AV306" s="459">
        <v>1.581736836464756E-2</v>
      </c>
      <c r="AW306" s="459">
        <v>1.5418942889993802E-2</v>
      </c>
      <c r="AX306" s="459">
        <v>1.6208446519148687E-2</v>
      </c>
      <c r="AY306" s="459">
        <v>1.5849755528684801E-2</v>
      </c>
      <c r="AZ306" s="459">
        <v>1.5544484971857642E-2</v>
      </c>
      <c r="BA306" s="459">
        <v>1.6225462140011283E-2</v>
      </c>
      <c r="BB306" s="459">
        <v>1.6308843460792335E-2</v>
      </c>
      <c r="BC306" s="459">
        <v>1.6055577782122701E-2</v>
      </c>
      <c r="BD306" s="459">
        <v>1.6431383177291939E-2</v>
      </c>
      <c r="BE306" s="415">
        <v>1.6251123710636865E-2</v>
      </c>
      <c r="BF306" s="415">
        <v>1.6187645738115011E-2</v>
      </c>
      <c r="BG306" s="415"/>
      <c r="BH306" s="415"/>
      <c r="BI306" s="415"/>
      <c r="BJ306" s="415"/>
      <c r="BK306" s="617"/>
      <c r="BL306" s="617"/>
      <c r="BM306" s="617"/>
      <c r="BN306" s="617"/>
      <c r="BO306" s="617"/>
      <c r="BP306" s="617"/>
      <c r="BQ306" s="617"/>
      <c r="BR306" s="617"/>
      <c r="BS306" s="617"/>
      <c r="BT306" s="617"/>
      <c r="BU306" s="617"/>
      <c r="BV306" s="617"/>
      <c r="BW306" s="617"/>
      <c r="BX306" s="617"/>
      <c r="BY306" s="617"/>
      <c r="BZ306" s="617"/>
      <c r="CA306" s="617"/>
      <c r="CB306" s="617"/>
      <c r="CC306" s="617"/>
      <c r="CD306" s="617"/>
      <c r="CE306" s="617"/>
      <c r="CF306" s="617"/>
      <c r="CG306" s="617"/>
      <c r="CH306" s="617"/>
      <c r="CI306" s="617"/>
      <c r="CJ306" s="617"/>
      <c r="CK306" s="617"/>
      <c r="CL306" s="617"/>
    </row>
    <row r="307" spans="1:90">
      <c r="A307" s="151">
        <f t="shared" ref="A307:A354" ca="1" si="51">IF(A306=12,1,A306+1)</f>
        <v>12</v>
      </c>
      <c r="B307" s="113">
        <f t="shared" si="36"/>
        <v>0</v>
      </c>
      <c r="C307" s="150">
        <f t="shared" si="43"/>
        <v>0</v>
      </c>
      <c r="D307" s="565">
        <f t="shared" si="44"/>
        <v>0</v>
      </c>
      <c r="E307" s="306">
        <f t="shared" si="37"/>
        <v>0</v>
      </c>
      <c r="F307" s="306">
        <f t="shared" si="49"/>
        <v>0</v>
      </c>
      <c r="G307" s="307">
        <f t="shared" si="50"/>
        <v>0</v>
      </c>
      <c r="H307" s="306">
        <f>IF(N306&lt;0.01,0,IF(Adm!$S$3=Adm!$S$13,Cal!$E$94,IF(Adm!$R$3=Adm!$R$6,0,IF(Cal!$E$91=0,N306*Adm!$Y$3,N306*Adm!$X$3))))</f>
        <v>0</v>
      </c>
      <c r="I307" s="306">
        <f>IF(N306&lt;0.01,0,IF(Adm!$R$4=Adm!$R$6,0,Cal!$E$89*Adm!$AA$3))</f>
        <v>0</v>
      </c>
      <c r="J307" s="306">
        <f>IF(N306&lt;0.01,0,Adm!$O$3*1.16)</f>
        <v>0</v>
      </c>
      <c r="K307" s="306">
        <f>IF(N306&lt;0.01,0,IF(Adm!$N$3&gt;0,E307*Adm!$N$3,0))</f>
        <v>0</v>
      </c>
      <c r="L307" s="306">
        <f t="shared" si="38"/>
        <v>0</v>
      </c>
      <c r="M307" s="306">
        <f>IF(Adm!$F$3="si",MIN(N306+E307+H307+I307+J307-L307,Z307),0)</f>
        <v>0</v>
      </c>
      <c r="N307" s="306">
        <f t="shared" si="39"/>
        <v>0</v>
      </c>
      <c r="O307" s="361"/>
      <c r="P307" s="114"/>
      <c r="V307" s="571">
        <f t="shared" si="40"/>
        <v>1</v>
      </c>
      <c r="W307" s="293">
        <f>IF(V307=1,Adm!$AN$2,0)</f>
        <v>0</v>
      </c>
      <c r="Y307" s="304">
        <f t="shared" si="45"/>
        <v>0</v>
      </c>
      <c r="Z307" s="345">
        <f t="shared" ca="1" si="41"/>
        <v>0</v>
      </c>
      <c r="AB307" s="640">
        <f t="shared" si="46"/>
        <v>0</v>
      </c>
      <c r="AC307" s="639">
        <f t="shared" si="47"/>
        <v>0</v>
      </c>
      <c r="AD307" s="641">
        <f t="shared" si="42"/>
        <v>0</v>
      </c>
      <c r="AE307" s="639">
        <f t="shared" si="48"/>
        <v>0</v>
      </c>
      <c r="AF307" s="636">
        <f t="shared" ref="AF307:AF354" si="52">IF(AND($AD$109=2,O306&lt;0.01),0,IF($AD$109=2,(N306*AG307)+E307,0))</f>
        <v>0</v>
      </c>
      <c r="AG307" s="637" t="e">
        <f>HLOOKUP($AG$110,anticipado,194,0)</f>
        <v>#N/A</v>
      </c>
      <c r="AI307" s="620"/>
      <c r="AJ307" s="620"/>
      <c r="AK307" s="620"/>
      <c r="AL307" s="620"/>
      <c r="AM307" s="620"/>
      <c r="AN307" s="415"/>
      <c r="AO307" s="415"/>
      <c r="AP307" s="415"/>
      <c r="AQ307" s="415"/>
      <c r="AR307" s="415"/>
      <c r="AS307" s="415"/>
      <c r="AT307" s="459"/>
      <c r="AU307" s="459">
        <v>1.6504430808854904E-2</v>
      </c>
      <c r="AV307" s="459">
        <v>1.6479096393632719E-2</v>
      </c>
      <c r="AW307" s="459">
        <v>1.6072817533661583E-2</v>
      </c>
      <c r="AX307" s="459">
        <v>1.6870015580887857E-2</v>
      </c>
      <c r="AY307" s="459">
        <v>1.6504430808854904E-2</v>
      </c>
      <c r="AZ307" s="459">
        <v>1.6194118794331729E-2</v>
      </c>
      <c r="BA307" s="459">
        <v>1.6878817622438855E-2</v>
      </c>
      <c r="BB307" s="459">
        <v>1.6974585323288095E-2</v>
      </c>
      <c r="BC307" s="459">
        <v>1.6722157477455132E-2</v>
      </c>
      <c r="BD307" s="459">
        <v>1.7085686927979297E-2</v>
      </c>
      <c r="BE307" s="415">
        <v>1.6901372869916519E-2</v>
      </c>
      <c r="BF307" s="415">
        <v>1.6844794754283743E-2</v>
      </c>
      <c r="BG307" s="415"/>
      <c r="BH307" s="415"/>
      <c r="BI307" s="415"/>
      <c r="BJ307" s="415"/>
      <c r="BK307" s="617"/>
      <c r="BL307" s="617"/>
      <c r="BM307" s="617"/>
      <c r="BN307" s="617"/>
      <c r="BO307" s="617"/>
      <c r="BP307" s="617"/>
      <c r="BQ307" s="617"/>
      <c r="BR307" s="617"/>
      <c r="BS307" s="617"/>
      <c r="BT307" s="617"/>
      <c r="BU307" s="617"/>
      <c r="BV307" s="617"/>
      <c r="BW307" s="617"/>
      <c r="BX307" s="617"/>
      <c r="BY307" s="617"/>
      <c r="BZ307" s="617"/>
      <c r="CA307" s="617"/>
      <c r="CB307" s="617"/>
      <c r="CC307" s="617"/>
      <c r="CD307" s="617"/>
      <c r="CE307" s="617"/>
      <c r="CF307" s="617"/>
      <c r="CG307" s="617"/>
      <c r="CH307" s="617"/>
      <c r="CI307" s="617"/>
      <c r="CJ307" s="617"/>
      <c r="CK307" s="617"/>
      <c r="CL307" s="617"/>
    </row>
    <row r="308" spans="1:90">
      <c r="A308" s="151">
        <f t="shared" ca="1" si="51"/>
        <v>1</v>
      </c>
      <c r="B308" s="113">
        <f t="shared" ref="B308:B352" si="53">IF(N307&gt;0,B307-1,0)</f>
        <v>0</v>
      </c>
      <c r="C308" s="150">
        <f t="shared" si="43"/>
        <v>0</v>
      </c>
      <c r="D308" s="565">
        <f t="shared" si="44"/>
        <v>0</v>
      </c>
      <c r="E308" s="306">
        <f t="shared" ref="E308:E354" si="54">IF(N307&lt;0.01,0,N307*D308/12)</f>
        <v>0</v>
      </c>
      <c r="F308" s="306">
        <f t="shared" si="49"/>
        <v>0</v>
      </c>
      <c r="G308" s="307">
        <f t="shared" si="50"/>
        <v>0</v>
      </c>
      <c r="H308" s="306">
        <f>IF(N307&lt;0.01,0,IF(Adm!$S$3=Adm!$S$13,Cal!$E$94,IF(Adm!$R$3=Adm!$R$6,0,IF(Cal!$E$91=0,N307*Adm!$Y$3,N307*Adm!$X$3))))</f>
        <v>0</v>
      </c>
      <c r="I308" s="306">
        <f>IF(N307&lt;0.01,0,IF(Adm!$R$4=Adm!$R$6,0,Cal!$E$89*Adm!$AA$3))</f>
        <v>0</v>
      </c>
      <c r="J308" s="306">
        <f>IF(N307&lt;0.01,0,Adm!$O$3*1.16)</f>
        <v>0</v>
      </c>
      <c r="K308" s="306">
        <f>IF(N307&lt;0.01,0,IF(Adm!$N$3&gt;0,E308*Adm!$N$3,0))</f>
        <v>0</v>
      </c>
      <c r="L308" s="306">
        <f t="shared" ref="L308:L354" si="55">G308+H308+I308+J308+K308</f>
        <v>0</v>
      </c>
      <c r="M308" s="306">
        <f>IF(Adm!$F$3="si",MIN(N307+E308+H308+I308+J308-L308,Z308),0)</f>
        <v>0</v>
      </c>
      <c r="N308" s="306">
        <f t="shared" ref="N308:N354" si="56">IF(N307&lt;0.001,0,+N307-F308-M308-O308)</f>
        <v>0</v>
      </c>
      <c r="O308" s="361"/>
      <c r="P308" s="114"/>
      <c r="V308" s="571">
        <f t="shared" ref="V308:V354" si="57">IF(V307=12,1,V307+1)</f>
        <v>2</v>
      </c>
      <c r="W308" s="293">
        <f>IF(V308=1,Adm!$AN$2,0)</f>
        <v>0</v>
      </c>
      <c r="Y308" s="304">
        <f t="shared" si="45"/>
        <v>0</v>
      </c>
      <c r="Z308" s="345">
        <f t="shared" ref="Z308:Z354" ca="1" si="58">IF(MOD(A308,2)=0,Y308*0.05*2,0)</f>
        <v>0</v>
      </c>
      <c r="AB308" s="640">
        <f t="shared" si="46"/>
        <v>0</v>
      </c>
      <c r="AC308" s="639">
        <f t="shared" si="47"/>
        <v>0</v>
      </c>
      <c r="AD308" s="641">
        <f t="shared" ref="AD308:AD354" si="59">IF(AND($AD$109=1,$AB$109=2),PMT($G$107/12,B307,-N307),0)</f>
        <v>0</v>
      </c>
      <c r="AE308" s="639">
        <f t="shared" si="48"/>
        <v>0</v>
      </c>
      <c r="AF308" s="636">
        <f t="shared" si="52"/>
        <v>0</v>
      </c>
      <c r="AG308" s="637" t="e">
        <f>HLOOKUP($AG$110,anticipado,195,0)</f>
        <v>#N/A</v>
      </c>
      <c r="AI308" s="620"/>
      <c r="AJ308" s="620"/>
      <c r="AK308" s="620"/>
      <c r="AL308" s="620"/>
      <c r="AM308" s="620"/>
      <c r="AN308" s="415"/>
      <c r="AO308" s="415"/>
      <c r="AP308" s="415"/>
      <c r="AQ308" s="415"/>
      <c r="AR308" s="415"/>
      <c r="AS308" s="415"/>
      <c r="AT308" s="459"/>
      <c r="AU308" s="459">
        <v>1.6933689423880332E-2</v>
      </c>
      <c r="AV308" s="459">
        <v>1.691284563911373E-2</v>
      </c>
      <c r="AW308" s="459">
        <v>1.6497229324128636E-2</v>
      </c>
      <c r="AX308" s="459">
        <v>1.7307497212921168E-2</v>
      </c>
      <c r="AY308" s="459">
        <v>1.6933689423880332E-2</v>
      </c>
      <c r="AZ308" s="459">
        <v>1.6616924419940886E-2</v>
      </c>
      <c r="BA308" s="459">
        <v>1.7310816611560063E-2</v>
      </c>
      <c r="BB308" s="459">
        <v>1.7415911726904175E-2</v>
      </c>
      <c r="BC308" s="459">
        <v>1.7161586566248384E-2</v>
      </c>
      <c r="BD308" s="459">
        <v>1.7520294889527475E-2</v>
      </c>
      <c r="BE308" s="415">
        <v>1.7331481511118144E-2</v>
      </c>
      <c r="BF308" s="415">
        <v>1.7279037347363087E-2</v>
      </c>
      <c r="BG308" s="415"/>
      <c r="BH308" s="415"/>
      <c r="BI308" s="415"/>
      <c r="BJ308" s="415"/>
      <c r="BK308" s="617"/>
      <c r="BL308" s="617"/>
      <c r="BM308" s="617"/>
      <c r="BN308" s="617"/>
      <c r="BO308" s="617"/>
      <c r="BP308" s="617"/>
      <c r="BQ308" s="617"/>
      <c r="BR308" s="617"/>
      <c r="BS308" s="617"/>
      <c r="BT308" s="617"/>
      <c r="BU308" s="617"/>
      <c r="BV308" s="617"/>
      <c r="BW308" s="617"/>
      <c r="BX308" s="617"/>
      <c r="BY308" s="617"/>
      <c r="BZ308" s="617"/>
      <c r="CA308" s="617"/>
      <c r="CB308" s="617"/>
      <c r="CC308" s="617"/>
      <c r="CD308" s="617"/>
      <c r="CE308" s="617"/>
      <c r="CF308" s="617"/>
      <c r="CG308" s="617"/>
      <c r="CH308" s="617"/>
      <c r="CI308" s="617"/>
      <c r="CJ308" s="617"/>
      <c r="CK308" s="617"/>
      <c r="CL308" s="617"/>
    </row>
    <row r="309" spans="1:90">
      <c r="A309" s="151">
        <f t="shared" ca="1" si="51"/>
        <v>2</v>
      </c>
      <c r="B309" s="113">
        <f t="shared" si="53"/>
        <v>0</v>
      </c>
      <c r="C309" s="150">
        <f t="shared" ref="C309:C354" si="60">IF(N308&lt;0.01,0,C308+1)</f>
        <v>0</v>
      </c>
      <c r="D309" s="565">
        <f t="shared" ref="D309:D354" si="61">IF(N308&lt;0.01,0,D308)</f>
        <v>0</v>
      </c>
      <c r="E309" s="306">
        <f t="shared" si="54"/>
        <v>0</v>
      </c>
      <c r="F309" s="306">
        <f t="shared" si="49"/>
        <v>0</v>
      </c>
      <c r="G309" s="307">
        <f t="shared" si="50"/>
        <v>0</v>
      </c>
      <c r="H309" s="306">
        <f>IF(N308&lt;0.01,0,IF(Adm!$S$3=Adm!$S$13,Cal!$E$94,IF(Adm!$R$3=Adm!$R$6,0,IF(Cal!$E$91=0,N308*Adm!$Y$3,N308*Adm!$X$3))))</f>
        <v>0</v>
      </c>
      <c r="I309" s="306">
        <f>IF(N308&lt;0.01,0,IF(Adm!$R$4=Adm!$R$6,0,Cal!$E$89*Adm!$AA$3))</f>
        <v>0</v>
      </c>
      <c r="J309" s="306">
        <f>IF(N308&lt;0.01,0,Adm!$O$3*1.16)</f>
        <v>0</v>
      </c>
      <c r="K309" s="306">
        <f>IF(N308&lt;0.01,0,IF(Adm!$N$3&gt;0,E309*Adm!$N$3,0))</f>
        <v>0</v>
      </c>
      <c r="L309" s="306">
        <f t="shared" si="55"/>
        <v>0</v>
      </c>
      <c r="M309" s="306">
        <f>IF(Adm!$F$3="si",MIN(N308+E309+H309+I309+J309-L309,Z309),0)</f>
        <v>0</v>
      </c>
      <c r="N309" s="306">
        <f t="shared" si="56"/>
        <v>0</v>
      </c>
      <c r="O309" s="361"/>
      <c r="P309" s="114"/>
      <c r="V309" s="571">
        <f t="shared" si="57"/>
        <v>3</v>
      </c>
      <c r="W309" s="293">
        <f>IF(V309=1,Adm!$AN$2,0)</f>
        <v>0</v>
      </c>
      <c r="Y309" s="304">
        <f t="shared" ref="Y309:Y354" si="62">Y308</f>
        <v>0</v>
      </c>
      <c r="Z309" s="345">
        <f t="shared" ca="1" si="58"/>
        <v>0</v>
      </c>
      <c r="AB309" s="640">
        <f t="shared" ref="AB309:AB354" si="63">IF(AC309&gt;1,AC309,IF(AE309&gt;1,AE309,0))</f>
        <v>0</v>
      </c>
      <c r="AC309" s="639">
        <f t="shared" ref="AC309:AC354" si="64">IF(AND($AD$109=1,O308&gt;0.1),AD309,0)</f>
        <v>0</v>
      </c>
      <c r="AD309" s="641">
        <f t="shared" si="59"/>
        <v>0</v>
      </c>
      <c r="AE309" s="639">
        <f t="shared" ref="AE309:AE354" si="65">IF(AND(AF309&gt;0.01,$AB$109=2),AF309,0)</f>
        <v>0</v>
      </c>
      <c r="AF309" s="636">
        <f t="shared" si="52"/>
        <v>0</v>
      </c>
      <c r="AG309" s="637" t="e">
        <f>HLOOKUP($AG$110,anticipado,196,0)</f>
        <v>#N/A</v>
      </c>
      <c r="AI309" s="620"/>
      <c r="AJ309" s="620"/>
      <c r="AK309" s="620"/>
      <c r="AL309" s="620"/>
      <c r="AM309" s="620"/>
      <c r="AN309" s="415"/>
      <c r="AO309" s="415"/>
      <c r="AP309" s="415"/>
      <c r="AQ309" s="415"/>
      <c r="AR309" s="415"/>
      <c r="AS309" s="415"/>
      <c r="AT309" s="459"/>
      <c r="AU309" s="459">
        <v>1.7381698947030452E-2</v>
      </c>
      <c r="AV309" s="459">
        <v>1.7365670228496031E-2</v>
      </c>
      <c r="AW309" s="459">
        <v>1.6940154993055258E-2</v>
      </c>
      <c r="AX309" s="459">
        <v>1.7764228715363459E-2</v>
      </c>
      <c r="AY309" s="459">
        <v>1.7381698947030452E-2</v>
      </c>
      <c r="AZ309" s="459">
        <v>1.7058099884081745E-2</v>
      </c>
      <c r="BA309" s="459">
        <v>1.7761677009246656E-2</v>
      </c>
      <c r="BB309" s="459">
        <v>1.7876737993418476E-2</v>
      </c>
      <c r="BC309" s="459">
        <v>1.762043769732179E-2</v>
      </c>
      <c r="BD309" s="459">
        <v>1.7973905346048796E-2</v>
      </c>
      <c r="BE309" s="415">
        <v>1.778031456248496E-2</v>
      </c>
      <c r="BF309" s="415">
        <v>1.7732306348465697E-2</v>
      </c>
      <c r="BG309" s="415"/>
      <c r="BH309" s="415"/>
      <c r="BI309" s="415"/>
      <c r="BJ309" s="415"/>
      <c r="BK309" s="617"/>
      <c r="BL309" s="617"/>
      <c r="BM309" s="617"/>
      <c r="BN309" s="617"/>
      <c r="BO309" s="617"/>
      <c r="BP309" s="617"/>
      <c r="BQ309" s="617"/>
      <c r="BR309" s="617"/>
      <c r="BS309" s="617"/>
      <c r="BT309" s="617"/>
      <c r="BU309" s="617"/>
      <c r="BV309" s="617"/>
      <c r="BW309" s="617"/>
      <c r="BX309" s="617"/>
      <c r="BY309" s="617"/>
      <c r="BZ309" s="617"/>
      <c r="CA309" s="617"/>
      <c r="CB309" s="617"/>
      <c r="CC309" s="617"/>
      <c r="CD309" s="617"/>
      <c r="CE309" s="617"/>
      <c r="CF309" s="617"/>
      <c r="CG309" s="617"/>
      <c r="CH309" s="617"/>
      <c r="CI309" s="617"/>
      <c r="CJ309" s="617"/>
      <c r="CK309" s="617"/>
      <c r="CL309" s="617"/>
    </row>
    <row r="310" spans="1:90">
      <c r="A310" s="151">
        <f t="shared" ca="1" si="51"/>
        <v>3</v>
      </c>
      <c r="B310" s="113">
        <f t="shared" si="53"/>
        <v>0</v>
      </c>
      <c r="C310" s="150">
        <f t="shared" si="60"/>
        <v>0</v>
      </c>
      <c r="D310" s="565">
        <f t="shared" si="61"/>
        <v>0</v>
      </c>
      <c r="E310" s="306">
        <f t="shared" si="54"/>
        <v>0</v>
      </c>
      <c r="F310" s="306">
        <f t="shared" si="49"/>
        <v>0</v>
      </c>
      <c r="G310" s="307">
        <f t="shared" si="50"/>
        <v>0</v>
      </c>
      <c r="H310" s="306">
        <f>IF(N309&lt;0.01,0,IF(Adm!$S$3=Adm!$S$13,Cal!$E$94,IF(Adm!$R$3=Adm!$R$6,0,IF(Cal!$E$91=0,N309*Adm!$Y$3,N309*Adm!$X$3))))</f>
        <v>0</v>
      </c>
      <c r="I310" s="306">
        <f>IF(N309&lt;0.01,0,IF(Adm!$R$4=Adm!$R$6,0,Cal!$E$89*Adm!$AA$3))</f>
        <v>0</v>
      </c>
      <c r="J310" s="306">
        <f>IF(N309&lt;0.01,0,Adm!$O$3*1.16)</f>
        <v>0</v>
      </c>
      <c r="K310" s="306">
        <f>IF(N309&lt;0.01,0,IF(Adm!$N$3&gt;0,E310*Adm!$N$3,0))</f>
        <v>0</v>
      </c>
      <c r="L310" s="306">
        <f t="shared" si="55"/>
        <v>0</v>
      </c>
      <c r="M310" s="306">
        <f>IF(Adm!$F$3="si",MIN(N309+E310+H310+I310+J310-L310,Z310),0)</f>
        <v>0</v>
      </c>
      <c r="N310" s="306">
        <f t="shared" si="56"/>
        <v>0</v>
      </c>
      <c r="O310" s="361"/>
      <c r="P310" s="114"/>
      <c r="V310" s="571">
        <f t="shared" si="57"/>
        <v>4</v>
      </c>
      <c r="W310" s="293">
        <f>IF(V310=1,Adm!$AN$2,0)</f>
        <v>0</v>
      </c>
      <c r="Y310" s="304">
        <f t="shared" si="62"/>
        <v>0</v>
      </c>
      <c r="Z310" s="345">
        <f t="shared" ca="1" si="58"/>
        <v>0</v>
      </c>
      <c r="AB310" s="640">
        <f t="shared" si="63"/>
        <v>0</v>
      </c>
      <c r="AC310" s="639">
        <f t="shared" si="64"/>
        <v>0</v>
      </c>
      <c r="AD310" s="641">
        <f t="shared" si="59"/>
        <v>0</v>
      </c>
      <c r="AE310" s="639">
        <f t="shared" si="65"/>
        <v>0</v>
      </c>
      <c r="AF310" s="636">
        <f t="shared" si="52"/>
        <v>0</v>
      </c>
      <c r="AG310" s="637" t="e">
        <f>HLOOKUP($AG$110,anticipado,197,0)</f>
        <v>#N/A</v>
      </c>
      <c r="AI310" s="620"/>
      <c r="AJ310" s="620"/>
      <c r="AK310" s="620"/>
      <c r="AL310" s="620"/>
      <c r="AM310" s="620"/>
      <c r="AN310" s="415"/>
      <c r="AO310" s="415"/>
      <c r="AP310" s="415"/>
      <c r="AQ310" s="415"/>
      <c r="AR310" s="415"/>
      <c r="AS310" s="415"/>
      <c r="AT310" s="459"/>
      <c r="AU310" s="459">
        <v>1.7849695905500194E-2</v>
      </c>
      <c r="AV310" s="459">
        <v>1.7838835578478686E-2</v>
      </c>
      <c r="AW310" s="459">
        <v>1.740280999405883E-2</v>
      </c>
      <c r="AX310" s="459">
        <v>1.8241491209997154E-2</v>
      </c>
      <c r="AY310" s="459">
        <v>1.7849695905500194E-2</v>
      </c>
      <c r="AZ310" s="459">
        <v>1.751884794016554E-2</v>
      </c>
      <c r="BA310" s="459">
        <v>1.8232645256544153E-2</v>
      </c>
      <c r="BB310" s="459">
        <v>1.8358367724323206E-2</v>
      </c>
      <c r="BC310" s="459">
        <v>1.8100007407168106E-2</v>
      </c>
      <c r="BD310" s="459">
        <v>1.8447777367622306E-2</v>
      </c>
      <c r="BE310" s="415">
        <v>1.824910629950658E-2</v>
      </c>
      <c r="BF310" s="415">
        <v>1.8205862890540887E-2</v>
      </c>
      <c r="BG310" s="415"/>
      <c r="BH310" s="415"/>
      <c r="BI310" s="415"/>
      <c r="BJ310" s="415"/>
      <c r="BK310" s="617"/>
      <c r="BL310" s="617"/>
      <c r="BM310" s="617"/>
      <c r="BN310" s="617"/>
      <c r="BO310" s="617"/>
      <c r="BP310" s="617"/>
      <c r="BQ310" s="617"/>
      <c r="BR310" s="617"/>
      <c r="BS310" s="617"/>
      <c r="BT310" s="617"/>
      <c r="BU310" s="617"/>
      <c r="BV310" s="617"/>
      <c r="BW310" s="617"/>
      <c r="BX310" s="617"/>
      <c r="BY310" s="617"/>
      <c r="BZ310" s="617"/>
      <c r="CA310" s="617"/>
      <c r="CB310" s="617"/>
      <c r="CC310" s="617"/>
      <c r="CD310" s="617"/>
      <c r="CE310" s="617"/>
      <c r="CF310" s="617"/>
      <c r="CG310" s="617"/>
      <c r="CH310" s="617"/>
      <c r="CI310" s="617"/>
      <c r="CJ310" s="617"/>
      <c r="CK310" s="617"/>
      <c r="CL310" s="617"/>
    </row>
    <row r="311" spans="1:90">
      <c r="A311" s="151">
        <f t="shared" ca="1" si="51"/>
        <v>4</v>
      </c>
      <c r="B311" s="113">
        <f t="shared" si="53"/>
        <v>0</v>
      </c>
      <c r="C311" s="150">
        <f t="shared" si="60"/>
        <v>0</v>
      </c>
      <c r="D311" s="565">
        <f t="shared" si="61"/>
        <v>0</v>
      </c>
      <c r="E311" s="306">
        <f t="shared" si="54"/>
        <v>0</v>
      </c>
      <c r="F311" s="306">
        <f t="shared" si="49"/>
        <v>0</v>
      </c>
      <c r="G311" s="307">
        <f t="shared" si="50"/>
        <v>0</v>
      </c>
      <c r="H311" s="306">
        <f>IF(N310&lt;0.01,0,IF(Adm!$S$3=Adm!$S$13,Cal!$E$94,IF(Adm!$R$3=Adm!$R$6,0,IF(Cal!$E$91=0,N310*Adm!$Y$3,N310*Adm!$X$3))))</f>
        <v>0</v>
      </c>
      <c r="I311" s="306">
        <f>IF(N310&lt;0.01,0,IF(Adm!$R$4=Adm!$R$6,0,Cal!$E$89*Adm!$AA$3))</f>
        <v>0</v>
      </c>
      <c r="J311" s="306">
        <f>IF(N310&lt;0.01,0,Adm!$O$3*1.16)</f>
        <v>0</v>
      </c>
      <c r="K311" s="306">
        <f>IF(N310&lt;0.01,0,IF(Adm!$N$3&gt;0,E311*Adm!$N$3,0))</f>
        <v>0</v>
      </c>
      <c r="L311" s="306">
        <f t="shared" si="55"/>
        <v>0</v>
      </c>
      <c r="M311" s="306">
        <f>IF(Adm!$F$3="si",MIN(N310+E311+H311+I311+J311-L311,Z311),0)</f>
        <v>0</v>
      </c>
      <c r="N311" s="306">
        <f t="shared" si="56"/>
        <v>0</v>
      </c>
      <c r="O311" s="361"/>
      <c r="P311" s="114"/>
      <c r="V311" s="571">
        <f t="shared" si="57"/>
        <v>5</v>
      </c>
      <c r="W311" s="293">
        <f>IF(V311=1,Adm!$AN$2,0)</f>
        <v>0</v>
      </c>
      <c r="Y311" s="304">
        <f t="shared" si="62"/>
        <v>0</v>
      </c>
      <c r="Z311" s="345">
        <f t="shared" ca="1" si="58"/>
        <v>0</v>
      </c>
      <c r="AB311" s="640">
        <f t="shared" si="63"/>
        <v>0</v>
      </c>
      <c r="AC311" s="639">
        <f t="shared" si="64"/>
        <v>0</v>
      </c>
      <c r="AD311" s="641">
        <f t="shared" si="59"/>
        <v>0</v>
      </c>
      <c r="AE311" s="639">
        <f t="shared" si="65"/>
        <v>0</v>
      </c>
      <c r="AF311" s="636">
        <f t="shared" si="52"/>
        <v>0</v>
      </c>
      <c r="AG311" s="637" t="e">
        <f>HLOOKUP($AG$110,anticipado,198,0)</f>
        <v>#N/A</v>
      </c>
      <c r="AI311" s="620"/>
      <c r="AJ311" s="620"/>
      <c r="AK311" s="620"/>
      <c r="AL311" s="620"/>
      <c r="AM311" s="620"/>
      <c r="AN311" s="415"/>
      <c r="AO311" s="415"/>
      <c r="AP311" s="415"/>
      <c r="AQ311" s="415"/>
      <c r="AR311" s="415"/>
      <c r="AS311" s="415"/>
      <c r="AT311" s="459"/>
      <c r="AU311" s="459">
        <v>1.8339027968278854E-2</v>
      </c>
      <c r="AV311" s="459">
        <v>1.8333721533863749E-2</v>
      </c>
      <c r="AW311" s="459">
        <v>1.7886518519669655E-2</v>
      </c>
      <c r="AX311" s="459">
        <v>1.8740682058727001E-2</v>
      </c>
      <c r="AY311" s="459">
        <v>1.8339027968278854E-2</v>
      </c>
      <c r="AZ311" s="459">
        <v>1.8000478653579871E-2</v>
      </c>
      <c r="BA311" s="459">
        <v>1.8725080077200508E-2</v>
      </c>
      <c r="BB311" s="459">
        <v>1.8862223346245672E-2</v>
      </c>
      <c r="BC311" s="459">
        <v>1.8601710234391944E-2</v>
      </c>
      <c r="BD311" s="459">
        <v>1.8943283753071003E-2</v>
      </c>
      <c r="BE311" s="415">
        <v>1.8739201899740526E-2</v>
      </c>
      <c r="BF311" s="415">
        <v>1.8701082061018139E-2</v>
      </c>
      <c r="BG311" s="415"/>
      <c r="BH311" s="415"/>
      <c r="BI311" s="415"/>
      <c r="BJ311" s="415"/>
      <c r="BK311" s="617"/>
      <c r="BL311" s="617"/>
      <c r="BM311" s="617"/>
      <c r="BN311" s="617"/>
      <c r="BO311" s="617"/>
      <c r="BP311" s="617"/>
      <c r="BQ311" s="617"/>
      <c r="BR311" s="617"/>
      <c r="BS311" s="617"/>
      <c r="BT311" s="617"/>
      <c r="BU311" s="617"/>
      <c r="BV311" s="617"/>
      <c r="BW311" s="617"/>
      <c r="BX311" s="617"/>
      <c r="BY311" s="617"/>
      <c r="BZ311" s="617"/>
      <c r="CA311" s="617"/>
      <c r="CB311" s="617"/>
      <c r="CC311" s="617"/>
      <c r="CD311" s="617"/>
      <c r="CE311" s="617"/>
      <c r="CF311" s="617"/>
      <c r="CG311" s="617"/>
      <c r="CH311" s="617"/>
      <c r="CI311" s="617"/>
      <c r="CJ311" s="617"/>
      <c r="CK311" s="617"/>
      <c r="CL311" s="617"/>
    </row>
    <row r="312" spans="1:90">
      <c r="A312" s="151">
        <f t="shared" ca="1" si="51"/>
        <v>5</v>
      </c>
      <c r="B312" s="113">
        <f t="shared" si="53"/>
        <v>0</v>
      </c>
      <c r="C312" s="150">
        <f t="shared" si="60"/>
        <v>0</v>
      </c>
      <c r="D312" s="565">
        <f t="shared" si="61"/>
        <v>0</v>
      </c>
      <c r="E312" s="306">
        <f t="shared" si="54"/>
        <v>0</v>
      </c>
      <c r="F312" s="306">
        <f t="shared" si="49"/>
        <v>0</v>
      </c>
      <c r="G312" s="307">
        <f t="shared" si="50"/>
        <v>0</v>
      </c>
      <c r="H312" s="306">
        <f>IF(N311&lt;0.01,0,IF(Adm!$S$3=Adm!$S$13,Cal!$E$94,IF(Adm!$R$3=Adm!$R$6,0,IF(Cal!$E$91=0,N311*Adm!$Y$3,N311*Adm!$X$3))))</f>
        <v>0</v>
      </c>
      <c r="I312" s="306">
        <f>IF(N311&lt;0.01,0,IF(Adm!$R$4=Adm!$R$6,0,Cal!$E$89*Adm!$AA$3))</f>
        <v>0</v>
      </c>
      <c r="J312" s="306">
        <f>IF(N311&lt;0.01,0,Adm!$O$3*1.16)</f>
        <v>0</v>
      </c>
      <c r="K312" s="306">
        <f>IF(N311&lt;0.01,0,IF(Adm!$N$3&gt;0,E312*Adm!$N$3,0))</f>
        <v>0</v>
      </c>
      <c r="L312" s="306">
        <f t="shared" si="55"/>
        <v>0</v>
      </c>
      <c r="M312" s="306">
        <f>IF(Adm!$F$3="si",MIN(N311+E312+H312+I312+J312-L312,Z312),0)</f>
        <v>0</v>
      </c>
      <c r="N312" s="306">
        <f t="shared" si="56"/>
        <v>0</v>
      </c>
      <c r="O312" s="361"/>
      <c r="P312" s="114"/>
      <c r="V312" s="571">
        <f t="shared" si="57"/>
        <v>6</v>
      </c>
      <c r="W312" s="293">
        <f>IF(V312=1,Adm!$AN$2,0)</f>
        <v>0</v>
      </c>
      <c r="Y312" s="304">
        <f t="shared" si="62"/>
        <v>0</v>
      </c>
      <c r="Z312" s="345">
        <f t="shared" ca="1" si="58"/>
        <v>0</v>
      </c>
      <c r="AB312" s="640">
        <f t="shared" si="63"/>
        <v>0</v>
      </c>
      <c r="AC312" s="639">
        <f t="shared" si="64"/>
        <v>0</v>
      </c>
      <c r="AD312" s="641">
        <f t="shared" si="59"/>
        <v>0</v>
      </c>
      <c r="AE312" s="639">
        <f t="shared" si="65"/>
        <v>0</v>
      </c>
      <c r="AF312" s="636">
        <f t="shared" si="52"/>
        <v>0</v>
      </c>
      <c r="AG312" s="637" t="e">
        <f>HLOOKUP($AG$110,anticipado,199,0)</f>
        <v>#N/A</v>
      </c>
      <c r="AI312" s="415"/>
      <c r="AJ312" s="415"/>
      <c r="AK312" s="415"/>
      <c r="AL312" s="415"/>
      <c r="AM312" s="415"/>
      <c r="AN312" s="415"/>
      <c r="AO312" s="415"/>
      <c r="AP312" s="415"/>
      <c r="AQ312" s="415"/>
      <c r="AR312" s="415"/>
      <c r="AS312" s="415"/>
      <c r="AT312" s="459"/>
      <c r="AU312" s="459">
        <v>1.8851166720818768E-2</v>
      </c>
      <c r="AV312" s="459">
        <v>1.885183560161708E-2</v>
      </c>
      <c r="AW312" s="459">
        <v>1.8392725940497297E-2</v>
      </c>
      <c r="AX312" s="459">
        <v>1.9263328353550269E-2</v>
      </c>
      <c r="AY312" s="459">
        <v>1.8851166720818768E-2</v>
      </c>
      <c r="AZ312" s="459">
        <v>1.8504421643592429E-2</v>
      </c>
      <c r="BA312" s="459">
        <v>1.9240465412749659E-2</v>
      </c>
      <c r="BB312" s="459">
        <v>1.9389859965964734E-2</v>
      </c>
      <c r="BC312" s="459">
        <v>1.91270924575506E-2</v>
      </c>
      <c r="BD312" s="459">
        <v>1.9461924168011544E-2</v>
      </c>
      <c r="BE312" s="415">
        <v>1.9252070185351359E-2</v>
      </c>
      <c r="BF312" s="415">
        <v>1.9219466070693789E-2</v>
      </c>
      <c r="BG312" s="415"/>
      <c r="BH312" s="415"/>
      <c r="BI312" s="415"/>
      <c r="BJ312" s="415"/>
      <c r="BK312" s="617"/>
      <c r="BL312" s="617"/>
      <c r="BM312" s="617"/>
      <c r="BN312" s="617"/>
      <c r="BO312" s="617"/>
      <c r="BP312" s="617"/>
      <c r="BQ312" s="617"/>
      <c r="BR312" s="617"/>
      <c r="BS312" s="617"/>
      <c r="BT312" s="617"/>
      <c r="BU312" s="617"/>
      <c r="BV312" s="617"/>
      <c r="BW312" s="617"/>
      <c r="BX312" s="617"/>
      <c r="BY312" s="617"/>
      <c r="BZ312" s="617"/>
      <c r="CA312" s="617"/>
      <c r="CB312" s="617"/>
      <c r="CC312" s="617"/>
      <c r="CD312" s="617"/>
      <c r="CE312" s="617"/>
      <c r="CF312" s="617"/>
      <c r="CG312" s="617"/>
      <c r="CH312" s="617"/>
      <c r="CI312" s="617"/>
      <c r="CJ312" s="617"/>
      <c r="CK312" s="617"/>
      <c r="CL312" s="617"/>
    </row>
    <row r="313" spans="1:90">
      <c r="A313" s="151">
        <f t="shared" ca="1" si="51"/>
        <v>6</v>
      </c>
      <c r="B313" s="113">
        <f t="shared" si="53"/>
        <v>0</v>
      </c>
      <c r="C313" s="150">
        <f t="shared" si="60"/>
        <v>0</v>
      </c>
      <c r="D313" s="565">
        <f t="shared" si="61"/>
        <v>0</v>
      </c>
      <c r="E313" s="306">
        <f t="shared" si="54"/>
        <v>0</v>
      </c>
      <c r="F313" s="306">
        <f t="shared" si="49"/>
        <v>0</v>
      </c>
      <c r="G313" s="307">
        <f t="shared" si="50"/>
        <v>0</v>
      </c>
      <c r="H313" s="306">
        <f>IF(N312&lt;0.01,0,IF(Adm!$S$3=Adm!$S$13,Cal!$E$94,IF(Adm!$R$3=Adm!$R$6,0,IF(Cal!$E$91=0,N312*Adm!$Y$3,N312*Adm!$X$3))))</f>
        <v>0</v>
      </c>
      <c r="I313" s="306">
        <f>IF(N312&lt;0.01,0,IF(Adm!$R$4=Adm!$R$6,0,Cal!$E$89*Adm!$AA$3))</f>
        <v>0</v>
      </c>
      <c r="J313" s="306">
        <f>IF(N312&lt;0.01,0,Adm!$O$3*1.16)</f>
        <v>0</v>
      </c>
      <c r="K313" s="306">
        <f>IF(N312&lt;0.01,0,IF(Adm!$N$3&gt;0,E313*Adm!$N$3,0))</f>
        <v>0</v>
      </c>
      <c r="L313" s="306">
        <f t="shared" si="55"/>
        <v>0</v>
      </c>
      <c r="M313" s="306">
        <f>IF(Adm!$F$3="si",MIN(N312+E313+H313+I313+J313-L313,Z313),0)</f>
        <v>0</v>
      </c>
      <c r="N313" s="306">
        <f t="shared" si="56"/>
        <v>0</v>
      </c>
      <c r="O313" s="361"/>
      <c r="P313" s="114"/>
      <c r="V313" s="571">
        <f t="shared" si="57"/>
        <v>7</v>
      </c>
      <c r="W313" s="293">
        <f>IF(V313=1,Adm!$AN$2,0)</f>
        <v>0</v>
      </c>
      <c r="Y313" s="304">
        <f t="shared" si="62"/>
        <v>0</v>
      </c>
      <c r="Z313" s="345">
        <f t="shared" ca="1" si="58"/>
        <v>0</v>
      </c>
      <c r="AB313" s="640">
        <f t="shared" si="63"/>
        <v>0</v>
      </c>
      <c r="AC313" s="639">
        <f t="shared" si="64"/>
        <v>0</v>
      </c>
      <c r="AD313" s="641">
        <f t="shared" si="59"/>
        <v>0</v>
      </c>
      <c r="AE313" s="639">
        <f t="shared" si="65"/>
        <v>0</v>
      </c>
      <c r="AF313" s="636">
        <f t="shared" si="52"/>
        <v>0</v>
      </c>
      <c r="AG313" s="637" t="e">
        <f>HLOOKUP($AG$110,anticipado,200,0)</f>
        <v>#N/A</v>
      </c>
      <c r="AI313" s="415"/>
      <c r="AJ313" s="415"/>
      <c r="AK313" s="415"/>
      <c r="AL313" s="415"/>
      <c r="AM313" s="415"/>
      <c r="AN313" s="415"/>
      <c r="AO313" s="415"/>
      <c r="AP313" s="415"/>
      <c r="AQ313" s="415"/>
      <c r="AR313" s="415"/>
      <c r="AS313" s="415"/>
      <c r="AT313" s="459"/>
      <c r="AU313" s="459">
        <v>1.9387722243152796E-2</v>
      </c>
      <c r="AV313" s="459">
        <v>1.9394828065107322E-2</v>
      </c>
      <c r="AW313" s="459">
        <v>1.8923012991953873E-2</v>
      </c>
      <c r="AX313" s="459">
        <v>1.9811102329824842E-2</v>
      </c>
      <c r="AY313" s="459">
        <v>1.9387722243152796E-2</v>
      </c>
      <c r="AZ313" s="459">
        <v>1.9032240040219136E-2</v>
      </c>
      <c r="BA313" s="459">
        <v>1.9780425187929784E-2</v>
      </c>
      <c r="BB313" s="459">
        <v>1.9942981210311062E-2</v>
      </c>
      <c r="BC313" s="459">
        <v>1.9677847797986293E-2</v>
      </c>
      <c r="BD313" s="459">
        <v>2.0005340147242544E-2</v>
      </c>
      <c r="BE313" s="415">
        <v>1.9789318163900792E-2</v>
      </c>
      <c r="BF313" s="415">
        <v>1.9762659292024431E-2</v>
      </c>
      <c r="BG313" s="415"/>
      <c r="BH313" s="415"/>
      <c r="BI313" s="415"/>
      <c r="BJ313" s="415"/>
      <c r="BK313" s="617"/>
      <c r="BL313" s="617"/>
      <c r="BM313" s="617"/>
      <c r="BN313" s="617"/>
      <c r="BO313" s="617"/>
      <c r="BP313" s="617"/>
      <c r="BQ313" s="617"/>
      <c r="BR313" s="617"/>
      <c r="BS313" s="617"/>
      <c r="BT313" s="617"/>
      <c r="BU313" s="617"/>
      <c r="BV313" s="617"/>
      <c r="BW313" s="617"/>
      <c r="BX313" s="617"/>
      <c r="BY313" s="617"/>
      <c r="BZ313" s="617"/>
      <c r="CA313" s="617"/>
      <c r="CB313" s="617"/>
      <c r="CC313" s="617"/>
      <c r="CD313" s="617"/>
      <c r="CE313" s="617"/>
      <c r="CF313" s="617"/>
      <c r="CG313" s="617"/>
      <c r="CH313" s="617"/>
      <c r="CI313" s="617"/>
      <c r="CJ313" s="617"/>
      <c r="CK313" s="617"/>
      <c r="CL313" s="617"/>
    </row>
    <row r="314" spans="1:90">
      <c r="A314" s="151">
        <f t="shared" ca="1" si="51"/>
        <v>7</v>
      </c>
      <c r="B314" s="113">
        <f t="shared" si="53"/>
        <v>0</v>
      </c>
      <c r="C314" s="150">
        <f t="shared" si="60"/>
        <v>0</v>
      </c>
      <c r="D314" s="565">
        <f t="shared" si="61"/>
        <v>0</v>
      </c>
      <c r="E314" s="306">
        <f t="shared" si="54"/>
        <v>0</v>
      </c>
      <c r="F314" s="306">
        <f t="shared" si="49"/>
        <v>0</v>
      </c>
      <c r="G314" s="307">
        <f t="shared" si="50"/>
        <v>0</v>
      </c>
      <c r="H314" s="306">
        <f>IF(N313&lt;0.01,0,IF(Adm!$S$3=Adm!$S$13,Cal!$E$94,IF(Adm!$R$3=Adm!$R$6,0,IF(Cal!$E$91=0,N313*Adm!$Y$3,N313*Adm!$X$3))))</f>
        <v>0</v>
      </c>
      <c r="I314" s="306">
        <f>IF(N313&lt;0.01,0,IF(Adm!$R$4=Adm!$R$6,0,Cal!$E$89*Adm!$AA$3))</f>
        <v>0</v>
      </c>
      <c r="J314" s="306">
        <f>IF(N313&lt;0.01,0,Adm!$O$3*1.16)</f>
        <v>0</v>
      </c>
      <c r="K314" s="306">
        <f>IF(N313&lt;0.01,0,IF(Adm!$N$3&gt;0,E314*Adm!$N$3,0))</f>
        <v>0</v>
      </c>
      <c r="L314" s="306">
        <f t="shared" si="55"/>
        <v>0</v>
      </c>
      <c r="M314" s="306">
        <f>IF(Adm!$F$3="si",MIN(N313+E314+H314+I314+J314-L314,Z314),0)</f>
        <v>0</v>
      </c>
      <c r="N314" s="306">
        <f t="shared" si="56"/>
        <v>0</v>
      </c>
      <c r="O314" s="361"/>
      <c r="P314" s="114"/>
      <c r="V314" s="571">
        <f t="shared" si="57"/>
        <v>8</v>
      </c>
      <c r="W314" s="293">
        <f>IF(V314=1,Adm!$AN$2,0)</f>
        <v>0</v>
      </c>
      <c r="Y314" s="304">
        <f t="shared" si="62"/>
        <v>0</v>
      </c>
      <c r="Z314" s="345">
        <f t="shared" ca="1" si="58"/>
        <v>0</v>
      </c>
      <c r="AB314" s="640">
        <f t="shared" si="63"/>
        <v>0</v>
      </c>
      <c r="AC314" s="639">
        <f t="shared" si="64"/>
        <v>0</v>
      </c>
      <c r="AD314" s="641">
        <f t="shared" si="59"/>
        <v>0</v>
      </c>
      <c r="AE314" s="639">
        <f t="shared" si="65"/>
        <v>0</v>
      </c>
      <c r="AF314" s="636">
        <f t="shared" si="52"/>
        <v>0</v>
      </c>
      <c r="AG314" s="637" t="e">
        <f>HLOOKUP($AG$110,anticipado,201,0)</f>
        <v>#N/A</v>
      </c>
      <c r="AI314" s="415"/>
      <c r="AJ314" s="415"/>
      <c r="AK314" s="415"/>
      <c r="AL314" s="415"/>
      <c r="AM314" s="415"/>
      <c r="AN314" s="415"/>
      <c r="AO314" s="415"/>
      <c r="AP314" s="415"/>
      <c r="AQ314" s="415"/>
      <c r="AR314" s="415"/>
      <c r="AS314" s="415"/>
      <c r="AT314" s="459"/>
      <c r="AU314" s="459">
        <v>1.9950459795650671E-2</v>
      </c>
      <c r="AV314" s="459">
        <v>1.9964509297720055E-2</v>
      </c>
      <c r="AW314" s="459">
        <v>1.9479112001831528E-2</v>
      </c>
      <c r="AX314" s="459">
        <v>2.0385839030532798E-2</v>
      </c>
      <c r="AY314" s="459">
        <v>1.9950459795650671E-2</v>
      </c>
      <c r="AZ314" s="459">
        <v>1.9585646443047833E-2</v>
      </c>
      <c r="BA314" s="459">
        <v>2.0346740215895224E-2</v>
      </c>
      <c r="BB314" s="459">
        <v>2.0523457390815212E-2</v>
      </c>
      <c r="BC314" s="459">
        <v>2.0255835423563885E-2</v>
      </c>
      <c r="BD314" s="459">
        <v>2.0575332277597426E-2</v>
      </c>
      <c r="BE314" s="415">
        <v>2.035270767058792E-2</v>
      </c>
      <c r="BF314" s="415">
        <v>2.033246548393244E-2</v>
      </c>
      <c r="BG314" s="415"/>
      <c r="BH314" s="415"/>
      <c r="BI314" s="415"/>
      <c r="BJ314" s="415"/>
      <c r="BK314" s="617"/>
      <c r="BL314" s="617"/>
      <c r="BM314" s="617"/>
      <c r="BN314" s="617"/>
      <c r="BO314" s="617"/>
      <c r="BP314" s="617"/>
      <c r="BQ314" s="617"/>
      <c r="BR314" s="617"/>
      <c r="BS314" s="617"/>
      <c r="BT314" s="617"/>
      <c r="BU314" s="617"/>
      <c r="BV314" s="617"/>
      <c r="BW314" s="617"/>
      <c r="BX314" s="617"/>
      <c r="BY314" s="617"/>
      <c r="BZ314" s="617"/>
      <c r="CA314" s="617"/>
      <c r="CB314" s="617"/>
      <c r="CC314" s="617"/>
      <c r="CD314" s="617"/>
      <c r="CE314" s="617"/>
      <c r="CF314" s="617"/>
      <c r="CG314" s="617"/>
      <c r="CH314" s="617"/>
      <c r="CI314" s="617"/>
      <c r="CJ314" s="617"/>
      <c r="CK314" s="617"/>
      <c r="CL314" s="617"/>
    </row>
    <row r="315" spans="1:90">
      <c r="A315" s="151">
        <f t="shared" ca="1" si="51"/>
        <v>8</v>
      </c>
      <c r="B315" s="113">
        <f t="shared" si="53"/>
        <v>0</v>
      </c>
      <c r="C315" s="150">
        <f t="shared" si="60"/>
        <v>0</v>
      </c>
      <c r="D315" s="565">
        <f t="shared" si="61"/>
        <v>0</v>
      </c>
      <c r="E315" s="306">
        <f t="shared" si="54"/>
        <v>0</v>
      </c>
      <c r="F315" s="306">
        <f t="shared" si="49"/>
        <v>0</v>
      </c>
      <c r="G315" s="307">
        <f t="shared" si="50"/>
        <v>0</v>
      </c>
      <c r="H315" s="306">
        <f>IF(N314&lt;0.01,0,IF(Adm!$S$3=Adm!$S$13,Cal!$E$94,IF(Adm!$R$3=Adm!$R$6,0,IF(Cal!$E$91=0,N314*Adm!$Y$3,N314*Adm!$X$3))))</f>
        <v>0</v>
      </c>
      <c r="I315" s="306">
        <f>IF(N314&lt;0.01,0,IF(Adm!$R$4=Adm!$R$6,0,Cal!$E$89*Adm!$AA$3))</f>
        <v>0</v>
      </c>
      <c r="J315" s="306">
        <f>IF(N314&lt;0.01,0,Adm!$O$3*1.16)</f>
        <v>0</v>
      </c>
      <c r="K315" s="306">
        <f>IF(N314&lt;0.01,0,IF(Adm!$N$3&gt;0,E315*Adm!$N$3,0))</f>
        <v>0</v>
      </c>
      <c r="L315" s="306">
        <f t="shared" si="55"/>
        <v>0</v>
      </c>
      <c r="M315" s="306">
        <f>IF(Adm!$F$3="si",MIN(N314+E315+H315+I315+J315-L315,Z315),0)</f>
        <v>0</v>
      </c>
      <c r="N315" s="306">
        <f t="shared" si="56"/>
        <v>0</v>
      </c>
      <c r="O315" s="361"/>
      <c r="P315" s="114"/>
      <c r="V315" s="571">
        <f t="shared" si="57"/>
        <v>9</v>
      </c>
      <c r="W315" s="293">
        <f>IF(V315=1,Adm!$AN$2,0)</f>
        <v>0</v>
      </c>
      <c r="Y315" s="304">
        <f t="shared" si="62"/>
        <v>0</v>
      </c>
      <c r="Z315" s="345">
        <f t="shared" ca="1" si="58"/>
        <v>0</v>
      </c>
      <c r="AB315" s="640">
        <f t="shared" si="63"/>
        <v>0</v>
      </c>
      <c r="AC315" s="639">
        <f t="shared" si="64"/>
        <v>0</v>
      </c>
      <c r="AD315" s="641">
        <f t="shared" si="59"/>
        <v>0</v>
      </c>
      <c r="AE315" s="639">
        <f t="shared" si="65"/>
        <v>0</v>
      </c>
      <c r="AF315" s="636">
        <f t="shared" si="52"/>
        <v>0</v>
      </c>
      <c r="AG315" s="637" t="e">
        <f>HLOOKUP($AG$110,anticipado,202,0)</f>
        <v>#N/A</v>
      </c>
      <c r="AI315" s="415"/>
      <c r="AJ315" s="415"/>
      <c r="AK315" s="415"/>
      <c r="AL315" s="415"/>
      <c r="AM315" s="415"/>
      <c r="AN315" s="415"/>
      <c r="AO315" s="415"/>
      <c r="AP315" s="415"/>
      <c r="AQ315" s="415"/>
      <c r="AR315" s="415"/>
      <c r="AS315" s="415"/>
      <c r="AT315" s="459"/>
      <c r="AU315" s="459">
        <v>2.0541318976690294E-2</v>
      </c>
      <c r="AV315" s="459">
        <v>2.056286965851466E-2</v>
      </c>
      <c r="AW315" s="459">
        <v>2.006292550967028E-2</v>
      </c>
      <c r="AX315" s="459">
        <v>2.098955661463944E-2</v>
      </c>
      <c r="AY315" s="459">
        <v>2.0541318976690294E-2</v>
      </c>
      <c r="AZ315" s="459">
        <v>2.0166521225240205E-2</v>
      </c>
      <c r="BA315" s="459">
        <v>2.0941367613956968E-2</v>
      </c>
      <c r="BB315" s="459">
        <v>2.1133346401142221E-2</v>
      </c>
      <c r="BC315" s="459">
        <v>2.086310065649866E-2</v>
      </c>
      <c r="BD315" s="459">
        <v>2.1173879940170028E-2</v>
      </c>
      <c r="BE315" s="415">
        <v>2.0944174475005774E-2</v>
      </c>
      <c r="BF315" s="415">
        <v>2.0930867583230667E-2</v>
      </c>
      <c r="BG315" s="415"/>
      <c r="BH315" s="415"/>
      <c r="BI315" s="415"/>
      <c r="BJ315" s="415"/>
      <c r="BK315" s="617"/>
      <c r="BL315" s="617"/>
      <c r="BM315" s="617"/>
      <c r="BN315" s="617"/>
      <c r="BO315" s="617"/>
      <c r="BP315" s="617"/>
      <c r="BQ315" s="617"/>
      <c r="BR315" s="617"/>
      <c r="BS315" s="617"/>
      <c r="BT315" s="617"/>
      <c r="BU315" s="617"/>
      <c r="BV315" s="617"/>
      <c r="BW315" s="617"/>
      <c r="BX315" s="617"/>
      <c r="BY315" s="617"/>
      <c r="BZ315" s="617"/>
      <c r="CA315" s="617"/>
      <c r="CB315" s="617"/>
      <c r="CC315" s="617"/>
      <c r="CD315" s="617"/>
      <c r="CE315" s="617"/>
      <c r="CF315" s="617"/>
      <c r="CG315" s="617"/>
      <c r="CH315" s="617"/>
      <c r="CI315" s="617"/>
      <c r="CJ315" s="617"/>
      <c r="CK315" s="617"/>
      <c r="CL315" s="617"/>
    </row>
    <row r="316" spans="1:90">
      <c r="A316" s="151">
        <f t="shared" ca="1" si="51"/>
        <v>9</v>
      </c>
      <c r="B316" s="113">
        <f t="shared" si="53"/>
        <v>0</v>
      </c>
      <c r="C316" s="150">
        <f t="shared" si="60"/>
        <v>0</v>
      </c>
      <c r="D316" s="565">
        <f t="shared" si="61"/>
        <v>0</v>
      </c>
      <c r="E316" s="306">
        <f t="shared" si="54"/>
        <v>0</v>
      </c>
      <c r="F316" s="306">
        <f t="shared" si="49"/>
        <v>0</v>
      </c>
      <c r="G316" s="307">
        <f t="shared" si="50"/>
        <v>0</v>
      </c>
      <c r="H316" s="306">
        <f>IF(N315&lt;0.01,0,IF(Adm!$S$3=Adm!$S$13,Cal!$E$94,IF(Adm!$R$3=Adm!$R$6,0,IF(Cal!$E$91=0,N315*Adm!$Y$3,N315*Adm!$X$3))))</f>
        <v>0</v>
      </c>
      <c r="I316" s="306">
        <f>IF(N315&lt;0.01,0,IF(Adm!$R$4=Adm!$R$6,0,Cal!$E$89*Adm!$AA$3))</f>
        <v>0</v>
      </c>
      <c r="J316" s="306">
        <f>IF(N315&lt;0.01,0,Adm!$O$3*1.16)</f>
        <v>0</v>
      </c>
      <c r="K316" s="306">
        <f>IF(N315&lt;0.01,0,IF(Adm!$N$3&gt;0,E316*Adm!$N$3,0))</f>
        <v>0</v>
      </c>
      <c r="L316" s="306">
        <f t="shared" si="55"/>
        <v>0</v>
      </c>
      <c r="M316" s="306">
        <f>IF(Adm!$F$3="si",MIN(N315+E316+H316+I316+J316-L316,Z316),0)</f>
        <v>0</v>
      </c>
      <c r="N316" s="306">
        <f t="shared" si="56"/>
        <v>0</v>
      </c>
      <c r="O316" s="361"/>
      <c r="P316" s="114"/>
      <c r="V316" s="571">
        <f t="shared" si="57"/>
        <v>10</v>
      </c>
      <c r="W316" s="293">
        <f>IF(V316=1,Adm!$AN$2,0)</f>
        <v>0</v>
      </c>
      <c r="Y316" s="304">
        <f t="shared" si="62"/>
        <v>0</v>
      </c>
      <c r="Z316" s="345">
        <f t="shared" ca="1" si="58"/>
        <v>0</v>
      </c>
      <c r="AB316" s="640">
        <f t="shared" si="63"/>
        <v>0</v>
      </c>
      <c r="AC316" s="639">
        <f t="shared" si="64"/>
        <v>0</v>
      </c>
      <c r="AD316" s="641">
        <f t="shared" si="59"/>
        <v>0</v>
      </c>
      <c r="AE316" s="639">
        <f t="shared" si="65"/>
        <v>0</v>
      </c>
      <c r="AF316" s="636">
        <f t="shared" si="52"/>
        <v>0</v>
      </c>
      <c r="AG316" s="637" t="e">
        <f>HLOOKUP($AG$110,anticipado,203,0)</f>
        <v>#N/A</v>
      </c>
      <c r="AI316" s="415"/>
      <c r="AJ316" s="415"/>
      <c r="AK316" s="415"/>
      <c r="AL316" s="415"/>
      <c r="AM316" s="415"/>
      <c r="AN316" s="415"/>
      <c r="AO316" s="415"/>
      <c r="AP316" s="415"/>
      <c r="AQ316" s="415"/>
      <c r="AR316" s="415"/>
      <c r="AS316" s="415"/>
      <c r="AT316" s="459"/>
      <c r="AU316" s="459">
        <v>2.1162435790295954E-2</v>
      </c>
      <c r="AV316" s="459">
        <v>2.1192102430622639E-2</v>
      </c>
      <c r="AW316" s="459">
        <v>2.0676547699555251E-2</v>
      </c>
      <c r="AX316" s="459">
        <v>2.1624479783110426E-2</v>
      </c>
      <c r="AY316" s="459">
        <v>2.1162435790295954E-2</v>
      </c>
      <c r="AZ316" s="459">
        <v>2.077693359487285E-2</v>
      </c>
      <c r="BA316" s="459">
        <v>2.1566463175857746E-2</v>
      </c>
      <c r="BB316" s="459">
        <v>2.1774917839306501E-2</v>
      </c>
      <c r="BC316" s="459">
        <v>2.1501898871274322E-2</v>
      </c>
      <c r="BD316" s="459">
        <v>2.1803164067987775E-2</v>
      </c>
      <c r="BE316" s="415">
        <v>2.15658502889822E-2</v>
      </c>
      <c r="BF316" s="415">
        <v>2.1560050520214504E-2</v>
      </c>
      <c r="BG316" s="415"/>
      <c r="BH316" s="415"/>
      <c r="BI316" s="415"/>
      <c r="BJ316" s="415"/>
      <c r="BK316" s="617"/>
      <c r="BL316" s="617"/>
      <c r="BM316" s="617"/>
      <c r="BN316" s="617"/>
      <c r="BO316" s="617"/>
      <c r="BP316" s="617"/>
      <c r="BQ316" s="617"/>
      <c r="BR316" s="617"/>
      <c r="BS316" s="617"/>
      <c r="BT316" s="617"/>
      <c r="BU316" s="617"/>
      <c r="BV316" s="617"/>
      <c r="BW316" s="617"/>
      <c r="BX316" s="617"/>
      <c r="BY316" s="617"/>
      <c r="BZ316" s="617"/>
      <c r="CA316" s="617"/>
      <c r="CB316" s="617"/>
      <c r="CC316" s="617"/>
      <c r="CD316" s="617"/>
      <c r="CE316" s="617"/>
      <c r="CF316" s="617"/>
      <c r="CG316" s="617"/>
      <c r="CH316" s="617"/>
      <c r="CI316" s="617"/>
      <c r="CJ316" s="617"/>
      <c r="CK316" s="617"/>
      <c r="CL316" s="617"/>
    </row>
    <row r="317" spans="1:90" ht="12">
      <c r="A317" s="151">
        <f t="shared" ca="1" si="51"/>
        <v>10</v>
      </c>
      <c r="B317" s="113">
        <f t="shared" si="53"/>
        <v>0</v>
      </c>
      <c r="C317" s="150">
        <f t="shared" si="60"/>
        <v>0</v>
      </c>
      <c r="D317" s="565">
        <f t="shared" si="61"/>
        <v>0</v>
      </c>
      <c r="E317" s="306">
        <f t="shared" si="54"/>
        <v>0</v>
      </c>
      <c r="F317" s="306">
        <f t="shared" si="49"/>
        <v>0</v>
      </c>
      <c r="G317" s="307">
        <f t="shared" si="50"/>
        <v>0</v>
      </c>
      <c r="H317" s="306">
        <f>IF(N316&lt;0.01,0,IF(Adm!$S$3=Adm!$S$13,Cal!$E$94,IF(Adm!$R$3=Adm!$R$6,0,IF(Cal!$E$91=0,N316*Adm!$Y$3,N316*Adm!$X$3))))</f>
        <v>0</v>
      </c>
      <c r="I317" s="306">
        <f>IF(N316&lt;0.01,0,IF(Adm!$R$4=Adm!$R$6,0,Cal!$E$89*Adm!$AA$3))</f>
        <v>0</v>
      </c>
      <c r="J317" s="306">
        <f>IF(N316&lt;0.01,0,Adm!$O$3*1.16)</f>
        <v>0</v>
      </c>
      <c r="K317" s="306">
        <f>IF(N316&lt;0.01,0,IF(Adm!$N$3&gt;0,E317*Adm!$N$3,0))</f>
        <v>0</v>
      </c>
      <c r="L317" s="306">
        <f t="shared" si="55"/>
        <v>0</v>
      </c>
      <c r="M317" s="306">
        <f>IF(Adm!$F$3="si",MIN(N316+E317+H317+I317+J317-L317,Z317),0)</f>
        <v>0</v>
      </c>
      <c r="N317" s="306">
        <f t="shared" si="56"/>
        <v>0</v>
      </c>
      <c r="O317" s="361"/>
      <c r="P317" s="114"/>
      <c r="V317" s="571">
        <f t="shared" si="57"/>
        <v>11</v>
      </c>
      <c r="W317" s="293">
        <f>IF(V317=1,Adm!$AN$2,0)</f>
        <v>0</v>
      </c>
      <c r="Y317" s="304">
        <f t="shared" si="62"/>
        <v>0</v>
      </c>
      <c r="Z317" s="345">
        <f t="shared" ca="1" si="58"/>
        <v>0</v>
      </c>
      <c r="AB317" s="640">
        <f t="shared" si="63"/>
        <v>0</v>
      </c>
      <c r="AC317" s="639">
        <f t="shared" si="64"/>
        <v>0</v>
      </c>
      <c r="AD317" s="641">
        <f t="shared" si="59"/>
        <v>0</v>
      </c>
      <c r="AE317" s="639">
        <f t="shared" si="65"/>
        <v>0</v>
      </c>
      <c r="AF317" s="636">
        <f t="shared" si="52"/>
        <v>0</v>
      </c>
      <c r="AG317" s="637" t="e">
        <f>HLOOKUP($AG$110,anticipado,204,0)</f>
        <v>#N/A</v>
      </c>
      <c r="AI317" s="415"/>
      <c r="AJ317" s="415"/>
      <c r="AK317" s="415"/>
      <c r="AL317" s="415"/>
      <c r="AM317" s="415"/>
      <c r="AN317" s="621"/>
      <c r="AO317" s="621"/>
      <c r="AP317" s="621"/>
      <c r="AQ317" s="621"/>
      <c r="AR317" s="621"/>
      <c r="AS317" s="621"/>
      <c r="AT317" s="621"/>
      <c r="AU317" s="621">
        <v>2.1816168152817186E-2</v>
      </c>
      <c r="AV317" s="621">
        <v>2.1854630359485695E-2</v>
      </c>
      <c r="AW317" s="621">
        <v>2.1322289155124654E-2</v>
      </c>
      <c r="AX317" s="621">
        <v>2.2293066895627787E-2</v>
      </c>
      <c r="AY317" s="621">
        <v>2.1816168152817186E-2</v>
      </c>
      <c r="AZ317" s="621">
        <v>2.1419165910694923E-2</v>
      </c>
      <c r="BA317" s="621">
        <v>2.222440723950039E-2</v>
      </c>
      <c r="BB317" s="621">
        <v>2.2450680950562189E-2</v>
      </c>
      <c r="BC317" s="621">
        <v>2.2174723171107767E-2</v>
      </c>
      <c r="BD317" s="621">
        <v>2.2465593470515032E-2</v>
      </c>
      <c r="BE317" s="621">
        <v>2.2220088202749583E-2</v>
      </c>
      <c r="BF317" s="621">
        <v>2.2222427611624764E-2</v>
      </c>
      <c r="BG317" s="621"/>
      <c r="BH317" s="621"/>
      <c r="BI317" s="621"/>
      <c r="BJ317" s="621"/>
      <c r="BK317" s="617"/>
      <c r="BL317" s="617"/>
      <c r="BM317" s="617"/>
      <c r="BN317" s="617"/>
      <c r="BO317" s="617"/>
      <c r="BP317" s="617"/>
      <c r="BQ317" s="617"/>
      <c r="BR317" s="617"/>
      <c r="BS317" s="617"/>
      <c r="BT317" s="617"/>
      <c r="BU317" s="617"/>
      <c r="BV317" s="617"/>
      <c r="BW317" s="617"/>
      <c r="BX317" s="617"/>
      <c r="BY317" s="617"/>
      <c r="BZ317" s="617"/>
      <c r="CA317" s="617"/>
      <c r="CB317" s="617"/>
      <c r="CC317" s="617"/>
      <c r="CD317" s="617"/>
      <c r="CE317" s="617"/>
      <c r="CF317" s="617"/>
      <c r="CG317" s="617"/>
      <c r="CH317" s="617"/>
      <c r="CI317" s="617"/>
      <c r="CJ317" s="617"/>
      <c r="CK317" s="617"/>
      <c r="CL317" s="617"/>
    </row>
    <row r="318" spans="1:90" ht="12">
      <c r="A318" s="151">
        <f t="shared" ca="1" si="51"/>
        <v>11</v>
      </c>
      <c r="B318" s="113">
        <f t="shared" si="53"/>
        <v>0</v>
      </c>
      <c r="C318" s="150">
        <f t="shared" si="60"/>
        <v>0</v>
      </c>
      <c r="D318" s="565">
        <f t="shared" si="61"/>
        <v>0</v>
      </c>
      <c r="E318" s="306">
        <f t="shared" si="54"/>
        <v>0</v>
      </c>
      <c r="F318" s="306">
        <f t="shared" si="49"/>
        <v>0</v>
      </c>
      <c r="G318" s="307">
        <f t="shared" si="50"/>
        <v>0</v>
      </c>
      <c r="H318" s="306">
        <f>IF(N317&lt;0.01,0,IF(Adm!$S$3=Adm!$S$13,Cal!$E$94,IF(Adm!$R$3=Adm!$R$6,0,IF(Cal!$E$91=0,N317*Adm!$Y$3,N317*Adm!$X$3))))</f>
        <v>0</v>
      </c>
      <c r="I318" s="306">
        <f>IF(N317&lt;0.01,0,IF(Adm!$R$4=Adm!$R$6,0,Cal!$E$89*Adm!$AA$3))</f>
        <v>0</v>
      </c>
      <c r="J318" s="306">
        <f>IF(N317&lt;0.01,0,Adm!$O$3*1.16)</f>
        <v>0</v>
      </c>
      <c r="K318" s="306">
        <f>IF(N317&lt;0.01,0,IF(Adm!$N$3&gt;0,E318*Adm!$N$3,0))</f>
        <v>0</v>
      </c>
      <c r="L318" s="306">
        <f t="shared" si="55"/>
        <v>0</v>
      </c>
      <c r="M318" s="306">
        <f>IF(Adm!$F$3="si",MIN(N317+E318+H318+I318+J318-L318,Z318),0)</f>
        <v>0</v>
      </c>
      <c r="N318" s="306">
        <f t="shared" si="56"/>
        <v>0</v>
      </c>
      <c r="O318" s="361"/>
      <c r="P318" s="114"/>
      <c r="V318" s="571">
        <f t="shared" si="57"/>
        <v>12</v>
      </c>
      <c r="W318" s="293">
        <f>IF(V318=1,Adm!$AN$2,0)</f>
        <v>0</v>
      </c>
      <c r="Y318" s="304">
        <f t="shared" si="62"/>
        <v>0</v>
      </c>
      <c r="Z318" s="345">
        <f t="shared" ca="1" si="58"/>
        <v>0</v>
      </c>
      <c r="AB318" s="640">
        <f t="shared" si="63"/>
        <v>0</v>
      </c>
      <c r="AC318" s="639">
        <f t="shared" si="64"/>
        <v>0</v>
      </c>
      <c r="AD318" s="641">
        <f t="shared" si="59"/>
        <v>0</v>
      </c>
      <c r="AE318" s="639">
        <f t="shared" si="65"/>
        <v>0</v>
      </c>
      <c r="AF318" s="636">
        <f t="shared" si="52"/>
        <v>0</v>
      </c>
      <c r="AG318" s="637" t="e">
        <f>HLOOKUP($AG$110,anticipado,205,0)</f>
        <v>#N/A</v>
      </c>
      <c r="AI318" s="415"/>
      <c r="AJ318" s="415"/>
      <c r="AK318" s="415"/>
      <c r="AL318" s="415"/>
      <c r="AM318" s="415"/>
      <c r="AN318" s="621"/>
      <c r="AO318" s="621"/>
      <c r="AP318" s="621"/>
      <c r="AQ318" s="621"/>
      <c r="AR318" s="621"/>
      <c r="AS318" s="621"/>
      <c r="AT318" s="621"/>
      <c r="AU318" s="621">
        <v>2.2505125480588781E-2</v>
      </c>
      <c r="AV318" s="621">
        <v>2.2553136467733884E-2</v>
      </c>
      <c r="AW318" s="621">
        <v>2.2002705553510367E-2</v>
      </c>
      <c r="AX318" s="621">
        <v>2.299804147466572E-2</v>
      </c>
      <c r="AY318" s="621">
        <v>2.2505125480588781E-2</v>
      </c>
      <c r="AZ318" s="621">
        <v>2.2095741854498668E-2</v>
      </c>
      <c r="BA318" s="621">
        <v>2.2917834704317214E-2</v>
      </c>
      <c r="BB318" s="621">
        <v>2.3163417116119987E-2</v>
      </c>
      <c r="BC318" s="621">
        <v>2.2884336558830903E-2</v>
      </c>
      <c r="BD318" s="621">
        <v>2.3163835394684858E-2</v>
      </c>
      <c r="BE318" s="621">
        <v>2.2909492189117628E-2</v>
      </c>
      <c r="BF318" s="621">
        <v>2.2920671202940775E-2</v>
      </c>
      <c r="BG318" s="621"/>
      <c r="BH318" s="621"/>
      <c r="BI318" s="621"/>
      <c r="BJ318" s="621"/>
      <c r="BK318" s="617"/>
      <c r="BL318" s="617"/>
      <c r="BM318" s="617"/>
      <c r="BN318" s="617"/>
      <c r="BO318" s="617"/>
      <c r="BP318" s="617"/>
      <c r="BQ318" s="617"/>
      <c r="BR318" s="617"/>
      <c r="BS318" s="617"/>
      <c r="BT318" s="617"/>
      <c r="BU318" s="617"/>
      <c r="BV318" s="617"/>
      <c r="BW318" s="617"/>
      <c r="BX318" s="617"/>
      <c r="BY318" s="617"/>
      <c r="BZ318" s="617"/>
      <c r="CA318" s="617"/>
      <c r="CB318" s="617"/>
      <c r="CC318" s="617"/>
      <c r="CD318" s="617"/>
      <c r="CE318" s="617"/>
      <c r="CF318" s="617"/>
      <c r="CG318" s="617"/>
      <c r="CH318" s="617"/>
      <c r="CI318" s="617"/>
      <c r="CJ318" s="617"/>
      <c r="CK318" s="617"/>
      <c r="CL318" s="617"/>
    </row>
    <row r="319" spans="1:90" ht="12">
      <c r="A319" s="151">
        <f t="shared" ca="1" si="51"/>
        <v>12</v>
      </c>
      <c r="B319" s="113">
        <f t="shared" si="53"/>
        <v>0</v>
      </c>
      <c r="C319" s="150">
        <f t="shared" si="60"/>
        <v>0</v>
      </c>
      <c r="D319" s="565">
        <f t="shared" si="61"/>
        <v>0</v>
      </c>
      <c r="E319" s="306">
        <f t="shared" si="54"/>
        <v>0</v>
      </c>
      <c r="F319" s="306">
        <f t="shared" si="49"/>
        <v>0</v>
      </c>
      <c r="G319" s="307">
        <f t="shared" si="50"/>
        <v>0</v>
      </c>
      <c r="H319" s="306">
        <f>IF(N318&lt;0.01,0,IF(Adm!$S$3=Adm!$S$13,Cal!$E$94,IF(Adm!$R$3=Adm!$R$6,0,IF(Cal!$E$91=0,N318*Adm!$Y$3,N318*Adm!$X$3))))</f>
        <v>0</v>
      </c>
      <c r="I319" s="306">
        <f>IF(N318&lt;0.01,0,IF(Adm!$R$4=Adm!$R$6,0,Cal!$E$89*Adm!$AA$3))</f>
        <v>0</v>
      </c>
      <c r="J319" s="306">
        <f>IF(N318&lt;0.01,0,Adm!$O$3*1.16)</f>
        <v>0</v>
      </c>
      <c r="K319" s="306">
        <f>IF(N318&lt;0.01,0,IF(Adm!$N$3&gt;0,E319*Adm!$N$3,0))</f>
        <v>0</v>
      </c>
      <c r="L319" s="306">
        <f t="shared" si="55"/>
        <v>0</v>
      </c>
      <c r="M319" s="306">
        <f>IF(Adm!$F$3="si",MIN(N318+E319+H319+I319+J319-L319,Z319),0)</f>
        <v>0</v>
      </c>
      <c r="N319" s="306">
        <f t="shared" si="56"/>
        <v>0</v>
      </c>
      <c r="O319" s="361"/>
      <c r="P319" s="114"/>
      <c r="V319" s="571">
        <f t="shared" si="57"/>
        <v>1</v>
      </c>
      <c r="W319" s="293">
        <f>IF(V319=1,Adm!$AN$2,0)</f>
        <v>0</v>
      </c>
      <c r="Y319" s="304">
        <f t="shared" si="62"/>
        <v>0</v>
      </c>
      <c r="Z319" s="345">
        <f t="shared" ca="1" si="58"/>
        <v>0</v>
      </c>
      <c r="AB319" s="640">
        <f t="shared" si="63"/>
        <v>0</v>
      </c>
      <c r="AC319" s="639">
        <f t="shared" si="64"/>
        <v>0</v>
      </c>
      <c r="AD319" s="641">
        <f t="shared" si="59"/>
        <v>0</v>
      </c>
      <c r="AE319" s="639">
        <f t="shared" si="65"/>
        <v>0</v>
      </c>
      <c r="AF319" s="636">
        <f t="shared" si="52"/>
        <v>0</v>
      </c>
      <c r="AG319" s="637" t="e">
        <f>HLOOKUP($AG$110,anticipado,206,0)</f>
        <v>#N/A</v>
      </c>
      <c r="AI319" s="415"/>
      <c r="AJ319" s="415"/>
      <c r="AK319" s="415"/>
      <c r="AL319" s="415"/>
      <c r="AM319" s="415"/>
      <c r="AN319" s="621"/>
      <c r="AO319" s="621"/>
      <c r="AP319" s="621"/>
      <c r="AQ319" s="621"/>
      <c r="AR319" s="621"/>
      <c r="AS319" s="621"/>
      <c r="AT319" s="621"/>
      <c r="AU319" s="621">
        <v>2.3555275172620634E-2</v>
      </c>
      <c r="AV319" s="621">
        <v>2.3617589306002315E-2</v>
      </c>
      <c r="AW319" s="621">
        <v>2.3046920693164982E-2</v>
      </c>
      <c r="AX319" s="621">
        <v>2.4066103237521477E-2</v>
      </c>
      <c r="AY319" s="621">
        <v>2.3555275172620634E-2</v>
      </c>
      <c r="AZ319" s="621">
        <v>2.3132470451703604E-2</v>
      </c>
      <c r="BA319" s="621">
        <v>2.3969000029532412E-2</v>
      </c>
      <c r="BB319" s="621">
        <v>2.4241213285596315E-2</v>
      </c>
      <c r="BC319" s="621">
        <v>2.396131423881347E-2</v>
      </c>
      <c r="BD319" s="621">
        <v>2.4219026317886701E-2</v>
      </c>
      <c r="BE319" s="621">
        <v>2.3954487636684074E-2</v>
      </c>
      <c r="BF319" s="621">
        <v>2.3979325863991912E-2</v>
      </c>
      <c r="BG319" s="621"/>
      <c r="BH319" s="621"/>
      <c r="BI319" s="621"/>
      <c r="BJ319" s="621"/>
      <c r="BK319" s="617"/>
      <c r="BL319" s="617"/>
      <c r="BM319" s="617"/>
      <c r="BN319" s="617"/>
      <c r="BO319" s="617"/>
      <c r="BP319" s="617"/>
      <c r="BQ319" s="617"/>
      <c r="BR319" s="617"/>
      <c r="BS319" s="617"/>
      <c r="BT319" s="617"/>
      <c r="BU319" s="617"/>
      <c r="BV319" s="617"/>
      <c r="BW319" s="617"/>
      <c r="BX319" s="617"/>
      <c r="BY319" s="617"/>
      <c r="BZ319" s="617"/>
      <c r="CA319" s="617"/>
      <c r="CB319" s="617"/>
      <c r="CC319" s="617"/>
      <c r="CD319" s="617"/>
      <c r="CE319" s="617"/>
      <c r="CF319" s="617"/>
      <c r="CG319" s="617"/>
      <c r="CH319" s="617"/>
      <c r="CI319" s="617"/>
      <c r="CJ319" s="617"/>
      <c r="CK319" s="617"/>
      <c r="CL319" s="617"/>
    </row>
    <row r="320" spans="1:90" ht="12">
      <c r="A320" s="151">
        <f t="shared" ca="1" si="51"/>
        <v>1</v>
      </c>
      <c r="B320" s="113">
        <f t="shared" si="53"/>
        <v>0</v>
      </c>
      <c r="C320" s="150">
        <f t="shared" si="60"/>
        <v>0</v>
      </c>
      <c r="D320" s="565">
        <f t="shared" si="61"/>
        <v>0</v>
      </c>
      <c r="E320" s="306">
        <f t="shared" si="54"/>
        <v>0</v>
      </c>
      <c r="F320" s="306">
        <f t="shared" ref="F320:F354" si="66">IF(N319&lt;0.01,0,G320-E320)</f>
        <v>0</v>
      </c>
      <c r="G320" s="307">
        <f t="shared" si="50"/>
        <v>0</v>
      </c>
      <c r="H320" s="306">
        <f>IF(N319&lt;0.01,0,IF(Adm!$S$3=Adm!$S$13,Cal!$E$94,IF(Adm!$R$3=Adm!$R$6,0,IF(Cal!$E$91=0,N319*Adm!$Y$3,N319*Adm!$X$3))))</f>
        <v>0</v>
      </c>
      <c r="I320" s="306">
        <f>IF(N319&lt;0.01,0,IF(Adm!$R$4=Adm!$R$6,0,Cal!$E$89*Adm!$AA$3))</f>
        <v>0</v>
      </c>
      <c r="J320" s="306">
        <f>IF(N319&lt;0.01,0,Adm!$O$3*1.16)</f>
        <v>0</v>
      </c>
      <c r="K320" s="306">
        <f>IF(N319&lt;0.01,0,IF(Adm!$N$3&gt;0,E320*Adm!$N$3,0))</f>
        <v>0</v>
      </c>
      <c r="L320" s="306">
        <f t="shared" si="55"/>
        <v>0</v>
      </c>
      <c r="M320" s="306">
        <f>IF(Adm!$F$3="si",MIN(N319+E320+H320+I320+J320-L320,Z320),0)</f>
        <v>0</v>
      </c>
      <c r="N320" s="306">
        <f t="shared" si="56"/>
        <v>0</v>
      </c>
      <c r="O320" s="361"/>
      <c r="P320" s="114"/>
      <c r="V320" s="571">
        <f t="shared" si="57"/>
        <v>2</v>
      </c>
      <c r="W320" s="293">
        <f>IF(V320=1,Adm!$AN$2,0)</f>
        <v>0</v>
      </c>
      <c r="Y320" s="304">
        <f t="shared" si="62"/>
        <v>0</v>
      </c>
      <c r="Z320" s="345">
        <f t="shared" ca="1" si="58"/>
        <v>0</v>
      </c>
      <c r="AB320" s="640">
        <f t="shared" si="63"/>
        <v>0</v>
      </c>
      <c r="AC320" s="639">
        <f t="shared" si="64"/>
        <v>0</v>
      </c>
      <c r="AD320" s="641">
        <f t="shared" si="59"/>
        <v>0</v>
      </c>
      <c r="AE320" s="639">
        <f t="shared" si="65"/>
        <v>0</v>
      </c>
      <c r="AF320" s="636">
        <f t="shared" si="52"/>
        <v>0</v>
      </c>
      <c r="AG320" s="637" t="e">
        <f>HLOOKUP($AG$110,anticipado,207,0)</f>
        <v>#N/A</v>
      </c>
      <c r="AI320" s="415"/>
      <c r="AJ320" s="415"/>
      <c r="AK320" s="415"/>
      <c r="AL320" s="415"/>
      <c r="AM320" s="415"/>
      <c r="AN320" s="621"/>
      <c r="AO320" s="621"/>
      <c r="AP320" s="621"/>
      <c r="AQ320" s="621"/>
      <c r="AR320" s="621"/>
      <c r="AS320" s="621"/>
      <c r="AT320" s="621"/>
      <c r="AU320" s="621">
        <v>2.4342431978435004E-2</v>
      </c>
      <c r="AV320" s="621">
        <v>2.4416449126503613E-2</v>
      </c>
      <c r="AW320" s="621">
        <v>2.3824355292696314E-2</v>
      </c>
      <c r="AX320" s="621">
        <v>2.4872251551533914E-2</v>
      </c>
      <c r="AY320" s="621">
        <v>2.4342431978435004E-2</v>
      </c>
      <c r="AZ320" s="621">
        <v>2.3905018279403421E-2</v>
      </c>
      <c r="BA320" s="621">
        <v>2.4761040630036299E-2</v>
      </c>
      <c r="BB320" s="621">
        <v>2.5056688223077325E-2</v>
      </c>
      <c r="BC320" s="621">
        <v>2.4773363911049114E-2</v>
      </c>
      <c r="BD320" s="621">
        <v>2.501663891244214E-2</v>
      </c>
      <c r="BE320" s="621">
        <v>2.474159034810746E-2</v>
      </c>
      <c r="BF320" s="621">
        <v>2.4777292914664153E-2</v>
      </c>
      <c r="BG320" s="621"/>
      <c r="BH320" s="621"/>
      <c r="BI320" s="621"/>
      <c r="BJ320" s="621"/>
      <c r="BK320" s="617"/>
      <c r="BL320" s="617"/>
      <c r="BM320" s="617"/>
      <c r="BN320" s="617"/>
      <c r="BO320" s="617"/>
      <c r="BP320" s="617"/>
      <c r="BQ320" s="617"/>
      <c r="BR320" s="617"/>
      <c r="BS320" s="617"/>
      <c r="BT320" s="617"/>
      <c r="BU320" s="617"/>
      <c r="BV320" s="617"/>
      <c r="BW320" s="617"/>
      <c r="BX320" s="617"/>
      <c r="BY320" s="617"/>
      <c r="BZ320" s="617"/>
      <c r="CA320" s="617"/>
      <c r="CB320" s="617"/>
      <c r="CC320" s="617"/>
      <c r="CD320" s="617"/>
      <c r="CE320" s="617"/>
      <c r="CF320" s="617"/>
      <c r="CG320" s="617"/>
      <c r="CH320" s="617"/>
      <c r="CI320" s="617"/>
      <c r="CJ320" s="617"/>
      <c r="CK320" s="617"/>
      <c r="CL320" s="617"/>
    </row>
    <row r="321" spans="1:90" ht="12">
      <c r="A321" s="151">
        <f t="shared" ca="1" si="51"/>
        <v>2</v>
      </c>
      <c r="B321" s="113">
        <f t="shared" si="53"/>
        <v>0</v>
      </c>
      <c r="C321" s="150">
        <f t="shared" si="60"/>
        <v>0</v>
      </c>
      <c r="D321" s="565">
        <f t="shared" si="61"/>
        <v>0</v>
      </c>
      <c r="E321" s="306">
        <f t="shared" si="54"/>
        <v>0</v>
      </c>
      <c r="F321" s="306">
        <f t="shared" si="66"/>
        <v>0</v>
      </c>
      <c r="G321" s="307">
        <f t="shared" ref="G321:G354" si="67">IF(N320&lt;0.1,0,MIN(N320+E321,IF(AB321&gt;0,AB321,G320*(1+W321))))</f>
        <v>0</v>
      </c>
      <c r="H321" s="306">
        <f>IF(N320&lt;0.01,0,IF(Adm!$S$3=Adm!$S$13,Cal!$E$94,IF(Adm!$R$3=Adm!$R$6,0,IF(Cal!$E$91=0,N320*Adm!$Y$3,N320*Adm!$X$3))))</f>
        <v>0</v>
      </c>
      <c r="I321" s="306">
        <f>IF(N320&lt;0.01,0,IF(Adm!$R$4=Adm!$R$6,0,Cal!$E$89*Adm!$AA$3))</f>
        <v>0</v>
      </c>
      <c r="J321" s="306">
        <f>IF(N320&lt;0.01,0,Adm!$O$3*1.16)</f>
        <v>0</v>
      </c>
      <c r="K321" s="306">
        <f>IF(N320&lt;0.01,0,IF(Adm!$N$3&gt;0,E321*Adm!$N$3,0))</f>
        <v>0</v>
      </c>
      <c r="L321" s="306">
        <f t="shared" si="55"/>
        <v>0</v>
      </c>
      <c r="M321" s="306">
        <f>IF(Adm!$F$3="si",MIN(N320+E321+H321+I321+J321-L321,Z321),0)</f>
        <v>0</v>
      </c>
      <c r="N321" s="306">
        <f t="shared" si="56"/>
        <v>0</v>
      </c>
      <c r="O321" s="361"/>
      <c r="P321" s="114"/>
      <c r="V321" s="571">
        <f t="shared" si="57"/>
        <v>3</v>
      </c>
      <c r="W321" s="293">
        <f>IF(V321=1,Adm!$AN$2,0)</f>
        <v>0</v>
      </c>
      <c r="Y321" s="304">
        <f t="shared" si="62"/>
        <v>0</v>
      </c>
      <c r="Z321" s="345">
        <f t="shared" ca="1" si="58"/>
        <v>0</v>
      </c>
      <c r="AB321" s="640">
        <f t="shared" si="63"/>
        <v>0</v>
      </c>
      <c r="AC321" s="639">
        <f t="shared" si="64"/>
        <v>0</v>
      </c>
      <c r="AD321" s="641">
        <f t="shared" si="59"/>
        <v>0</v>
      </c>
      <c r="AE321" s="639">
        <f t="shared" si="65"/>
        <v>0</v>
      </c>
      <c r="AF321" s="636">
        <f t="shared" si="52"/>
        <v>0</v>
      </c>
      <c r="AG321" s="637" t="e">
        <f>HLOOKUP($AG$110,anticipado,208,0)</f>
        <v>#N/A</v>
      </c>
      <c r="AI321" s="415"/>
      <c r="AJ321" s="415"/>
      <c r="AK321" s="415"/>
      <c r="AL321" s="415"/>
      <c r="AM321" s="415"/>
      <c r="AN321" s="621"/>
      <c r="AO321" s="621"/>
      <c r="AP321" s="621"/>
      <c r="AQ321" s="621"/>
      <c r="AR321" s="621"/>
      <c r="AS321" s="621"/>
      <c r="AT321" s="621"/>
      <c r="AU321" s="621">
        <v>2.5176189222258335E-2</v>
      </c>
      <c r="AV321" s="621">
        <v>2.5262999972308881E-2</v>
      </c>
      <c r="AW321" s="621">
        <v>2.4647628812335697E-2</v>
      </c>
      <c r="AX321" s="621">
        <v>2.5726654544578058E-2</v>
      </c>
      <c r="AY321" s="621">
        <v>2.5176189222258335E-2</v>
      </c>
      <c r="AZ321" s="621">
        <v>2.4722918564783446E-2</v>
      </c>
      <c r="BA321" s="621">
        <v>2.5600027914578029E-2</v>
      </c>
      <c r="BB321" s="621">
        <v>2.5921259036348822E-2</v>
      </c>
      <c r="BC321" s="621">
        <v>2.5634261295707672E-2</v>
      </c>
      <c r="BD321" s="621">
        <v>2.5861659090988233E-2</v>
      </c>
      <c r="BE321" s="621">
        <v>2.5575180221895425E-2</v>
      </c>
      <c r="BF321" s="621">
        <v>2.5622762598627901E-2</v>
      </c>
      <c r="BG321" s="621"/>
      <c r="BH321" s="621"/>
      <c r="BI321" s="621"/>
      <c r="BJ321" s="621"/>
      <c r="BK321" s="617"/>
      <c r="BL321" s="617"/>
      <c r="BM321" s="617"/>
      <c r="BN321" s="617"/>
      <c r="BO321" s="617"/>
      <c r="BP321" s="617"/>
      <c r="BQ321" s="617"/>
      <c r="BR321" s="617"/>
      <c r="BS321" s="617"/>
      <c r="BT321" s="617"/>
      <c r="BU321" s="617"/>
      <c r="BV321" s="617"/>
      <c r="BW321" s="617"/>
      <c r="BX321" s="617"/>
      <c r="BY321" s="617"/>
      <c r="BZ321" s="617"/>
      <c r="CA321" s="617"/>
      <c r="CB321" s="617"/>
      <c r="CC321" s="617"/>
      <c r="CD321" s="617"/>
      <c r="CE321" s="617"/>
      <c r="CF321" s="617"/>
      <c r="CG321" s="617"/>
      <c r="CH321" s="617"/>
      <c r="CI321" s="617"/>
      <c r="CJ321" s="617"/>
      <c r="CK321" s="617"/>
      <c r="CL321" s="617"/>
    </row>
    <row r="322" spans="1:90" ht="12">
      <c r="A322" s="151">
        <f t="shared" ca="1" si="51"/>
        <v>3</v>
      </c>
      <c r="B322" s="113">
        <f t="shared" si="53"/>
        <v>0</v>
      </c>
      <c r="C322" s="150">
        <f t="shared" si="60"/>
        <v>0</v>
      </c>
      <c r="D322" s="565">
        <f t="shared" si="61"/>
        <v>0</v>
      </c>
      <c r="E322" s="306">
        <f t="shared" si="54"/>
        <v>0</v>
      </c>
      <c r="F322" s="306">
        <f t="shared" si="66"/>
        <v>0</v>
      </c>
      <c r="G322" s="307">
        <f t="shared" si="67"/>
        <v>0</v>
      </c>
      <c r="H322" s="306">
        <f>IF(N321&lt;0.01,0,IF(Adm!$S$3=Adm!$S$13,Cal!$E$94,IF(Adm!$R$3=Adm!$R$6,0,IF(Cal!$E$91=0,N321*Adm!$Y$3,N321*Adm!$X$3))))</f>
        <v>0</v>
      </c>
      <c r="I322" s="306">
        <f>IF(N321&lt;0.01,0,IF(Adm!$R$4=Adm!$R$6,0,Cal!$E$89*Adm!$AA$3))</f>
        <v>0</v>
      </c>
      <c r="J322" s="306">
        <f>IF(N321&lt;0.01,0,Adm!$O$3*1.16)</f>
        <v>0</v>
      </c>
      <c r="K322" s="306">
        <f>IF(N321&lt;0.01,0,IF(Adm!$N$3&gt;0,E322*Adm!$N$3,0))</f>
        <v>0</v>
      </c>
      <c r="L322" s="306">
        <f t="shared" si="55"/>
        <v>0</v>
      </c>
      <c r="M322" s="306">
        <f>IF(Adm!$F$3="si",MIN(N321+E322+H322+I322+J322-L322,Z322),0)</f>
        <v>0</v>
      </c>
      <c r="N322" s="306">
        <f t="shared" si="56"/>
        <v>0</v>
      </c>
      <c r="O322" s="361"/>
      <c r="P322" s="114"/>
      <c r="V322" s="571">
        <f t="shared" si="57"/>
        <v>4</v>
      </c>
      <c r="W322" s="293">
        <f>IF(V322=1,Adm!$AN$2,0)</f>
        <v>0</v>
      </c>
      <c r="Y322" s="304">
        <f t="shared" si="62"/>
        <v>0</v>
      </c>
      <c r="Z322" s="345">
        <f t="shared" ca="1" si="58"/>
        <v>0</v>
      </c>
      <c r="AB322" s="640">
        <f t="shared" si="63"/>
        <v>0</v>
      </c>
      <c r="AC322" s="639">
        <f t="shared" si="64"/>
        <v>0</v>
      </c>
      <c r="AD322" s="641">
        <f t="shared" si="59"/>
        <v>0</v>
      </c>
      <c r="AE322" s="639">
        <f t="shared" si="65"/>
        <v>0</v>
      </c>
      <c r="AF322" s="636">
        <f t="shared" si="52"/>
        <v>0</v>
      </c>
      <c r="AG322" s="637" t="e">
        <f>HLOOKUP($AG$110,anticipado,209,0)</f>
        <v>#N/A</v>
      </c>
      <c r="AI322" s="415"/>
      <c r="AJ322" s="415"/>
      <c r="AK322" s="415"/>
      <c r="AL322" s="415"/>
      <c r="AM322" s="415"/>
      <c r="AN322" s="621"/>
      <c r="AO322" s="621"/>
      <c r="AP322" s="621"/>
      <c r="AQ322" s="621"/>
      <c r="AR322" s="621"/>
      <c r="AS322" s="621"/>
      <c r="AT322" s="621"/>
      <c r="AU322" s="621">
        <v>2.6060774119973314E-2</v>
      </c>
      <c r="AV322" s="621">
        <v>2.6161603279986203E-2</v>
      </c>
      <c r="AW322" s="621">
        <v>2.5520874783104656E-2</v>
      </c>
      <c r="AX322" s="621">
        <v>2.6633744073020337E-2</v>
      </c>
      <c r="AY322" s="621">
        <v>2.6060774119973314E-2</v>
      </c>
      <c r="AZ322" s="621">
        <v>2.5590245830548967E-2</v>
      </c>
      <c r="BA322" s="621">
        <v>2.6490232161946601E-2</v>
      </c>
      <c r="BB322" s="621">
        <v>2.6839462503014493E-2</v>
      </c>
      <c r="BC322" s="621">
        <v>2.6548511799671836E-2</v>
      </c>
      <c r="BD322" s="621">
        <v>2.6758414211614793E-2</v>
      </c>
      <c r="BE322" s="621">
        <v>2.645947117866693E-2</v>
      </c>
      <c r="BF322" s="621">
        <v>2.6520073631473611E-2</v>
      </c>
      <c r="BG322" s="621"/>
      <c r="BH322" s="621"/>
      <c r="BI322" s="621"/>
      <c r="BJ322" s="621"/>
      <c r="BK322" s="617"/>
      <c r="BL322" s="617"/>
      <c r="BM322" s="617"/>
      <c r="BN322" s="617"/>
      <c r="BO322" s="617"/>
      <c r="BP322" s="617"/>
      <c r="BQ322" s="617"/>
      <c r="BR322" s="617"/>
      <c r="BS322" s="617"/>
      <c r="BT322" s="617"/>
      <c r="BU322" s="617"/>
      <c r="BV322" s="617"/>
      <c r="BW322" s="617"/>
      <c r="BX322" s="617"/>
      <c r="BY322" s="617"/>
      <c r="BZ322" s="617"/>
      <c r="CA322" s="617"/>
      <c r="CB322" s="617"/>
      <c r="CC322" s="617"/>
      <c r="CD322" s="617"/>
      <c r="CE322" s="617"/>
      <c r="CF322" s="617"/>
      <c r="CG322" s="617"/>
      <c r="CH322" s="617"/>
      <c r="CI322" s="617"/>
      <c r="CJ322" s="617"/>
      <c r="CK322" s="617"/>
      <c r="CL322" s="617"/>
    </row>
    <row r="323" spans="1:90" ht="12">
      <c r="A323" s="151">
        <f t="shared" ca="1" si="51"/>
        <v>4</v>
      </c>
      <c r="B323" s="113">
        <f t="shared" si="53"/>
        <v>0</v>
      </c>
      <c r="C323" s="150">
        <f t="shared" si="60"/>
        <v>0</v>
      </c>
      <c r="D323" s="565">
        <f t="shared" si="61"/>
        <v>0</v>
      </c>
      <c r="E323" s="306">
        <f t="shared" si="54"/>
        <v>0</v>
      </c>
      <c r="F323" s="306">
        <f t="shared" si="66"/>
        <v>0</v>
      </c>
      <c r="G323" s="307">
        <f t="shared" si="67"/>
        <v>0</v>
      </c>
      <c r="H323" s="306">
        <f>IF(N322&lt;0.01,0,IF(Adm!$S$3=Adm!$S$13,Cal!$E$94,IF(Adm!$R$3=Adm!$R$6,0,IF(Cal!$E$91=0,N322*Adm!$Y$3,N322*Adm!$X$3))))</f>
        <v>0</v>
      </c>
      <c r="I323" s="306">
        <f>IF(N322&lt;0.01,0,IF(Adm!$R$4=Adm!$R$6,0,Cal!$E$89*Adm!$AA$3))</f>
        <v>0</v>
      </c>
      <c r="J323" s="306">
        <f>IF(N322&lt;0.01,0,Adm!$O$3*1.16)</f>
        <v>0</v>
      </c>
      <c r="K323" s="306">
        <f>IF(N322&lt;0.01,0,IF(Adm!$N$3&gt;0,E323*Adm!$N$3,0))</f>
        <v>0</v>
      </c>
      <c r="L323" s="306">
        <f t="shared" si="55"/>
        <v>0</v>
      </c>
      <c r="M323" s="306">
        <f>IF(Adm!$F$3="si",MIN(N322+E323+H323+I323+J323-L323,Z323),0)</f>
        <v>0</v>
      </c>
      <c r="N323" s="306">
        <f t="shared" si="56"/>
        <v>0</v>
      </c>
      <c r="O323" s="361"/>
      <c r="P323" s="114"/>
      <c r="V323" s="571">
        <f t="shared" si="57"/>
        <v>5</v>
      </c>
      <c r="W323" s="293">
        <f>IF(V323=1,Adm!$AN$2,0)</f>
        <v>0</v>
      </c>
      <c r="Y323" s="304">
        <f t="shared" si="62"/>
        <v>0</v>
      </c>
      <c r="Z323" s="345">
        <f t="shared" ca="1" si="58"/>
        <v>0</v>
      </c>
      <c r="AB323" s="640">
        <f t="shared" si="63"/>
        <v>0</v>
      </c>
      <c r="AC323" s="639">
        <f t="shared" si="64"/>
        <v>0</v>
      </c>
      <c r="AD323" s="641">
        <f t="shared" si="59"/>
        <v>0</v>
      </c>
      <c r="AE323" s="639">
        <f t="shared" si="65"/>
        <v>0</v>
      </c>
      <c r="AF323" s="636">
        <f t="shared" si="52"/>
        <v>0</v>
      </c>
      <c r="AG323" s="637" t="e">
        <f>HLOOKUP($AG$110,anticipado,210,0)</f>
        <v>#N/A</v>
      </c>
      <c r="AI323" s="415"/>
      <c r="AJ323" s="415"/>
      <c r="AK323" s="415"/>
      <c r="AL323" s="415"/>
      <c r="AM323" s="415"/>
      <c r="AN323" s="621"/>
      <c r="AO323" s="621"/>
      <c r="AP323" s="621"/>
      <c r="AQ323" s="621"/>
      <c r="AR323" s="621"/>
      <c r="AS323" s="621"/>
      <c r="AT323" s="621"/>
      <c r="AU323" s="621">
        <v>2.7000941071400549E-2</v>
      </c>
      <c r="AV323" s="621">
        <v>2.7117168981139667E-2</v>
      </c>
      <c r="AW323" s="621">
        <v>2.6448739075531563E-2</v>
      </c>
      <c r="AX323" s="621">
        <v>2.7598511816157918E-2</v>
      </c>
      <c r="AY323" s="621">
        <v>2.7000941071400549E-2</v>
      </c>
      <c r="AZ323" s="621">
        <v>2.6511577704709816E-2</v>
      </c>
      <c r="BA323" s="621">
        <v>2.7436457719718157E-2</v>
      </c>
      <c r="BB323" s="621">
        <v>2.7816412105848697E-2</v>
      </c>
      <c r="BC323" s="621">
        <v>2.752119243432935E-2</v>
      </c>
      <c r="BD323" s="621">
        <v>2.7711774806261691E-2</v>
      </c>
      <c r="BE323" s="621">
        <v>2.7399202289703311E-2</v>
      </c>
      <c r="BF323" s="621">
        <v>2.7474109668714636E-2</v>
      </c>
      <c r="BG323" s="621"/>
      <c r="BH323" s="621"/>
      <c r="BI323" s="621"/>
      <c r="BJ323" s="621"/>
      <c r="BK323" s="617"/>
      <c r="BL323" s="617"/>
      <c r="BM323" s="617"/>
      <c r="BN323" s="617"/>
      <c r="BO323" s="617"/>
      <c r="BP323" s="617"/>
      <c r="BQ323" s="617"/>
      <c r="BR323" s="617"/>
      <c r="BS323" s="617"/>
      <c r="BT323" s="617"/>
      <c r="BU323" s="617"/>
      <c r="BV323" s="617"/>
      <c r="BW323" s="617"/>
      <c r="BX323" s="617"/>
      <c r="BY323" s="617"/>
      <c r="BZ323" s="617"/>
      <c r="CA323" s="617"/>
      <c r="CB323" s="617"/>
      <c r="CC323" s="617"/>
      <c r="CD323" s="617"/>
      <c r="CE323" s="617"/>
      <c r="CF323" s="617"/>
      <c r="CG323" s="617"/>
      <c r="CH323" s="617"/>
      <c r="CI323" s="617"/>
      <c r="CJ323" s="617"/>
      <c r="CK323" s="617"/>
      <c r="CL323" s="617"/>
    </row>
    <row r="324" spans="1:90" ht="12">
      <c r="A324" s="151">
        <f t="shared" ca="1" si="51"/>
        <v>5</v>
      </c>
      <c r="B324" s="113">
        <f t="shared" si="53"/>
        <v>0</v>
      </c>
      <c r="C324" s="150">
        <f t="shared" si="60"/>
        <v>0</v>
      </c>
      <c r="D324" s="565">
        <f t="shared" si="61"/>
        <v>0</v>
      </c>
      <c r="E324" s="306">
        <f t="shared" si="54"/>
        <v>0</v>
      </c>
      <c r="F324" s="306">
        <f t="shared" si="66"/>
        <v>0</v>
      </c>
      <c r="G324" s="307">
        <f t="shared" si="67"/>
        <v>0</v>
      </c>
      <c r="H324" s="306">
        <f>IF(N323&lt;0.01,0,IF(Adm!$S$3=Adm!$S$13,Cal!$E$94,IF(Adm!$R$3=Adm!$R$6,0,IF(Cal!$E$91=0,N323*Adm!$Y$3,N323*Adm!$X$3))))</f>
        <v>0</v>
      </c>
      <c r="I324" s="306">
        <f>IF(N323&lt;0.01,0,IF(Adm!$R$4=Adm!$R$6,0,Cal!$E$89*Adm!$AA$3))</f>
        <v>0</v>
      </c>
      <c r="J324" s="306">
        <f>IF(N323&lt;0.01,0,Adm!$O$3*1.16)</f>
        <v>0</v>
      </c>
      <c r="K324" s="306">
        <f>IF(N323&lt;0.01,0,IF(Adm!$N$3&gt;0,E324*Adm!$N$3,0))</f>
        <v>0</v>
      </c>
      <c r="L324" s="306">
        <f t="shared" si="55"/>
        <v>0</v>
      </c>
      <c r="M324" s="306">
        <f>IF(Adm!$F$3="si",MIN(N323+E324+H324+I324+J324-L324,Z324),0)</f>
        <v>0</v>
      </c>
      <c r="N324" s="306">
        <f t="shared" si="56"/>
        <v>0</v>
      </c>
      <c r="O324" s="361"/>
      <c r="P324" s="114"/>
      <c r="V324" s="571">
        <f t="shared" si="57"/>
        <v>6</v>
      </c>
      <c r="W324" s="293">
        <f>IF(V324=1,Adm!$AN$2,0)</f>
        <v>0</v>
      </c>
      <c r="Y324" s="304">
        <f t="shared" si="62"/>
        <v>0</v>
      </c>
      <c r="Z324" s="345">
        <f t="shared" ca="1" si="58"/>
        <v>0</v>
      </c>
      <c r="AB324" s="640">
        <f t="shared" si="63"/>
        <v>0</v>
      </c>
      <c r="AC324" s="639">
        <f t="shared" si="64"/>
        <v>0</v>
      </c>
      <c r="AD324" s="641">
        <f t="shared" si="59"/>
        <v>0</v>
      </c>
      <c r="AE324" s="639">
        <f t="shared" si="65"/>
        <v>0</v>
      </c>
      <c r="AF324" s="636">
        <f t="shared" si="52"/>
        <v>0</v>
      </c>
      <c r="AG324" s="637" t="e">
        <f>HLOOKUP($AG$110,anticipado,211,0)</f>
        <v>#N/A</v>
      </c>
      <c r="AI324" s="415"/>
      <c r="AJ324" s="415"/>
      <c r="AK324" s="415"/>
      <c r="AL324" s="415"/>
      <c r="AM324" s="415"/>
      <c r="AN324" s="621"/>
      <c r="AO324" s="621"/>
      <c r="AP324" s="621"/>
      <c r="AQ324" s="621"/>
      <c r="AR324" s="621"/>
      <c r="AS324" s="621"/>
      <c r="AT324" s="621"/>
      <c r="AU324" s="621">
        <v>2.8002056488754395E-2</v>
      </c>
      <c r="AV324" s="621">
        <v>2.8135244526110784E-2</v>
      </c>
      <c r="AW324" s="621">
        <v>2.7436461818327002E-2</v>
      </c>
      <c r="AX324" s="621">
        <v>2.8626600554224477E-2</v>
      </c>
      <c r="AY324" s="621">
        <v>2.8002056488754395E-2</v>
      </c>
      <c r="AZ324" s="621">
        <v>2.7492075046961592E-2</v>
      </c>
      <c r="BA324" s="621">
        <v>2.8444129192459613E-2</v>
      </c>
      <c r="BB324" s="621">
        <v>2.8857892678337552E-2</v>
      </c>
      <c r="BC324" s="621">
        <v>2.8558045436015211E-2</v>
      </c>
      <c r="BD324" s="621">
        <v>2.8727242566965187E-2</v>
      </c>
      <c r="BE324" s="621">
        <v>2.8399722215577392E-2</v>
      </c>
      <c r="BF324" s="621">
        <v>2.8490387635294993E-2</v>
      </c>
      <c r="BG324" s="621"/>
      <c r="BH324" s="621"/>
      <c r="BI324" s="621"/>
      <c r="BJ324" s="621"/>
      <c r="BK324" s="617"/>
      <c r="BL324" s="617"/>
      <c r="BM324" s="617"/>
      <c r="BN324" s="617"/>
      <c r="BO324" s="617"/>
      <c r="BP324" s="617"/>
      <c r="BQ324" s="617"/>
      <c r="BR324" s="617"/>
      <c r="BS324" s="617"/>
      <c r="BT324" s="617"/>
      <c r="BU324" s="617"/>
      <c r="BV324" s="617"/>
      <c r="BW324" s="617"/>
      <c r="BX324" s="617"/>
      <c r="BY324" s="617"/>
      <c r="BZ324" s="617"/>
      <c r="CA324" s="617"/>
      <c r="CB324" s="617"/>
      <c r="CC324" s="617"/>
      <c r="CD324" s="617"/>
      <c r="CE324" s="617"/>
      <c r="CF324" s="617"/>
      <c r="CG324" s="617"/>
      <c r="CH324" s="617"/>
      <c r="CI324" s="617"/>
      <c r="CJ324" s="617"/>
      <c r="CK324" s="617"/>
      <c r="CL324" s="617"/>
    </row>
    <row r="325" spans="1:90" ht="12">
      <c r="A325" s="151">
        <f t="shared" ca="1" si="51"/>
        <v>6</v>
      </c>
      <c r="B325" s="113">
        <f t="shared" si="53"/>
        <v>0</v>
      </c>
      <c r="C325" s="150">
        <f t="shared" si="60"/>
        <v>0</v>
      </c>
      <c r="D325" s="565">
        <f t="shared" si="61"/>
        <v>0</v>
      </c>
      <c r="E325" s="306">
        <f t="shared" si="54"/>
        <v>0</v>
      </c>
      <c r="F325" s="306">
        <f t="shared" si="66"/>
        <v>0</v>
      </c>
      <c r="G325" s="307">
        <f t="shared" si="67"/>
        <v>0</v>
      </c>
      <c r="H325" s="306">
        <f>IF(N324&lt;0.01,0,IF(Adm!$S$3=Adm!$S$13,Cal!$E$94,IF(Adm!$R$3=Adm!$R$6,0,IF(Cal!$E$91=0,N324*Adm!$Y$3,N324*Adm!$X$3))))</f>
        <v>0</v>
      </c>
      <c r="I325" s="306">
        <f>IF(N324&lt;0.01,0,IF(Adm!$R$4=Adm!$R$6,0,Cal!$E$89*Adm!$AA$3))</f>
        <v>0</v>
      </c>
      <c r="J325" s="306">
        <f>IF(N324&lt;0.01,0,Adm!$O$3*1.16)</f>
        <v>0</v>
      </c>
      <c r="K325" s="306">
        <f>IF(N324&lt;0.01,0,IF(Adm!$N$3&gt;0,E325*Adm!$N$3,0))</f>
        <v>0</v>
      </c>
      <c r="L325" s="306">
        <f t="shared" si="55"/>
        <v>0</v>
      </c>
      <c r="M325" s="306">
        <f>IF(Adm!$F$3="si",MIN(N324+E325+H325+I325+J325-L325,Z325),0)</f>
        <v>0</v>
      </c>
      <c r="N325" s="306">
        <f t="shared" si="56"/>
        <v>0</v>
      </c>
      <c r="O325" s="361"/>
      <c r="P325" s="114"/>
      <c r="V325" s="571">
        <f t="shared" si="57"/>
        <v>7</v>
      </c>
      <c r="W325" s="293">
        <f>IF(V325=1,Adm!$AN$2,0)</f>
        <v>0</v>
      </c>
      <c r="Y325" s="304">
        <f t="shared" si="62"/>
        <v>0</v>
      </c>
      <c r="Z325" s="345">
        <f t="shared" ca="1" si="58"/>
        <v>0</v>
      </c>
      <c r="AB325" s="640">
        <f t="shared" si="63"/>
        <v>0</v>
      </c>
      <c r="AC325" s="639">
        <f t="shared" si="64"/>
        <v>0</v>
      </c>
      <c r="AD325" s="641">
        <f t="shared" si="59"/>
        <v>0</v>
      </c>
      <c r="AE325" s="639">
        <f t="shared" si="65"/>
        <v>0</v>
      </c>
      <c r="AF325" s="636">
        <f t="shared" si="52"/>
        <v>0</v>
      </c>
      <c r="AG325" s="637" t="e">
        <f>HLOOKUP($AG$110,anticipado,212,0)</f>
        <v>#N/A</v>
      </c>
      <c r="AI325" s="415"/>
      <c r="AJ325" s="415"/>
      <c r="AK325" s="415"/>
      <c r="AL325" s="415"/>
      <c r="AM325" s="415"/>
      <c r="AN325" s="621"/>
      <c r="AO325" s="621"/>
      <c r="AP325" s="621"/>
      <c r="AQ325" s="621"/>
      <c r="AR325" s="621"/>
      <c r="AS325" s="621"/>
      <c r="AT325" s="621"/>
      <c r="AU325" s="621">
        <v>2.907020054931107E-2</v>
      </c>
      <c r="AV325" s="621">
        <v>2.9222121828236514E-2</v>
      </c>
      <c r="AW325" s="621">
        <v>2.8489975554002726E-2</v>
      </c>
      <c r="AX325" s="621">
        <v>2.9724413907647317E-2</v>
      </c>
      <c r="AY325" s="621">
        <v>2.907020054931107E-2</v>
      </c>
      <c r="AZ325" s="621">
        <v>2.8537577892357537E-2</v>
      </c>
      <c r="BA325" s="621">
        <v>2.9519394877516463E-2</v>
      </c>
      <c r="BB325" s="621">
        <v>2.9970474321996329E-2</v>
      </c>
      <c r="BC325" s="621">
        <v>2.9665590910000927E-2</v>
      </c>
      <c r="BD325" s="621">
        <v>2.9811056007731828E-2</v>
      </c>
      <c r="BE325" s="621">
        <v>2.9467090478312519E-2</v>
      </c>
      <c r="BF325" s="621">
        <v>2.95751638115638E-2</v>
      </c>
      <c r="BG325" s="621"/>
      <c r="BH325" s="621"/>
      <c r="BI325" s="621"/>
      <c r="BJ325" s="621"/>
      <c r="BK325" s="617"/>
      <c r="BL325" s="617"/>
      <c r="BM325" s="617"/>
      <c r="BN325" s="617"/>
      <c r="BO325" s="617"/>
      <c r="BP325" s="617"/>
      <c r="BQ325" s="617"/>
      <c r="BR325" s="617"/>
      <c r="BS325" s="617"/>
      <c r="BT325" s="617"/>
      <c r="BU325" s="617"/>
      <c r="BV325" s="617"/>
      <c r="BW325" s="617"/>
      <c r="BX325" s="617"/>
      <c r="BY325" s="617"/>
      <c r="BZ325" s="617"/>
      <c r="CA325" s="617"/>
      <c r="CB325" s="617"/>
      <c r="CC325" s="617"/>
      <c r="CD325" s="617"/>
      <c r="CE325" s="617"/>
      <c r="CF325" s="617"/>
      <c r="CG325" s="617"/>
      <c r="CH325" s="617"/>
      <c r="CI325" s="617"/>
      <c r="CJ325" s="617"/>
      <c r="CK325" s="617"/>
      <c r="CL325" s="617"/>
    </row>
    <row r="326" spans="1:90" ht="12">
      <c r="A326" s="151">
        <f t="shared" ca="1" si="51"/>
        <v>7</v>
      </c>
      <c r="B326" s="113">
        <f t="shared" si="53"/>
        <v>0</v>
      </c>
      <c r="C326" s="150">
        <f t="shared" si="60"/>
        <v>0</v>
      </c>
      <c r="D326" s="565">
        <f t="shared" si="61"/>
        <v>0</v>
      </c>
      <c r="E326" s="306">
        <f t="shared" si="54"/>
        <v>0</v>
      </c>
      <c r="F326" s="306">
        <f t="shared" si="66"/>
        <v>0</v>
      </c>
      <c r="G326" s="307">
        <f t="shared" si="67"/>
        <v>0</v>
      </c>
      <c r="H326" s="306">
        <f>IF(N325&lt;0.01,0,IF(Adm!$S$3=Adm!$S$13,Cal!$E$94,IF(Adm!$R$3=Adm!$R$6,0,IF(Cal!$E$91=0,N325*Adm!$Y$3,N325*Adm!$X$3))))</f>
        <v>0</v>
      </c>
      <c r="I326" s="306">
        <f>IF(N325&lt;0.01,0,IF(Adm!$R$4=Adm!$R$6,0,Cal!$E$89*Adm!$AA$3))</f>
        <v>0</v>
      </c>
      <c r="J326" s="306">
        <f>IF(N325&lt;0.01,0,Adm!$O$3*1.16)</f>
        <v>0</v>
      </c>
      <c r="K326" s="306">
        <f>IF(N325&lt;0.01,0,IF(Adm!$N$3&gt;0,E326*Adm!$N$3,0))</f>
        <v>0</v>
      </c>
      <c r="L326" s="306">
        <f t="shared" si="55"/>
        <v>0</v>
      </c>
      <c r="M326" s="306">
        <f>IF(Adm!$F$3="si",MIN(N325+E326+H326+I326+J326-L326,Z326),0)</f>
        <v>0</v>
      </c>
      <c r="N326" s="306">
        <f t="shared" si="56"/>
        <v>0</v>
      </c>
      <c r="O326" s="361"/>
      <c r="P326" s="114"/>
      <c r="V326" s="571">
        <f t="shared" si="57"/>
        <v>8</v>
      </c>
      <c r="W326" s="293">
        <f>IF(V326=1,Adm!$AN$2,0)</f>
        <v>0</v>
      </c>
      <c r="Y326" s="304">
        <f t="shared" si="62"/>
        <v>0</v>
      </c>
      <c r="Z326" s="345">
        <f t="shared" ca="1" si="58"/>
        <v>0</v>
      </c>
      <c r="AB326" s="640">
        <f t="shared" si="63"/>
        <v>0</v>
      </c>
      <c r="AC326" s="639">
        <f t="shared" si="64"/>
        <v>0</v>
      </c>
      <c r="AD326" s="641">
        <f t="shared" si="59"/>
        <v>0</v>
      </c>
      <c r="AE326" s="639">
        <f t="shared" si="65"/>
        <v>0</v>
      </c>
      <c r="AF326" s="636">
        <f t="shared" si="52"/>
        <v>0</v>
      </c>
      <c r="AG326" s="637" t="e">
        <f>HLOOKUP($AG$110,anticipado,213,0)</f>
        <v>#N/A</v>
      </c>
      <c r="AI326" s="415"/>
      <c r="AJ326" s="415"/>
      <c r="AK326" s="415"/>
      <c r="AL326" s="415"/>
      <c r="AM326" s="415"/>
      <c r="AN326" s="621"/>
      <c r="AO326" s="621"/>
      <c r="AP326" s="621"/>
      <c r="AQ326" s="621"/>
      <c r="AR326" s="621"/>
      <c r="AS326" s="621"/>
      <c r="AT326" s="621"/>
      <c r="AU326" s="621">
        <v>3.0212289947112569E-2</v>
      </c>
      <c r="AV326" s="621">
        <v>3.0384966483429501E-2</v>
      </c>
      <c r="AW326" s="621">
        <v>2.961602351438181E-2</v>
      </c>
      <c r="AX326" s="621">
        <v>3.0899249045669742E-2</v>
      </c>
      <c r="AY326" s="621">
        <v>3.0212289947112569E-2</v>
      </c>
      <c r="AZ326" s="621">
        <v>2.9654720979000179E-2</v>
      </c>
      <c r="BA326" s="621">
        <v>3.066925161407914E-2</v>
      </c>
      <c r="BB326" s="621">
        <v>3.1161650334439475E-2</v>
      </c>
      <c r="BC326" s="621">
        <v>3.0851263165934492E-2</v>
      </c>
      <c r="BD326" s="621">
        <v>3.0970318088231922E-2</v>
      </c>
      <c r="BE326" s="621">
        <v>3.0608199616849442E-2</v>
      </c>
      <c r="BF326" s="621">
        <v>3.0735561984493977E-2</v>
      </c>
      <c r="BG326" s="621"/>
      <c r="BH326" s="621"/>
      <c r="BI326" s="621"/>
      <c r="BJ326" s="621"/>
      <c r="BK326" s="617"/>
      <c r="BL326" s="617"/>
      <c r="BM326" s="617"/>
      <c r="BN326" s="617"/>
      <c r="BO326" s="617"/>
      <c r="BP326" s="617"/>
      <c r="BQ326" s="617"/>
      <c r="BR326" s="617"/>
      <c r="BS326" s="617"/>
      <c r="BT326" s="617"/>
      <c r="BU326" s="617"/>
      <c r="BV326" s="617"/>
      <c r="BW326" s="617"/>
      <c r="BX326" s="617"/>
      <c r="BY326" s="617"/>
      <c r="BZ326" s="617"/>
      <c r="CA326" s="617"/>
      <c r="CB326" s="617"/>
      <c r="CC326" s="617"/>
      <c r="CD326" s="617"/>
      <c r="CE326" s="617"/>
      <c r="CF326" s="617"/>
      <c r="CG326" s="617"/>
      <c r="CH326" s="617"/>
      <c r="CI326" s="617"/>
      <c r="CJ326" s="617"/>
      <c r="CK326" s="617"/>
      <c r="CL326" s="617"/>
    </row>
    <row r="327" spans="1:90" ht="12">
      <c r="A327" s="151">
        <f t="shared" ca="1" si="51"/>
        <v>8</v>
      </c>
      <c r="B327" s="113">
        <f t="shared" si="53"/>
        <v>0</v>
      </c>
      <c r="C327" s="150">
        <f t="shared" si="60"/>
        <v>0</v>
      </c>
      <c r="D327" s="565">
        <f t="shared" si="61"/>
        <v>0</v>
      </c>
      <c r="E327" s="306">
        <f t="shared" si="54"/>
        <v>0</v>
      </c>
      <c r="F327" s="306">
        <f t="shared" si="66"/>
        <v>0</v>
      </c>
      <c r="G327" s="307">
        <f t="shared" si="67"/>
        <v>0</v>
      </c>
      <c r="H327" s="306">
        <f>IF(N326&lt;0.01,0,IF(Adm!$S$3=Adm!$S$13,Cal!$E$94,IF(Adm!$R$3=Adm!$R$6,0,IF(Cal!$E$91=0,N326*Adm!$Y$3,N326*Adm!$X$3))))</f>
        <v>0</v>
      </c>
      <c r="I327" s="306">
        <f>IF(N326&lt;0.01,0,IF(Adm!$R$4=Adm!$R$6,0,Cal!$E$89*Adm!$AA$3))</f>
        <v>0</v>
      </c>
      <c r="J327" s="306">
        <f>IF(N326&lt;0.01,0,Adm!$O$3*1.16)</f>
        <v>0</v>
      </c>
      <c r="K327" s="306">
        <f>IF(N326&lt;0.01,0,IF(Adm!$N$3&gt;0,E327*Adm!$N$3,0))</f>
        <v>0</v>
      </c>
      <c r="L327" s="306">
        <f t="shared" si="55"/>
        <v>0</v>
      </c>
      <c r="M327" s="306">
        <f>IF(Adm!$F$3="si",MIN(N326+E327+H327+I327+J327-L327,Z327),0)</f>
        <v>0</v>
      </c>
      <c r="N327" s="306">
        <f t="shared" si="56"/>
        <v>0</v>
      </c>
      <c r="O327" s="361"/>
      <c r="P327" s="114"/>
      <c r="V327" s="571">
        <f t="shared" si="57"/>
        <v>9</v>
      </c>
      <c r="W327" s="293">
        <f>IF(V327=1,Adm!$AN$2,0)</f>
        <v>0</v>
      </c>
      <c r="Y327" s="304">
        <f t="shared" si="62"/>
        <v>0</v>
      </c>
      <c r="Z327" s="345">
        <f t="shared" ca="1" si="58"/>
        <v>0</v>
      </c>
      <c r="AB327" s="640">
        <f t="shared" si="63"/>
        <v>0</v>
      </c>
      <c r="AC327" s="639">
        <f t="shared" si="64"/>
        <v>0</v>
      </c>
      <c r="AD327" s="641">
        <f t="shared" si="59"/>
        <v>0</v>
      </c>
      <c r="AE327" s="639">
        <f t="shared" si="65"/>
        <v>0</v>
      </c>
      <c r="AF327" s="636">
        <f t="shared" si="52"/>
        <v>0</v>
      </c>
      <c r="AG327" s="637" t="e">
        <f>HLOOKUP($AG$110,anticipado,214,0)</f>
        <v>#N/A</v>
      </c>
      <c r="AI327" s="415"/>
      <c r="AJ327" s="415"/>
      <c r="AK327" s="415"/>
      <c r="AL327" s="415"/>
      <c r="AM327" s="415"/>
      <c r="AN327" s="621"/>
      <c r="AO327" s="621"/>
      <c r="AP327" s="621"/>
      <c r="AQ327" s="621"/>
      <c r="AR327" s="621"/>
      <c r="AS327" s="621"/>
      <c r="AT327" s="621"/>
      <c r="AU327" s="621">
        <v>3.1436226879715805E-2</v>
      </c>
      <c r="AV327" s="621">
        <v>3.1631974872740679E-2</v>
      </c>
      <c r="AW327" s="621">
        <v>3.0822302997717963E-2</v>
      </c>
      <c r="AX327" s="621">
        <v>3.2159458176044028E-2</v>
      </c>
      <c r="AY327" s="621">
        <v>3.1436226879715805E-2</v>
      </c>
      <c r="AZ327" s="621">
        <v>3.085107368773831E-2</v>
      </c>
      <c r="BA327" s="621">
        <v>3.1901696402156114E-2</v>
      </c>
      <c r="BB327" s="621">
        <v>3.2440005267468992E-2</v>
      </c>
      <c r="BC327" s="621">
        <v>3.2123576769201669E-2</v>
      </c>
      <c r="BD327" s="621">
        <v>3.2213151315977254E-2</v>
      </c>
      <c r="BE327" s="621">
        <v>3.1830923428700517E-2</v>
      </c>
      <c r="BF327" s="621">
        <v>3.1979729210767034E-2</v>
      </c>
      <c r="BG327" s="621"/>
      <c r="BH327" s="621"/>
      <c r="BI327" s="621"/>
      <c r="BJ327" s="621"/>
      <c r="BK327" s="617"/>
      <c r="BL327" s="617"/>
      <c r="BM327" s="617"/>
      <c r="BN327" s="617"/>
      <c r="BO327" s="617"/>
      <c r="BP327" s="617"/>
      <c r="BQ327" s="617"/>
      <c r="BR327" s="617"/>
      <c r="BS327" s="617"/>
      <c r="BT327" s="617"/>
      <c r="BU327" s="617"/>
      <c r="BV327" s="617"/>
      <c r="BW327" s="617"/>
      <c r="BX327" s="617"/>
      <c r="BY327" s="617"/>
      <c r="BZ327" s="617"/>
      <c r="CA327" s="617"/>
      <c r="CB327" s="617"/>
      <c r="CC327" s="617"/>
      <c r="CD327" s="617"/>
      <c r="CE327" s="617"/>
      <c r="CF327" s="617"/>
      <c r="CG327" s="617"/>
      <c r="CH327" s="617"/>
      <c r="CI327" s="617"/>
      <c r="CJ327" s="617"/>
      <c r="CK327" s="617"/>
      <c r="CL327" s="617"/>
    </row>
    <row r="328" spans="1:90">
      <c r="A328" s="151">
        <f t="shared" ca="1" si="51"/>
        <v>9</v>
      </c>
      <c r="B328" s="113">
        <f t="shared" si="53"/>
        <v>0</v>
      </c>
      <c r="C328" s="150">
        <f t="shared" si="60"/>
        <v>0</v>
      </c>
      <c r="D328" s="565">
        <f t="shared" si="61"/>
        <v>0</v>
      </c>
      <c r="E328" s="306">
        <f t="shared" si="54"/>
        <v>0</v>
      </c>
      <c r="F328" s="306">
        <f t="shared" si="66"/>
        <v>0</v>
      </c>
      <c r="G328" s="307">
        <f t="shared" si="67"/>
        <v>0</v>
      </c>
      <c r="H328" s="306">
        <f>IF(N327&lt;0.01,0,IF(Adm!$S$3=Adm!$S$13,Cal!$E$94,IF(Adm!$R$3=Adm!$R$6,0,IF(Cal!$E$91=0,N327*Adm!$Y$3,N327*Adm!$X$3))))</f>
        <v>0</v>
      </c>
      <c r="I328" s="306">
        <f>IF(N327&lt;0.01,0,IF(Adm!$R$4=Adm!$R$6,0,Cal!$E$89*Adm!$AA$3))</f>
        <v>0</v>
      </c>
      <c r="J328" s="306">
        <f>IF(N327&lt;0.01,0,Adm!$O$3*1.16)</f>
        <v>0</v>
      </c>
      <c r="K328" s="306">
        <f>IF(N327&lt;0.01,0,IF(Adm!$N$3&gt;0,E328*Adm!$N$3,0))</f>
        <v>0</v>
      </c>
      <c r="L328" s="306">
        <f t="shared" si="55"/>
        <v>0</v>
      </c>
      <c r="M328" s="306">
        <f>IF(Adm!$F$3="si",MIN(N327+E328+H328+I328+J328-L328,Z328),0)</f>
        <v>0</v>
      </c>
      <c r="N328" s="306">
        <f t="shared" si="56"/>
        <v>0</v>
      </c>
      <c r="O328" s="361"/>
      <c r="P328" s="114"/>
      <c r="V328" s="571">
        <f t="shared" si="57"/>
        <v>10</v>
      </c>
      <c r="W328" s="293">
        <f>IF(V328=1,Adm!$AN$2,0)</f>
        <v>0</v>
      </c>
      <c r="Y328" s="304">
        <f t="shared" si="62"/>
        <v>0</v>
      </c>
      <c r="Z328" s="345">
        <f t="shared" ca="1" si="58"/>
        <v>0</v>
      </c>
      <c r="AB328" s="640">
        <f t="shared" si="63"/>
        <v>0</v>
      </c>
      <c r="AC328" s="639">
        <f t="shared" si="64"/>
        <v>0</v>
      </c>
      <c r="AD328" s="641">
        <f t="shared" si="59"/>
        <v>0</v>
      </c>
      <c r="AE328" s="639">
        <f t="shared" si="65"/>
        <v>0</v>
      </c>
      <c r="AF328" s="636">
        <f t="shared" si="52"/>
        <v>0</v>
      </c>
      <c r="AG328" s="637" t="e">
        <f>HLOOKUP($AG$110,anticipado,215,0)</f>
        <v>#N/A</v>
      </c>
      <c r="AI328" s="415"/>
      <c r="AJ328" s="415"/>
      <c r="AK328" s="415"/>
      <c r="AL328" s="415"/>
      <c r="AM328" s="415"/>
      <c r="AN328" s="415"/>
      <c r="AO328" s="415"/>
      <c r="AP328" s="415"/>
      <c r="AQ328" s="415"/>
      <c r="AR328" s="415"/>
      <c r="AS328" s="415"/>
      <c r="AT328" s="459"/>
      <c r="AU328" s="459">
        <v>3.2751081053193382E-2</v>
      </c>
      <c r="AV328" s="459">
        <v>3.2972566429110436E-2</v>
      </c>
      <c r="AW328" s="459">
        <v>3.2117640290526675E-2</v>
      </c>
      <c r="AX328" s="459">
        <v>3.3514646371067665E-2</v>
      </c>
      <c r="AY328" s="459">
        <v>3.2751081053193382E-2</v>
      </c>
      <c r="AZ328" s="459">
        <v>3.2135310631770199E-2</v>
      </c>
      <c r="BA328" s="459">
        <v>3.3225911736248614E-2</v>
      </c>
      <c r="BB328" s="459">
        <v>3.3815421084104819E-2</v>
      </c>
      <c r="BC328" s="459">
        <v>3.3492330149483954E-2</v>
      </c>
      <c r="BD328" s="459">
        <v>3.3548887486307868E-2</v>
      </c>
      <c r="BE328" s="415">
        <v>3.3144298036769923E-2</v>
      </c>
      <c r="BF328" s="415">
        <v>3.3317026391155698E-2</v>
      </c>
      <c r="BG328" s="415"/>
      <c r="BH328" s="415"/>
      <c r="BI328" s="415"/>
      <c r="BJ328" s="415"/>
      <c r="BK328" s="617"/>
      <c r="BL328" s="617"/>
      <c r="BM328" s="617"/>
      <c r="BN328" s="617"/>
      <c r="BO328" s="617"/>
      <c r="BP328" s="617"/>
      <c r="BQ328" s="617"/>
      <c r="BR328" s="617"/>
      <c r="BS328" s="617"/>
      <c r="BT328" s="617"/>
      <c r="BU328" s="617"/>
      <c r="BV328" s="617"/>
      <c r="BW328" s="617"/>
      <c r="BX328" s="617"/>
      <c r="BY328" s="617"/>
      <c r="BZ328" s="617"/>
      <c r="CA328" s="617"/>
      <c r="CB328" s="617"/>
      <c r="CC328" s="617"/>
      <c r="CD328" s="617"/>
      <c r="CE328" s="617"/>
      <c r="CF328" s="617"/>
      <c r="CG328" s="617"/>
      <c r="CH328" s="617"/>
      <c r="CI328" s="617"/>
      <c r="CJ328" s="617"/>
      <c r="CK328" s="617"/>
      <c r="CL328" s="617"/>
    </row>
    <row r="329" spans="1:90">
      <c r="A329" s="151">
        <f t="shared" ca="1" si="51"/>
        <v>10</v>
      </c>
      <c r="B329" s="113">
        <f t="shared" si="53"/>
        <v>0</v>
      </c>
      <c r="C329" s="150">
        <f t="shared" si="60"/>
        <v>0</v>
      </c>
      <c r="D329" s="565">
        <f t="shared" si="61"/>
        <v>0</v>
      </c>
      <c r="E329" s="306">
        <f t="shared" si="54"/>
        <v>0</v>
      </c>
      <c r="F329" s="306">
        <f t="shared" si="66"/>
        <v>0</v>
      </c>
      <c r="G329" s="307">
        <f t="shared" si="67"/>
        <v>0</v>
      </c>
      <c r="H329" s="306">
        <f>IF(N328&lt;0.01,0,IF(Adm!$S$3=Adm!$S$13,Cal!$E$94,IF(Adm!$R$3=Adm!$R$6,0,IF(Cal!$E$91=0,N328*Adm!$Y$3,N328*Adm!$X$3))))</f>
        <v>0</v>
      </c>
      <c r="I329" s="306">
        <f>IF(N328&lt;0.01,0,IF(Adm!$R$4=Adm!$R$6,0,Cal!$E$89*Adm!$AA$3))</f>
        <v>0</v>
      </c>
      <c r="J329" s="306">
        <f>IF(N328&lt;0.01,0,Adm!$O$3*1.16)</f>
        <v>0</v>
      </c>
      <c r="K329" s="306">
        <f>IF(N328&lt;0.01,0,IF(Adm!$N$3&gt;0,E329*Adm!$N$3,0))</f>
        <v>0</v>
      </c>
      <c r="L329" s="306">
        <f t="shared" si="55"/>
        <v>0</v>
      </c>
      <c r="M329" s="306">
        <f>IF(Adm!$F$3="si",MIN(N328+E329+H329+I329+J329-L329,Z329),0)</f>
        <v>0</v>
      </c>
      <c r="N329" s="306">
        <f t="shared" si="56"/>
        <v>0</v>
      </c>
      <c r="O329" s="361"/>
      <c r="P329" s="114"/>
      <c r="V329" s="571">
        <f t="shared" si="57"/>
        <v>11</v>
      </c>
      <c r="W329" s="293">
        <f>IF(V329=1,Adm!$AN$2,0)</f>
        <v>0</v>
      </c>
      <c r="Y329" s="304">
        <f t="shared" si="62"/>
        <v>0</v>
      </c>
      <c r="Z329" s="345">
        <f t="shared" ca="1" si="58"/>
        <v>0</v>
      </c>
      <c r="AB329" s="640">
        <f t="shared" si="63"/>
        <v>0</v>
      </c>
      <c r="AC329" s="639">
        <f t="shared" si="64"/>
        <v>0</v>
      </c>
      <c r="AD329" s="641">
        <f t="shared" si="59"/>
        <v>0</v>
      </c>
      <c r="AE329" s="639">
        <f t="shared" si="65"/>
        <v>0</v>
      </c>
      <c r="AF329" s="636">
        <f t="shared" si="52"/>
        <v>0</v>
      </c>
      <c r="AG329" s="637" t="e">
        <f>HLOOKUP($AG$110,anticipado,216,0)</f>
        <v>#N/A</v>
      </c>
      <c r="AI329" s="415"/>
      <c r="AJ329" s="415"/>
      <c r="AK329" s="415"/>
      <c r="AL329" s="415"/>
      <c r="AM329" s="415"/>
      <c r="AN329" s="415"/>
      <c r="AO329" s="415"/>
      <c r="AP329" s="415"/>
      <c r="AQ329" s="415"/>
      <c r="AR329" s="415"/>
      <c r="AS329" s="415"/>
      <c r="AT329" s="459"/>
      <c r="AU329" s="459">
        <v>3.4167313569847049E-2</v>
      </c>
      <c r="AV329" s="459">
        <v>3.4417620606717908E-2</v>
      </c>
      <c r="AW329" s="459">
        <v>3.3512205539257371E-2</v>
      </c>
      <c r="AX329" s="459">
        <v>3.4975915640203852E-2</v>
      </c>
      <c r="AY329" s="459">
        <v>3.4167313569847049E-2</v>
      </c>
      <c r="AZ329" s="459">
        <v>3.3517421024722015E-2</v>
      </c>
      <c r="BA329" s="459">
        <v>3.4652493736803826E-2</v>
      </c>
      <c r="BB329" s="459">
        <v>3.5299331886817005E-2</v>
      </c>
      <c r="BC329" s="459">
        <v>3.4968857065121928E-2</v>
      </c>
      <c r="BD329" s="459">
        <v>3.4988301433711073E-2</v>
      </c>
      <c r="BE329" s="415">
        <v>3.455874458617586E-2</v>
      </c>
      <c r="BF329" s="415">
        <v>3.4758263083959531E-2</v>
      </c>
      <c r="BG329" s="415"/>
      <c r="BH329" s="415"/>
      <c r="BI329" s="415"/>
      <c r="BJ329" s="415"/>
      <c r="BK329" s="617"/>
      <c r="BL329" s="617"/>
      <c r="BM329" s="617"/>
      <c r="BN329" s="617"/>
      <c r="BO329" s="617"/>
      <c r="BP329" s="617"/>
      <c r="BQ329" s="617"/>
      <c r="BR329" s="617"/>
      <c r="BS329" s="617"/>
      <c r="BT329" s="617"/>
      <c r="BU329" s="617"/>
      <c r="BV329" s="617"/>
      <c r="BW329" s="617"/>
      <c r="BX329" s="617"/>
      <c r="BY329" s="617"/>
      <c r="BZ329" s="617"/>
      <c r="CA329" s="617"/>
      <c r="CB329" s="617"/>
      <c r="CC329" s="617"/>
      <c r="CD329" s="617"/>
      <c r="CE329" s="617"/>
      <c r="CF329" s="617"/>
      <c r="CG329" s="617"/>
      <c r="CH329" s="617"/>
      <c r="CI329" s="617"/>
      <c r="CJ329" s="617"/>
      <c r="CK329" s="617"/>
      <c r="CL329" s="617"/>
    </row>
    <row r="330" spans="1:90">
      <c r="A330" s="151">
        <f t="shared" ca="1" si="51"/>
        <v>11</v>
      </c>
      <c r="B330" s="113">
        <f t="shared" si="53"/>
        <v>0</v>
      </c>
      <c r="C330" s="150">
        <f t="shared" si="60"/>
        <v>0</v>
      </c>
      <c r="D330" s="565">
        <f t="shared" si="61"/>
        <v>0</v>
      </c>
      <c r="E330" s="306">
        <f t="shared" si="54"/>
        <v>0</v>
      </c>
      <c r="F330" s="306">
        <f t="shared" si="66"/>
        <v>0</v>
      </c>
      <c r="G330" s="307">
        <f t="shared" si="67"/>
        <v>0</v>
      </c>
      <c r="H330" s="306">
        <f>IF(N329&lt;0.01,0,IF(Adm!$S$3=Adm!$S$13,Cal!$E$94,IF(Adm!$R$3=Adm!$R$6,0,IF(Cal!$E$91=0,N329*Adm!$Y$3,N329*Adm!$X$3))))</f>
        <v>0</v>
      </c>
      <c r="I330" s="306">
        <f>IF(N329&lt;0.01,0,IF(Adm!$R$4=Adm!$R$6,0,Cal!$E$89*Adm!$AA$3))</f>
        <v>0</v>
      </c>
      <c r="J330" s="306">
        <f>IF(N329&lt;0.01,0,Adm!$O$3*1.16)</f>
        <v>0</v>
      </c>
      <c r="K330" s="306">
        <f>IF(N329&lt;0.01,0,IF(Adm!$N$3&gt;0,E330*Adm!$N$3,0))</f>
        <v>0</v>
      </c>
      <c r="L330" s="306">
        <f t="shared" si="55"/>
        <v>0</v>
      </c>
      <c r="M330" s="306">
        <f>IF(Adm!$F$3="si",MIN(N329+E330+H330+I330+J330-L330,Z330),0)</f>
        <v>0</v>
      </c>
      <c r="N330" s="306">
        <f t="shared" si="56"/>
        <v>0</v>
      </c>
      <c r="O330" s="361"/>
      <c r="P330" s="114"/>
      <c r="V330" s="571">
        <f t="shared" si="57"/>
        <v>12</v>
      </c>
      <c r="W330" s="293">
        <f>IF(V330=1,Adm!$AN$2,0)</f>
        <v>0</v>
      </c>
      <c r="Y330" s="304">
        <f t="shared" si="62"/>
        <v>0</v>
      </c>
      <c r="Z330" s="345">
        <f t="shared" ca="1" si="58"/>
        <v>0</v>
      </c>
      <c r="AB330" s="640">
        <f t="shared" si="63"/>
        <v>0</v>
      </c>
      <c r="AC330" s="639">
        <f t="shared" si="64"/>
        <v>0</v>
      </c>
      <c r="AD330" s="641">
        <f t="shared" si="59"/>
        <v>0</v>
      </c>
      <c r="AE330" s="639">
        <f t="shared" si="65"/>
        <v>0</v>
      </c>
      <c r="AF330" s="636">
        <f t="shared" si="52"/>
        <v>0</v>
      </c>
      <c r="AG330" s="637" t="e">
        <f>HLOOKUP($AG$110,anticipado,217,0)</f>
        <v>#N/A</v>
      </c>
      <c r="AI330" s="415"/>
      <c r="AJ330" s="415"/>
      <c r="AK330" s="415"/>
      <c r="AL330" s="415"/>
      <c r="AM330" s="415"/>
      <c r="AN330" s="415"/>
      <c r="AO330" s="415"/>
      <c r="AP330" s="415"/>
      <c r="AQ330" s="415"/>
      <c r="AR330" s="415"/>
      <c r="AS330" s="415"/>
      <c r="AT330" s="459"/>
      <c r="AU330" s="459">
        <v>3.5697054391404408E-2</v>
      </c>
      <c r="AV330" s="459">
        <v>3.5979771167485138E-2</v>
      </c>
      <c r="AW330" s="459">
        <v>3.5017778637710696E-2</v>
      </c>
      <c r="AX330" s="459">
        <v>3.6556168373770695E-2</v>
      </c>
      <c r="AY330" s="459">
        <v>3.5697054391404408E-2</v>
      </c>
      <c r="AZ330" s="459">
        <v>3.5008967516506569E-2</v>
      </c>
      <c r="BA330" s="459">
        <v>3.6193735071120559E-2</v>
      </c>
      <c r="BB330" s="459">
        <v>3.6905041113404202E-2</v>
      </c>
      <c r="BC330" s="459">
        <v>3.656633958089809E-2</v>
      </c>
      <c r="BD330" s="459">
        <v>3.654390118356908E-2</v>
      </c>
      <c r="BE330" s="415">
        <v>3.6086345182614887E-2</v>
      </c>
      <c r="BF330" s="415">
        <v>3.6315989020709177E-2</v>
      </c>
      <c r="BG330" s="415"/>
      <c r="BH330" s="415"/>
      <c r="BI330" s="415"/>
      <c r="BJ330" s="415"/>
      <c r="BK330" s="617"/>
      <c r="BL330" s="617"/>
      <c r="BM330" s="617"/>
      <c r="BN330" s="617"/>
      <c r="BO330" s="617"/>
      <c r="BP330" s="617"/>
      <c r="BQ330" s="617"/>
      <c r="BR330" s="617"/>
      <c r="BS330" s="617"/>
      <c r="BT330" s="617"/>
      <c r="BU330" s="617"/>
      <c r="BV330" s="617"/>
      <c r="BW330" s="617"/>
      <c r="BX330" s="617"/>
      <c r="BY330" s="617"/>
      <c r="BZ330" s="617"/>
      <c r="CA330" s="617"/>
      <c r="CB330" s="617"/>
      <c r="CC330" s="617"/>
      <c r="CD330" s="617"/>
      <c r="CE330" s="617"/>
      <c r="CF330" s="617"/>
      <c r="CG330" s="617"/>
      <c r="CH330" s="617"/>
      <c r="CI330" s="617"/>
      <c r="CJ330" s="617"/>
      <c r="CK330" s="617"/>
      <c r="CL330" s="617"/>
    </row>
    <row r="331" spans="1:90">
      <c r="A331" s="151">
        <f t="shared" ca="1" si="51"/>
        <v>12</v>
      </c>
      <c r="B331" s="113">
        <f t="shared" si="53"/>
        <v>0</v>
      </c>
      <c r="C331" s="150">
        <f t="shared" si="60"/>
        <v>0</v>
      </c>
      <c r="D331" s="565">
        <f t="shared" si="61"/>
        <v>0</v>
      </c>
      <c r="E331" s="306">
        <f t="shared" si="54"/>
        <v>0</v>
      </c>
      <c r="F331" s="306">
        <f t="shared" si="66"/>
        <v>0</v>
      </c>
      <c r="G331" s="307">
        <f t="shared" si="67"/>
        <v>0</v>
      </c>
      <c r="H331" s="306">
        <f>IF(N330&lt;0.01,0,IF(Adm!$S$3=Adm!$S$13,Cal!$E$94,IF(Adm!$R$3=Adm!$R$6,0,IF(Cal!$E$91=0,N330*Adm!$Y$3,N330*Adm!$X$3))))</f>
        <v>0</v>
      </c>
      <c r="I331" s="306">
        <f>IF(N330&lt;0.01,0,IF(Adm!$R$4=Adm!$R$6,0,Cal!$E$89*Adm!$AA$3))</f>
        <v>0</v>
      </c>
      <c r="J331" s="306">
        <f>IF(N330&lt;0.01,0,Adm!$O$3*1.16)</f>
        <v>0</v>
      </c>
      <c r="K331" s="306">
        <f>IF(N330&lt;0.01,0,IF(Adm!$N$3&gt;0,E331*Adm!$N$3,0))</f>
        <v>0</v>
      </c>
      <c r="L331" s="306">
        <f t="shared" si="55"/>
        <v>0</v>
      </c>
      <c r="M331" s="306">
        <f>IF(Adm!$F$3="si",MIN(N330+E331+H331+I331+J331-L331,Z331),0)</f>
        <v>0</v>
      </c>
      <c r="N331" s="306">
        <f t="shared" si="56"/>
        <v>0</v>
      </c>
      <c r="O331" s="361"/>
      <c r="P331" s="114"/>
      <c r="V331" s="571">
        <f t="shared" si="57"/>
        <v>1</v>
      </c>
      <c r="W331" s="293">
        <f>IF(V331=1,Adm!$AN$2,0)</f>
        <v>0</v>
      </c>
      <c r="Y331" s="304">
        <f t="shared" si="62"/>
        <v>0</v>
      </c>
      <c r="Z331" s="345">
        <f t="shared" ca="1" si="58"/>
        <v>0</v>
      </c>
      <c r="AB331" s="640">
        <f t="shared" si="63"/>
        <v>0</v>
      </c>
      <c r="AC331" s="639">
        <f t="shared" si="64"/>
        <v>0</v>
      </c>
      <c r="AD331" s="641">
        <f t="shared" si="59"/>
        <v>0</v>
      </c>
      <c r="AE331" s="639">
        <f t="shared" si="65"/>
        <v>0</v>
      </c>
      <c r="AF331" s="636">
        <f t="shared" si="52"/>
        <v>0</v>
      </c>
      <c r="AG331" s="637" t="e">
        <f>HLOOKUP($AG$110,anticipado,218,0)</f>
        <v>#N/A</v>
      </c>
      <c r="AI331" s="415"/>
      <c r="AJ331" s="415"/>
      <c r="AK331" s="415"/>
      <c r="AL331" s="415"/>
      <c r="AM331" s="415"/>
      <c r="AN331" s="415"/>
      <c r="AO331" s="415"/>
      <c r="AP331" s="415"/>
      <c r="AQ331" s="415"/>
      <c r="AR331" s="415"/>
      <c r="AS331" s="415"/>
      <c r="AT331" s="459"/>
      <c r="AU331" s="459">
        <v>3.7818743445716764E-2</v>
      </c>
      <c r="AV331" s="459">
        <v>3.8144595718107847E-2</v>
      </c>
      <c r="AW331" s="459">
        <v>3.7113644985289913E-2</v>
      </c>
      <c r="AX331" s="459">
        <v>3.8739442595976732E-2</v>
      </c>
      <c r="AY331" s="459">
        <v>3.7818743445716764E-2</v>
      </c>
      <c r="AZ331" s="459">
        <v>3.7084559445334828E-2</v>
      </c>
      <c r="BA331" s="459">
        <v>3.832545177537653E-2</v>
      </c>
      <c r="BB331" s="459">
        <v>3.9120434366082805E-2</v>
      </c>
      <c r="BC331" s="459">
        <v>3.8774369536043109E-2</v>
      </c>
      <c r="BD331" s="459">
        <v>3.86917606232767E-2</v>
      </c>
      <c r="BE331" s="415">
        <v>3.819976608086241E-2</v>
      </c>
      <c r="BF331" s="415">
        <v>3.846990755809996E-2</v>
      </c>
      <c r="BG331" s="415"/>
      <c r="BH331" s="415"/>
      <c r="BI331" s="415"/>
      <c r="BJ331" s="415"/>
      <c r="BK331" s="617"/>
      <c r="BL331" s="617"/>
      <c r="BM331" s="617"/>
      <c r="BN331" s="617"/>
      <c r="BO331" s="617"/>
      <c r="BP331" s="617"/>
      <c r="BQ331" s="617"/>
      <c r="BR331" s="617"/>
      <c r="BS331" s="617"/>
      <c r="BT331" s="617"/>
      <c r="BU331" s="617"/>
      <c r="BV331" s="617"/>
      <c r="BW331" s="617"/>
      <c r="BX331" s="617"/>
      <c r="BY331" s="617"/>
      <c r="BZ331" s="617"/>
      <c r="CA331" s="617"/>
      <c r="CB331" s="617"/>
      <c r="CC331" s="617"/>
      <c r="CD331" s="617"/>
      <c r="CE331" s="617"/>
      <c r="CF331" s="617"/>
      <c r="CG331" s="617"/>
      <c r="CH331" s="617"/>
      <c r="CI331" s="617"/>
      <c r="CJ331" s="617"/>
      <c r="CK331" s="617"/>
      <c r="CL331" s="617"/>
    </row>
    <row r="332" spans="1:90">
      <c r="A332" s="151">
        <f t="shared" ca="1" si="51"/>
        <v>1</v>
      </c>
      <c r="B332" s="113">
        <f t="shared" si="53"/>
        <v>0</v>
      </c>
      <c r="C332" s="150">
        <f t="shared" si="60"/>
        <v>0</v>
      </c>
      <c r="D332" s="565">
        <f t="shared" si="61"/>
        <v>0</v>
      </c>
      <c r="E332" s="306">
        <f t="shared" si="54"/>
        <v>0</v>
      </c>
      <c r="F332" s="306">
        <f t="shared" si="66"/>
        <v>0</v>
      </c>
      <c r="G332" s="307">
        <f t="shared" si="67"/>
        <v>0</v>
      </c>
      <c r="H332" s="306">
        <f>IF(N331&lt;0.01,0,IF(Adm!$S$3=Adm!$S$13,Cal!$E$94,IF(Adm!$R$3=Adm!$R$6,0,IF(Cal!$E$91=0,N331*Adm!$Y$3,N331*Adm!$X$3))))</f>
        <v>0</v>
      </c>
      <c r="I332" s="306">
        <f>IF(N331&lt;0.01,0,IF(Adm!$R$4=Adm!$R$6,0,Cal!$E$89*Adm!$AA$3))</f>
        <v>0</v>
      </c>
      <c r="J332" s="306">
        <f>IF(N331&lt;0.01,0,Adm!$O$3*1.16)</f>
        <v>0</v>
      </c>
      <c r="K332" s="306">
        <f>IF(N331&lt;0.01,0,IF(Adm!$N$3&gt;0,E332*Adm!$N$3,0))</f>
        <v>0</v>
      </c>
      <c r="L332" s="306">
        <f t="shared" si="55"/>
        <v>0</v>
      </c>
      <c r="M332" s="306">
        <f>IF(Adm!$F$3="si",MIN(N331+E332+H332+I332+J332-L332,Z332),0)</f>
        <v>0</v>
      </c>
      <c r="N332" s="306">
        <f t="shared" si="56"/>
        <v>0</v>
      </c>
      <c r="O332" s="361"/>
      <c r="P332" s="114"/>
      <c r="V332" s="571">
        <f t="shared" si="57"/>
        <v>2</v>
      </c>
      <c r="W332" s="293">
        <f>IF(V332=1,Adm!$AN$2,0)</f>
        <v>0</v>
      </c>
      <c r="Y332" s="304">
        <f t="shared" si="62"/>
        <v>0</v>
      </c>
      <c r="Z332" s="345">
        <f t="shared" ca="1" si="58"/>
        <v>0</v>
      </c>
      <c r="AB332" s="640">
        <f t="shared" si="63"/>
        <v>0</v>
      </c>
      <c r="AC332" s="639">
        <f t="shared" si="64"/>
        <v>0</v>
      </c>
      <c r="AD332" s="641">
        <f t="shared" si="59"/>
        <v>0</v>
      </c>
      <c r="AE332" s="639">
        <f t="shared" si="65"/>
        <v>0</v>
      </c>
      <c r="AF332" s="636">
        <f t="shared" si="52"/>
        <v>0</v>
      </c>
      <c r="AG332" s="637" t="e">
        <f>HLOOKUP($AG$110,anticipado,219,0)</f>
        <v>#N/A</v>
      </c>
      <c r="AI332" s="415"/>
      <c r="AJ332" s="415"/>
      <c r="AK332" s="415"/>
      <c r="AL332" s="415"/>
      <c r="AM332" s="415"/>
      <c r="AN332" s="415"/>
      <c r="AO332" s="415"/>
      <c r="AP332" s="415"/>
      <c r="AQ332" s="415"/>
      <c r="AR332" s="415"/>
      <c r="AS332" s="415"/>
      <c r="AT332" s="459"/>
      <c r="AU332" s="459">
        <v>3.9661912225509736E-2</v>
      </c>
      <c r="AV332" s="459">
        <v>4.0030416856923726E-2</v>
      </c>
      <c r="AW332" s="459">
        <v>3.8926067604776217E-2</v>
      </c>
      <c r="AX332" s="459">
        <v>4.0648261272561693E-2</v>
      </c>
      <c r="AY332" s="459">
        <v>3.9661912225509736E-2</v>
      </c>
      <c r="AZ332" s="459">
        <v>3.8878339826501962E-2</v>
      </c>
      <c r="BA332" s="459">
        <v>4.0182943740085894E-2</v>
      </c>
      <c r="BB332" s="459">
        <v>4.1062605039749588E-2</v>
      </c>
      <c r="BC332" s="459">
        <v>4.0706220577397041E-2</v>
      </c>
      <c r="BD332" s="459">
        <v>4.056770637913449E-2</v>
      </c>
      <c r="BE332" s="415">
        <v>4.0039313249036992E-2</v>
      </c>
      <c r="BF332" s="415">
        <v>4.0349129036424923E-2</v>
      </c>
      <c r="BG332" s="415"/>
      <c r="BH332" s="415"/>
      <c r="BI332" s="415"/>
      <c r="BJ332" s="415"/>
      <c r="BK332" s="617"/>
      <c r="BL332" s="617"/>
      <c r="BM332" s="617"/>
      <c r="BN332" s="617"/>
      <c r="BO332" s="617"/>
      <c r="BP332" s="617"/>
      <c r="BQ332" s="617"/>
      <c r="BR332" s="617"/>
      <c r="BS332" s="617"/>
      <c r="BT332" s="617"/>
      <c r="BU332" s="617"/>
      <c r="BV332" s="617"/>
      <c r="BW332" s="617"/>
      <c r="BX332" s="617"/>
      <c r="BY332" s="617"/>
      <c r="BZ332" s="617"/>
      <c r="CA332" s="617"/>
      <c r="CB332" s="617"/>
      <c r="CC332" s="617"/>
      <c r="CD332" s="617"/>
      <c r="CE332" s="617"/>
      <c r="CF332" s="617"/>
      <c r="CG332" s="617"/>
      <c r="CH332" s="617"/>
      <c r="CI332" s="617"/>
      <c r="CJ332" s="617"/>
      <c r="CK332" s="617"/>
      <c r="CL332" s="617"/>
    </row>
    <row r="333" spans="1:90">
      <c r="A333" s="151">
        <f t="shared" ca="1" si="51"/>
        <v>2</v>
      </c>
      <c r="B333" s="113">
        <f t="shared" si="53"/>
        <v>0</v>
      </c>
      <c r="C333" s="150">
        <f t="shared" si="60"/>
        <v>0</v>
      </c>
      <c r="D333" s="565">
        <f t="shared" si="61"/>
        <v>0</v>
      </c>
      <c r="E333" s="306">
        <f t="shared" si="54"/>
        <v>0</v>
      </c>
      <c r="F333" s="306">
        <f t="shared" si="66"/>
        <v>0</v>
      </c>
      <c r="G333" s="307">
        <f t="shared" si="67"/>
        <v>0</v>
      </c>
      <c r="H333" s="306">
        <f>IF(N332&lt;0.01,0,IF(Adm!$S$3=Adm!$S$13,Cal!$E$94,IF(Adm!$R$3=Adm!$R$6,0,IF(Cal!$E$91=0,N332*Adm!$Y$3,N332*Adm!$X$3))))</f>
        <v>0</v>
      </c>
      <c r="I333" s="306">
        <f>IF(N332&lt;0.01,0,IF(Adm!$R$4=Adm!$R$6,0,Cal!$E$89*Adm!$AA$3))</f>
        <v>0</v>
      </c>
      <c r="J333" s="306">
        <f>IF(N332&lt;0.01,0,Adm!$O$3*1.16)</f>
        <v>0</v>
      </c>
      <c r="K333" s="306">
        <f>IF(N332&lt;0.01,0,IF(Adm!$N$3&gt;0,E333*Adm!$N$3,0))</f>
        <v>0</v>
      </c>
      <c r="L333" s="306">
        <f t="shared" si="55"/>
        <v>0</v>
      </c>
      <c r="M333" s="306">
        <f>IF(Adm!$F$3="si",MIN(N332+E333+H333+I333+J333-L333,Z333),0)</f>
        <v>0</v>
      </c>
      <c r="N333" s="306">
        <f t="shared" si="56"/>
        <v>0</v>
      </c>
      <c r="O333" s="361"/>
      <c r="P333" s="114"/>
      <c r="V333" s="571">
        <f t="shared" si="57"/>
        <v>3</v>
      </c>
      <c r="W333" s="293">
        <f>IF(V333=1,Adm!$AN$2,0)</f>
        <v>0</v>
      </c>
      <c r="Y333" s="304">
        <f t="shared" si="62"/>
        <v>0</v>
      </c>
      <c r="Z333" s="345">
        <f t="shared" ca="1" si="58"/>
        <v>0</v>
      </c>
      <c r="AB333" s="640">
        <f t="shared" si="63"/>
        <v>0</v>
      </c>
      <c r="AC333" s="639">
        <f t="shared" si="64"/>
        <v>0</v>
      </c>
      <c r="AD333" s="641">
        <f t="shared" si="59"/>
        <v>0</v>
      </c>
      <c r="AE333" s="639">
        <f t="shared" si="65"/>
        <v>0</v>
      </c>
      <c r="AF333" s="636">
        <f t="shared" si="52"/>
        <v>0</v>
      </c>
      <c r="AG333" s="637" t="e">
        <f>HLOOKUP($AG$110,anticipado,220,0)</f>
        <v>#N/A</v>
      </c>
      <c r="AI333" s="621"/>
      <c r="AJ333" s="621"/>
      <c r="AK333" s="621"/>
      <c r="AL333" s="621"/>
      <c r="AM333" s="621"/>
      <c r="AN333" s="415"/>
      <c r="AO333" s="415"/>
      <c r="AP333" s="415"/>
      <c r="AQ333" s="415"/>
      <c r="AR333" s="415"/>
      <c r="AS333" s="415"/>
      <c r="AT333" s="459"/>
      <c r="AU333" s="459">
        <v>4.1674744122357769E-2</v>
      </c>
      <c r="AV333" s="459">
        <v>4.2091996529606275E-2</v>
      </c>
      <c r="AW333" s="459">
        <v>4.0903991600298624E-2</v>
      </c>
      <c r="AX333" s="459">
        <v>4.2735996476560026E-2</v>
      </c>
      <c r="AY333" s="459">
        <v>4.1674744122357769E-2</v>
      </c>
      <c r="AZ333" s="459">
        <v>4.0834955339164591E-2</v>
      </c>
      <c r="BA333" s="459">
        <v>4.2211994664145776E-2</v>
      </c>
      <c r="BB333" s="459">
        <v>4.3188491015159022E-2</v>
      </c>
      <c r="BC333" s="459">
        <v>4.2820381516896051E-2</v>
      </c>
      <c r="BD333" s="459">
        <v>4.2617772676439812E-2</v>
      </c>
      <c r="BE333" s="415">
        <v>4.2047866715101377E-2</v>
      </c>
      <c r="BF333" s="415">
        <v>4.2403021624287218E-2</v>
      </c>
      <c r="BG333" s="415"/>
      <c r="BH333" s="415"/>
      <c r="BI333" s="415"/>
      <c r="BJ333" s="415"/>
      <c r="BK333" s="617"/>
      <c r="BL333" s="617"/>
      <c r="BM333" s="617"/>
      <c r="BN333" s="617"/>
      <c r="BO333" s="617"/>
      <c r="BP333" s="617"/>
      <c r="BQ333" s="617"/>
      <c r="BR333" s="617"/>
      <c r="BS333" s="617"/>
      <c r="BT333" s="617"/>
      <c r="BU333" s="617"/>
      <c r="BV333" s="617"/>
      <c r="BW333" s="617"/>
      <c r="BX333" s="617"/>
      <c r="BY333" s="617"/>
      <c r="BZ333" s="617"/>
      <c r="CA333" s="617"/>
      <c r="CB333" s="617"/>
      <c r="CC333" s="617"/>
      <c r="CD333" s="617"/>
      <c r="CE333" s="617"/>
      <c r="CF333" s="617"/>
      <c r="CG333" s="617"/>
      <c r="CH333" s="617"/>
      <c r="CI333" s="617"/>
      <c r="CJ333" s="617"/>
      <c r="CK333" s="617"/>
      <c r="CL333" s="617"/>
    </row>
    <row r="334" spans="1:90">
      <c r="A334" s="151">
        <f t="shared" ca="1" si="51"/>
        <v>3</v>
      </c>
      <c r="B334" s="113">
        <f t="shared" si="53"/>
        <v>0</v>
      </c>
      <c r="C334" s="150">
        <f t="shared" si="60"/>
        <v>0</v>
      </c>
      <c r="D334" s="565">
        <f t="shared" si="61"/>
        <v>0</v>
      </c>
      <c r="E334" s="306">
        <f t="shared" si="54"/>
        <v>0</v>
      </c>
      <c r="F334" s="306">
        <f t="shared" si="66"/>
        <v>0</v>
      </c>
      <c r="G334" s="307">
        <f t="shared" si="67"/>
        <v>0</v>
      </c>
      <c r="H334" s="306">
        <f>IF(N333&lt;0.01,0,IF(Adm!$S$3=Adm!$S$13,Cal!$E$94,IF(Adm!$R$3=Adm!$R$6,0,IF(Cal!$E$91=0,N333*Adm!$Y$3,N333*Adm!$X$3))))</f>
        <v>0</v>
      </c>
      <c r="I334" s="306">
        <f>IF(N333&lt;0.01,0,IF(Adm!$R$4=Adm!$R$6,0,Cal!$E$89*Adm!$AA$3))</f>
        <v>0</v>
      </c>
      <c r="J334" s="306">
        <f>IF(N333&lt;0.01,0,Adm!$O$3*1.16)</f>
        <v>0</v>
      </c>
      <c r="K334" s="306">
        <f>IF(N333&lt;0.01,0,IF(Adm!$N$3&gt;0,E334*Adm!$N$3,0))</f>
        <v>0</v>
      </c>
      <c r="L334" s="306">
        <f t="shared" si="55"/>
        <v>0</v>
      </c>
      <c r="M334" s="306">
        <f>IF(Adm!$F$3="si",MIN(N333+E334+H334+I334+J334-L334,Z334),0)</f>
        <v>0</v>
      </c>
      <c r="N334" s="306">
        <f t="shared" si="56"/>
        <v>0</v>
      </c>
      <c r="O334" s="361"/>
      <c r="P334" s="114"/>
      <c r="V334" s="571">
        <f t="shared" si="57"/>
        <v>4</v>
      </c>
      <c r="W334" s="293">
        <f>IF(V334=1,Adm!$AN$2,0)</f>
        <v>0</v>
      </c>
      <c r="Y334" s="304">
        <f t="shared" si="62"/>
        <v>0</v>
      </c>
      <c r="Z334" s="345">
        <f t="shared" ca="1" si="58"/>
        <v>0</v>
      </c>
      <c r="AB334" s="640">
        <f t="shared" si="63"/>
        <v>0</v>
      </c>
      <c r="AC334" s="639">
        <f t="shared" si="64"/>
        <v>0</v>
      </c>
      <c r="AD334" s="641">
        <f t="shared" si="59"/>
        <v>0</v>
      </c>
      <c r="AE334" s="639">
        <f t="shared" si="65"/>
        <v>0</v>
      </c>
      <c r="AF334" s="636">
        <f t="shared" si="52"/>
        <v>0</v>
      </c>
      <c r="AG334" s="637" t="e">
        <f>HLOOKUP($AG$110,anticipado,221,0)</f>
        <v>#N/A</v>
      </c>
      <c r="AI334" s="621"/>
      <c r="AJ334" s="621"/>
      <c r="AK334" s="621"/>
      <c r="AL334" s="621"/>
      <c r="AM334" s="621"/>
      <c r="AN334" s="415"/>
      <c r="AO334" s="415"/>
      <c r="AP334" s="415"/>
      <c r="AQ334" s="415"/>
      <c r="AR334" s="415"/>
      <c r="AS334" s="415"/>
      <c r="AT334" s="459"/>
      <c r="AU334" s="459">
        <v>4.3881701089841081E-2</v>
      </c>
      <c r="AV334" s="459">
        <v>4.435500268260939E-2</v>
      </c>
      <c r="AW334" s="459">
        <v>4.3071060271291095E-2</v>
      </c>
      <c r="AX334" s="459">
        <v>4.5028951561443389E-2</v>
      </c>
      <c r="AY334" s="459">
        <v>4.3881701089841081E-2</v>
      </c>
      <c r="AZ334" s="459">
        <v>4.2977532754197287E-2</v>
      </c>
      <c r="BA334" s="459">
        <v>4.4437443828385895E-2</v>
      </c>
      <c r="BB334" s="459">
        <v>4.5525364003952337E-2</v>
      </c>
      <c r="BC334" s="459">
        <v>4.5143836984539637E-2</v>
      </c>
      <c r="BD334" s="459">
        <v>4.4867308114627961E-2</v>
      </c>
      <c r="BE334" s="415">
        <v>4.4249763386314825E-2</v>
      </c>
      <c r="BF334" s="415">
        <v>4.4657040773697435E-2</v>
      </c>
      <c r="BG334" s="415"/>
      <c r="BH334" s="415"/>
      <c r="BI334" s="415"/>
      <c r="BJ334" s="415"/>
      <c r="BK334" s="617"/>
      <c r="BL334" s="617"/>
      <c r="BM334" s="617"/>
      <c r="BN334" s="617"/>
      <c r="BO334" s="617"/>
      <c r="BP334" s="617"/>
      <c r="BQ334" s="617"/>
      <c r="BR334" s="617"/>
      <c r="BS334" s="617"/>
      <c r="BT334" s="617"/>
      <c r="BU334" s="617"/>
      <c r="BV334" s="617"/>
      <c r="BW334" s="617"/>
      <c r="BX334" s="617"/>
      <c r="BY334" s="617"/>
      <c r="BZ334" s="617"/>
      <c r="CA334" s="617"/>
      <c r="CB334" s="617"/>
      <c r="CC334" s="617"/>
      <c r="CD334" s="617"/>
      <c r="CE334" s="617"/>
      <c r="CF334" s="617"/>
      <c r="CG334" s="617"/>
      <c r="CH334" s="617"/>
      <c r="CI334" s="617"/>
      <c r="CJ334" s="617"/>
      <c r="CK334" s="617"/>
      <c r="CL334" s="617"/>
    </row>
    <row r="335" spans="1:90">
      <c r="A335" s="151">
        <f t="shared" ca="1" si="51"/>
        <v>4</v>
      </c>
      <c r="B335" s="113">
        <f t="shared" si="53"/>
        <v>0</v>
      </c>
      <c r="C335" s="150">
        <f t="shared" si="60"/>
        <v>0</v>
      </c>
      <c r="D335" s="565">
        <f t="shared" si="61"/>
        <v>0</v>
      </c>
      <c r="E335" s="306">
        <f t="shared" si="54"/>
        <v>0</v>
      </c>
      <c r="F335" s="306">
        <f t="shared" si="66"/>
        <v>0</v>
      </c>
      <c r="G335" s="307">
        <f t="shared" si="67"/>
        <v>0</v>
      </c>
      <c r="H335" s="306">
        <f>IF(N334&lt;0.01,0,IF(Adm!$S$3=Adm!$S$13,Cal!$E$94,IF(Adm!$R$3=Adm!$R$6,0,IF(Cal!$E$91=0,N334*Adm!$Y$3,N334*Adm!$X$3))))</f>
        <v>0</v>
      </c>
      <c r="I335" s="306">
        <f>IF(N334&lt;0.01,0,IF(Adm!$R$4=Adm!$R$6,0,Cal!$E$89*Adm!$AA$3))</f>
        <v>0</v>
      </c>
      <c r="J335" s="306">
        <f>IF(N334&lt;0.01,0,Adm!$O$3*1.16)</f>
        <v>0</v>
      </c>
      <c r="K335" s="306">
        <f>IF(N334&lt;0.01,0,IF(Adm!$N$3&gt;0,E335*Adm!$N$3,0))</f>
        <v>0</v>
      </c>
      <c r="L335" s="306">
        <f t="shared" si="55"/>
        <v>0</v>
      </c>
      <c r="M335" s="306">
        <f>IF(Adm!$F$3="si",MIN(N334+E335+H335+I335+J335-L335,Z335),0)</f>
        <v>0</v>
      </c>
      <c r="N335" s="306">
        <f t="shared" si="56"/>
        <v>0</v>
      </c>
      <c r="O335" s="361"/>
      <c r="P335" s="114"/>
      <c r="V335" s="571">
        <f t="shared" si="57"/>
        <v>5</v>
      </c>
      <c r="W335" s="293">
        <f>IF(V335=1,Adm!$AN$2,0)</f>
        <v>0</v>
      </c>
      <c r="Y335" s="304">
        <f t="shared" si="62"/>
        <v>0</v>
      </c>
      <c r="Z335" s="345">
        <f t="shared" ca="1" si="58"/>
        <v>0</v>
      </c>
      <c r="AB335" s="640">
        <f t="shared" si="63"/>
        <v>0</v>
      </c>
      <c r="AC335" s="639">
        <f t="shared" si="64"/>
        <v>0</v>
      </c>
      <c r="AD335" s="641">
        <f t="shared" si="59"/>
        <v>0</v>
      </c>
      <c r="AE335" s="639">
        <f t="shared" si="65"/>
        <v>0</v>
      </c>
      <c r="AF335" s="636">
        <f t="shared" si="52"/>
        <v>0</v>
      </c>
      <c r="AG335" s="637" t="e">
        <f>HLOOKUP($AG$110,anticipado,222,0)</f>
        <v>#N/A</v>
      </c>
      <c r="AI335" s="621"/>
      <c r="AJ335" s="621"/>
      <c r="AK335" s="621"/>
      <c r="AL335" s="621"/>
      <c r="AM335" s="621"/>
      <c r="AN335" s="415"/>
      <c r="AO335" s="415"/>
      <c r="AP335" s="415"/>
      <c r="AQ335" s="415"/>
      <c r="AR335" s="415"/>
      <c r="AS335" s="415"/>
      <c r="AT335" s="459"/>
      <c r="AU335" s="459">
        <v>4.6312184985586313E-2</v>
      </c>
      <c r="AV335" s="459">
        <v>4.6850357045272545E-2</v>
      </c>
      <c r="AW335" s="459">
        <v>4.5455645542302074E-2</v>
      </c>
      <c r="AX335" s="459">
        <v>4.7558851488661659E-2</v>
      </c>
      <c r="AY335" s="459">
        <v>4.6312184985586313E-2</v>
      </c>
      <c r="AZ335" s="459">
        <v>4.5333795865957149E-2</v>
      </c>
      <c r="BA335" s="459">
        <v>4.6889168792472909E-2</v>
      </c>
      <c r="BB335" s="459">
        <v>4.8106174482471772E-2</v>
      </c>
      <c r="BC335" s="459">
        <v>4.770917344714716E-2</v>
      </c>
      <c r="BD335" s="459">
        <v>4.7346832562013656E-2</v>
      </c>
      <c r="BE335" s="415">
        <v>4.667424841437038E-2</v>
      </c>
      <c r="BF335" s="415">
        <v>4.7141840723615512E-2</v>
      </c>
      <c r="BG335" s="415"/>
      <c r="BH335" s="415"/>
      <c r="BI335" s="415"/>
      <c r="BJ335" s="415"/>
      <c r="BK335" s="617"/>
      <c r="BL335" s="617"/>
      <c r="BM335" s="617"/>
      <c r="BN335" s="617"/>
      <c r="BO335" s="617"/>
      <c r="BP335" s="617"/>
      <c r="BQ335" s="617"/>
      <c r="BR335" s="617"/>
      <c r="BS335" s="617"/>
      <c r="BT335" s="617"/>
      <c r="BU335" s="617"/>
      <c r="BV335" s="617"/>
      <c r="BW335" s="617"/>
      <c r="BX335" s="617"/>
      <c r="BY335" s="617"/>
      <c r="BZ335" s="617"/>
      <c r="CA335" s="617"/>
      <c r="CB335" s="617"/>
      <c r="CC335" s="617"/>
      <c r="CD335" s="617"/>
      <c r="CE335" s="617"/>
      <c r="CF335" s="617"/>
      <c r="CG335" s="617"/>
      <c r="CH335" s="617"/>
      <c r="CI335" s="617"/>
      <c r="CJ335" s="617"/>
      <c r="CK335" s="617"/>
      <c r="CL335" s="617"/>
    </row>
    <row r="336" spans="1:90">
      <c r="A336" s="151">
        <f t="shared" ca="1" si="51"/>
        <v>5</v>
      </c>
      <c r="B336" s="113">
        <f t="shared" si="53"/>
        <v>0</v>
      </c>
      <c r="C336" s="150">
        <f t="shared" si="60"/>
        <v>0</v>
      </c>
      <c r="D336" s="565">
        <f t="shared" si="61"/>
        <v>0</v>
      </c>
      <c r="E336" s="306">
        <f t="shared" si="54"/>
        <v>0</v>
      </c>
      <c r="F336" s="306">
        <f t="shared" si="66"/>
        <v>0</v>
      </c>
      <c r="G336" s="307">
        <f t="shared" si="67"/>
        <v>0</v>
      </c>
      <c r="H336" s="306">
        <f>IF(N335&lt;0.01,0,IF(Adm!$S$3=Adm!$S$13,Cal!$E$94,IF(Adm!$R$3=Adm!$R$6,0,IF(Cal!$E$91=0,N335*Adm!$Y$3,N335*Adm!$X$3))))</f>
        <v>0</v>
      </c>
      <c r="I336" s="306">
        <f>IF(N335&lt;0.01,0,IF(Adm!$R$4=Adm!$R$6,0,Cal!$E$89*Adm!$AA$3))</f>
        <v>0</v>
      </c>
      <c r="J336" s="306">
        <f>IF(N335&lt;0.01,0,Adm!$O$3*1.16)</f>
        <v>0</v>
      </c>
      <c r="K336" s="306">
        <f>IF(N335&lt;0.01,0,IF(Adm!$N$3&gt;0,E336*Adm!$N$3,0))</f>
        <v>0</v>
      </c>
      <c r="L336" s="306">
        <f t="shared" si="55"/>
        <v>0</v>
      </c>
      <c r="M336" s="306">
        <f>IF(Adm!$F$3="si",MIN(N335+E336+H336+I336+J336-L336,Z336),0)</f>
        <v>0</v>
      </c>
      <c r="N336" s="306">
        <f t="shared" si="56"/>
        <v>0</v>
      </c>
      <c r="O336" s="361"/>
      <c r="P336" s="114"/>
      <c r="V336" s="571">
        <f t="shared" si="57"/>
        <v>6</v>
      </c>
      <c r="W336" s="293">
        <f>IF(V336=1,Adm!$AN$2,0)</f>
        <v>0</v>
      </c>
      <c r="Y336" s="304">
        <f t="shared" si="62"/>
        <v>0</v>
      </c>
      <c r="Z336" s="345">
        <f t="shared" ca="1" si="58"/>
        <v>0</v>
      </c>
      <c r="AB336" s="640">
        <f t="shared" si="63"/>
        <v>0</v>
      </c>
      <c r="AC336" s="639">
        <f t="shared" si="64"/>
        <v>0</v>
      </c>
      <c r="AD336" s="641">
        <f t="shared" si="59"/>
        <v>0</v>
      </c>
      <c r="AE336" s="639">
        <f t="shared" si="65"/>
        <v>0</v>
      </c>
      <c r="AF336" s="636">
        <f t="shared" si="52"/>
        <v>0</v>
      </c>
      <c r="AG336" s="637" t="e">
        <f>HLOOKUP($AG$110,anticipado,223,0)</f>
        <v>#N/A</v>
      </c>
      <c r="AI336" s="621"/>
      <c r="AJ336" s="621"/>
      <c r="AK336" s="621"/>
      <c r="AL336" s="621"/>
      <c r="AM336" s="621"/>
      <c r="AN336" s="415"/>
      <c r="AO336" s="415"/>
      <c r="AP336" s="415"/>
      <c r="AQ336" s="415"/>
      <c r="AR336" s="415"/>
      <c r="AS336" s="415"/>
      <c r="AT336" s="459"/>
      <c r="AU336" s="459">
        <v>4.9001850845314839E-2</v>
      </c>
      <c r="AV336" s="459">
        <v>4.9615651824134792E-2</v>
      </c>
      <c r="AW336" s="459">
        <v>4.8092092332678978E-2</v>
      </c>
      <c r="AX336" s="459">
        <v>5.0364315588135596E-2</v>
      </c>
      <c r="AY336" s="459">
        <v>4.9001850845314839E-2</v>
      </c>
      <c r="AZ336" s="459">
        <v>4.7937267441621793E-2</v>
      </c>
      <c r="BA336" s="459">
        <v>4.960343105891097E-2</v>
      </c>
      <c r="BB336" s="459">
        <v>5.0971110971402014E-2</v>
      </c>
      <c r="BC336" s="459">
        <v>5.0556112414399015E-2</v>
      </c>
      <c r="BD336" s="459">
        <v>5.0093426741517739E-2</v>
      </c>
      <c r="BE336" s="415">
        <v>4.9356778260112505E-2</v>
      </c>
      <c r="BF336" s="415">
        <v>4.9894673102102417E-2</v>
      </c>
      <c r="BG336" s="415"/>
      <c r="BH336" s="415"/>
      <c r="BI336" s="415"/>
      <c r="BJ336" s="415"/>
      <c r="BK336" s="617"/>
      <c r="BL336" s="617"/>
      <c r="BM336" s="617"/>
      <c r="BN336" s="617"/>
      <c r="BO336" s="617"/>
      <c r="BP336" s="617"/>
      <c r="BQ336" s="617"/>
      <c r="BR336" s="617"/>
      <c r="BS336" s="617"/>
      <c r="BT336" s="617"/>
      <c r="BU336" s="617"/>
      <c r="BV336" s="617"/>
      <c r="BW336" s="617"/>
      <c r="BX336" s="617"/>
      <c r="BY336" s="617"/>
      <c r="BZ336" s="617"/>
      <c r="CA336" s="617"/>
      <c r="CB336" s="617"/>
      <c r="CC336" s="617"/>
      <c r="CD336" s="617"/>
      <c r="CE336" s="617"/>
      <c r="CF336" s="617"/>
      <c r="CG336" s="617"/>
      <c r="CH336" s="617"/>
      <c r="CI336" s="617"/>
      <c r="CJ336" s="617"/>
      <c r="CK336" s="617"/>
      <c r="CL336" s="617"/>
    </row>
    <row r="337" spans="1:90">
      <c r="A337" s="151">
        <f t="shared" ca="1" si="51"/>
        <v>6</v>
      </c>
      <c r="B337" s="113">
        <f t="shared" si="53"/>
        <v>0</v>
      </c>
      <c r="C337" s="150">
        <f t="shared" si="60"/>
        <v>0</v>
      </c>
      <c r="D337" s="565">
        <f t="shared" si="61"/>
        <v>0</v>
      </c>
      <c r="E337" s="306">
        <f t="shared" si="54"/>
        <v>0</v>
      </c>
      <c r="F337" s="306">
        <f t="shared" si="66"/>
        <v>0</v>
      </c>
      <c r="G337" s="307">
        <f t="shared" si="67"/>
        <v>0</v>
      </c>
      <c r="H337" s="306">
        <f>IF(N336&lt;0.01,0,IF(Adm!$S$3=Adm!$S$13,Cal!$E$94,IF(Adm!$R$3=Adm!$R$6,0,IF(Cal!$E$91=0,N336*Adm!$Y$3,N336*Adm!$X$3))))</f>
        <v>0</v>
      </c>
      <c r="I337" s="306">
        <f>IF(N336&lt;0.01,0,IF(Adm!$R$4=Adm!$R$6,0,Cal!$E$89*Adm!$AA$3))</f>
        <v>0</v>
      </c>
      <c r="J337" s="306">
        <f>IF(N336&lt;0.01,0,Adm!$O$3*1.16)</f>
        <v>0</v>
      </c>
      <c r="K337" s="306">
        <f>IF(N336&lt;0.01,0,IF(Adm!$N$3&gt;0,E337*Adm!$N$3,0))</f>
        <v>0</v>
      </c>
      <c r="L337" s="306">
        <f t="shared" si="55"/>
        <v>0</v>
      </c>
      <c r="M337" s="306">
        <f>IF(Adm!$F$3="si",MIN(N336+E337+H337+I337+J337-L337,Z337),0)</f>
        <v>0</v>
      </c>
      <c r="N337" s="306">
        <f t="shared" si="56"/>
        <v>0</v>
      </c>
      <c r="O337" s="361"/>
      <c r="P337" s="114"/>
      <c r="V337" s="571">
        <f t="shared" si="57"/>
        <v>7</v>
      </c>
      <c r="W337" s="293">
        <f>IF(V337=1,Adm!$AN$2,0)</f>
        <v>0</v>
      </c>
      <c r="Y337" s="304">
        <f t="shared" si="62"/>
        <v>0</v>
      </c>
      <c r="Z337" s="345">
        <f t="shared" ca="1" si="58"/>
        <v>0</v>
      </c>
      <c r="AB337" s="640">
        <f t="shared" si="63"/>
        <v>0</v>
      </c>
      <c r="AC337" s="639">
        <f t="shared" si="64"/>
        <v>0</v>
      </c>
      <c r="AD337" s="641">
        <f t="shared" si="59"/>
        <v>0</v>
      </c>
      <c r="AE337" s="639">
        <f t="shared" si="65"/>
        <v>0</v>
      </c>
      <c r="AF337" s="636">
        <f t="shared" si="52"/>
        <v>0</v>
      </c>
      <c r="AG337" s="637" t="e">
        <f>HLOOKUP($AG$110,anticipado,224,0)</f>
        <v>#N/A</v>
      </c>
      <c r="AI337" s="621"/>
      <c r="AJ337" s="621"/>
      <c r="AK337" s="621"/>
      <c r="AL337" s="621"/>
      <c r="AM337" s="621"/>
      <c r="AN337" s="415"/>
      <c r="AO337" s="415"/>
      <c r="AP337" s="415"/>
      <c r="AQ337" s="415"/>
      <c r="AR337" s="415"/>
      <c r="AS337" s="415"/>
      <c r="AT337" s="459"/>
      <c r="AU337" s="459">
        <v>5.1994362644856545E-2</v>
      </c>
      <c r="AV337" s="459">
        <v>5.2697050946991494E-2</v>
      </c>
      <c r="AW337" s="459">
        <v>5.102237771427641E-2</v>
      </c>
      <c r="AX337" s="459">
        <v>5.3492837984015211E-2</v>
      </c>
      <c r="AY337" s="459">
        <v>5.1994362644856545E-2</v>
      </c>
      <c r="AZ337" s="459">
        <v>5.0828869096733842E-2</v>
      </c>
      <c r="BA337" s="459">
        <v>5.2624677368704929E-2</v>
      </c>
      <c r="BB337" s="459">
        <v>5.4169702947462886E-2</v>
      </c>
      <c r="BC337" s="459">
        <v>5.3733576366453754E-2</v>
      </c>
      <c r="BD337" s="459">
        <v>5.315259534421856E-2</v>
      </c>
      <c r="BE337" s="415">
        <v>5.2340762169348229E-2</v>
      </c>
      <c r="BF337" s="415">
        <v>5.2961262713642022E-2</v>
      </c>
      <c r="BG337" s="415"/>
      <c r="BH337" s="415"/>
      <c r="BI337" s="415"/>
      <c r="BJ337" s="415"/>
      <c r="BK337" s="617"/>
      <c r="BL337" s="617"/>
      <c r="BM337" s="617"/>
      <c r="BN337" s="617"/>
      <c r="BO337" s="617"/>
      <c r="BP337" s="617"/>
      <c r="BQ337" s="617"/>
      <c r="BR337" s="617"/>
      <c r="BS337" s="617"/>
      <c r="BT337" s="617"/>
      <c r="BU337" s="617"/>
      <c r="BV337" s="617"/>
      <c r="BW337" s="617"/>
      <c r="BX337" s="617"/>
      <c r="BY337" s="617"/>
      <c r="BZ337" s="617"/>
      <c r="CA337" s="617"/>
      <c r="CB337" s="617"/>
      <c r="CC337" s="617"/>
      <c r="CD337" s="617"/>
      <c r="CE337" s="617"/>
      <c r="CF337" s="617"/>
      <c r="CG337" s="617"/>
      <c r="CH337" s="617"/>
      <c r="CI337" s="617"/>
      <c r="CJ337" s="617"/>
      <c r="CK337" s="617"/>
      <c r="CL337" s="617"/>
    </row>
    <row r="338" spans="1:90">
      <c r="A338" s="151">
        <f t="shared" ca="1" si="51"/>
        <v>7</v>
      </c>
      <c r="B338" s="113">
        <f t="shared" si="53"/>
        <v>0</v>
      </c>
      <c r="C338" s="150">
        <f t="shared" si="60"/>
        <v>0</v>
      </c>
      <c r="D338" s="565">
        <f t="shared" si="61"/>
        <v>0</v>
      </c>
      <c r="E338" s="306">
        <f t="shared" si="54"/>
        <v>0</v>
      </c>
      <c r="F338" s="306">
        <f t="shared" si="66"/>
        <v>0</v>
      </c>
      <c r="G338" s="307">
        <f t="shared" si="67"/>
        <v>0</v>
      </c>
      <c r="H338" s="306">
        <f>IF(N337&lt;0.01,0,IF(Adm!$S$3=Adm!$S$13,Cal!$E$94,IF(Adm!$R$3=Adm!$R$6,0,IF(Cal!$E$91=0,N337*Adm!$Y$3,N337*Adm!$X$3))))</f>
        <v>0</v>
      </c>
      <c r="I338" s="306">
        <f>IF(N337&lt;0.01,0,IF(Adm!$R$4=Adm!$R$6,0,Cal!$E$89*Adm!$AA$3))</f>
        <v>0</v>
      </c>
      <c r="J338" s="306">
        <f>IF(N337&lt;0.01,0,Adm!$O$3*1.16)</f>
        <v>0</v>
      </c>
      <c r="K338" s="306">
        <f>IF(N337&lt;0.01,0,IF(Adm!$N$3&gt;0,E338*Adm!$N$3,0))</f>
        <v>0</v>
      </c>
      <c r="L338" s="306">
        <f t="shared" si="55"/>
        <v>0</v>
      </c>
      <c r="M338" s="306">
        <f>IF(Adm!$F$3="si",MIN(N337+E338+H338+I338+J338-L338,Z338),0)</f>
        <v>0</v>
      </c>
      <c r="N338" s="306">
        <f t="shared" si="56"/>
        <v>0</v>
      </c>
      <c r="O338" s="361"/>
      <c r="P338" s="114"/>
      <c r="V338" s="571">
        <f t="shared" si="57"/>
        <v>8</v>
      </c>
      <c r="W338" s="293">
        <f>IF(V338=1,Adm!$AN$2,0)</f>
        <v>0</v>
      </c>
      <c r="Y338" s="304">
        <f t="shared" si="62"/>
        <v>0</v>
      </c>
      <c r="Z338" s="345">
        <f t="shared" ca="1" si="58"/>
        <v>0</v>
      </c>
      <c r="AB338" s="640">
        <f t="shared" si="63"/>
        <v>0</v>
      </c>
      <c r="AC338" s="639">
        <f t="shared" si="64"/>
        <v>0</v>
      </c>
      <c r="AD338" s="641">
        <f t="shared" si="59"/>
        <v>0</v>
      </c>
      <c r="AE338" s="639">
        <f t="shared" si="65"/>
        <v>0</v>
      </c>
      <c r="AF338" s="636">
        <f t="shared" si="52"/>
        <v>0</v>
      </c>
      <c r="AG338" s="637" t="e">
        <f>HLOOKUP($AG$110,anticipado,225,0)</f>
        <v>#N/A</v>
      </c>
      <c r="AI338" s="621"/>
      <c r="AJ338" s="621"/>
      <c r="AK338" s="621"/>
      <c r="AL338" s="621"/>
      <c r="AM338" s="621"/>
      <c r="AN338" s="415"/>
      <c r="AO338" s="415"/>
      <c r="AP338" s="415"/>
      <c r="AQ338" s="415"/>
      <c r="AR338" s="415"/>
      <c r="AS338" s="415"/>
      <c r="AT338" s="459"/>
      <c r="AU338" s="459">
        <v>5.5343775836855749E-2</v>
      </c>
      <c r="AV338" s="459">
        <v>5.6151880896348719E-2</v>
      </c>
      <c r="AW338" s="459">
        <v>5.4298355651440616E-2</v>
      </c>
      <c r="AX338" s="459">
        <v>5.7003492289175242E-2</v>
      </c>
      <c r="AY338" s="459">
        <v>5.5343775836855749E-2</v>
      </c>
      <c r="AZ338" s="459">
        <v>5.4059081770021743E-2</v>
      </c>
      <c r="BA338" s="459">
        <v>5.6007987378788267E-2</v>
      </c>
      <c r="BB338" s="459">
        <v>5.7763702151099397E-2</v>
      </c>
      <c r="BC338" s="459">
        <v>5.7302516624000294E-2</v>
      </c>
      <c r="BD338" s="459">
        <v>5.6580803264178699E-2</v>
      </c>
      <c r="BE338" s="415">
        <v>5.5679924367903852E-2</v>
      </c>
      <c r="BF338" s="415">
        <v>5.6398361908355454E-2</v>
      </c>
      <c r="BG338" s="415"/>
      <c r="BH338" s="415"/>
      <c r="BI338" s="415"/>
      <c r="BJ338" s="415"/>
      <c r="BK338" s="617"/>
      <c r="BL338" s="617"/>
      <c r="BM338" s="617"/>
      <c r="BN338" s="617"/>
      <c r="BO338" s="617"/>
      <c r="BP338" s="617"/>
      <c r="BQ338" s="617"/>
      <c r="BR338" s="617"/>
      <c r="BS338" s="617"/>
      <c r="BT338" s="617"/>
      <c r="BU338" s="617"/>
      <c r="BV338" s="617"/>
      <c r="BW338" s="617"/>
      <c r="BX338" s="617"/>
      <c r="BY338" s="617"/>
      <c r="BZ338" s="617"/>
      <c r="CA338" s="617"/>
      <c r="CB338" s="617"/>
      <c r="CC338" s="617"/>
      <c r="CD338" s="617"/>
      <c r="CE338" s="617"/>
      <c r="CF338" s="617"/>
      <c r="CG338" s="617"/>
      <c r="CH338" s="617"/>
      <c r="CI338" s="617"/>
      <c r="CJ338" s="617"/>
      <c r="CK338" s="617"/>
      <c r="CL338" s="617"/>
    </row>
    <row r="339" spans="1:90">
      <c r="A339" s="151">
        <f t="shared" ca="1" si="51"/>
        <v>8</v>
      </c>
      <c r="B339" s="113">
        <f t="shared" si="53"/>
        <v>0</v>
      </c>
      <c r="C339" s="150">
        <f t="shared" si="60"/>
        <v>0</v>
      </c>
      <c r="D339" s="565">
        <f t="shared" si="61"/>
        <v>0</v>
      </c>
      <c r="E339" s="306">
        <f t="shared" si="54"/>
        <v>0</v>
      </c>
      <c r="F339" s="306">
        <f t="shared" si="66"/>
        <v>0</v>
      </c>
      <c r="G339" s="307">
        <f t="shared" si="67"/>
        <v>0</v>
      </c>
      <c r="H339" s="306">
        <f>IF(N338&lt;0.01,0,IF(Adm!$S$3=Adm!$S$13,Cal!$E$94,IF(Adm!$R$3=Adm!$R$6,0,IF(Cal!$E$91=0,N338*Adm!$Y$3,N338*Adm!$X$3))))</f>
        <v>0</v>
      </c>
      <c r="I339" s="306">
        <f>IF(N338&lt;0.01,0,IF(Adm!$R$4=Adm!$R$6,0,Cal!$E$89*Adm!$AA$3))</f>
        <v>0</v>
      </c>
      <c r="J339" s="306">
        <f>IF(N338&lt;0.01,0,Adm!$O$3*1.16)</f>
        <v>0</v>
      </c>
      <c r="K339" s="306">
        <f>IF(N338&lt;0.01,0,IF(Adm!$N$3&gt;0,E339*Adm!$N$3,0))</f>
        <v>0</v>
      </c>
      <c r="L339" s="306">
        <f t="shared" si="55"/>
        <v>0</v>
      </c>
      <c r="M339" s="306">
        <f>IF(Adm!$F$3="si",MIN(N338+E339+H339+I339+J339-L339,Z339),0)</f>
        <v>0</v>
      </c>
      <c r="N339" s="306">
        <f t="shared" si="56"/>
        <v>0</v>
      </c>
      <c r="O339" s="361"/>
      <c r="P339" s="114"/>
      <c r="V339" s="571">
        <f t="shared" si="57"/>
        <v>9</v>
      </c>
      <c r="W339" s="293">
        <f>IF(V339=1,Adm!$AN$2,0)</f>
        <v>0</v>
      </c>
      <c r="Y339" s="304">
        <f t="shared" si="62"/>
        <v>0</v>
      </c>
      <c r="Z339" s="345">
        <f t="shared" ca="1" si="58"/>
        <v>0</v>
      </c>
      <c r="AB339" s="640">
        <f t="shared" si="63"/>
        <v>0</v>
      </c>
      <c r="AC339" s="639">
        <f t="shared" si="64"/>
        <v>0</v>
      </c>
      <c r="AD339" s="641">
        <f t="shared" si="59"/>
        <v>0</v>
      </c>
      <c r="AE339" s="639">
        <f t="shared" si="65"/>
        <v>0</v>
      </c>
      <c r="AF339" s="636">
        <f t="shared" si="52"/>
        <v>0</v>
      </c>
      <c r="AG339" s="637" t="e">
        <f>HLOOKUP($AG$110,anticipado,226,0)</f>
        <v>#N/A</v>
      </c>
      <c r="AI339" s="415"/>
      <c r="AJ339" s="415"/>
      <c r="AK339" s="415"/>
      <c r="AL339" s="415"/>
      <c r="AM339" s="415"/>
      <c r="AN339" s="415"/>
      <c r="AO339" s="415"/>
      <c r="AP339" s="415"/>
      <c r="AQ339" s="415"/>
      <c r="AR339" s="415"/>
      <c r="AS339" s="415"/>
      <c r="AT339" s="459"/>
      <c r="AU339" s="459">
        <v>5.9117824213827948E-2</v>
      </c>
      <c r="AV339" s="459">
        <v>6.0052221710144363E-2</v>
      </c>
      <c r="AW339" s="459">
        <v>5.7984843514214936E-2</v>
      </c>
      <c r="AX339" s="459">
        <v>6.097068964734767E-2</v>
      </c>
      <c r="AY339" s="459">
        <v>5.9117824213827948E-2</v>
      </c>
      <c r="AZ339" s="459">
        <v>5.7690910185599145E-2</v>
      </c>
      <c r="BA339" s="459">
        <v>5.9822455542572414E-2</v>
      </c>
      <c r="BB339" s="459">
        <v>6.1831100536282158E-2</v>
      </c>
      <c r="BC339" s="459">
        <v>6.1339852483894508E-2</v>
      </c>
      <c r="BD339" s="459">
        <v>6.044898685618199E-2</v>
      </c>
      <c r="BE339" s="415">
        <v>5.9441561396913603E-2</v>
      </c>
      <c r="BF339" s="415">
        <v>6.0277288305271445E-2</v>
      </c>
      <c r="BG339" s="415"/>
      <c r="BH339" s="415"/>
      <c r="BI339" s="415"/>
      <c r="BJ339" s="415"/>
      <c r="BK339" s="617"/>
      <c r="BL339" s="617"/>
      <c r="BM339" s="617"/>
      <c r="BN339" s="617"/>
      <c r="BO339" s="617"/>
      <c r="BP339" s="617"/>
      <c r="BQ339" s="617"/>
      <c r="BR339" s="617"/>
      <c r="BS339" s="617"/>
      <c r="BT339" s="617"/>
      <c r="BU339" s="617"/>
      <c r="BV339" s="617"/>
      <c r="BW339" s="617"/>
      <c r="BX339" s="617"/>
      <c r="BY339" s="617"/>
      <c r="BZ339" s="617"/>
      <c r="CA339" s="617"/>
      <c r="CB339" s="617"/>
      <c r="CC339" s="617"/>
      <c r="CD339" s="617"/>
      <c r="CE339" s="617"/>
      <c r="CF339" s="617"/>
      <c r="CG339" s="617"/>
      <c r="CH339" s="617"/>
      <c r="CI339" s="617"/>
      <c r="CJ339" s="617"/>
      <c r="CK339" s="617"/>
      <c r="CL339" s="617"/>
    </row>
    <row r="340" spans="1:90">
      <c r="A340" s="151">
        <f t="shared" ca="1" si="51"/>
        <v>9</v>
      </c>
      <c r="B340" s="113">
        <f t="shared" si="53"/>
        <v>0</v>
      </c>
      <c r="C340" s="150">
        <f t="shared" si="60"/>
        <v>0</v>
      </c>
      <c r="D340" s="565">
        <f t="shared" si="61"/>
        <v>0</v>
      </c>
      <c r="E340" s="306">
        <f t="shared" si="54"/>
        <v>0</v>
      </c>
      <c r="F340" s="306">
        <f t="shared" si="66"/>
        <v>0</v>
      </c>
      <c r="G340" s="307">
        <f t="shared" si="67"/>
        <v>0</v>
      </c>
      <c r="H340" s="306">
        <f>IF(N339&lt;0.01,0,IF(Adm!$S$3=Adm!$S$13,Cal!$E$94,IF(Adm!$R$3=Adm!$R$6,0,IF(Cal!$E$91=0,N339*Adm!$Y$3,N339*Adm!$X$3))))</f>
        <v>0</v>
      </c>
      <c r="I340" s="306">
        <f>IF(N339&lt;0.01,0,IF(Adm!$R$4=Adm!$R$6,0,Cal!$E$89*Adm!$AA$3))</f>
        <v>0</v>
      </c>
      <c r="J340" s="306">
        <f>IF(N339&lt;0.01,0,Adm!$O$3*1.16)</f>
        <v>0</v>
      </c>
      <c r="K340" s="306">
        <f>IF(N339&lt;0.01,0,IF(Adm!$N$3&gt;0,E340*Adm!$N$3,0))</f>
        <v>0</v>
      </c>
      <c r="L340" s="306">
        <f t="shared" si="55"/>
        <v>0</v>
      </c>
      <c r="M340" s="306">
        <f>IF(Adm!$F$3="si",MIN(N339+E340+H340+I340+J340-L340,Z340),0)</f>
        <v>0</v>
      </c>
      <c r="N340" s="306">
        <f t="shared" si="56"/>
        <v>0</v>
      </c>
      <c r="O340" s="361"/>
      <c r="P340" s="114"/>
      <c r="V340" s="571">
        <f t="shared" si="57"/>
        <v>10</v>
      </c>
      <c r="W340" s="293">
        <f>IF(V340=1,Adm!$AN$2,0)</f>
        <v>0</v>
      </c>
      <c r="Y340" s="304">
        <f t="shared" si="62"/>
        <v>0</v>
      </c>
      <c r="Z340" s="345">
        <f t="shared" ca="1" si="58"/>
        <v>0</v>
      </c>
      <c r="AB340" s="640">
        <f t="shared" si="63"/>
        <v>0</v>
      </c>
      <c r="AC340" s="639">
        <f t="shared" si="64"/>
        <v>0</v>
      </c>
      <c r="AD340" s="641">
        <f t="shared" si="59"/>
        <v>0</v>
      </c>
      <c r="AE340" s="639">
        <f t="shared" si="65"/>
        <v>0</v>
      </c>
      <c r="AF340" s="636">
        <f t="shared" si="52"/>
        <v>0</v>
      </c>
      <c r="AG340" s="637" t="e">
        <f>HLOOKUP($AG$110,anticipado,227,0)</f>
        <v>#N/A</v>
      </c>
      <c r="AI340" s="415"/>
      <c r="AJ340" s="415"/>
      <c r="AK340" s="415"/>
      <c r="AL340" s="415"/>
      <c r="AM340" s="415"/>
      <c r="AN340" s="415"/>
      <c r="AO340" s="415"/>
      <c r="AP340" s="415"/>
      <c r="AQ340" s="415"/>
      <c r="AR340" s="415"/>
      <c r="AS340" s="415"/>
      <c r="AT340" s="459"/>
      <c r="AU340" s="459">
        <v>6.3402538600248373E-2</v>
      </c>
      <c r="AV340" s="459">
        <v>6.4489979581299497E-2</v>
      </c>
      <c r="AW340" s="459">
        <v>6.2163943190141881E-2</v>
      </c>
      <c r="AX340" s="459">
        <v>6.5489501943726353E-2</v>
      </c>
      <c r="AY340" s="459">
        <v>6.3402538600248373E-2</v>
      </c>
      <c r="AZ340" s="459">
        <v>6.1804023440173148E-2</v>
      </c>
      <c r="BA340" s="459">
        <v>6.4155951435172082E-2</v>
      </c>
      <c r="BB340" s="459">
        <v>6.6471844801292784E-2</v>
      </c>
      <c r="BC340" s="459">
        <v>6.5944066802208212E-2</v>
      </c>
      <c r="BD340" s="459">
        <v>6.4847507461666551E-2</v>
      </c>
      <c r="BE340" s="415">
        <v>6.3711117010355547E-2</v>
      </c>
      <c r="BF340" s="415">
        <v>6.4688917804525653E-2</v>
      </c>
      <c r="BG340" s="415"/>
      <c r="BH340" s="415"/>
      <c r="BI340" s="415"/>
      <c r="BJ340" s="415"/>
      <c r="BK340" s="617"/>
      <c r="BL340" s="617"/>
      <c r="BM340" s="617"/>
      <c r="BN340" s="617"/>
      <c r="BO340" s="617"/>
      <c r="BP340" s="617"/>
      <c r="BQ340" s="617"/>
      <c r="BR340" s="617"/>
      <c r="BS340" s="617"/>
      <c r="BT340" s="617"/>
      <c r="BU340" s="617"/>
      <c r="BV340" s="617"/>
      <c r="BW340" s="617"/>
      <c r="BX340" s="617"/>
      <c r="BY340" s="617"/>
      <c r="BZ340" s="617"/>
      <c r="CA340" s="617"/>
      <c r="CB340" s="617"/>
      <c r="CC340" s="617"/>
      <c r="CD340" s="617"/>
      <c r="CE340" s="617"/>
      <c r="CF340" s="617"/>
      <c r="CG340" s="617"/>
      <c r="CH340" s="617"/>
      <c r="CI340" s="617"/>
      <c r="CJ340" s="617"/>
      <c r="CK340" s="617"/>
      <c r="CL340" s="617"/>
    </row>
    <row r="341" spans="1:90">
      <c r="A341" s="151">
        <f t="shared" ca="1" si="51"/>
        <v>10</v>
      </c>
      <c r="B341" s="113">
        <f t="shared" si="53"/>
        <v>0</v>
      </c>
      <c r="C341" s="150">
        <f t="shared" si="60"/>
        <v>0</v>
      </c>
      <c r="D341" s="565">
        <f t="shared" si="61"/>
        <v>0</v>
      </c>
      <c r="E341" s="306">
        <f t="shared" si="54"/>
        <v>0</v>
      </c>
      <c r="F341" s="306">
        <f t="shared" si="66"/>
        <v>0</v>
      </c>
      <c r="G341" s="307">
        <f t="shared" si="67"/>
        <v>0</v>
      </c>
      <c r="H341" s="306">
        <f>IF(N340&lt;0.01,0,IF(Adm!$S$3=Adm!$S$13,Cal!$E$94,IF(Adm!$R$3=Adm!$R$6,0,IF(Cal!$E$91=0,N340*Adm!$Y$3,N340*Adm!$X$3))))</f>
        <v>0</v>
      </c>
      <c r="I341" s="306">
        <f>IF(N340&lt;0.01,0,IF(Adm!$R$4=Adm!$R$6,0,Cal!$E$89*Adm!$AA$3))</f>
        <v>0</v>
      </c>
      <c r="J341" s="306">
        <f>IF(N340&lt;0.01,0,Adm!$O$3*1.16)</f>
        <v>0</v>
      </c>
      <c r="K341" s="306">
        <f>IF(N340&lt;0.01,0,IF(Adm!$N$3&gt;0,E341*Adm!$N$3,0))</f>
        <v>0</v>
      </c>
      <c r="L341" s="306">
        <f t="shared" si="55"/>
        <v>0</v>
      </c>
      <c r="M341" s="306">
        <f>IF(Adm!$F$3="si",MIN(N340+E341+H341+I341+J341-L341,Z341),0)</f>
        <v>0</v>
      </c>
      <c r="N341" s="306">
        <f t="shared" si="56"/>
        <v>0</v>
      </c>
      <c r="O341" s="361"/>
      <c r="P341" s="114"/>
      <c r="V341" s="571">
        <f t="shared" si="57"/>
        <v>11</v>
      </c>
      <c r="W341" s="293">
        <f>IF(V341=1,Adm!$AN$2,0)</f>
        <v>0</v>
      </c>
      <c r="Y341" s="304">
        <f t="shared" si="62"/>
        <v>0</v>
      </c>
      <c r="Z341" s="345">
        <f t="shared" ca="1" si="58"/>
        <v>0</v>
      </c>
      <c r="AB341" s="640">
        <f t="shared" si="63"/>
        <v>0</v>
      </c>
      <c r="AC341" s="639">
        <f t="shared" si="64"/>
        <v>0</v>
      </c>
      <c r="AD341" s="641">
        <f t="shared" si="59"/>
        <v>0</v>
      </c>
      <c r="AE341" s="639">
        <f t="shared" si="65"/>
        <v>0</v>
      </c>
      <c r="AF341" s="636">
        <f t="shared" si="52"/>
        <v>0</v>
      </c>
      <c r="AG341" s="637" t="e">
        <f>HLOOKUP($AG$110,anticipado,228,0)</f>
        <v>#N/A</v>
      </c>
      <c r="AI341" s="415"/>
      <c r="AJ341" s="415"/>
      <c r="AK341" s="415"/>
      <c r="AL341" s="415"/>
      <c r="AM341" s="415"/>
      <c r="AN341" s="415"/>
      <c r="AO341" s="415"/>
      <c r="AP341" s="415"/>
      <c r="AQ341" s="415"/>
      <c r="AR341" s="415"/>
      <c r="AS341" s="415"/>
      <c r="AT341" s="459"/>
      <c r="AU341" s="459">
        <v>6.8308872567762635E-2</v>
      </c>
      <c r="AV341" s="459">
        <v>6.9584206887196451E-2</v>
      </c>
      <c r="AW341" s="459">
        <v>6.6941214090377565E-2</v>
      </c>
      <c r="AX341" s="459">
        <v>7.0683367426454938E-2</v>
      </c>
      <c r="AY341" s="459">
        <v>6.8308872567762635E-2</v>
      </c>
      <c r="AZ341" s="459">
        <v>6.6500654647976526E-2</v>
      </c>
      <c r="BA341" s="459">
        <v>6.9121961789924982E-2</v>
      </c>
      <c r="BB341" s="459">
        <v>7.1816146550216772E-2</v>
      </c>
      <c r="BC341" s="459">
        <v>7.1243331917037356E-2</v>
      </c>
      <c r="BD341" s="459">
        <v>6.9893289152223995E-2</v>
      </c>
      <c r="BE341" s="415">
        <v>6.8598741346798595E-2</v>
      </c>
      <c r="BF341" s="415">
        <v>6.975088272527237E-2</v>
      </c>
      <c r="BG341" s="415"/>
      <c r="BH341" s="415"/>
      <c r="BI341" s="415"/>
      <c r="BJ341" s="415"/>
      <c r="BK341" s="617"/>
      <c r="BL341" s="617"/>
      <c r="BM341" s="617"/>
      <c r="BN341" s="617"/>
      <c r="BO341" s="617"/>
      <c r="BP341" s="617"/>
      <c r="BQ341" s="617"/>
      <c r="BR341" s="617"/>
      <c r="BS341" s="617"/>
      <c r="BT341" s="617"/>
      <c r="BU341" s="617"/>
      <c r="BV341" s="617"/>
      <c r="BW341" s="617"/>
      <c r="BX341" s="617"/>
      <c r="BY341" s="617"/>
      <c r="BZ341" s="617"/>
      <c r="CA341" s="617"/>
      <c r="CB341" s="617"/>
      <c r="CC341" s="617"/>
      <c r="CD341" s="617"/>
      <c r="CE341" s="617"/>
      <c r="CF341" s="617"/>
      <c r="CG341" s="617"/>
      <c r="CH341" s="617"/>
      <c r="CI341" s="617"/>
      <c r="CJ341" s="617"/>
      <c r="CK341" s="617"/>
      <c r="CL341" s="617"/>
    </row>
    <row r="342" spans="1:90">
      <c r="A342" s="151">
        <f t="shared" ca="1" si="51"/>
        <v>11</v>
      </c>
      <c r="B342" s="113">
        <f t="shared" si="53"/>
        <v>0</v>
      </c>
      <c r="C342" s="150">
        <f t="shared" si="60"/>
        <v>0</v>
      </c>
      <c r="D342" s="565">
        <f t="shared" si="61"/>
        <v>0</v>
      </c>
      <c r="E342" s="306">
        <f t="shared" si="54"/>
        <v>0</v>
      </c>
      <c r="F342" s="306">
        <f t="shared" si="66"/>
        <v>0</v>
      </c>
      <c r="G342" s="307">
        <f t="shared" si="67"/>
        <v>0</v>
      </c>
      <c r="H342" s="306">
        <f>IF(N341&lt;0.01,0,IF(Adm!$S$3=Adm!$S$13,Cal!$E$94,IF(Adm!$R$3=Adm!$R$6,0,IF(Cal!$E$91=0,N341*Adm!$Y$3,N341*Adm!$X$3))))</f>
        <v>0</v>
      </c>
      <c r="I342" s="306">
        <f>IF(N341&lt;0.01,0,IF(Adm!$R$4=Adm!$R$6,0,Cal!$E$89*Adm!$AA$3))</f>
        <v>0</v>
      </c>
      <c r="J342" s="306">
        <f>IF(N341&lt;0.01,0,Adm!$O$3*1.16)</f>
        <v>0</v>
      </c>
      <c r="K342" s="306">
        <f>IF(N341&lt;0.01,0,IF(Adm!$N$3&gt;0,E342*Adm!$N$3,0))</f>
        <v>0</v>
      </c>
      <c r="L342" s="306">
        <f t="shared" si="55"/>
        <v>0</v>
      </c>
      <c r="M342" s="306">
        <f>IF(Adm!$F$3="si",MIN(N341+E342+H342+I342+J342-L342,Z342),0)</f>
        <v>0</v>
      </c>
      <c r="N342" s="306">
        <f t="shared" si="56"/>
        <v>0</v>
      </c>
      <c r="O342" s="361"/>
      <c r="P342" s="114"/>
      <c r="V342" s="571">
        <f t="shared" si="57"/>
        <v>12</v>
      </c>
      <c r="W342" s="293">
        <f>IF(V342=1,Adm!$AN$2,0)</f>
        <v>0</v>
      </c>
      <c r="Y342" s="304">
        <f t="shared" si="62"/>
        <v>0</v>
      </c>
      <c r="Z342" s="345">
        <f t="shared" ca="1" si="58"/>
        <v>0</v>
      </c>
      <c r="AB342" s="640">
        <f t="shared" si="63"/>
        <v>0</v>
      </c>
      <c r="AC342" s="639">
        <f t="shared" si="64"/>
        <v>0</v>
      </c>
      <c r="AD342" s="641">
        <f t="shared" si="59"/>
        <v>0</v>
      </c>
      <c r="AE342" s="639">
        <f t="shared" si="65"/>
        <v>0</v>
      </c>
      <c r="AF342" s="636">
        <f t="shared" si="52"/>
        <v>0</v>
      </c>
      <c r="AG342" s="637" t="e">
        <f>HLOOKUP($AG$110,anticipado,229,0)</f>
        <v>#N/A</v>
      </c>
      <c r="AI342" s="415"/>
      <c r="AJ342" s="415"/>
      <c r="AK342" s="415"/>
      <c r="AL342" s="415"/>
      <c r="AM342" s="415"/>
      <c r="AN342" s="415"/>
      <c r="AO342" s="415"/>
      <c r="AP342" s="415"/>
      <c r="AQ342" s="415"/>
      <c r="AR342" s="415"/>
      <c r="AS342" s="415"/>
      <c r="AT342" s="459"/>
      <c r="AU342" s="459">
        <v>7.3982432113831972E-2</v>
      </c>
      <c r="AV342" s="459">
        <v>7.5491923955133336E-2</v>
      </c>
      <c r="AW342" s="459">
        <v>7.245469521774732E-2</v>
      </c>
      <c r="AX342" s="459">
        <v>7.6715522967750249E-2</v>
      </c>
      <c r="AY342" s="459">
        <v>7.3982432113831972E-2</v>
      </c>
      <c r="AZ342" s="459">
        <v>7.1914197936255378E-2</v>
      </c>
      <c r="BA342" s="459">
        <v>7.4869659804302546E-2</v>
      </c>
      <c r="BB342" s="459">
        <v>7.8036876213222736E-2</v>
      </c>
      <c r="BC342" s="459">
        <v>7.7407609653819182E-2</v>
      </c>
      <c r="BD342" s="459">
        <v>7.5740353448765313E-2</v>
      </c>
      <c r="BE342" s="415">
        <v>7.4248916695755576E-2</v>
      </c>
      <c r="BF342" s="415">
        <v>7.5618201535646037E-2</v>
      </c>
      <c r="BG342" s="415"/>
      <c r="BH342" s="415"/>
      <c r="BI342" s="415"/>
      <c r="BJ342" s="415"/>
      <c r="BK342" s="617"/>
      <c r="BL342" s="617"/>
      <c r="BM342" s="617"/>
      <c r="BN342" s="617"/>
      <c r="BO342" s="617"/>
      <c r="BP342" s="617"/>
      <c r="BQ342" s="617"/>
      <c r="BR342" s="617"/>
      <c r="BS342" s="617"/>
      <c r="BT342" s="617"/>
      <c r="BU342" s="617"/>
      <c r="BV342" s="617"/>
      <c r="BW342" s="617"/>
      <c r="BX342" s="617"/>
      <c r="BY342" s="617"/>
      <c r="BZ342" s="617"/>
      <c r="CA342" s="617"/>
      <c r="CB342" s="617"/>
      <c r="CC342" s="617"/>
      <c r="CD342" s="617"/>
      <c r="CE342" s="617"/>
      <c r="CF342" s="617"/>
      <c r="CG342" s="617"/>
      <c r="CH342" s="617"/>
      <c r="CI342" s="617"/>
      <c r="CJ342" s="617"/>
      <c r="CK342" s="617"/>
      <c r="CL342" s="617"/>
    </row>
    <row r="343" spans="1:90">
      <c r="A343" s="151">
        <f t="shared" ca="1" si="51"/>
        <v>12</v>
      </c>
      <c r="B343" s="113">
        <f t="shared" si="53"/>
        <v>0</v>
      </c>
      <c r="C343" s="150">
        <f t="shared" si="60"/>
        <v>0</v>
      </c>
      <c r="D343" s="565">
        <f t="shared" si="61"/>
        <v>0</v>
      </c>
      <c r="E343" s="306">
        <f t="shared" si="54"/>
        <v>0</v>
      </c>
      <c r="F343" s="306">
        <f t="shared" si="66"/>
        <v>0</v>
      </c>
      <c r="G343" s="307">
        <f t="shared" si="67"/>
        <v>0</v>
      </c>
      <c r="H343" s="306">
        <f>IF(N342&lt;0.01,0,IF(Adm!$S$3=Adm!$S$13,Cal!$E$94,IF(Adm!$R$3=Adm!$R$6,0,IF(Cal!$E$91=0,N342*Adm!$Y$3,N342*Adm!$X$3))))</f>
        <v>0</v>
      </c>
      <c r="I343" s="306">
        <f>IF(N342&lt;0.01,0,IF(Adm!$R$4=Adm!$R$6,0,Cal!$E$89*Adm!$AA$3))</f>
        <v>0</v>
      </c>
      <c r="J343" s="306">
        <f>IF(N342&lt;0.01,0,Adm!$O$3*1.16)</f>
        <v>0</v>
      </c>
      <c r="K343" s="306">
        <f>IF(N342&lt;0.01,0,IF(Adm!$N$3&gt;0,E343*Adm!$N$3,0))</f>
        <v>0</v>
      </c>
      <c r="L343" s="306">
        <f t="shared" si="55"/>
        <v>0</v>
      </c>
      <c r="M343" s="306">
        <f>IF(Adm!$F$3="si",MIN(N342+E343+H343+I343+J343-L343,Z343),0)</f>
        <v>0</v>
      </c>
      <c r="N343" s="306">
        <f t="shared" si="56"/>
        <v>0</v>
      </c>
      <c r="O343" s="361"/>
      <c r="P343" s="114"/>
      <c r="V343" s="571">
        <f t="shared" si="57"/>
        <v>1</v>
      </c>
      <c r="W343" s="293">
        <f>IF(V343=1,Adm!$AN$2,0)</f>
        <v>0</v>
      </c>
      <c r="Y343" s="304">
        <f t="shared" si="62"/>
        <v>0</v>
      </c>
      <c r="Z343" s="345">
        <f t="shared" ca="1" si="58"/>
        <v>0</v>
      </c>
      <c r="AB343" s="640">
        <f t="shared" si="63"/>
        <v>0</v>
      </c>
      <c r="AC343" s="639">
        <f t="shared" si="64"/>
        <v>0</v>
      </c>
      <c r="AD343" s="641">
        <f t="shared" si="59"/>
        <v>0</v>
      </c>
      <c r="AE343" s="639">
        <f t="shared" si="65"/>
        <v>0</v>
      </c>
      <c r="AF343" s="636">
        <f t="shared" si="52"/>
        <v>0</v>
      </c>
      <c r="AG343" s="637" t="e">
        <f>HLOOKUP($AG$110,anticipado,230,0)</f>
        <v>#N/A</v>
      </c>
      <c r="AI343" s="415"/>
      <c r="AJ343" s="415"/>
      <c r="AK343" s="415"/>
      <c r="AL343" s="415"/>
      <c r="AM343" s="415"/>
      <c r="AN343" s="415"/>
      <c r="AO343" s="415"/>
      <c r="AP343" s="415"/>
      <c r="AQ343" s="415"/>
      <c r="AR343" s="415"/>
      <c r="AS343" s="415"/>
      <c r="AT343" s="459"/>
      <c r="AU343" s="459">
        <v>8.1515080948963523E-2</v>
      </c>
      <c r="AV343" s="459">
        <v>8.3342895220769528E-2</v>
      </c>
      <c r="AW343" s="459">
        <v>7.9776405954005397E-2</v>
      </c>
      <c r="AX343" s="459">
        <v>8.473076449252602E-2</v>
      </c>
      <c r="AY343" s="459">
        <v>8.1515080948963523E-2</v>
      </c>
      <c r="AZ343" s="459">
        <v>7.9099197525116405E-2</v>
      </c>
      <c r="BA343" s="459">
        <v>8.2497953821562664E-2</v>
      </c>
      <c r="BB343" s="459">
        <v>8.6308110136432414E-2</v>
      </c>
      <c r="BC343" s="459">
        <v>8.5605032751317769E-2</v>
      </c>
      <c r="BD343" s="459">
        <v>8.3500924301265461E-2</v>
      </c>
      <c r="BE343" s="415">
        <v>8.1744680186012789E-2</v>
      </c>
      <c r="BF343" s="415">
        <v>8.3409407662659321E-2</v>
      </c>
      <c r="BG343" s="415"/>
      <c r="BH343" s="415"/>
      <c r="BI343" s="415"/>
      <c r="BJ343" s="415"/>
      <c r="BK343" s="617"/>
      <c r="BL343" s="617"/>
      <c r="BM343" s="617"/>
      <c r="BN343" s="617"/>
      <c r="BO343" s="617"/>
      <c r="BP343" s="617"/>
      <c r="BQ343" s="617"/>
      <c r="BR343" s="617"/>
      <c r="BS343" s="617"/>
      <c r="BT343" s="617"/>
      <c r="BU343" s="617"/>
      <c r="BV343" s="617"/>
      <c r="BW343" s="617"/>
      <c r="BX343" s="617"/>
      <c r="BY343" s="617"/>
      <c r="BZ343" s="617"/>
      <c r="CA343" s="617"/>
      <c r="CB343" s="617"/>
      <c r="CC343" s="617"/>
      <c r="CD343" s="617"/>
      <c r="CE343" s="617"/>
      <c r="CF343" s="617"/>
      <c r="CG343" s="617"/>
      <c r="CH343" s="617"/>
      <c r="CI343" s="617"/>
      <c r="CJ343" s="617"/>
      <c r="CK343" s="617"/>
      <c r="CL343" s="617"/>
    </row>
    <row r="344" spans="1:90">
      <c r="A344" s="151">
        <f t="shared" ca="1" si="51"/>
        <v>1</v>
      </c>
      <c r="B344" s="113">
        <f t="shared" si="53"/>
        <v>0</v>
      </c>
      <c r="C344" s="150">
        <f t="shared" si="60"/>
        <v>0</v>
      </c>
      <c r="D344" s="565">
        <f t="shared" si="61"/>
        <v>0</v>
      </c>
      <c r="E344" s="306">
        <f t="shared" si="54"/>
        <v>0</v>
      </c>
      <c r="F344" s="306">
        <f t="shared" si="66"/>
        <v>0</v>
      </c>
      <c r="G344" s="307">
        <f t="shared" si="67"/>
        <v>0</v>
      </c>
      <c r="H344" s="306">
        <f>IF(N343&lt;0.01,0,IF(Adm!$S$3=Adm!$S$13,Cal!$E$94,IF(Adm!$R$3=Adm!$R$6,0,IF(Cal!$E$91=0,N343*Adm!$Y$3,N343*Adm!$X$3))))</f>
        <v>0</v>
      </c>
      <c r="I344" s="306">
        <f>IF(N343&lt;0.01,0,IF(Adm!$R$4=Adm!$R$6,0,Cal!$E$89*Adm!$AA$3))</f>
        <v>0</v>
      </c>
      <c r="J344" s="306">
        <f>IF(N343&lt;0.01,0,Adm!$O$3*1.16)</f>
        <v>0</v>
      </c>
      <c r="K344" s="306">
        <f>IF(N343&lt;0.01,0,IF(Adm!$N$3&gt;0,E344*Adm!$N$3,0))</f>
        <v>0</v>
      </c>
      <c r="L344" s="306">
        <f t="shared" si="55"/>
        <v>0</v>
      </c>
      <c r="M344" s="306">
        <f>IF(Adm!$F$3="si",MIN(N343+E344+H344+I344+J344-L344,Z344),0)</f>
        <v>0</v>
      </c>
      <c r="N344" s="306">
        <f t="shared" si="56"/>
        <v>0</v>
      </c>
      <c r="O344" s="361"/>
      <c r="P344" s="114"/>
      <c r="V344" s="571">
        <f t="shared" si="57"/>
        <v>2</v>
      </c>
      <c r="W344" s="293">
        <f>IF(V344=1,Adm!$AN$2,0)</f>
        <v>0</v>
      </c>
      <c r="Y344" s="304">
        <f t="shared" si="62"/>
        <v>0</v>
      </c>
      <c r="Z344" s="345">
        <f t="shared" ca="1" si="58"/>
        <v>0</v>
      </c>
      <c r="AB344" s="640">
        <f t="shared" si="63"/>
        <v>0</v>
      </c>
      <c r="AC344" s="639">
        <f t="shared" si="64"/>
        <v>0</v>
      </c>
      <c r="AD344" s="641">
        <f t="shared" si="59"/>
        <v>0</v>
      </c>
      <c r="AE344" s="639">
        <f t="shared" si="65"/>
        <v>0</v>
      </c>
      <c r="AF344" s="636">
        <f t="shared" si="52"/>
        <v>0</v>
      </c>
      <c r="AG344" s="637" t="e">
        <f>HLOOKUP($AG$110,anticipado,231,0)</f>
        <v>#N/A</v>
      </c>
      <c r="AI344" s="415"/>
      <c r="AJ344" s="415"/>
      <c r="AK344" s="415"/>
      <c r="AL344" s="415"/>
      <c r="AM344" s="415"/>
      <c r="AN344" s="415"/>
      <c r="AO344" s="415"/>
      <c r="AP344" s="415"/>
      <c r="AQ344" s="415"/>
      <c r="AR344" s="415"/>
      <c r="AS344" s="415"/>
      <c r="AT344" s="459"/>
      <c r="AU344" s="459">
        <v>8.9554905695740469E-2</v>
      </c>
      <c r="AV344" s="459">
        <v>9.177588055703001E-2</v>
      </c>
      <c r="AW344" s="459">
        <v>8.7551392615462673E-2</v>
      </c>
      <c r="AX344" s="459">
        <v>9.3373145322523179E-2</v>
      </c>
      <c r="AY344" s="459">
        <v>8.9554905695740469E-2</v>
      </c>
      <c r="AZ344" s="459">
        <v>8.6708558106401948E-2</v>
      </c>
      <c r="BA344" s="459">
        <v>9.0660628190258427E-2</v>
      </c>
      <c r="BB344" s="459">
        <v>9.5271636293172743E-2</v>
      </c>
      <c r="BC344" s="459">
        <v>9.4472813602447248E-2</v>
      </c>
      <c r="BD344" s="459">
        <v>9.1829850696960563E-2</v>
      </c>
      <c r="BE344" s="415">
        <v>8.9744293039924358E-2</v>
      </c>
      <c r="BF344" s="415">
        <v>9.1773130044120202E-2</v>
      </c>
      <c r="BG344" s="415"/>
      <c r="BH344" s="415"/>
      <c r="BI344" s="415"/>
      <c r="BJ344" s="415"/>
      <c r="BK344" s="617"/>
      <c r="BL344" s="617"/>
      <c r="BM344" s="617"/>
      <c r="BN344" s="617"/>
      <c r="BO344" s="617"/>
      <c r="BP344" s="617"/>
      <c r="BQ344" s="617"/>
      <c r="BR344" s="617"/>
      <c r="BS344" s="617"/>
      <c r="BT344" s="617"/>
      <c r="BU344" s="617"/>
      <c r="BV344" s="617"/>
      <c r="BW344" s="617"/>
      <c r="BX344" s="617"/>
      <c r="BY344" s="617"/>
      <c r="BZ344" s="617"/>
      <c r="CA344" s="617"/>
      <c r="CB344" s="617"/>
      <c r="CC344" s="617"/>
      <c r="CD344" s="617"/>
      <c r="CE344" s="617"/>
      <c r="CF344" s="617"/>
      <c r="CG344" s="617"/>
      <c r="CH344" s="617"/>
      <c r="CI344" s="617"/>
      <c r="CJ344" s="617"/>
      <c r="CK344" s="617"/>
      <c r="CL344" s="617"/>
    </row>
    <row r="345" spans="1:90">
      <c r="A345" s="151">
        <f t="shared" ca="1" si="51"/>
        <v>2</v>
      </c>
      <c r="B345" s="113">
        <f t="shared" si="53"/>
        <v>0</v>
      </c>
      <c r="C345" s="150">
        <f t="shared" si="60"/>
        <v>0</v>
      </c>
      <c r="D345" s="565">
        <f t="shared" si="61"/>
        <v>0</v>
      </c>
      <c r="E345" s="306">
        <f t="shared" si="54"/>
        <v>0</v>
      </c>
      <c r="F345" s="306">
        <f t="shared" si="66"/>
        <v>0</v>
      </c>
      <c r="G345" s="307">
        <f t="shared" si="67"/>
        <v>0</v>
      </c>
      <c r="H345" s="306">
        <f>IF(N344&lt;0.01,0,IF(Adm!$S$3=Adm!$S$13,Cal!$E$94,IF(Adm!$R$3=Adm!$R$6,0,IF(Cal!$E$91=0,N344*Adm!$Y$3,N344*Adm!$X$3))))</f>
        <v>0</v>
      </c>
      <c r="I345" s="306">
        <f>IF(N344&lt;0.01,0,IF(Adm!$R$4=Adm!$R$6,0,Cal!$E$89*Adm!$AA$3))</f>
        <v>0</v>
      </c>
      <c r="J345" s="306">
        <f>IF(N344&lt;0.01,0,Adm!$O$3*1.16)</f>
        <v>0</v>
      </c>
      <c r="K345" s="306">
        <f>IF(N344&lt;0.01,0,IF(Adm!$N$3&gt;0,E345*Adm!$N$3,0))</f>
        <v>0</v>
      </c>
      <c r="L345" s="306">
        <f t="shared" si="55"/>
        <v>0</v>
      </c>
      <c r="M345" s="306">
        <f>IF(Adm!$F$3="si",MIN(N344+E345+H345+I345+J345-L345,Z345),0)</f>
        <v>0</v>
      </c>
      <c r="N345" s="306">
        <f t="shared" si="56"/>
        <v>0</v>
      </c>
      <c r="O345" s="361"/>
      <c r="P345" s="114"/>
      <c r="V345" s="571">
        <f t="shared" si="57"/>
        <v>3</v>
      </c>
      <c r="W345" s="293">
        <f>IF(V345=1,Adm!$AN$2,0)</f>
        <v>0</v>
      </c>
      <c r="Y345" s="304">
        <f t="shared" si="62"/>
        <v>0</v>
      </c>
      <c r="Z345" s="345">
        <f t="shared" ca="1" si="58"/>
        <v>0</v>
      </c>
      <c r="AB345" s="640">
        <f t="shared" si="63"/>
        <v>0</v>
      </c>
      <c r="AC345" s="639">
        <f t="shared" si="64"/>
        <v>0</v>
      </c>
      <c r="AD345" s="641">
        <f t="shared" si="59"/>
        <v>0</v>
      </c>
      <c r="AE345" s="639">
        <f t="shared" si="65"/>
        <v>0</v>
      </c>
      <c r="AF345" s="636">
        <f t="shared" si="52"/>
        <v>0</v>
      </c>
      <c r="AG345" s="637" t="e">
        <f>HLOOKUP($AG$110,anticipado,232,0)</f>
        <v>#N/A</v>
      </c>
      <c r="AI345" s="415"/>
      <c r="AJ345" s="415"/>
      <c r="AK345" s="415"/>
      <c r="AL345" s="415"/>
      <c r="AM345" s="415"/>
      <c r="AN345" s="415"/>
      <c r="AO345" s="415"/>
      <c r="AP345" s="415"/>
      <c r="AQ345" s="415"/>
      <c r="AR345" s="415"/>
      <c r="AS345" s="415"/>
      <c r="AT345" s="459"/>
      <c r="AU345" s="459">
        <v>9.9256525220761491E-2</v>
      </c>
      <c r="AV345" s="459">
        <v>0.10200052679738134</v>
      </c>
      <c r="AW345" s="459">
        <v>9.6902861467168033E-2</v>
      </c>
      <c r="AX345" s="459">
        <v>0.10387789443368406</v>
      </c>
      <c r="AY345" s="459">
        <v>9.9256525220761491E-2</v>
      </c>
      <c r="AZ345" s="459">
        <v>9.5841877873736797E-2</v>
      </c>
      <c r="BA345" s="459">
        <v>0.10052528596869498</v>
      </c>
      <c r="BB345" s="459">
        <v>0.10620799386789916</v>
      </c>
      <c r="BC345" s="459">
        <v>0.10528020824243753</v>
      </c>
      <c r="BD345" s="459">
        <v>0.10191574462782048</v>
      </c>
      <c r="BE345" s="415">
        <v>9.9392639738465557E-2</v>
      </c>
      <c r="BF345" s="415">
        <v>0.10190537707169058</v>
      </c>
      <c r="BG345" s="415"/>
      <c r="BH345" s="415"/>
      <c r="BI345" s="415"/>
      <c r="BJ345" s="415"/>
      <c r="BK345" s="617"/>
      <c r="BL345" s="617"/>
      <c r="BM345" s="617"/>
      <c r="BN345" s="617"/>
      <c r="BO345" s="617"/>
      <c r="BP345" s="617"/>
      <c r="BQ345" s="617"/>
      <c r="BR345" s="617"/>
      <c r="BS345" s="617"/>
      <c r="BT345" s="617"/>
      <c r="BU345" s="617"/>
      <c r="BV345" s="617"/>
      <c r="BW345" s="617"/>
      <c r="BX345" s="617"/>
      <c r="BY345" s="617"/>
      <c r="BZ345" s="617"/>
      <c r="CA345" s="617"/>
      <c r="CB345" s="617"/>
      <c r="CC345" s="617"/>
      <c r="CD345" s="617"/>
      <c r="CE345" s="617"/>
      <c r="CF345" s="617"/>
      <c r="CG345" s="617"/>
      <c r="CH345" s="617"/>
      <c r="CI345" s="617"/>
      <c r="CJ345" s="617"/>
      <c r="CK345" s="617"/>
      <c r="CL345" s="617"/>
    </row>
    <row r="346" spans="1:90">
      <c r="A346" s="151">
        <f t="shared" ca="1" si="51"/>
        <v>3</v>
      </c>
      <c r="B346" s="113">
        <f t="shared" si="53"/>
        <v>0</v>
      </c>
      <c r="C346" s="150">
        <f t="shared" si="60"/>
        <v>0</v>
      </c>
      <c r="D346" s="565">
        <f t="shared" si="61"/>
        <v>0</v>
      </c>
      <c r="E346" s="306">
        <f t="shared" si="54"/>
        <v>0</v>
      </c>
      <c r="F346" s="306">
        <f t="shared" si="66"/>
        <v>0</v>
      </c>
      <c r="G346" s="307">
        <f t="shared" si="67"/>
        <v>0</v>
      </c>
      <c r="H346" s="306">
        <f>IF(N345&lt;0.01,0,IF(Adm!$S$3=Adm!$S$13,Cal!$E$94,IF(Adm!$R$3=Adm!$R$6,0,IF(Cal!$E$91=0,N345*Adm!$Y$3,N345*Adm!$X$3))))</f>
        <v>0</v>
      </c>
      <c r="I346" s="306">
        <f>IF(N345&lt;0.01,0,IF(Adm!$R$4=Adm!$R$6,0,Cal!$E$89*Adm!$AA$3))</f>
        <v>0</v>
      </c>
      <c r="J346" s="306">
        <f>IF(N345&lt;0.01,0,Adm!$O$3*1.16)</f>
        <v>0</v>
      </c>
      <c r="K346" s="306">
        <f>IF(N345&lt;0.01,0,IF(Adm!$N$3&gt;0,E346*Adm!$N$3,0))</f>
        <v>0</v>
      </c>
      <c r="L346" s="306">
        <f t="shared" si="55"/>
        <v>0</v>
      </c>
      <c r="M346" s="306">
        <f>IF(Adm!$F$3="si",MIN(N345+E346+H346+I346+J346-L346,Z346),0)</f>
        <v>0</v>
      </c>
      <c r="N346" s="306">
        <f t="shared" si="56"/>
        <v>0</v>
      </c>
      <c r="O346" s="361"/>
      <c r="P346" s="114"/>
      <c r="V346" s="571">
        <f t="shared" si="57"/>
        <v>4</v>
      </c>
      <c r="W346" s="293">
        <f>IF(V346=1,Adm!$AN$2,0)</f>
        <v>0</v>
      </c>
      <c r="Y346" s="304">
        <f t="shared" si="62"/>
        <v>0</v>
      </c>
      <c r="Z346" s="345">
        <f t="shared" ca="1" si="58"/>
        <v>0</v>
      </c>
      <c r="AB346" s="640">
        <f t="shared" si="63"/>
        <v>0</v>
      </c>
      <c r="AC346" s="639">
        <f t="shared" si="64"/>
        <v>0</v>
      </c>
      <c r="AD346" s="641">
        <f t="shared" si="59"/>
        <v>0</v>
      </c>
      <c r="AE346" s="639">
        <f t="shared" si="65"/>
        <v>0</v>
      </c>
      <c r="AF346" s="636">
        <f t="shared" si="52"/>
        <v>0</v>
      </c>
      <c r="AG346" s="637" t="e">
        <f>HLOOKUP($AG$110,anticipado,233,0)</f>
        <v>#N/A</v>
      </c>
      <c r="AI346" s="415"/>
      <c r="AJ346" s="415"/>
      <c r="AK346" s="415"/>
      <c r="AL346" s="415"/>
      <c r="AM346" s="415"/>
      <c r="AN346" s="415"/>
      <c r="AO346" s="415"/>
      <c r="AP346" s="415"/>
      <c r="AQ346" s="415"/>
      <c r="AR346" s="415"/>
      <c r="AS346" s="415"/>
      <c r="AT346" s="459"/>
      <c r="AU346" s="459">
        <v>0.11119400916191732</v>
      </c>
      <c r="AV346" s="459">
        <v>0.11465505807756242</v>
      </c>
      <c r="AW346" s="459">
        <v>0.10836376635909446</v>
      </c>
      <c r="AX346" s="459">
        <v>0.11691915713535646</v>
      </c>
      <c r="AY346" s="459">
        <v>0.11119400916191732</v>
      </c>
      <c r="AZ346" s="459">
        <v>0.1070073637160897</v>
      </c>
      <c r="BA346" s="459">
        <v>0.11268573628549465</v>
      </c>
      <c r="BB346" s="459">
        <v>0.11984847900519248</v>
      </c>
      <c r="BC346" s="459">
        <v>0.11874110060635427</v>
      </c>
      <c r="BD346" s="459">
        <v>0.11437966648636357</v>
      </c>
      <c r="BE346" s="415">
        <v>0.11125755916012622</v>
      </c>
      <c r="BF346" s="415">
        <v>0.11443290066886827</v>
      </c>
      <c r="BG346" s="415"/>
      <c r="BH346" s="415"/>
      <c r="BI346" s="415"/>
      <c r="BJ346" s="415"/>
      <c r="BK346" s="617"/>
      <c r="BL346" s="617"/>
      <c r="BM346" s="617"/>
      <c r="BN346" s="617"/>
      <c r="BO346" s="617"/>
      <c r="BP346" s="617"/>
      <c r="BQ346" s="617"/>
      <c r="BR346" s="617"/>
      <c r="BS346" s="617"/>
      <c r="BT346" s="617"/>
      <c r="BU346" s="617"/>
      <c r="BV346" s="617"/>
      <c r="BW346" s="617"/>
      <c r="BX346" s="617"/>
      <c r="BY346" s="617"/>
      <c r="BZ346" s="617"/>
      <c r="CA346" s="617"/>
      <c r="CB346" s="617"/>
      <c r="CC346" s="617"/>
      <c r="CD346" s="617"/>
      <c r="CE346" s="617"/>
      <c r="CF346" s="617"/>
      <c r="CG346" s="617"/>
      <c r="CH346" s="617"/>
      <c r="CI346" s="617"/>
      <c r="CJ346" s="617"/>
      <c r="CK346" s="617"/>
      <c r="CL346" s="617"/>
    </row>
    <row r="347" spans="1:90">
      <c r="A347" s="151">
        <f t="shared" ca="1" si="51"/>
        <v>4</v>
      </c>
      <c r="B347" s="113">
        <f t="shared" si="53"/>
        <v>0</v>
      </c>
      <c r="C347" s="150">
        <f t="shared" si="60"/>
        <v>0</v>
      </c>
      <c r="D347" s="565">
        <f t="shared" si="61"/>
        <v>0</v>
      </c>
      <c r="E347" s="306">
        <f t="shared" si="54"/>
        <v>0</v>
      </c>
      <c r="F347" s="306">
        <f t="shared" si="66"/>
        <v>0</v>
      </c>
      <c r="G347" s="307">
        <f t="shared" si="67"/>
        <v>0</v>
      </c>
      <c r="H347" s="306">
        <f>IF(N346&lt;0.01,0,IF(Adm!$S$3=Adm!$S$13,Cal!$E$94,IF(Adm!$R$3=Adm!$R$6,0,IF(Cal!$E$91=0,N346*Adm!$Y$3,N346*Adm!$X$3))))</f>
        <v>0</v>
      </c>
      <c r="I347" s="306">
        <f>IF(N346&lt;0.01,0,IF(Adm!$R$4=Adm!$R$6,0,Cal!$E$89*Adm!$AA$3))</f>
        <v>0</v>
      </c>
      <c r="J347" s="306">
        <f>IF(N346&lt;0.01,0,Adm!$O$3*1.16)</f>
        <v>0</v>
      </c>
      <c r="K347" s="306">
        <f>IF(N346&lt;0.01,0,IF(Adm!$N$3&gt;0,E347*Adm!$N$3,0))</f>
        <v>0</v>
      </c>
      <c r="L347" s="306">
        <f t="shared" si="55"/>
        <v>0</v>
      </c>
      <c r="M347" s="306">
        <f>IF(Adm!$F$3="si",MIN(N346+E347+H347+I347+J347-L347,Z347),0)</f>
        <v>0</v>
      </c>
      <c r="N347" s="306">
        <f t="shared" si="56"/>
        <v>0</v>
      </c>
      <c r="O347" s="361"/>
      <c r="P347" s="114"/>
      <c r="V347" s="571">
        <f t="shared" si="57"/>
        <v>5</v>
      </c>
      <c r="W347" s="293">
        <f>IF(V347=1,Adm!$AN$2,0)</f>
        <v>0</v>
      </c>
      <c r="Y347" s="304">
        <f t="shared" si="62"/>
        <v>0</v>
      </c>
      <c r="Z347" s="345">
        <f t="shared" ca="1" si="58"/>
        <v>0</v>
      </c>
      <c r="AB347" s="640">
        <f t="shared" si="63"/>
        <v>0</v>
      </c>
      <c r="AC347" s="639">
        <f t="shared" si="64"/>
        <v>0</v>
      </c>
      <c r="AD347" s="641">
        <f t="shared" si="59"/>
        <v>0</v>
      </c>
      <c r="AE347" s="639">
        <f t="shared" si="65"/>
        <v>0</v>
      </c>
      <c r="AF347" s="636">
        <f t="shared" si="52"/>
        <v>0</v>
      </c>
      <c r="AG347" s="637" t="e">
        <f>HLOOKUP($AG$110,anticipado,234,0)</f>
        <v>#N/A</v>
      </c>
      <c r="AI347" s="415"/>
      <c r="AJ347" s="415"/>
      <c r="AK347" s="415"/>
      <c r="AL347" s="415"/>
      <c r="AM347" s="415"/>
      <c r="AN347" s="415"/>
      <c r="AO347" s="415"/>
      <c r="AP347" s="415"/>
      <c r="AQ347" s="415"/>
      <c r="AR347" s="415"/>
      <c r="AS347" s="415"/>
      <c r="AT347" s="459"/>
      <c r="AU347" s="459">
        <v>0.12624025484938728</v>
      </c>
      <c r="AV347" s="459">
        <v>0.13072167197454651</v>
      </c>
      <c r="AW347" s="459">
        <v>0.12273780107674524</v>
      </c>
      <c r="AX347" s="459">
        <v>0.13354109741878362</v>
      </c>
      <c r="AY347" s="459">
        <v>0.12624025484938728</v>
      </c>
      <c r="AZ347" s="459">
        <v>0.12096744984694104</v>
      </c>
      <c r="BA347" s="459">
        <v>0.12804837524579296</v>
      </c>
      <c r="BB347" s="459">
        <v>0.13733678300454832</v>
      </c>
      <c r="BC347" s="459">
        <v>0.13596869628512206</v>
      </c>
      <c r="BD347" s="459">
        <v>0.1301744865341955</v>
      </c>
      <c r="BE347" s="415">
        <v>0.12620146684565062</v>
      </c>
      <c r="BF347" s="415">
        <v>0.13031827900078879</v>
      </c>
      <c r="BG347" s="415"/>
      <c r="BH347" s="415"/>
      <c r="BI347" s="415"/>
      <c r="BJ347" s="415"/>
      <c r="BK347" s="617"/>
      <c r="BL347" s="617"/>
      <c r="BM347" s="617"/>
      <c r="BN347" s="617"/>
      <c r="BO347" s="617"/>
      <c r="BP347" s="617"/>
      <c r="BQ347" s="617"/>
      <c r="BR347" s="617"/>
      <c r="BS347" s="617"/>
      <c r="BT347" s="617"/>
      <c r="BU347" s="617"/>
      <c r="BV347" s="617"/>
      <c r="BW347" s="617"/>
      <c r="BX347" s="617"/>
      <c r="BY347" s="617"/>
      <c r="BZ347" s="617"/>
      <c r="CA347" s="617"/>
      <c r="CB347" s="617"/>
      <c r="CC347" s="617"/>
      <c r="CD347" s="617"/>
      <c r="CE347" s="617"/>
      <c r="CF347" s="617"/>
      <c r="CG347" s="617"/>
      <c r="CH347" s="617"/>
      <c r="CI347" s="617"/>
      <c r="CJ347" s="617"/>
      <c r="CK347" s="617"/>
      <c r="CL347" s="617"/>
    </row>
    <row r="348" spans="1:90">
      <c r="A348" s="151">
        <f t="shared" ca="1" si="51"/>
        <v>5</v>
      </c>
      <c r="B348" s="113">
        <f t="shared" si="53"/>
        <v>0</v>
      </c>
      <c r="C348" s="150">
        <f t="shared" si="60"/>
        <v>0</v>
      </c>
      <c r="D348" s="565">
        <f t="shared" si="61"/>
        <v>0</v>
      </c>
      <c r="E348" s="306">
        <f t="shared" si="54"/>
        <v>0</v>
      </c>
      <c r="F348" s="306">
        <f t="shared" si="66"/>
        <v>0</v>
      </c>
      <c r="G348" s="307">
        <f t="shared" si="67"/>
        <v>0</v>
      </c>
      <c r="H348" s="306">
        <f>IF(N347&lt;0.01,0,IF(Adm!$S$3=Adm!$S$13,Cal!$E$94,IF(Adm!$R$3=Adm!$R$6,0,IF(Cal!$E$91=0,N347*Adm!$Y$3,N347*Adm!$X$3))))</f>
        <v>0</v>
      </c>
      <c r="I348" s="306">
        <f>IF(N347&lt;0.01,0,IF(Adm!$R$4=Adm!$R$6,0,Cal!$E$89*Adm!$AA$3))</f>
        <v>0</v>
      </c>
      <c r="J348" s="306">
        <f>IF(N347&lt;0.01,0,Adm!$O$3*1.16)</f>
        <v>0</v>
      </c>
      <c r="K348" s="306">
        <f>IF(N347&lt;0.01,0,IF(Adm!$N$3&gt;0,E348*Adm!$N$3,0))</f>
        <v>0</v>
      </c>
      <c r="L348" s="306">
        <f t="shared" si="55"/>
        <v>0</v>
      </c>
      <c r="M348" s="306">
        <f>IF(Adm!$F$3="si",MIN(N347+E348+H348+I348+J348-L348,Z348),0)</f>
        <v>0</v>
      </c>
      <c r="N348" s="306">
        <f t="shared" si="56"/>
        <v>0</v>
      </c>
      <c r="O348" s="361"/>
      <c r="P348" s="114"/>
      <c r="V348" s="571">
        <f t="shared" si="57"/>
        <v>6</v>
      </c>
      <c r="W348" s="293">
        <f>IF(V348=1,Adm!$AN$2,0)</f>
        <v>0</v>
      </c>
      <c r="Y348" s="304">
        <f t="shared" si="62"/>
        <v>0</v>
      </c>
      <c r="Z348" s="345">
        <f t="shared" ca="1" si="58"/>
        <v>0</v>
      </c>
      <c r="AB348" s="640">
        <f t="shared" si="63"/>
        <v>0</v>
      </c>
      <c r="AC348" s="639">
        <f t="shared" si="64"/>
        <v>0</v>
      </c>
      <c r="AD348" s="641">
        <f t="shared" si="59"/>
        <v>0</v>
      </c>
      <c r="AE348" s="639">
        <f t="shared" si="65"/>
        <v>0</v>
      </c>
      <c r="AF348" s="636">
        <f t="shared" si="52"/>
        <v>0</v>
      </c>
      <c r="AG348" s="637" t="e">
        <f>HLOOKUP($AG$110,anticipado,235,0)</f>
        <v>#N/A</v>
      </c>
      <c r="AI348" s="415"/>
      <c r="AJ348" s="415"/>
      <c r="AK348" s="415"/>
      <c r="AL348" s="415"/>
      <c r="AM348" s="415"/>
      <c r="AN348" s="415"/>
      <c r="AO348" s="415"/>
      <c r="AP348" s="415"/>
      <c r="AQ348" s="415"/>
      <c r="AR348" s="415"/>
      <c r="AS348" s="415"/>
      <c r="AT348" s="459"/>
      <c r="AU348" s="459">
        <v>0.14579051720926736</v>
      </c>
      <c r="AV348" s="459">
        <v>0.15179435720904111</v>
      </c>
      <c r="AW348" s="459">
        <v>0.14129632882227702</v>
      </c>
      <c r="AX348" s="459">
        <v>0.15545213856394691</v>
      </c>
      <c r="AY348" s="459">
        <v>0.14579051720926736</v>
      </c>
      <c r="AZ348" s="459">
        <v>0.13892048996040235</v>
      </c>
      <c r="BA348" s="459">
        <v>0.1480690430012559</v>
      </c>
      <c r="BB348" s="459">
        <v>0.16056740065310371</v>
      </c>
      <c r="BC348" s="459">
        <v>0.15880012330147261</v>
      </c>
      <c r="BD348" s="459">
        <v>0.15084063702593298</v>
      </c>
      <c r="BE348" s="415">
        <v>0.1456008419075793</v>
      </c>
      <c r="BF348" s="415">
        <v>0.15111963514801147</v>
      </c>
      <c r="BG348" s="415"/>
      <c r="BH348" s="415"/>
      <c r="BI348" s="415"/>
      <c r="BJ348" s="415"/>
      <c r="BK348" s="617"/>
      <c r="BL348" s="617"/>
      <c r="BM348" s="617"/>
      <c r="BN348" s="617"/>
      <c r="BO348" s="617"/>
      <c r="BP348" s="617"/>
      <c r="BQ348" s="617"/>
      <c r="BR348" s="617"/>
      <c r="BS348" s="617"/>
      <c r="BT348" s="617"/>
      <c r="BU348" s="617"/>
      <c r="BV348" s="617"/>
      <c r="BW348" s="617"/>
      <c r="BX348" s="617"/>
      <c r="BY348" s="617"/>
      <c r="BZ348" s="617"/>
      <c r="CA348" s="617"/>
      <c r="CB348" s="617"/>
      <c r="CC348" s="617"/>
      <c r="CD348" s="617"/>
      <c r="CE348" s="617"/>
      <c r="CF348" s="617"/>
      <c r="CG348" s="617"/>
      <c r="CH348" s="617"/>
      <c r="CI348" s="617"/>
      <c r="CJ348" s="617"/>
      <c r="CK348" s="617"/>
      <c r="CL348" s="617"/>
    </row>
    <row r="349" spans="1:90">
      <c r="A349" s="151">
        <f t="shared" ca="1" si="51"/>
        <v>6</v>
      </c>
      <c r="B349" s="113">
        <f t="shared" si="53"/>
        <v>0</v>
      </c>
      <c r="C349" s="150">
        <f t="shared" si="60"/>
        <v>0</v>
      </c>
      <c r="D349" s="565">
        <f t="shared" si="61"/>
        <v>0</v>
      </c>
      <c r="E349" s="306">
        <f t="shared" si="54"/>
        <v>0</v>
      </c>
      <c r="F349" s="306">
        <f t="shared" si="66"/>
        <v>0</v>
      </c>
      <c r="G349" s="307">
        <f t="shared" si="67"/>
        <v>0</v>
      </c>
      <c r="H349" s="306">
        <f>IF(N348&lt;0.01,0,IF(Adm!$S$3=Adm!$S$13,Cal!$E$94,IF(Adm!$R$3=Adm!$R$6,0,IF(Cal!$E$91=0,N348*Adm!$Y$3,N348*Adm!$X$3))))</f>
        <v>0</v>
      </c>
      <c r="I349" s="306">
        <f>IF(N348&lt;0.01,0,IF(Adm!$R$4=Adm!$R$6,0,Cal!$E$89*Adm!$AA$3))</f>
        <v>0</v>
      </c>
      <c r="J349" s="306">
        <f>IF(N348&lt;0.01,0,Adm!$O$3*1.16)</f>
        <v>0</v>
      </c>
      <c r="K349" s="306">
        <f>IF(N348&lt;0.01,0,IF(Adm!$N$3&gt;0,E349*Adm!$N$3,0))</f>
        <v>0</v>
      </c>
      <c r="L349" s="306">
        <f t="shared" si="55"/>
        <v>0</v>
      </c>
      <c r="M349" s="306">
        <f>IF(Adm!$F$3="si",MIN(N348+E349+H349+I349+J349-L349,Z349),0)</f>
        <v>0</v>
      </c>
      <c r="N349" s="306">
        <f t="shared" si="56"/>
        <v>0</v>
      </c>
      <c r="O349" s="361"/>
      <c r="P349" s="114"/>
      <c r="V349" s="571">
        <f t="shared" si="57"/>
        <v>7</v>
      </c>
      <c r="W349" s="293">
        <f>IF(V349=1,Adm!$AN$2,0)</f>
        <v>0</v>
      </c>
      <c r="Y349" s="304">
        <f t="shared" si="62"/>
        <v>0</v>
      </c>
      <c r="Z349" s="345">
        <f t="shared" ca="1" si="58"/>
        <v>0</v>
      </c>
      <c r="AB349" s="640">
        <f t="shared" si="63"/>
        <v>0</v>
      </c>
      <c r="AC349" s="639">
        <f t="shared" si="64"/>
        <v>0</v>
      </c>
      <c r="AD349" s="641">
        <f t="shared" si="59"/>
        <v>0</v>
      </c>
      <c r="AE349" s="639">
        <f t="shared" si="65"/>
        <v>0</v>
      </c>
      <c r="AF349" s="636">
        <f t="shared" si="52"/>
        <v>0</v>
      </c>
      <c r="AG349" s="637" t="e">
        <f>HLOOKUP($AG$110,anticipado,236,0)</f>
        <v>#N/A</v>
      </c>
      <c r="AI349" s="415"/>
      <c r="AJ349" s="415"/>
      <c r="AK349" s="415"/>
      <c r="AL349" s="415"/>
      <c r="AM349" s="415"/>
      <c r="AN349" s="415"/>
      <c r="AO349" s="415"/>
      <c r="AP349" s="415"/>
      <c r="AQ349" s="415"/>
      <c r="AR349" s="415"/>
      <c r="AS349" s="415"/>
      <c r="AT349" s="459"/>
      <c r="AU349" s="459">
        <v>0.17222188364418087</v>
      </c>
      <c r="AV349" s="459">
        <v>0.18064309100280848</v>
      </c>
      <c r="AW349" s="459">
        <v>0.16617646428751676</v>
      </c>
      <c r="AX349" s="459">
        <v>0.18565308186613991</v>
      </c>
      <c r="AY349" s="459">
        <v>0.17222188364418087</v>
      </c>
      <c r="AZ349" s="459">
        <v>0.1628642596986514</v>
      </c>
      <c r="BA349" s="459">
        <v>0.17524371783217527</v>
      </c>
      <c r="BB349" s="459">
        <v>0.19292270076403362</v>
      </c>
      <c r="BC349" s="459">
        <v>0.19049913763797183</v>
      </c>
      <c r="BD349" s="459">
        <v>0.17904153059865402</v>
      </c>
      <c r="BE349" s="415">
        <v>0.17179632495828329</v>
      </c>
      <c r="BF349" s="415">
        <v>0.17953548975460504</v>
      </c>
      <c r="BG349" s="415"/>
      <c r="BH349" s="415"/>
      <c r="BI349" s="415"/>
      <c r="BJ349" s="415"/>
      <c r="BK349" s="617"/>
      <c r="BL349" s="617"/>
      <c r="BM349" s="617"/>
      <c r="BN349" s="617"/>
      <c r="BO349" s="617"/>
      <c r="BP349" s="617"/>
      <c r="BQ349" s="617"/>
      <c r="BR349" s="617"/>
      <c r="BS349" s="617"/>
      <c r="BT349" s="617"/>
      <c r="BU349" s="617"/>
      <c r="BV349" s="617"/>
      <c r="BW349" s="617"/>
      <c r="BX349" s="617"/>
      <c r="BY349" s="617"/>
      <c r="BZ349" s="617"/>
      <c r="CA349" s="617"/>
      <c r="CB349" s="617"/>
      <c r="CC349" s="617"/>
      <c r="CD349" s="617"/>
      <c r="CE349" s="617"/>
      <c r="CF349" s="617"/>
      <c r="CG349" s="617"/>
      <c r="CH349" s="617"/>
      <c r="CI349" s="617"/>
      <c r="CJ349" s="617"/>
      <c r="CK349" s="617"/>
      <c r="CL349" s="617"/>
    </row>
    <row r="350" spans="1:90">
      <c r="A350" s="151">
        <f t="shared" ca="1" si="51"/>
        <v>7</v>
      </c>
      <c r="B350" s="113">
        <f t="shared" si="53"/>
        <v>0</v>
      </c>
      <c r="C350" s="150">
        <f t="shared" si="60"/>
        <v>0</v>
      </c>
      <c r="D350" s="565">
        <f t="shared" si="61"/>
        <v>0</v>
      </c>
      <c r="E350" s="306">
        <f t="shared" si="54"/>
        <v>0</v>
      </c>
      <c r="F350" s="306">
        <f t="shared" si="66"/>
        <v>0</v>
      </c>
      <c r="G350" s="307">
        <f t="shared" si="67"/>
        <v>0</v>
      </c>
      <c r="H350" s="306">
        <f>IF(N349&lt;0.01,0,IF(Adm!$S$3=Adm!$S$13,Cal!$E$94,IF(Adm!$R$3=Adm!$R$6,0,IF(Cal!$E$91=0,N349*Adm!$Y$3,N349*Adm!$X$3))))</f>
        <v>0</v>
      </c>
      <c r="I350" s="306">
        <f>IF(N349&lt;0.01,0,IF(Adm!$R$4=Adm!$R$6,0,Cal!$E$89*Adm!$AA$3))</f>
        <v>0</v>
      </c>
      <c r="J350" s="306">
        <f>IF(N349&lt;0.01,0,Adm!$O$3*1.16)</f>
        <v>0</v>
      </c>
      <c r="K350" s="306">
        <f>IF(N349&lt;0.01,0,IF(Adm!$N$3&gt;0,E350*Adm!$N$3,0))</f>
        <v>0</v>
      </c>
      <c r="L350" s="306">
        <f t="shared" si="55"/>
        <v>0</v>
      </c>
      <c r="M350" s="306">
        <f>IF(Adm!$F$3="si",MIN(N349+E350+H350+I350+J350-L350,Z350),0)</f>
        <v>0</v>
      </c>
      <c r="N350" s="306">
        <f t="shared" si="56"/>
        <v>0</v>
      </c>
      <c r="O350" s="361"/>
      <c r="P350" s="114"/>
      <c r="V350" s="571">
        <f t="shared" si="57"/>
        <v>8</v>
      </c>
      <c r="W350" s="293">
        <f>IF(V350=1,Adm!$AN$2,0)</f>
        <v>0</v>
      </c>
      <c r="Y350" s="304">
        <f t="shared" si="62"/>
        <v>0</v>
      </c>
      <c r="Z350" s="345">
        <f t="shared" ca="1" si="58"/>
        <v>0</v>
      </c>
      <c r="AB350" s="640">
        <f t="shared" si="63"/>
        <v>0</v>
      </c>
      <c r="AC350" s="639">
        <f t="shared" si="64"/>
        <v>0</v>
      </c>
      <c r="AD350" s="641">
        <f t="shared" si="59"/>
        <v>0</v>
      </c>
      <c r="AE350" s="639">
        <f t="shared" si="65"/>
        <v>0</v>
      </c>
      <c r="AF350" s="636">
        <f t="shared" si="52"/>
        <v>0</v>
      </c>
      <c r="AG350" s="637" t="e">
        <f>HLOOKUP($AG$110,anticipado,237,0)</f>
        <v>#N/A</v>
      </c>
      <c r="AI350" s="415"/>
      <c r="AJ350" s="415"/>
      <c r="AK350" s="415"/>
      <c r="AL350" s="415"/>
      <c r="AM350" s="415"/>
      <c r="AN350" s="415"/>
      <c r="AO350" s="415"/>
      <c r="AP350" s="415"/>
      <c r="AQ350" s="415"/>
      <c r="AR350" s="415"/>
      <c r="AS350" s="415"/>
      <c r="AT350" s="459"/>
      <c r="AU350" s="459">
        <v>0.20994127992089937</v>
      </c>
      <c r="AV350" s="459">
        <v>0.22254360635159004</v>
      </c>
      <c r="AW350" s="459">
        <v>0.20126920013649091</v>
      </c>
      <c r="AX350" s="459">
        <v>0.22994418659598223</v>
      </c>
      <c r="AY350" s="459">
        <v>0.20994127992089937</v>
      </c>
      <c r="AZ350" s="459">
        <v>0.19639600252217251</v>
      </c>
      <c r="BA350" s="459">
        <v>0.21423943506937376</v>
      </c>
      <c r="BB350" s="459">
        <v>0.24109043928810711</v>
      </c>
      <c r="BC350" s="459">
        <v>0.23747455217673652</v>
      </c>
      <c r="BD350" s="459">
        <v>0.21981494733526102</v>
      </c>
      <c r="BE350" s="415">
        <v>0.2091161192369792</v>
      </c>
      <c r="BF350" s="415">
        <v>0.22068174693304524</v>
      </c>
      <c r="BG350" s="415"/>
      <c r="BH350" s="415"/>
      <c r="BI350" s="415"/>
      <c r="BJ350" s="415"/>
      <c r="BK350" s="617"/>
      <c r="BL350" s="617"/>
      <c r="BM350" s="617"/>
      <c r="BN350" s="617"/>
      <c r="BO350" s="617"/>
      <c r="BP350" s="617"/>
      <c r="BQ350" s="617"/>
      <c r="BR350" s="617"/>
      <c r="BS350" s="617"/>
      <c r="BT350" s="617"/>
      <c r="BU350" s="617"/>
      <c r="BV350" s="617"/>
      <c r="BW350" s="617"/>
      <c r="BX350" s="617"/>
      <c r="BY350" s="617"/>
      <c r="BZ350" s="617"/>
      <c r="CA350" s="617"/>
      <c r="CB350" s="617"/>
      <c r="CC350" s="617"/>
      <c r="CD350" s="617"/>
      <c r="CE350" s="617"/>
      <c r="CF350" s="617"/>
      <c r="CG350" s="617"/>
      <c r="CH350" s="617"/>
      <c r="CI350" s="617"/>
      <c r="CJ350" s="617"/>
      <c r="CK350" s="617"/>
      <c r="CL350" s="617"/>
    </row>
    <row r="351" spans="1:90">
      <c r="A351" s="151">
        <f t="shared" ca="1" si="51"/>
        <v>8</v>
      </c>
      <c r="B351" s="113">
        <f t="shared" si="53"/>
        <v>0</v>
      </c>
      <c r="C351" s="150">
        <f t="shared" si="60"/>
        <v>0</v>
      </c>
      <c r="D351" s="565">
        <f t="shared" si="61"/>
        <v>0</v>
      </c>
      <c r="E351" s="306">
        <f t="shared" si="54"/>
        <v>0</v>
      </c>
      <c r="F351" s="306">
        <f t="shared" si="66"/>
        <v>0</v>
      </c>
      <c r="G351" s="307">
        <f t="shared" si="67"/>
        <v>0</v>
      </c>
      <c r="H351" s="306">
        <f>IF(N350&lt;0.01,0,IF(Adm!$S$3=Adm!$S$13,Cal!$E$94,IF(Adm!$R$3=Adm!$R$6,0,IF(Cal!$E$91=0,N350*Adm!$Y$3,N350*Adm!$X$3))))</f>
        <v>0</v>
      </c>
      <c r="I351" s="306">
        <f>IF(N350&lt;0.01,0,IF(Adm!$R$4=Adm!$R$6,0,Cal!$E$89*Adm!$AA$3))</f>
        <v>0</v>
      </c>
      <c r="J351" s="306">
        <f>IF(N350&lt;0.01,0,Adm!$O$3*1.16)</f>
        <v>0</v>
      </c>
      <c r="K351" s="306">
        <f>IF(N350&lt;0.01,0,IF(Adm!$N$3&gt;0,E351*Adm!$N$3,0))</f>
        <v>0</v>
      </c>
      <c r="L351" s="306">
        <f t="shared" si="55"/>
        <v>0</v>
      </c>
      <c r="M351" s="306">
        <f>IF(Adm!$F$3="si",MIN(N350+E351+H351+I351+J351-L351,Z351),0)</f>
        <v>0</v>
      </c>
      <c r="N351" s="306">
        <f t="shared" si="56"/>
        <v>0</v>
      </c>
      <c r="O351" s="361"/>
      <c r="P351" s="114"/>
      <c r="V351" s="571">
        <f t="shared" si="57"/>
        <v>9</v>
      </c>
      <c r="W351" s="293">
        <f>IF(V351=1,Adm!$AN$2,0)</f>
        <v>0</v>
      </c>
      <c r="Y351" s="304">
        <f t="shared" si="62"/>
        <v>0</v>
      </c>
      <c r="Z351" s="345">
        <f t="shared" ca="1" si="58"/>
        <v>0</v>
      </c>
      <c r="AB351" s="640">
        <f t="shared" si="63"/>
        <v>0</v>
      </c>
      <c r="AC351" s="639">
        <f t="shared" si="64"/>
        <v>0</v>
      </c>
      <c r="AD351" s="641">
        <f t="shared" si="59"/>
        <v>0</v>
      </c>
      <c r="AE351" s="639">
        <f t="shared" si="65"/>
        <v>0</v>
      </c>
      <c r="AF351" s="636">
        <f t="shared" si="52"/>
        <v>0</v>
      </c>
      <c r="AG351" s="637" t="e">
        <f>HLOOKUP($AG$110,anticipado,238,0)</f>
        <v>#N/A</v>
      </c>
      <c r="AI351" s="415"/>
      <c r="AJ351" s="415"/>
      <c r="AK351" s="415"/>
      <c r="AL351" s="415"/>
      <c r="AM351" s="415"/>
      <c r="AN351" s="415"/>
      <c r="AO351" s="415"/>
      <c r="AP351" s="415"/>
      <c r="AQ351" s="415"/>
      <c r="AR351" s="415"/>
      <c r="AS351" s="415"/>
      <c r="AT351" s="459"/>
      <c r="AU351" s="459">
        <v>0.2681401921808691</v>
      </c>
      <c r="AV351" s="459">
        <v>0.28893886861895934</v>
      </c>
      <c r="AW351" s="459">
        <v>0.2544830404635845</v>
      </c>
      <c r="AX351" s="459">
        <v>0.30118265607286498</v>
      </c>
      <c r="AY351" s="459">
        <v>0.2681401921808691</v>
      </c>
      <c r="AZ351" s="459">
        <v>0.24671371538100026</v>
      </c>
      <c r="BA351" s="459">
        <v>0.27491078244970213</v>
      </c>
      <c r="BB351" s="459">
        <v>0.320406819837533</v>
      </c>
      <c r="BC351" s="459">
        <v>0.31427086032975377</v>
      </c>
      <c r="BD351" s="459">
        <v>0.28397768996591094</v>
      </c>
      <c r="BE351" s="415">
        <v>0.26655423153657692</v>
      </c>
      <c r="BF351" s="415">
        <v>0.2855797883677379</v>
      </c>
      <c r="BG351" s="415"/>
      <c r="BH351" s="415"/>
      <c r="BI351" s="415"/>
      <c r="BJ351" s="415"/>
      <c r="BK351" s="617"/>
      <c r="BL351" s="617"/>
      <c r="BM351" s="617"/>
      <c r="BN351" s="617"/>
      <c r="BO351" s="617"/>
      <c r="BP351" s="617"/>
      <c r="BQ351" s="617"/>
      <c r="BR351" s="617"/>
      <c r="BS351" s="617"/>
      <c r="BT351" s="617"/>
      <c r="BU351" s="617"/>
      <c r="BV351" s="617"/>
      <c r="BW351" s="617"/>
      <c r="BX351" s="617"/>
      <c r="BY351" s="617"/>
      <c r="BZ351" s="617"/>
      <c r="CA351" s="617"/>
      <c r="CB351" s="617"/>
      <c r="CC351" s="617"/>
      <c r="CD351" s="617"/>
      <c r="CE351" s="617"/>
      <c r="CF351" s="617"/>
      <c r="CG351" s="617"/>
      <c r="CH351" s="617"/>
      <c r="CI351" s="617"/>
      <c r="CJ351" s="617"/>
      <c r="CK351" s="617"/>
      <c r="CL351" s="617"/>
    </row>
    <row r="352" spans="1:90">
      <c r="A352" s="151">
        <f t="shared" ca="1" si="51"/>
        <v>9</v>
      </c>
      <c r="B352" s="113">
        <f t="shared" si="53"/>
        <v>0</v>
      </c>
      <c r="C352" s="150">
        <f t="shared" si="60"/>
        <v>0</v>
      </c>
      <c r="D352" s="565">
        <f t="shared" si="61"/>
        <v>0</v>
      </c>
      <c r="E352" s="306">
        <f t="shared" si="54"/>
        <v>0</v>
      </c>
      <c r="F352" s="306">
        <f t="shared" si="66"/>
        <v>0</v>
      </c>
      <c r="G352" s="307">
        <f t="shared" si="67"/>
        <v>0</v>
      </c>
      <c r="H352" s="306">
        <f>IF(N351&lt;0.01,0,IF(Adm!$S$3=Adm!$S$13,Cal!$E$94,IF(Adm!$R$3=Adm!$R$6,0,IF(Cal!$E$91=0,N351*Adm!$Y$3,N351*Adm!$X$3))))</f>
        <v>0</v>
      </c>
      <c r="I352" s="306">
        <f>IF(N351&lt;0.01,0,IF(Adm!$R$4=Adm!$R$6,0,Cal!$E$89*Adm!$AA$3))</f>
        <v>0</v>
      </c>
      <c r="J352" s="306">
        <f>IF(N351&lt;0.01,0,Adm!$O$3*1.16)</f>
        <v>0</v>
      </c>
      <c r="K352" s="306">
        <f>IF(N351&lt;0.01,0,IF(Adm!$N$3&gt;0,E352*Adm!$N$3,0))</f>
        <v>0</v>
      </c>
      <c r="L352" s="306">
        <f t="shared" si="55"/>
        <v>0</v>
      </c>
      <c r="M352" s="306">
        <f>IF(Adm!$F$3="si",MIN(N351+E352+H352+I352+J352-L352,Z352),0)</f>
        <v>0</v>
      </c>
      <c r="N352" s="306">
        <f t="shared" si="56"/>
        <v>0</v>
      </c>
      <c r="O352" s="361"/>
      <c r="P352" s="114"/>
      <c r="V352" s="571">
        <f t="shared" si="57"/>
        <v>10</v>
      </c>
      <c r="W352" s="293">
        <f>IF(V352=1,Adm!$AN$2,0)</f>
        <v>0</v>
      </c>
      <c r="Y352" s="304">
        <f t="shared" si="62"/>
        <v>0</v>
      </c>
      <c r="Z352" s="345">
        <f t="shared" ca="1" si="58"/>
        <v>0</v>
      </c>
      <c r="AB352" s="640">
        <f t="shared" si="63"/>
        <v>0</v>
      </c>
      <c r="AC352" s="639">
        <f t="shared" si="64"/>
        <v>0</v>
      </c>
      <c r="AD352" s="641">
        <f t="shared" si="59"/>
        <v>0</v>
      </c>
      <c r="AE352" s="639">
        <f t="shared" si="65"/>
        <v>0</v>
      </c>
      <c r="AF352" s="636">
        <f t="shared" si="52"/>
        <v>0</v>
      </c>
      <c r="AG352" s="637" t="e">
        <f>HLOOKUP($AG$110,anticipado,239,0)</f>
        <v>#N/A</v>
      </c>
      <c r="AI352" s="415"/>
      <c r="AJ352" s="415"/>
      <c r="AK352" s="415"/>
      <c r="AL352" s="415"/>
      <c r="AM352" s="415"/>
      <c r="AN352" s="415"/>
      <c r="AO352" s="415"/>
      <c r="AP352" s="415"/>
      <c r="AQ352" s="415"/>
      <c r="AR352" s="415"/>
      <c r="AS352" s="415"/>
      <c r="AT352" s="459"/>
      <c r="AU352" s="459">
        <v>0.36970682299277047</v>
      </c>
      <c r="AV352" s="459">
        <v>0.4101719091879184</v>
      </c>
      <c r="AW352" s="459">
        <v>0.3447333289587281</v>
      </c>
      <c r="AX352" s="459">
        <v>0.43470637802768719</v>
      </c>
      <c r="AY352" s="459">
        <v>0.36970682299277047</v>
      </c>
      <c r="AZ352" s="459">
        <v>0.33062521489483893</v>
      </c>
      <c r="BA352" s="459">
        <v>0.38228117780338189</v>
      </c>
      <c r="BB352" s="459">
        <v>0.47551533447880723</v>
      </c>
      <c r="BC352" s="459">
        <v>0.46247992780200536</v>
      </c>
      <c r="BD352" s="459">
        <v>0.39974431336436178</v>
      </c>
      <c r="BE352" s="415">
        <v>0.36637714052876114</v>
      </c>
      <c r="BF352" s="415">
        <v>0.4031341945251562</v>
      </c>
      <c r="BG352" s="415"/>
      <c r="BH352" s="415"/>
      <c r="BI352" s="415"/>
      <c r="BJ352" s="415"/>
      <c r="BK352" s="617"/>
      <c r="BL352" s="617"/>
      <c r="BM352" s="617"/>
      <c r="BN352" s="617"/>
      <c r="BO352" s="617"/>
      <c r="BP352" s="617"/>
      <c r="BQ352" s="617"/>
      <c r="BR352" s="617"/>
      <c r="BS352" s="617"/>
      <c r="BT352" s="617"/>
      <c r="BU352" s="617"/>
      <c r="BV352" s="617"/>
      <c r="BW352" s="617"/>
      <c r="BX352" s="617"/>
      <c r="BY352" s="617"/>
      <c r="BZ352" s="617"/>
      <c r="CA352" s="617"/>
      <c r="CB352" s="617"/>
      <c r="CC352" s="617"/>
      <c r="CD352" s="617"/>
      <c r="CE352" s="617"/>
      <c r="CF352" s="617"/>
      <c r="CG352" s="617"/>
      <c r="CH352" s="617"/>
      <c r="CI352" s="617"/>
      <c r="CJ352" s="617"/>
      <c r="CK352" s="617"/>
      <c r="CL352" s="617"/>
    </row>
    <row r="353" spans="1:90">
      <c r="A353" s="151">
        <f t="shared" ca="1" si="51"/>
        <v>10</v>
      </c>
      <c r="B353" s="113">
        <f t="shared" ref="B353:B354" si="68">IF(N352&gt;0,B352-1,0)</f>
        <v>0</v>
      </c>
      <c r="C353" s="150">
        <f t="shared" si="60"/>
        <v>0</v>
      </c>
      <c r="D353" s="565">
        <f t="shared" si="61"/>
        <v>0</v>
      </c>
      <c r="E353" s="306">
        <f t="shared" si="54"/>
        <v>0</v>
      </c>
      <c r="F353" s="306">
        <f t="shared" si="66"/>
        <v>0</v>
      </c>
      <c r="G353" s="307">
        <f t="shared" si="67"/>
        <v>0</v>
      </c>
      <c r="H353" s="306">
        <f>IF(N352&lt;0.01,0,IF(Adm!$S$3=Adm!$S$13,Cal!$E$94,IF(Adm!$R$3=Adm!$R$6,0,IF(Cal!$E$91=0,N352*Adm!$Y$3,N352*Adm!$X$3))))</f>
        <v>0</v>
      </c>
      <c r="I353" s="306">
        <f>IF(N352&lt;0.01,0,IF(Adm!$R$4=Adm!$R$6,0,Cal!$E$89*Adm!$AA$3))</f>
        <v>0</v>
      </c>
      <c r="J353" s="306">
        <f>IF(N352&lt;0.01,0,Adm!$O$3*1.16)</f>
        <v>0</v>
      </c>
      <c r="K353" s="306">
        <f>IF(N352&lt;0.01,0,IF(Adm!$N$3&gt;0,E353*Adm!$N$3,0))</f>
        <v>0</v>
      </c>
      <c r="L353" s="306">
        <f t="shared" si="55"/>
        <v>0</v>
      </c>
      <c r="M353" s="306">
        <f>IF(Adm!$F$3="si",MIN(N352+E353+H353+I353+J353-L353,Z353),0)</f>
        <v>0</v>
      </c>
      <c r="N353" s="306">
        <f t="shared" si="56"/>
        <v>0</v>
      </c>
      <c r="O353" s="362"/>
      <c r="V353" s="571">
        <f t="shared" si="57"/>
        <v>11</v>
      </c>
      <c r="W353" s="293">
        <f>IF(V353=1,Adm!$AN$2,0)</f>
        <v>0</v>
      </c>
      <c r="Y353" s="304">
        <f t="shared" si="62"/>
        <v>0</v>
      </c>
      <c r="Z353" s="345">
        <f t="shared" ca="1" si="58"/>
        <v>0</v>
      </c>
      <c r="AB353" s="640">
        <f t="shared" si="63"/>
        <v>0</v>
      </c>
      <c r="AC353" s="639">
        <f t="shared" si="64"/>
        <v>0</v>
      </c>
      <c r="AD353" s="641">
        <f t="shared" si="59"/>
        <v>0</v>
      </c>
      <c r="AE353" s="639">
        <f t="shared" si="65"/>
        <v>0</v>
      </c>
      <c r="AF353" s="636">
        <f t="shared" si="52"/>
        <v>0</v>
      </c>
      <c r="AG353" s="637" t="e">
        <f>HLOOKUP($AG$110,anticipado,240,0)</f>
        <v>#N/A</v>
      </c>
      <c r="AI353" s="415"/>
      <c r="AJ353" s="415"/>
      <c r="AK353" s="415"/>
      <c r="AL353" s="415"/>
      <c r="AM353" s="415"/>
      <c r="AN353" s="415"/>
      <c r="AO353" s="415"/>
      <c r="AP353" s="415"/>
      <c r="AQ353" s="415"/>
      <c r="AR353" s="415"/>
      <c r="AS353" s="415"/>
      <c r="AT353" s="459"/>
      <c r="AU353" s="459">
        <v>0.59188632531738605</v>
      </c>
      <c r="AV353" s="459">
        <v>0.70195189019140447</v>
      </c>
      <c r="AW353" s="459">
        <v>0.5313089724827964</v>
      </c>
      <c r="AX353" s="459">
        <v>0.77562474348888177</v>
      </c>
      <c r="AY353" s="459">
        <v>0.59188632531738605</v>
      </c>
      <c r="AZ353" s="459">
        <v>0.49861961736993182</v>
      </c>
      <c r="BA353" s="459">
        <v>0.62398574622597414</v>
      </c>
      <c r="BB353" s="459">
        <v>0.9144153730846708</v>
      </c>
      <c r="BC353" s="459">
        <v>0.868239582636262</v>
      </c>
      <c r="BD353" s="459">
        <v>0.67122888598260477</v>
      </c>
      <c r="BE353" s="415">
        <v>0.58291915471759415</v>
      </c>
      <c r="BF353" s="415">
        <v>0.68115953611243607</v>
      </c>
      <c r="BG353" s="415"/>
      <c r="BH353" s="415"/>
      <c r="BI353" s="415"/>
      <c r="BJ353" s="415"/>
      <c r="BK353" s="617"/>
      <c r="BL353" s="617"/>
      <c r="BM353" s="617"/>
      <c r="BN353" s="617"/>
      <c r="BO353" s="617"/>
      <c r="BP353" s="617"/>
      <c r="BQ353" s="617"/>
      <c r="BR353" s="617"/>
      <c r="BS353" s="617"/>
      <c r="BT353" s="617"/>
      <c r="BU353" s="617"/>
      <c r="BV353" s="617"/>
      <c r="BW353" s="617"/>
      <c r="BX353" s="617"/>
      <c r="BY353" s="617"/>
      <c r="BZ353" s="617"/>
      <c r="CA353" s="617"/>
      <c r="CB353" s="617"/>
      <c r="CC353" s="617"/>
      <c r="CD353" s="617"/>
      <c r="CE353" s="617"/>
      <c r="CF353" s="617"/>
      <c r="CG353" s="617"/>
      <c r="CH353" s="617"/>
      <c r="CI353" s="617"/>
      <c r="CJ353" s="617"/>
      <c r="CK353" s="617"/>
      <c r="CL353" s="617"/>
    </row>
    <row r="354" spans="1:90">
      <c r="A354" s="151">
        <f t="shared" ca="1" si="51"/>
        <v>11</v>
      </c>
      <c r="B354" s="113">
        <f t="shared" si="68"/>
        <v>0</v>
      </c>
      <c r="C354" s="150">
        <f t="shared" si="60"/>
        <v>0</v>
      </c>
      <c r="D354" s="565">
        <f t="shared" si="61"/>
        <v>0</v>
      </c>
      <c r="E354" s="306">
        <f t="shared" si="54"/>
        <v>0</v>
      </c>
      <c r="F354" s="306">
        <f t="shared" si="66"/>
        <v>0</v>
      </c>
      <c r="G354" s="307">
        <f t="shared" si="67"/>
        <v>0</v>
      </c>
      <c r="H354" s="306">
        <f>IF(N353&lt;0.01,0,IF(Adm!$S$3=Adm!$S$13,Cal!$E$94,IF(Adm!$R$3=Adm!$R$6,0,IF(Cal!$E$91=0,N353*Adm!$Y$3,N353*Adm!$X$3))))</f>
        <v>0</v>
      </c>
      <c r="I354" s="306">
        <f>IF(N353&lt;0.01,0,IF(Adm!$R$4=Adm!$R$6,0,Cal!$E$89*Adm!$AA$3))</f>
        <v>0</v>
      </c>
      <c r="J354" s="306">
        <f>IF(N353&lt;0.01,0,Adm!$O$3*1.16)</f>
        <v>0</v>
      </c>
      <c r="K354" s="306">
        <f>IF(N353&lt;0.01,0,IF(Adm!$N$3&gt;0,E354*Adm!$N$3,0))</f>
        <v>0</v>
      </c>
      <c r="L354" s="306">
        <f t="shared" si="55"/>
        <v>0</v>
      </c>
      <c r="M354" s="306">
        <f>IF(Adm!$F$3="si",MIN(N353+E354+H354+I354+J354-L354,Z354),0)</f>
        <v>0</v>
      </c>
      <c r="N354" s="306">
        <f t="shared" si="56"/>
        <v>0</v>
      </c>
      <c r="O354" s="362"/>
      <c r="V354" s="572">
        <f t="shared" si="57"/>
        <v>12</v>
      </c>
      <c r="W354" s="294">
        <f>IF(V354=1,Adm!$AN$2,0)</f>
        <v>0</v>
      </c>
      <c r="Y354" s="305">
        <f t="shared" si="62"/>
        <v>0</v>
      </c>
      <c r="Z354" s="346">
        <f t="shared" ca="1" si="58"/>
        <v>0</v>
      </c>
      <c r="AB354" s="642">
        <f t="shared" si="63"/>
        <v>0</v>
      </c>
      <c r="AC354" s="639">
        <f t="shared" si="64"/>
        <v>0</v>
      </c>
      <c r="AD354" s="643">
        <f t="shared" si="59"/>
        <v>0</v>
      </c>
      <c r="AE354" s="644">
        <f t="shared" si="65"/>
        <v>0</v>
      </c>
      <c r="AF354" s="645">
        <f t="shared" si="52"/>
        <v>0</v>
      </c>
      <c r="AG354" s="646" t="e">
        <f>HLOOKUP($AG$110,anticipado,241,0)</f>
        <v>#N/A</v>
      </c>
      <c r="AI354" s="415"/>
      <c r="AJ354" s="415"/>
      <c r="AK354" s="415"/>
      <c r="AL354" s="415"/>
      <c r="AM354" s="415"/>
      <c r="AN354" s="415"/>
      <c r="AO354" s="415"/>
      <c r="AP354" s="415"/>
      <c r="AQ354" s="415"/>
      <c r="AR354" s="415"/>
      <c r="AS354" s="415"/>
      <c r="AT354" s="459"/>
      <c r="AU354" s="459">
        <v>1</v>
      </c>
      <c r="AV354" s="459">
        <v>1</v>
      </c>
      <c r="AW354" s="459">
        <v>1</v>
      </c>
      <c r="AX354" s="459">
        <v>1</v>
      </c>
      <c r="AY354" s="459">
        <v>1</v>
      </c>
      <c r="AZ354" s="459">
        <v>1</v>
      </c>
      <c r="BA354" s="459">
        <v>1</v>
      </c>
      <c r="BB354" s="459">
        <v>1</v>
      </c>
      <c r="BC354" s="459">
        <v>1</v>
      </c>
      <c r="BD354" s="459">
        <v>1</v>
      </c>
      <c r="BE354" s="415">
        <v>1</v>
      </c>
      <c r="BF354" s="415">
        <v>1</v>
      </c>
      <c r="BG354" s="415"/>
      <c r="BH354" s="415"/>
      <c r="BI354" s="415"/>
      <c r="BJ354" s="415"/>
      <c r="BK354" s="617"/>
      <c r="BL354" s="617"/>
      <c r="BM354" s="617"/>
      <c r="BN354" s="617"/>
      <c r="BO354" s="617"/>
      <c r="BP354" s="617"/>
      <c r="BQ354" s="617"/>
      <c r="BR354" s="617"/>
      <c r="BS354" s="617"/>
      <c r="BT354" s="617"/>
      <c r="BU354" s="617"/>
      <c r="BV354" s="617"/>
      <c r="BW354" s="617"/>
      <c r="BX354" s="617"/>
      <c r="BY354" s="617"/>
      <c r="BZ354" s="617"/>
      <c r="CA354" s="617"/>
      <c r="CB354" s="617"/>
      <c r="CC354" s="617"/>
      <c r="CD354" s="617"/>
      <c r="CE354" s="617"/>
      <c r="CF354" s="617"/>
      <c r="CG354" s="617"/>
      <c r="CH354" s="617"/>
      <c r="CI354" s="617"/>
      <c r="CJ354" s="617"/>
      <c r="CK354" s="617"/>
      <c r="CL354" s="617"/>
    </row>
    <row r="355" spans="1:90" ht="6.75" customHeight="1">
      <c r="A355" s="151"/>
      <c r="B355" s="113"/>
      <c r="C355" s="950"/>
      <c r="D355" s="954"/>
      <c r="E355" s="955"/>
      <c r="F355" s="955"/>
      <c r="G355" s="956"/>
      <c r="H355" s="955"/>
      <c r="I355" s="955"/>
      <c r="J355" s="955"/>
      <c r="K355" s="955"/>
      <c r="L355" s="955"/>
      <c r="M355" s="955"/>
      <c r="N355" s="955"/>
      <c r="O355" s="957"/>
      <c r="V355" s="291"/>
      <c r="W355" s="291"/>
      <c r="Y355" s="958"/>
      <c r="Z355" s="959"/>
      <c r="AB355" s="641"/>
      <c r="AC355" s="639"/>
      <c r="AD355" s="641"/>
      <c r="AE355" s="639"/>
      <c r="AF355" s="636"/>
      <c r="AG355" s="960"/>
      <c r="AI355" s="541"/>
      <c r="AJ355" s="541"/>
      <c r="AK355" s="541"/>
      <c r="AL355" s="541"/>
      <c r="AM355" s="541"/>
      <c r="AN355" s="541"/>
      <c r="AO355" s="541"/>
      <c r="AP355" s="541"/>
      <c r="AQ355" s="541"/>
      <c r="AR355" s="541"/>
      <c r="AS355" s="541"/>
      <c r="AT355" s="186"/>
      <c r="AU355" s="186"/>
      <c r="AV355" s="186"/>
      <c r="AW355" s="186"/>
      <c r="AX355" s="186"/>
      <c r="AY355" s="186"/>
      <c r="AZ355" s="186"/>
      <c r="BA355" s="186"/>
      <c r="BB355" s="186"/>
      <c r="BC355" s="186"/>
      <c r="BD355" s="186"/>
      <c r="BE355" s="541"/>
      <c r="BF355" s="541"/>
      <c r="BG355" s="541"/>
      <c r="BH355" s="541"/>
      <c r="BI355" s="541"/>
      <c r="BJ355" s="541"/>
      <c r="BK355" s="961"/>
      <c r="BL355" s="961"/>
      <c r="BM355" s="961"/>
      <c r="BN355" s="961"/>
      <c r="BO355" s="961"/>
      <c r="BP355" s="961"/>
      <c r="BQ355" s="961"/>
      <c r="BR355" s="961"/>
      <c r="BS355" s="961"/>
      <c r="BT355" s="961"/>
      <c r="BU355" s="961"/>
      <c r="BV355" s="961"/>
      <c r="BW355" s="961"/>
      <c r="BX355" s="961"/>
      <c r="BY355" s="961"/>
      <c r="BZ355" s="961"/>
      <c r="CA355" s="961"/>
      <c r="CB355" s="961"/>
      <c r="CC355" s="961"/>
      <c r="CD355" s="961"/>
      <c r="CE355" s="961"/>
      <c r="CF355" s="961"/>
      <c r="CG355" s="961"/>
      <c r="CH355" s="961"/>
      <c r="CI355" s="961"/>
      <c r="CJ355" s="961"/>
      <c r="CK355" s="961"/>
      <c r="CL355" s="961"/>
    </row>
    <row r="356" spans="1:90">
      <c r="C356" s="962" t="s">
        <v>296</v>
      </c>
      <c r="D356" s="664"/>
      <c r="E356" s="672">
        <f t="shared" ref="E356:M356" si="69">SUM(E115:E354)</f>
        <v>847987.62539037771</v>
      </c>
      <c r="F356" s="672">
        <f t="shared" si="69"/>
        <v>931540.00000000093</v>
      </c>
      <c r="G356" s="672">
        <f t="shared" si="69"/>
        <v>1779527.6253903797</v>
      </c>
      <c r="H356" s="672">
        <f t="shared" si="69"/>
        <v>28001.168955229427</v>
      </c>
      <c r="I356" s="672">
        <f t="shared" si="69"/>
        <v>106686.32639999989</v>
      </c>
      <c r="J356" s="672">
        <f t="shared" si="69"/>
        <v>53940</v>
      </c>
      <c r="K356" s="672">
        <f t="shared" si="69"/>
        <v>0</v>
      </c>
      <c r="L356" s="672">
        <f t="shared" si="69"/>
        <v>1968155.1207456077</v>
      </c>
      <c r="M356" s="665">
        <f t="shared" si="69"/>
        <v>0</v>
      </c>
      <c r="N356" s="664"/>
      <c r="O356" s="666">
        <f>SUM(O115:O354)</f>
        <v>100000</v>
      </c>
      <c r="V356" s="291"/>
      <c r="W356" s="291"/>
    </row>
    <row r="357" spans="1:90" ht="21.75" customHeight="1">
      <c r="C357" s="1003" t="s">
        <v>400</v>
      </c>
      <c r="D357" s="763"/>
      <c r="E357" s="1004"/>
      <c r="F357" s="1004"/>
      <c r="G357" s="1004"/>
      <c r="H357" s="1004"/>
      <c r="I357" s="1004"/>
      <c r="J357" s="1004"/>
      <c r="K357" s="1004"/>
      <c r="L357" s="1004"/>
      <c r="M357" s="1005"/>
      <c r="N357" s="763"/>
      <c r="O357" s="1006"/>
      <c r="V357" s="291"/>
      <c r="W357" s="291"/>
      <c r="AT357" s="1002"/>
      <c r="AU357" s="1002"/>
      <c r="AV357" s="1002"/>
      <c r="AW357" s="1002"/>
      <c r="AX357" s="1002"/>
      <c r="AY357" s="1002"/>
      <c r="AZ357" s="1002"/>
      <c r="BA357" s="1002"/>
      <c r="BB357" s="1002"/>
      <c r="BC357" s="1002"/>
      <c r="BD357" s="1002"/>
    </row>
    <row r="358" spans="1:90">
      <c r="C358" s="1099" t="s">
        <v>71</v>
      </c>
      <c r="D358" s="1099"/>
      <c r="E358" s="1099"/>
      <c r="F358" s="1099"/>
      <c r="G358" s="1099"/>
      <c r="H358" s="1099"/>
      <c r="I358" s="1099"/>
      <c r="J358" s="1099"/>
      <c r="K358" s="1099"/>
      <c r="L358" s="1099"/>
      <c r="M358" s="1099"/>
      <c r="N358" s="1099"/>
    </row>
    <row r="359" spans="1:90" ht="12.75" customHeight="1">
      <c r="C359" s="1099" t="s">
        <v>72</v>
      </c>
      <c r="D359" s="1099"/>
      <c r="E359" s="1099"/>
      <c r="F359" s="1099"/>
      <c r="G359" s="1099"/>
      <c r="H359" s="1099"/>
      <c r="I359" s="1099"/>
      <c r="J359" s="1099"/>
      <c r="K359" s="1099"/>
      <c r="L359" s="1099"/>
      <c r="M359" s="1099"/>
      <c r="N359" s="1099"/>
    </row>
    <row r="360" spans="1:90" ht="12.75" customHeight="1">
      <c r="C360" s="1099" t="s">
        <v>73</v>
      </c>
      <c r="D360" s="1099"/>
      <c r="E360" s="1099"/>
      <c r="F360" s="1099"/>
      <c r="G360" s="1099"/>
      <c r="H360" s="1099"/>
      <c r="I360" s="1099"/>
      <c r="J360" s="1099"/>
      <c r="K360" s="1099"/>
      <c r="L360" s="1099"/>
      <c r="M360" s="1099"/>
      <c r="N360" s="1099"/>
    </row>
    <row r="361" spans="1:90">
      <c r="C361" s="1099" t="s">
        <v>74</v>
      </c>
      <c r="D361" s="1099"/>
      <c r="E361" s="1099"/>
      <c r="F361" s="1099"/>
      <c r="G361" s="1099"/>
      <c r="H361" s="1099"/>
      <c r="I361" s="1099"/>
      <c r="J361" s="1099"/>
      <c r="K361" s="1099"/>
      <c r="L361" s="1099"/>
      <c r="M361" s="1099"/>
      <c r="N361" s="1099"/>
    </row>
    <row r="362" spans="1:90">
      <c r="C362" s="1099" t="s">
        <v>179</v>
      </c>
      <c r="D362" s="1099"/>
      <c r="E362" s="1099"/>
      <c r="F362" s="1099"/>
      <c r="G362" s="1099"/>
      <c r="H362" s="1099"/>
      <c r="I362" s="1099"/>
      <c r="J362" s="1099"/>
      <c r="K362" s="1099"/>
      <c r="L362" s="1099"/>
      <c r="M362" s="1099"/>
      <c r="N362" s="1099"/>
    </row>
    <row r="363" spans="1:90">
      <c r="C363" s="1099" t="s">
        <v>180</v>
      </c>
      <c r="D363" s="1099"/>
      <c r="E363" s="1099"/>
      <c r="F363" s="1099"/>
      <c r="G363" s="1099"/>
      <c r="H363" s="1099"/>
      <c r="I363" s="1099"/>
      <c r="J363" s="1099"/>
      <c r="K363" s="1099"/>
      <c r="L363" s="1099"/>
      <c r="M363" s="1099"/>
      <c r="N363" s="1099"/>
    </row>
    <row r="364" spans="1:90" ht="27.75" customHeight="1">
      <c r="C364" s="1099" t="s">
        <v>75</v>
      </c>
      <c r="D364" s="1099"/>
      <c r="E364" s="1099"/>
      <c r="F364" s="1099"/>
      <c r="G364" s="1099"/>
      <c r="H364" s="1099"/>
      <c r="I364" s="1099"/>
      <c r="J364" s="1099"/>
      <c r="K364" s="1099"/>
      <c r="L364" s="1099"/>
      <c r="M364" s="1099"/>
      <c r="N364" s="1099"/>
    </row>
    <row r="365" spans="1:90">
      <c r="C365" s="1100" t="s">
        <v>177</v>
      </c>
      <c r="D365" s="1100"/>
      <c r="E365" s="1100"/>
      <c r="F365" s="1100"/>
      <c r="G365" s="1100"/>
      <c r="H365" s="1100"/>
      <c r="I365" s="1100"/>
      <c r="J365" s="1100"/>
      <c r="K365" s="1100"/>
      <c r="L365" s="1100"/>
      <c r="M365" s="1100"/>
      <c r="N365" s="1100"/>
    </row>
    <row r="366" spans="1:90">
      <c r="C366" s="1099" t="s">
        <v>178</v>
      </c>
      <c r="D366" s="1099"/>
      <c r="E366" s="1099"/>
      <c r="F366" s="1099"/>
      <c r="G366" s="1099"/>
      <c r="H366" s="1099"/>
      <c r="I366" s="1099"/>
      <c r="J366" s="1099"/>
      <c r="K366" s="1099"/>
      <c r="L366" s="1099"/>
      <c r="M366" s="1099"/>
      <c r="N366" s="1099"/>
    </row>
    <row r="367" spans="1:90" ht="24.75" customHeight="1">
      <c r="C367" s="1099" t="str">
        <f>IF(AND(Adm!B3=Adm!B11,Adm!F3=Adm!F15),"* Las aportaciones patronales y las Anualidades Garantizadas que deba entregar el INFONAVIT al Banco no son responsabilidad de Banco Santander (México), S.A. y su aplicación al crédito dependerá de la entrega de recursos que realice el INFONAVIT.",IF(Adm!B3=Adm!B5,"* Las aportaciones patronales y las Anualidades Garantizadas que deba entregar el INFONAVIT al Banco no son responsabilidad de Banco Santander (México), S.A. y su aplicación al crédito dependerá de la entrega de recursos que realice el INFONAVIT.",""))</f>
        <v/>
      </c>
      <c r="D367" s="1099"/>
      <c r="E367" s="1099"/>
      <c r="F367" s="1099"/>
      <c r="G367" s="1099"/>
      <c r="H367" s="1099"/>
      <c r="I367" s="1099"/>
      <c r="J367" s="1099"/>
      <c r="K367" s="1099"/>
      <c r="L367" s="1099"/>
      <c r="M367" s="1099"/>
      <c r="N367" s="1099"/>
    </row>
    <row r="368" spans="1:90">
      <c r="C368" s="365" t="str">
        <f>IF(AND(Adm!R3=Adm!R6,Adm!R4=Adm!R6),"Le recordamos que al elegir contratar los seguros con otra Aseguradora, el pago mensual de su crédito no incluye el pago de las primas de seguros.","")</f>
        <v/>
      </c>
      <c r="D368" s="365"/>
    </row>
    <row r="369" spans="3:56">
      <c r="C369" s="1127" t="str">
        <f>IF(AND(O356&gt;0,OR(AB109=1,AB109=0)),"Este documento simula pagos anticipados supuestos, con efecto en la reducción del plazo unicamente a modo de ejemplo. La tabla real de amortización se le entregará por los medios establecidos en su contrato de Crédito Hipotecario. ",IF(AND(O356&gt;0,AB109=2),"Este documento simula pagos anticipados supuestos, con efecto en la reducción de cuota unicamente a modo de ejemplo. La tabla real de amortización se le entregará por los medios establecidos en su contrato de Crédito Hipotecario. ",""))</f>
        <v xml:space="preserve">Este documento simula pagos anticipados supuestos, con efecto en la reducción del plazo unicamente a modo de ejemplo. La tabla real de amortización se le entregará por los medios establecidos en su contrato de Crédito Hipotecario. </v>
      </c>
      <c r="D369" s="1127"/>
      <c r="E369" s="1127"/>
      <c r="F369" s="1127"/>
      <c r="G369" s="1127"/>
      <c r="H369" s="1127"/>
      <c r="I369" s="1127"/>
      <c r="J369" s="1127"/>
      <c r="K369" s="1127"/>
      <c r="L369" s="1127"/>
      <c r="M369" s="1127"/>
      <c r="N369" s="1127"/>
      <c r="AT369" s="1000"/>
      <c r="AU369" s="1000"/>
      <c r="AV369" s="1000"/>
      <c r="AW369" s="1000"/>
      <c r="AX369" s="1000"/>
      <c r="AY369" s="1000"/>
      <c r="AZ369" s="1000"/>
      <c r="BA369" s="1000"/>
      <c r="BB369" s="1000"/>
      <c r="BC369" s="1000"/>
      <c r="BD369" s="1000"/>
    </row>
    <row r="370" spans="3:56">
      <c r="C370" s="366" t="s">
        <v>410</v>
      </c>
      <c r="D370" s="366"/>
      <c r="O370" s="366" t="s">
        <v>411</v>
      </c>
    </row>
  </sheetData>
  <sheetProtection password="C26B" sheet="1" objects="1" scenarios="1"/>
  <mergeCells count="54">
    <mergeCell ref="C369:N369"/>
    <mergeCell ref="G96:H96"/>
    <mergeCell ref="G98:H98"/>
    <mergeCell ref="G100:H100"/>
    <mergeCell ref="C56:D56"/>
    <mergeCell ref="L84:M84"/>
    <mergeCell ref="L86:M86"/>
    <mergeCell ref="L88:M88"/>
    <mergeCell ref="L90:M90"/>
    <mergeCell ref="G94:H94"/>
    <mergeCell ref="G80:H80"/>
    <mergeCell ref="G82:H82"/>
    <mergeCell ref="G84:H84"/>
    <mergeCell ref="G86:H86"/>
    <mergeCell ref="G88:H88"/>
    <mergeCell ref="C367:N367"/>
    <mergeCell ref="AI113:AM113"/>
    <mergeCell ref="N1:O1"/>
    <mergeCell ref="F6:I6"/>
    <mergeCell ref="F8:I8"/>
    <mergeCell ref="N8:O8"/>
    <mergeCell ref="G13:H13"/>
    <mergeCell ref="N15:O15"/>
    <mergeCell ref="N13:O13"/>
    <mergeCell ref="G19:H19"/>
    <mergeCell ref="G15:H15"/>
    <mergeCell ref="N21:O21"/>
    <mergeCell ref="N17:O17"/>
    <mergeCell ref="G17:H17"/>
    <mergeCell ref="G21:H21"/>
    <mergeCell ref="K29:O29"/>
    <mergeCell ref="N23:O23"/>
    <mergeCell ref="G23:H23"/>
    <mergeCell ref="N31:O31"/>
    <mergeCell ref="N33:O33"/>
    <mergeCell ref="K27:O27"/>
    <mergeCell ref="G31:H31"/>
    <mergeCell ref="G33:H33"/>
    <mergeCell ref="G25:H25"/>
    <mergeCell ref="M25:N25"/>
    <mergeCell ref="C358:N358"/>
    <mergeCell ref="C359:N359"/>
    <mergeCell ref="C360:N360"/>
    <mergeCell ref="C361:N361"/>
    <mergeCell ref="G27:H27"/>
    <mergeCell ref="N37:O37"/>
    <mergeCell ref="G29:H29"/>
    <mergeCell ref="C77:O77"/>
    <mergeCell ref="C75:D76"/>
    <mergeCell ref="C366:N366"/>
    <mergeCell ref="C363:N363"/>
    <mergeCell ref="C362:N362"/>
    <mergeCell ref="C364:N364"/>
    <mergeCell ref="C365:N365"/>
  </mergeCells>
  <phoneticPr fontId="103" type="noConversion"/>
  <conditionalFormatting sqref="E110:E111">
    <cfRule type="expression" dxfId="173" priority="168" stopIfTrue="1">
      <formula>#REF!&gt;0</formula>
    </cfRule>
  </conditionalFormatting>
  <conditionalFormatting sqref="C38">
    <cfRule type="cellIs" dxfId="172" priority="167" operator="greaterThan">
      <formula>""""""</formula>
    </cfRule>
  </conditionalFormatting>
  <conditionalFormatting sqref="K113">
    <cfRule type="containsBlanks" dxfId="171" priority="166">
      <formula>LEN(TRIM(K113))=0</formula>
    </cfRule>
  </conditionalFormatting>
  <conditionalFormatting sqref="E52">
    <cfRule type="cellIs" dxfId="170" priority="161" operator="greaterThan">
      <formula>0</formula>
    </cfRule>
  </conditionalFormatting>
  <conditionalFormatting sqref="F52:F55">
    <cfRule type="cellIs" dxfId="169" priority="159" operator="greaterThan">
      <formula>0</formula>
    </cfRule>
  </conditionalFormatting>
  <conditionalFormatting sqref="E43">
    <cfRule type="cellIs" dxfId="168" priority="156" operator="greaterThan">
      <formula>""""""</formula>
    </cfRule>
  </conditionalFormatting>
  <conditionalFormatting sqref="F56">
    <cfRule type="cellIs" dxfId="167" priority="155" operator="greaterThan">
      <formula>0</formula>
    </cfRule>
  </conditionalFormatting>
  <conditionalFormatting sqref="M113">
    <cfRule type="containsBlanks" dxfId="166" priority="154">
      <formula>LEN(TRIM(M113))=0</formula>
    </cfRule>
  </conditionalFormatting>
  <conditionalFormatting sqref="P113">
    <cfRule type="cellIs" dxfId="165" priority="153" stopIfTrue="1" operator="greaterThan">
      <formula>""""""</formula>
    </cfRule>
  </conditionalFormatting>
  <conditionalFormatting sqref="N117">
    <cfRule type="expression" dxfId="164" priority="151">
      <formula>$P$117&gt;0</formula>
    </cfRule>
  </conditionalFormatting>
  <conditionalFormatting sqref="N119">
    <cfRule type="expression" dxfId="163" priority="150">
      <formula>$P$119&gt;0</formula>
    </cfRule>
  </conditionalFormatting>
  <conditionalFormatting sqref="N121">
    <cfRule type="expression" dxfId="162" priority="149">
      <formula>$P$121&gt;0</formula>
    </cfRule>
  </conditionalFormatting>
  <conditionalFormatting sqref="N123">
    <cfRule type="expression" dxfId="161" priority="148">
      <formula>$P$123&gt;0</formula>
    </cfRule>
  </conditionalFormatting>
  <conditionalFormatting sqref="P117">
    <cfRule type="cellIs" dxfId="160" priority="146" operator="greaterThan">
      <formula>0</formula>
    </cfRule>
  </conditionalFormatting>
  <conditionalFormatting sqref="P119">
    <cfRule type="cellIs" dxfId="159" priority="145" operator="greaterThan">
      <formula>0</formula>
    </cfRule>
  </conditionalFormatting>
  <conditionalFormatting sqref="P121">
    <cfRule type="cellIs" dxfId="158" priority="144" operator="greaterThan">
      <formula>0</formula>
    </cfRule>
  </conditionalFormatting>
  <conditionalFormatting sqref="P123">
    <cfRule type="cellIs" dxfId="157" priority="143" operator="greaterThan">
      <formula>0</formula>
    </cfRule>
  </conditionalFormatting>
  <conditionalFormatting sqref="F43">
    <cfRule type="cellIs" dxfId="156" priority="142" operator="greaterThan">
      <formula>""""""</formula>
    </cfRule>
  </conditionalFormatting>
  <conditionalFormatting sqref="E55">
    <cfRule type="cellIs" dxfId="155" priority="138" operator="greaterThan">
      <formula>0</formula>
    </cfRule>
  </conditionalFormatting>
  <conditionalFormatting sqref="G13:H13">
    <cfRule type="cellIs" dxfId="154" priority="137" operator="greaterThan">
      <formula>0</formula>
    </cfRule>
  </conditionalFormatting>
  <conditionalFormatting sqref="G15:H15">
    <cfRule type="cellIs" dxfId="153" priority="136" operator="greaterThan">
      <formula>0</formula>
    </cfRule>
  </conditionalFormatting>
  <conditionalFormatting sqref="G21:H21">
    <cfRule type="cellIs" dxfId="152" priority="135" operator="greaterThan">
      <formula>0</formula>
    </cfRule>
  </conditionalFormatting>
  <conditionalFormatting sqref="G27:H27">
    <cfRule type="cellIs" dxfId="151" priority="133" operator="greaterThan">
      <formula>0</formula>
    </cfRule>
  </conditionalFormatting>
  <conditionalFormatting sqref="G29:H29">
    <cfRule type="cellIs" dxfId="150" priority="132" operator="greaterThan">
      <formula>0</formula>
    </cfRule>
  </conditionalFormatting>
  <conditionalFormatting sqref="N17:O17">
    <cfRule type="expression" dxfId="149" priority="126">
      <formula>$K$17=0</formula>
    </cfRule>
    <cfRule type="cellIs" dxfId="148" priority="127" operator="greaterThan">
      <formula>0</formula>
    </cfRule>
    <cfRule type="expression" dxfId="147" priority="128">
      <formula>$K$17&gt;""</formula>
    </cfRule>
  </conditionalFormatting>
  <conditionalFormatting sqref="N21:O21">
    <cfRule type="expression" dxfId="146" priority="123">
      <formula>$K$21=""</formula>
    </cfRule>
    <cfRule type="cellIs" dxfId="145" priority="124" operator="greaterThan">
      <formula>0</formula>
    </cfRule>
    <cfRule type="expression" dxfId="144" priority="125">
      <formula>$K$21&gt;""</formula>
    </cfRule>
  </conditionalFormatting>
  <conditionalFormatting sqref="N23:O23">
    <cfRule type="expression" dxfId="143" priority="120">
      <formula>$K$23=""</formula>
    </cfRule>
    <cfRule type="cellIs" dxfId="142" priority="121" operator="greaterThan">
      <formula>0</formula>
    </cfRule>
    <cfRule type="expression" dxfId="141" priority="122">
      <formula>$K$23&gt;""</formula>
    </cfRule>
  </conditionalFormatting>
  <conditionalFormatting sqref="N31:O31">
    <cfRule type="expression" dxfId="140" priority="117">
      <formula>$K$31=""</formula>
    </cfRule>
    <cfRule type="cellIs" dxfId="139" priority="118" operator="greaterThan">
      <formula>0</formula>
    </cfRule>
    <cfRule type="expression" dxfId="138" priority="119">
      <formula>$K$31&gt;""</formula>
    </cfRule>
  </conditionalFormatting>
  <conditionalFormatting sqref="N33:O33">
    <cfRule type="expression" dxfId="137" priority="114">
      <formula>$K$33=""</formula>
    </cfRule>
    <cfRule type="cellIs" dxfId="136" priority="115" operator="greaterThan">
      <formula>0</formula>
    </cfRule>
    <cfRule type="expression" dxfId="135" priority="116">
      <formula>$K$33&gt;""</formula>
    </cfRule>
  </conditionalFormatting>
  <conditionalFormatting sqref="N37:O37">
    <cfRule type="expression" dxfId="134" priority="111">
      <formula>$K$37=""</formula>
    </cfRule>
    <cfRule type="cellIs" dxfId="133" priority="112" operator="greaterThan">
      <formula>0</formula>
    </cfRule>
    <cfRule type="expression" dxfId="132" priority="113">
      <formula>$K$37&gt;""</formula>
    </cfRule>
  </conditionalFormatting>
  <conditionalFormatting sqref="E38:O38">
    <cfRule type="expression" dxfId="131" priority="110">
      <formula>$C$38&gt;""</formula>
    </cfRule>
  </conditionalFormatting>
  <conditionalFormatting sqref="N15:O15">
    <cfRule type="expression" dxfId="130" priority="95">
      <formula>$K$15=0</formula>
    </cfRule>
    <cfRule type="cellIs" dxfId="129" priority="169" operator="greaterThan">
      <formula>0</formula>
    </cfRule>
    <cfRule type="expression" dxfId="128" priority="170">
      <formula>$K$15&gt;""</formula>
    </cfRule>
  </conditionalFormatting>
  <conditionalFormatting sqref="G33:H33">
    <cfRule type="expression" dxfId="127" priority="102">
      <formula>$C$33=""</formula>
    </cfRule>
    <cfRule type="cellIs" dxfId="126" priority="103" operator="greaterThan">
      <formula>0</formula>
    </cfRule>
    <cfRule type="expression" dxfId="125" priority="104">
      <formula>$C$33&gt;""</formula>
    </cfRule>
  </conditionalFormatting>
  <conditionalFormatting sqref="H43">
    <cfRule type="cellIs" dxfId="124" priority="84" operator="greaterThan">
      <formula>""""""</formula>
    </cfRule>
  </conditionalFormatting>
  <conditionalFormatting sqref="L111">
    <cfRule type="expression" dxfId="123" priority="171">
      <formula>$K$111&gt;""</formula>
    </cfRule>
  </conditionalFormatting>
  <conditionalFormatting sqref="M25:N25">
    <cfRule type="expression" dxfId="122" priority="89">
      <formula>$K$25=""</formula>
    </cfRule>
    <cfRule type="cellIs" dxfId="121" priority="90" operator="greaterThan">
      <formula>0</formula>
    </cfRule>
    <cfRule type="expression" dxfId="120" priority="91">
      <formula>$K$25&gt;""</formula>
    </cfRule>
  </conditionalFormatting>
  <conditionalFormatting sqref="O25">
    <cfRule type="cellIs" dxfId="119" priority="87" operator="greaterThan">
      <formula>0</formula>
    </cfRule>
  </conditionalFormatting>
  <conditionalFormatting sqref="H52">
    <cfRule type="cellIs" dxfId="118" priority="86" operator="greaterThan">
      <formula>0</formula>
    </cfRule>
  </conditionalFormatting>
  <conditionalFormatting sqref="I53:I55">
    <cfRule type="cellIs" dxfId="117" priority="85" operator="greaterThan">
      <formula>0</formula>
    </cfRule>
  </conditionalFormatting>
  <conditionalFormatting sqref="I56">
    <cfRule type="cellIs" dxfId="116" priority="83" operator="greaterThan">
      <formula>0</formula>
    </cfRule>
  </conditionalFormatting>
  <conditionalFormatting sqref="I43">
    <cfRule type="cellIs" dxfId="115" priority="82" operator="greaterThan">
      <formula>""""""</formula>
    </cfRule>
  </conditionalFormatting>
  <conditionalFormatting sqref="H55">
    <cfRule type="cellIs" dxfId="114" priority="80" operator="greaterThan">
      <formula>0</formula>
    </cfRule>
  </conditionalFormatting>
  <conditionalFormatting sqref="K43">
    <cfRule type="cellIs" dxfId="113" priority="77" operator="greaterThan">
      <formula>""""""</formula>
    </cfRule>
  </conditionalFormatting>
  <conditionalFormatting sqref="L43">
    <cfRule type="cellIs" dxfId="112" priority="75" operator="greaterThan">
      <formula>""""""</formula>
    </cfRule>
  </conditionalFormatting>
  <conditionalFormatting sqref="I52">
    <cfRule type="cellIs" dxfId="111" priority="65" operator="greaterThan">
      <formula>0</formula>
    </cfRule>
  </conditionalFormatting>
  <conditionalFormatting sqref="K52">
    <cfRule type="cellIs" dxfId="110" priority="64" operator="greaterThan">
      <formula>0</formula>
    </cfRule>
  </conditionalFormatting>
  <conditionalFormatting sqref="K55">
    <cfRule type="cellIs" dxfId="109" priority="62" operator="greaterThan">
      <formula>0</formula>
    </cfRule>
  </conditionalFormatting>
  <conditionalFormatting sqref="L53:L55">
    <cfRule type="cellIs" dxfId="108" priority="61" operator="greaterThan">
      <formula>0</formula>
    </cfRule>
  </conditionalFormatting>
  <conditionalFormatting sqref="L56">
    <cfRule type="cellIs" dxfId="107" priority="60" operator="greaterThan">
      <formula>0</formula>
    </cfRule>
  </conditionalFormatting>
  <conditionalFormatting sqref="L52">
    <cfRule type="cellIs" dxfId="106" priority="59" operator="greaterThan">
      <formula>0</formula>
    </cfRule>
  </conditionalFormatting>
  <conditionalFormatting sqref="N43">
    <cfRule type="cellIs" dxfId="105" priority="58" operator="greaterThan">
      <formula>""""""</formula>
    </cfRule>
  </conditionalFormatting>
  <conditionalFormatting sqref="N52">
    <cfRule type="cellIs" dxfId="104" priority="57" operator="greaterThan">
      <formula>0</formula>
    </cfRule>
  </conditionalFormatting>
  <conditionalFormatting sqref="N55">
    <cfRule type="cellIs" dxfId="103" priority="55" operator="greaterThan">
      <formula>0</formula>
    </cfRule>
  </conditionalFormatting>
  <conditionalFormatting sqref="O43">
    <cfRule type="cellIs" dxfId="102" priority="54" operator="greaterThan">
      <formula>""""""</formula>
    </cfRule>
  </conditionalFormatting>
  <conditionalFormatting sqref="O53:O55">
    <cfRule type="cellIs" dxfId="101" priority="53" operator="greaterThan">
      <formula>0</formula>
    </cfRule>
  </conditionalFormatting>
  <conditionalFormatting sqref="O56">
    <cfRule type="cellIs" dxfId="100" priority="52" operator="greaterThan">
      <formula>0</formula>
    </cfRule>
  </conditionalFormatting>
  <conditionalFormatting sqref="O52">
    <cfRule type="cellIs" dxfId="99" priority="51" operator="greaterThan">
      <formula>0</formula>
    </cfRule>
  </conditionalFormatting>
  <conditionalFormatting sqref="F43:F76">
    <cfRule type="expression" dxfId="98" priority="39">
      <formula>$F$43&gt;""</formula>
    </cfRule>
    <cfRule type="expression" dxfId="97" priority="50">
      <formula>$F$43=""</formula>
    </cfRule>
  </conditionalFormatting>
  <conditionalFormatting sqref="I43:I76">
    <cfRule type="expression" dxfId="96" priority="38">
      <formula>$I$43&gt;""</formula>
    </cfRule>
    <cfRule type="expression" dxfId="95" priority="49">
      <formula>$I$43=""</formula>
    </cfRule>
  </conditionalFormatting>
  <conditionalFormatting sqref="L43:L76">
    <cfRule type="expression" dxfId="94" priority="37">
      <formula>$L$43&gt;""</formula>
    </cfRule>
    <cfRule type="expression" dxfId="93" priority="48">
      <formula>$L$43=""</formula>
    </cfRule>
  </conditionalFormatting>
  <conditionalFormatting sqref="O43:O76">
    <cfRule type="expression" dxfId="92" priority="36">
      <formula>$O$43&gt;""</formula>
    </cfRule>
    <cfRule type="expression" dxfId="91" priority="47">
      <formula>$O$43=""</formula>
    </cfRule>
  </conditionalFormatting>
  <conditionalFormatting sqref="G109">
    <cfRule type="expression" dxfId="90" priority="46">
      <formula>$C$109&gt;""</formula>
    </cfRule>
  </conditionalFormatting>
  <conditionalFormatting sqref="G107">
    <cfRule type="expression" dxfId="89" priority="45">
      <formula>$H$107&gt;""</formula>
    </cfRule>
  </conditionalFormatting>
  <conditionalFormatting sqref="D38">
    <cfRule type="expression" dxfId="88" priority="44">
      <formula>$C$38&gt;""</formula>
    </cfRule>
  </conditionalFormatting>
  <conditionalFormatting sqref="E43:E76">
    <cfRule type="expression" dxfId="87" priority="43">
      <formula>$E$43=""</formula>
    </cfRule>
  </conditionalFormatting>
  <conditionalFormatting sqref="H43:H75">
    <cfRule type="expression" dxfId="86" priority="42">
      <formula>$H$43=""</formula>
    </cfRule>
  </conditionalFormatting>
  <conditionalFormatting sqref="K43:K75">
    <cfRule type="expression" dxfId="85" priority="41">
      <formula>$K$43=""</formula>
    </cfRule>
  </conditionalFormatting>
  <conditionalFormatting sqref="N43:N75">
    <cfRule type="expression" dxfId="84" priority="40">
      <formula>$N$43=""</formula>
    </cfRule>
  </conditionalFormatting>
  <conditionalFormatting sqref="H113">
    <cfRule type="containsBlanks" dxfId="83" priority="35">
      <formula>LEN(TRIM(H113))=0</formula>
    </cfRule>
  </conditionalFormatting>
  <conditionalFormatting sqref="I113">
    <cfRule type="containsBlanks" dxfId="82" priority="34">
      <formula>LEN(TRIM(I113))=0</formula>
    </cfRule>
  </conditionalFormatting>
  <conditionalFormatting sqref="G80:H80">
    <cfRule type="cellIs" dxfId="81" priority="33" operator="greaterThan">
      <formula>0</formula>
    </cfRule>
  </conditionalFormatting>
  <conditionalFormatting sqref="G82:H82">
    <cfRule type="cellIs" dxfId="80" priority="32" operator="greaterThan">
      <formula>0</formula>
    </cfRule>
  </conditionalFormatting>
  <conditionalFormatting sqref="G84:H84">
    <cfRule type="cellIs" dxfId="79" priority="31" operator="greaterThan">
      <formula>0</formula>
    </cfRule>
  </conditionalFormatting>
  <conditionalFormatting sqref="G86:H86">
    <cfRule type="cellIs" dxfId="78" priority="30" operator="greaterThan">
      <formula>0</formula>
    </cfRule>
  </conditionalFormatting>
  <conditionalFormatting sqref="G88:H88">
    <cfRule type="cellIs" dxfId="77" priority="29" operator="greaterThan">
      <formula>0</formula>
    </cfRule>
  </conditionalFormatting>
  <conditionalFormatting sqref="L84:M84">
    <cfRule type="cellIs" dxfId="76" priority="28" operator="greaterThan">
      <formula>0</formula>
    </cfRule>
  </conditionalFormatting>
  <conditionalFormatting sqref="L86:M86">
    <cfRule type="cellIs" dxfId="75" priority="27" operator="greaterThan">
      <formula>0</formula>
    </cfRule>
  </conditionalFormatting>
  <conditionalFormatting sqref="L88:M88">
    <cfRule type="cellIs" dxfId="74" priority="26" operator="greaterThan">
      <formula>0</formula>
    </cfRule>
  </conditionalFormatting>
  <conditionalFormatting sqref="I94">
    <cfRule type="expression" dxfId="73" priority="22">
      <formula>AND($I$94=$Y$95,$C$94&gt;"")</formula>
    </cfRule>
    <cfRule type="expression" dxfId="72" priority="23">
      <formula>AND($I$94=$Y$94,$C$94&gt;"")</formula>
    </cfRule>
    <cfRule type="expression" dxfId="71" priority="24">
      <formula>AND($I$94="",$C$94&gt;"")</formula>
    </cfRule>
  </conditionalFormatting>
  <conditionalFormatting sqref="I96">
    <cfRule type="expression" dxfId="70" priority="19">
      <formula>AND($I$96=$Y$95,$C$96&gt;"")</formula>
    </cfRule>
    <cfRule type="expression" dxfId="69" priority="20">
      <formula>AND($I$96=$Y$94,$C$96&gt;"")</formula>
    </cfRule>
    <cfRule type="expression" dxfId="68" priority="21">
      <formula>AND($I$96="",$C$96&gt;"")</formula>
    </cfRule>
  </conditionalFormatting>
  <conditionalFormatting sqref="I98">
    <cfRule type="expression" dxfId="67" priority="16">
      <formula>AND($I$98=$Y$95,$C$98&gt;"")</formula>
    </cfRule>
    <cfRule type="expression" dxfId="66" priority="17">
      <formula>AND($I$98=$Y$94,$C$98&gt;"")</formula>
    </cfRule>
    <cfRule type="expression" dxfId="65" priority="18">
      <formula>AND($I$98="",$C$98&gt;"")</formula>
    </cfRule>
  </conditionalFormatting>
  <conditionalFormatting sqref="G19:H19">
    <cfRule type="expression" dxfId="64" priority="15">
      <formula>$C$19=""</formula>
    </cfRule>
  </conditionalFormatting>
  <conditionalFormatting sqref="G25:H25">
    <cfRule type="cellIs" dxfId="63" priority="14" operator="greaterThan">
      <formula>""""""</formula>
    </cfRule>
  </conditionalFormatting>
  <conditionalFormatting sqref="E75:E76">
    <cfRule type="cellIs" dxfId="62" priority="13" operator="lessThan">
      <formula>0</formula>
    </cfRule>
  </conditionalFormatting>
  <conditionalFormatting sqref="H75">
    <cfRule type="cellIs" dxfId="61" priority="12" operator="lessThan">
      <formula>0</formula>
    </cfRule>
  </conditionalFormatting>
  <conditionalFormatting sqref="K75">
    <cfRule type="cellIs" dxfId="60" priority="11" operator="lessThan">
      <formula>0</formula>
    </cfRule>
  </conditionalFormatting>
  <conditionalFormatting sqref="N75">
    <cfRule type="cellIs" dxfId="59" priority="10" operator="lessThan">
      <formula>0</formula>
    </cfRule>
  </conditionalFormatting>
  <conditionalFormatting sqref="H76">
    <cfRule type="expression" dxfId="58" priority="9">
      <formula>$E$43=""</formula>
    </cfRule>
  </conditionalFormatting>
  <conditionalFormatting sqref="H76">
    <cfRule type="cellIs" dxfId="57" priority="8" operator="lessThan">
      <formula>0</formula>
    </cfRule>
  </conditionalFormatting>
  <conditionalFormatting sqref="K76">
    <cfRule type="expression" dxfId="56" priority="7">
      <formula>$E$43=""</formula>
    </cfRule>
  </conditionalFormatting>
  <conditionalFormatting sqref="K76">
    <cfRule type="cellIs" dxfId="55" priority="6" operator="lessThan">
      <formula>0</formula>
    </cfRule>
  </conditionalFormatting>
  <conditionalFormatting sqref="N76">
    <cfRule type="expression" dxfId="54" priority="5">
      <formula>$E$43=""</formula>
    </cfRule>
  </conditionalFormatting>
  <conditionalFormatting sqref="N76">
    <cfRule type="cellIs" dxfId="53" priority="4" operator="lessThan">
      <formula>0</formula>
    </cfRule>
  </conditionalFormatting>
  <conditionalFormatting sqref="N13:O13">
    <cfRule type="expression" dxfId="52" priority="1">
      <formula>$K$13=""</formula>
    </cfRule>
    <cfRule type="cellIs" dxfId="51" priority="2" operator="greaterThan">
      <formula>""</formula>
    </cfRule>
    <cfRule type="expression" dxfId="50" priority="3">
      <formula>$K$13&gt;""</formula>
    </cfRule>
  </conditionalFormatting>
  <dataValidations count="7">
    <dataValidation type="list" allowBlank="1" showInputMessage="1" showErrorMessage="1" sqref="G13">
      <formula1>Destino</formula1>
    </dataValidation>
    <dataValidation type="list" allowBlank="1" showInputMessage="1" showErrorMessage="1" sqref="G23:H23">
      <formula1>Intervinientes</formula1>
    </dataValidation>
    <dataValidation type="list" allowBlank="1" showInputMessage="1" showErrorMessage="1" sqref="N23:O23">
      <formula1>origen</formula1>
    </dataValidation>
    <dataValidation type="list" allowBlank="1" showInputMessage="1" showErrorMessage="1" sqref="N31">
      <formula1>construcción</formula1>
    </dataValidation>
    <dataValidation type="list" allowBlank="1" showInputMessage="1" showErrorMessage="1" sqref="N21:O21">
      <formula1>gastos</formula1>
    </dataValidation>
    <dataValidation type="list" allowBlank="1" showInputMessage="1" showErrorMessage="1" sqref="O107">
      <formula1>$AB$106:$AB$107</formula1>
    </dataValidation>
    <dataValidation type="list" allowBlank="1" showInputMessage="1" showErrorMessage="1" sqref="I94 I98 I96">
      <formula1>$Y$94:$Y$95</formula1>
    </dataValidation>
  </dataValidations>
  <hyperlinks>
    <hyperlink ref="N111" location="Liquidez!A1" display="Liquidez!A1"/>
  </hyperlinks>
  <pageMargins left="0" right="0" top="0" bottom="0" header="0" footer="0"/>
  <pageSetup scale="59" orientation="landscape" horizontalDpi="4294967294" verticalDpi="4294967294"/>
  <drawing r:id="rId1"/>
  <extLst>
    <ext xmlns:x14="http://schemas.microsoft.com/office/spreadsheetml/2009/9/main" uri="{78C0D931-6437-407d-A8EE-F0AAD7539E65}">
      <x14:conditionalFormattings>
        <x14:conditionalFormatting xmlns:xm="http://schemas.microsoft.com/office/excel/2006/main">
          <x14:cfRule type="expression" priority="88" id="{D2E0F12B-1340-47EE-800D-F4DBEAB321F3}">
            <xm:f>$M$25=Adm!$S$13</xm:f>
            <x14:dxf>
              <fill>
                <patternFill>
                  <bgColor theme="0" tint="-0.14996795556505021"/>
                </patternFill>
              </fill>
            </x14:dxf>
          </x14:cfRule>
          <xm:sqref>O25</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Adm!$R$5:$R$6</xm:f>
          </x14:formula1>
          <xm:sqref>G17:H17</xm:sqref>
        </x14:dataValidation>
        <x14:dataValidation type="list" allowBlank="1" showInputMessage="1" showErrorMessage="1">
          <x14:formula1>
            <xm:f>Adm!$C$4:$C$5</xm:f>
          </x14:formula1>
          <xm:sqref>G25:H25</xm:sqref>
        </x14:dataValidation>
        <x14:dataValidation type="list" allowBlank="1" showInputMessage="1" showErrorMessage="1">
          <x14:formula1>
            <xm:f>Adm!$S$11:$S$13</xm:f>
          </x14:formula1>
          <xm:sqref>M25:N25</xm:sqref>
        </x14:dataValidation>
        <x14:dataValidation type="list" allowBlank="1" showInputMessage="1" showErrorMessage="1">
          <x14:formula1>
            <xm:f>OFFSET(Adm!$BE$3,1,,COUNTIF(tasas,"&gt;0"))</xm:f>
          </x14:formula1>
          <xm:sqref>G107</xm:sqref>
        </x14:dataValidation>
        <x14:dataValidation type="list" allowBlank="1" showInputMessage="1" showErrorMessage="1">
          <x14:formula1>
            <xm:f>Adm!$F$15:$F$16</xm:f>
          </x14:formula1>
          <xm:sqref>N33</xm:sqref>
        </x14:dataValidation>
        <x14:dataValidation type="list" allowBlank="1" showInputMessage="1" showErrorMessage="1">
          <x14:formula1>
            <xm:f>Adm!$R$8:$R$9</xm:f>
          </x14:formula1>
          <xm:sqref>G19:H19</xm:sqref>
        </x14:dataValidation>
        <x14:dataValidation type="list" allowBlank="1" showInputMessage="1" showErrorMessage="1">
          <x14:formula1>
            <xm:f>Adm!$I$12:$I$13</xm:f>
          </x14:formula1>
          <xm:sqref>N13:O13</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BY273"/>
  <sheetViews>
    <sheetView showGridLines="0" showRowColHeaders="0" showZeros="0" topLeftCell="C1" zoomScale="80" zoomScaleNormal="80" zoomScalePageLayoutView="80" workbookViewId="0">
      <pane ySplit="16" topLeftCell="A17" activePane="bottomLeft" state="frozen"/>
      <selection activeCell="D15" sqref="D15"/>
      <selection pane="bottomLeft" activeCell="C17" sqref="C17"/>
    </sheetView>
  </sheetViews>
  <sheetFormatPr baseColWidth="10" defaultColWidth="10.83203125" defaultRowHeight="14" x14ac:dyDescent="0"/>
  <cols>
    <col min="1" max="1" width="9.5" style="196" hidden="1" customWidth="1"/>
    <col min="2" max="2" width="12.33203125" style="195" hidden="1" customWidth="1"/>
    <col min="3" max="3" width="18.5" style="196" customWidth="1"/>
    <col min="4" max="4" width="16.6640625" style="196" customWidth="1"/>
    <col min="5" max="9" width="19.6640625" style="196" customWidth="1"/>
    <col min="10" max="10" width="16.6640625" style="196" customWidth="1"/>
    <col min="11" max="11" width="21.5" style="196" customWidth="1"/>
    <col min="12" max="12" width="22.1640625" style="196" customWidth="1"/>
    <col min="13" max="13" width="10.83203125" style="196"/>
    <col min="14" max="15" width="11.5" style="196" customWidth="1"/>
    <col min="16" max="24" width="11.5" style="196" hidden="1" customWidth="1"/>
    <col min="25" max="25" width="17.83203125" style="196" hidden="1" customWidth="1"/>
    <col min="26" max="27" width="11.5" style="196" hidden="1" customWidth="1"/>
    <col min="28" max="28" width="18.1640625" style="196" hidden="1" customWidth="1"/>
    <col min="29" max="29" width="14.5" style="196" hidden="1" customWidth="1"/>
    <col min="30" max="30" width="18.33203125" style="196" hidden="1" customWidth="1"/>
    <col min="31" max="31" width="19" style="196" hidden="1" customWidth="1"/>
    <col min="32" max="32" width="20" style="196" hidden="1" customWidth="1"/>
    <col min="33" max="33" width="20.33203125" style="196" hidden="1" customWidth="1"/>
    <col min="34" max="77" width="11.5" style="196" hidden="1" customWidth="1"/>
    <col min="78" max="104" width="11.5" style="196" customWidth="1"/>
    <col min="105" max="16384" width="10.83203125" style="196"/>
  </cols>
  <sheetData>
    <row r="1" spans="1:33" ht="15">
      <c r="F1" s="201" t="s">
        <v>198</v>
      </c>
      <c r="G1" s="202"/>
      <c r="H1" s="202"/>
      <c r="I1" s="202"/>
      <c r="J1" s="197" t="s">
        <v>79</v>
      </c>
      <c r="K1" s="1115">
        <f ca="1">TODAY()</f>
        <v>43060</v>
      </c>
      <c r="L1" s="1115"/>
    </row>
    <row r="2" spans="1:33" ht="28.5" customHeight="1">
      <c r="L2" s="195" t="s">
        <v>98</v>
      </c>
    </row>
    <row r="3" spans="1:33">
      <c r="C3" s="107" t="s">
        <v>80</v>
      </c>
      <c r="D3" s="107"/>
      <c r="E3" s="97"/>
      <c r="F3" s="98"/>
      <c r="G3" s="98"/>
      <c r="H3" s="98"/>
      <c r="I3" s="98"/>
      <c r="J3" s="99"/>
      <c r="K3" s="99"/>
      <c r="L3" s="99"/>
    </row>
    <row r="4" spans="1:33">
      <c r="C4" s="56"/>
      <c r="D4" s="56"/>
      <c r="E4" s="57"/>
      <c r="F4" s="57"/>
      <c r="G4" s="57"/>
      <c r="H4" s="57"/>
      <c r="I4" s="57"/>
      <c r="J4" s="94"/>
      <c r="K4" s="94"/>
      <c r="L4" s="91"/>
    </row>
    <row r="5" spans="1:33">
      <c r="C5" s="52" t="s">
        <v>51</v>
      </c>
      <c r="D5" s="52"/>
      <c r="E5" s="1137">
        <f>Captura!F6</f>
        <v>0</v>
      </c>
      <c r="F5" s="1137"/>
      <c r="G5" s="1137"/>
      <c r="H5" s="1137"/>
      <c r="I5" s="204"/>
      <c r="J5" s="159"/>
      <c r="K5" s="85"/>
      <c r="L5" s="87"/>
    </row>
    <row r="6" spans="1:33">
      <c r="C6" s="57"/>
      <c r="D6" s="57"/>
      <c r="E6" s="87"/>
      <c r="F6" s="57"/>
      <c r="G6" s="57"/>
      <c r="H6" s="57"/>
      <c r="I6" s="57"/>
      <c r="J6" s="94"/>
      <c r="K6" s="94"/>
      <c r="L6" s="87"/>
      <c r="Y6" s="308" t="s">
        <v>165</v>
      </c>
    </row>
    <row r="7" spans="1:33">
      <c r="C7" s="59" t="s">
        <v>52</v>
      </c>
      <c r="D7" s="59"/>
      <c r="E7" s="1137">
        <f>Captura!F8</f>
        <v>0</v>
      </c>
      <c r="F7" s="1137"/>
      <c r="G7" s="1137"/>
      <c r="H7" s="1137"/>
      <c r="I7" s="204"/>
      <c r="J7" s="84" t="s">
        <v>26</v>
      </c>
      <c r="K7" s="1138">
        <f>Captura!N8</f>
        <v>0</v>
      </c>
      <c r="L7" s="1138"/>
      <c r="Y7" s="309">
        <f>MAXA(C18:C257)</f>
        <v>0</v>
      </c>
    </row>
    <row r="8" spans="1:33">
      <c r="C8" s="59"/>
      <c r="D8" s="59"/>
      <c r="E8" s="87"/>
      <c r="F8" s="85"/>
      <c r="G8" s="85"/>
      <c r="H8" s="85"/>
      <c r="I8" s="85"/>
      <c r="J8" s="84"/>
      <c r="K8" s="151"/>
      <c r="L8" s="151"/>
      <c r="Y8" s="310">
        <f>Y7/12</f>
        <v>0</v>
      </c>
    </row>
    <row r="9" spans="1:33" ht="6" customHeight="1">
      <c r="C9" s="166"/>
      <c r="D9" s="166"/>
      <c r="E9" s="167"/>
      <c r="F9" s="168"/>
      <c r="G9" s="168"/>
      <c r="H9" s="168"/>
      <c r="I9" s="168"/>
      <c r="J9" s="169"/>
      <c r="K9" s="170"/>
      <c r="L9" s="170"/>
      <c r="AB9" s="135" t="s">
        <v>167</v>
      </c>
    </row>
    <row r="10" spans="1:33">
      <c r="C10" s="59"/>
      <c r="D10" s="59"/>
      <c r="E10" s="87"/>
      <c r="F10" s="85"/>
      <c r="G10" s="85"/>
      <c r="H10" s="85"/>
      <c r="I10" s="85"/>
      <c r="J10" s="84"/>
      <c r="K10" s="151"/>
      <c r="L10" s="151"/>
      <c r="AB10" s="87" t="s">
        <v>277</v>
      </c>
      <c r="AD10" s="623" t="s">
        <v>291</v>
      </c>
    </row>
    <row r="11" spans="1:33">
      <c r="C11" s="136"/>
      <c r="D11" s="136"/>
      <c r="E11" s="87"/>
      <c r="F11" s="334"/>
      <c r="G11" s="85"/>
      <c r="H11" s="339"/>
      <c r="I11" s="85"/>
      <c r="J11" s="311" t="s">
        <v>164</v>
      </c>
      <c r="K11" s="312">
        <f>INT(Y8)</f>
        <v>0</v>
      </c>
      <c r="L11" s="313" t="str">
        <f>IF(K11&gt;0,"años","")</f>
        <v/>
      </c>
    </row>
    <row r="12" spans="1:33">
      <c r="C12" s="59"/>
      <c r="D12" s="59"/>
      <c r="E12" s="87"/>
      <c r="F12" s="85"/>
      <c r="G12" s="85"/>
      <c r="H12" s="85"/>
      <c r="I12" s="85"/>
      <c r="J12" s="84"/>
      <c r="K12" s="314">
        <f>Y7-(K11*12)</f>
        <v>0</v>
      </c>
      <c r="L12" s="313" t="str">
        <f>IF(K12&gt;0,"meses","")</f>
        <v/>
      </c>
      <c r="AB12" s="648">
        <f>IF(L14=AB9,1,IF(L14=AB10,2,0))</f>
        <v>0</v>
      </c>
      <c r="AC12" s="606" t="s">
        <v>292</v>
      </c>
      <c r="AD12" s="93">
        <f>IF(Adm!C3="Fijos",1,2)</f>
        <v>1</v>
      </c>
    </row>
    <row r="13" spans="1:33" ht="17">
      <c r="C13" s="115" t="s">
        <v>90</v>
      </c>
      <c r="D13" s="115"/>
      <c r="E13" s="137" t="e">
        <f>CAT!E274</f>
        <v>#NUM!</v>
      </c>
      <c r="F13" s="198" t="s">
        <v>39</v>
      </c>
    </row>
    <row r="14" spans="1:33">
      <c r="C14" s="140" t="str">
        <f ca="1">CONCATENATE("Calculado al"," ",Captura!O2," ",".Para fines informativos y de comparación.")</f>
        <v>Calculado al 21 nov 2017 .Para fines informativos y de comparación.</v>
      </c>
      <c r="D14" s="140"/>
      <c r="K14" s="157" t="s">
        <v>89</v>
      </c>
      <c r="L14" s="363"/>
    </row>
    <row r="15" spans="1:33" ht="22.5" customHeight="1">
      <c r="C15" s="1136" t="s">
        <v>91</v>
      </c>
      <c r="D15" s="1136"/>
      <c r="E15" s="1136"/>
      <c r="F15" s="1136"/>
      <c r="G15" s="1136"/>
      <c r="H15" s="1136"/>
      <c r="I15" s="1136"/>
      <c r="J15" s="1136"/>
      <c r="K15" s="1136"/>
      <c r="L15" s="1136"/>
      <c r="AB15" s="622" t="s">
        <v>293</v>
      </c>
    </row>
    <row r="16" spans="1:33" ht="38.25" customHeight="1">
      <c r="A16" s="297" t="s">
        <v>161</v>
      </c>
      <c r="B16" s="51" t="s">
        <v>40</v>
      </c>
      <c r="C16" s="106" t="s">
        <v>41</v>
      </c>
      <c r="D16" s="106" t="s">
        <v>379</v>
      </c>
      <c r="E16" s="106" t="s">
        <v>42</v>
      </c>
      <c r="F16" s="106" t="s">
        <v>43</v>
      </c>
      <c r="G16" s="106" t="s">
        <v>44</v>
      </c>
      <c r="H16" s="910" t="str">
        <f>IF(H259&gt;0,"Seguro Vida","")</f>
        <v/>
      </c>
      <c r="I16" s="106" t="s">
        <v>101</v>
      </c>
      <c r="J16" s="106" t="s">
        <v>46</v>
      </c>
      <c r="K16" s="106" t="s">
        <v>47</v>
      </c>
      <c r="L16" s="131" t="s">
        <v>48</v>
      </c>
      <c r="V16" s="569" t="s">
        <v>161</v>
      </c>
      <c r="W16" s="567" t="s">
        <v>274</v>
      </c>
      <c r="Y16" s="335" t="s">
        <v>172</v>
      </c>
      <c r="AB16" s="599" t="s">
        <v>285</v>
      </c>
      <c r="AC16" s="600" t="s">
        <v>286</v>
      </c>
      <c r="AD16" s="601" t="s">
        <v>172</v>
      </c>
      <c r="AE16" s="602" t="s">
        <v>287</v>
      </c>
      <c r="AF16" s="603" t="s">
        <v>288</v>
      </c>
      <c r="AG16" s="604" t="s">
        <v>289</v>
      </c>
    </row>
    <row r="17" spans="1:33">
      <c r="A17" s="114">
        <f ca="1">MONTH(K1)</f>
        <v>11</v>
      </c>
      <c r="B17" s="195">
        <f>Adm!G3</f>
        <v>240</v>
      </c>
      <c r="C17" s="195">
        <v>0</v>
      </c>
      <c r="D17" s="195"/>
      <c r="E17" s="195"/>
      <c r="F17" s="195"/>
      <c r="G17" s="195"/>
      <c r="H17" s="195"/>
      <c r="I17" s="195"/>
      <c r="J17" s="195"/>
      <c r="K17" s="156">
        <f>IF(Adm!B3=0,0,IF(Captura!C38&lt;&gt;"",0,IF(Captura!H107&lt;&gt;"",0,IF(Adm!B3=Adm!B9,Cal!F92,0))))</f>
        <v>0</v>
      </c>
      <c r="L17" s="158"/>
      <c r="V17" s="570">
        <v>12</v>
      </c>
      <c r="W17" s="568" t="s">
        <v>275</v>
      </c>
      <c r="Y17" s="336"/>
      <c r="AG17" s="632" t="s">
        <v>290</v>
      </c>
    </row>
    <row r="18" spans="1:33">
      <c r="A18" s="151">
        <f t="shared" ref="A18:A81" ca="1" si="0">IF(A17=12,1,A17+1)</f>
        <v>12</v>
      </c>
      <c r="B18" s="195">
        <f>IF(K17&lt;0.01,0,B17-1)</f>
        <v>0</v>
      </c>
      <c r="C18" s="199">
        <f>IF(K17&lt;0.01,0,C17+1)</f>
        <v>0</v>
      </c>
      <c r="D18" s="333">
        <f>IF(K17&lt;0.01,0,Adm!AH7)</f>
        <v>0</v>
      </c>
      <c r="E18" s="133">
        <f>IF(K17&lt;0.01,0,K17*D18/12)</f>
        <v>0</v>
      </c>
      <c r="F18" s="133">
        <f>IF(K17&lt;0.01,0,G18-E18)</f>
        <v>0</v>
      </c>
      <c r="G18" s="150">
        <f>IF(K17&lt;0.01,0,IF(Adm!$AF$3=Adm!$AF$6,PMT(Adm!AH7/12,Adm!G3,-K17),IF(Adm!C3=Adm!C5,K17*Adm!AI6/1000,PMT(Adm!AH7/12,Adm!G3,-K17))))</f>
        <v>0</v>
      </c>
      <c r="H18" s="133">
        <f>IF(K17&lt;0.01,0,IF(Adm!$R$3=Adm!$R$6,0,IF(Adm!$S$10=Adm!$S$11,0,IF(Adm!$S$10=Adm!$S$13,K17*Adm!$X$6,IF(Adm!$S$10=Adm!$S$12,K17*Adm!$Y$3)))))</f>
        <v>0</v>
      </c>
      <c r="I18" s="133">
        <f>IF(K17&lt;0.01,0,E18*Adm!$N$7)</f>
        <v>0</v>
      </c>
      <c r="J18" s="133">
        <f>G18+H18+I18</f>
        <v>0</v>
      </c>
      <c r="K18" s="133">
        <f>IF(K17&lt;0.01,0,K17-F18-L18)</f>
        <v>0</v>
      </c>
      <c r="L18" s="361"/>
      <c r="V18" s="571">
        <f>IF(V17=12,1,V17+1)</f>
        <v>1</v>
      </c>
      <c r="W18" s="293"/>
      <c r="Y18" s="337"/>
      <c r="AB18" s="649"/>
      <c r="AC18" s="649"/>
      <c r="AD18" s="649"/>
      <c r="AE18" s="635">
        <f>IF(AND(AF18&gt;0.01,$AB$12=2),AF18,0)</f>
        <v>0</v>
      </c>
      <c r="AF18" s="636">
        <f>IF(AND($AD$12=2,L17&lt;0.01),0,IF($AD$12=2,(K17*AG18)+E18,0))</f>
        <v>0</v>
      </c>
      <c r="AG18" s="647" t="e">
        <f>Captura!AG115</f>
        <v>#N/A</v>
      </c>
    </row>
    <row r="19" spans="1:33">
      <c r="A19" s="151">
        <f t="shared" ca="1" si="0"/>
        <v>1</v>
      </c>
      <c r="B19" s="195">
        <f t="shared" ref="B19:B82" si="1">IF(K18&lt;0.01,0,B18-1)</f>
        <v>0</v>
      </c>
      <c r="C19" s="199">
        <f>IF(K18&lt;0.01,0,C18+1)</f>
        <v>0</v>
      </c>
      <c r="D19" s="333">
        <f>IF(K18&lt;0.01,0,D18)</f>
        <v>0</v>
      </c>
      <c r="E19" s="133">
        <f t="shared" ref="E19:E82" si="2">IF(K18&lt;0.01,0,K18*D19/12)</f>
        <v>0</v>
      </c>
      <c r="F19" s="133">
        <f t="shared" ref="F19:F82" si="3">IF(K18&lt;0.01,0,G19-E19)</f>
        <v>0</v>
      </c>
      <c r="G19" s="150">
        <f>IF(K18&lt;0.1,0,MIN(K18+E19,IF(AB19&gt;0,AB19,G18*(1+W19))))</f>
        <v>0</v>
      </c>
      <c r="H19" s="133">
        <f>IF(K18&lt;0.01,0,IF(Adm!$R$3=Adm!$R$6,0,IF(Adm!$S$10=Adm!$S$11,0,IF(Adm!$S$10=Adm!$S$13,K18*Adm!$X$6,IF(Adm!$S$10=Adm!$S$12,K18*Adm!$Y$3)))))</f>
        <v>0</v>
      </c>
      <c r="I19" s="133">
        <f>IF(K18&lt;0.01,0,E19*Adm!$N$7)</f>
        <v>0</v>
      </c>
      <c r="J19" s="133">
        <f t="shared" ref="J19:J82" si="4">G19+H19+I19</f>
        <v>0</v>
      </c>
      <c r="K19" s="133">
        <f t="shared" ref="K19:K82" si="5">IF(K18&lt;0.01,0,K18-F19-L19)</f>
        <v>0</v>
      </c>
      <c r="L19" s="361"/>
      <c r="V19" s="571">
        <f t="shared" ref="V19:V82" si="6">IF(V18=12,1,V18+1)</f>
        <v>2</v>
      </c>
      <c r="W19" s="846">
        <f>IF(Adm!$AF$3=Adm!$AF$6,0,IF(V19=1,Adm!$AN$2,0))</f>
        <v>0</v>
      </c>
      <c r="Y19" s="338">
        <f>IF(AND($L$14=$AB$10,Adm!AF3=Adm!AF6,L18&gt;0),PMT(Cal!$F$86/12,B18,-K18),0)</f>
        <v>0</v>
      </c>
      <c r="AB19" s="638">
        <f>IF(AC19&gt;1,AC19,IF(AE19&gt;1,AE19,0))</f>
        <v>0</v>
      </c>
      <c r="AC19" s="636">
        <f>IF(AND($AD$12=1,L18&gt;0.1),AD19,0)</f>
        <v>0</v>
      </c>
      <c r="AD19" s="636">
        <f>IF(AND($AD$12=1,$AB$12=2),PMT(Adm!$AH$7/12,B18,-K18),0)</f>
        <v>0</v>
      </c>
      <c r="AE19" s="639">
        <f>IF(AND(AF19&gt;0.01,$AB$12=2),AF19,0)</f>
        <v>0</v>
      </c>
      <c r="AF19" s="636">
        <f t="shared" ref="AF19:AF82" si="7">IF(AND($AD$12=2,L18&lt;0.01),0,IF($AD$12=2,(K18*AG19)+E19,0))</f>
        <v>0</v>
      </c>
      <c r="AG19" s="647" t="e">
        <f>Captura!AG116</f>
        <v>#N/A</v>
      </c>
    </row>
    <row r="20" spans="1:33">
      <c r="A20" s="151">
        <f t="shared" ca="1" si="0"/>
        <v>2</v>
      </c>
      <c r="B20" s="195">
        <f t="shared" si="1"/>
        <v>0</v>
      </c>
      <c r="C20" s="199">
        <f t="shared" ref="C20:C82" si="8">IF(K19&lt;0.01,0,C19+1)</f>
        <v>0</v>
      </c>
      <c r="D20" s="333">
        <f t="shared" ref="D20:D83" si="9">IF(K19&lt;0.01,0,D19)</f>
        <v>0</v>
      </c>
      <c r="E20" s="133">
        <f t="shared" si="2"/>
        <v>0</v>
      </c>
      <c r="F20" s="133">
        <f t="shared" si="3"/>
        <v>0</v>
      </c>
      <c r="G20" s="150">
        <f t="shared" ref="G20:G29" si="10">IF(K19&lt;0.1,0,MIN(K19+E20,IF(AB20&gt;0,AB20,G19*(1+W20))))</f>
        <v>0</v>
      </c>
      <c r="H20" s="133">
        <f>IF(K19&lt;0.01,0,IF(Adm!$R$3=Adm!$R$6,0,IF(Adm!$S$10=Adm!$S$11,0,IF(Adm!$S$10=Adm!$S$13,K19*Adm!$X$6,IF(Adm!$S$10=Adm!$S$12,K19*Adm!$Y$3)))))</f>
        <v>0</v>
      </c>
      <c r="I20" s="133">
        <f>IF(K19&lt;0.01,0,E20*Adm!$N$7)</f>
        <v>0</v>
      </c>
      <c r="J20" s="133">
        <f t="shared" si="4"/>
        <v>0</v>
      </c>
      <c r="K20" s="133">
        <f t="shared" si="5"/>
        <v>0</v>
      </c>
      <c r="L20" s="361"/>
      <c r="V20" s="571">
        <f t="shared" si="6"/>
        <v>3</v>
      </c>
      <c r="W20" s="846">
        <f>IF(Adm!$AF$3=Adm!$AF$6,0,IF(V20=1,Adm!$AN$2,0))</f>
        <v>0</v>
      </c>
      <c r="Y20" s="338">
        <f>IF(AND($L$14=$AB$10,Adm!$AF$3=Adm!$AF$6,L19&gt;0),PMT(Cal!$F$86/12,B19,-K19),0)</f>
        <v>0</v>
      </c>
      <c r="AB20" s="650">
        <f>IF(AC20&gt;1,AC20,IF(AE20&gt;1,AE20,0))</f>
        <v>0</v>
      </c>
      <c r="AC20" s="639">
        <f>IF(AND($AD$12=1,L19&gt;0.1),AD20,0)</f>
        <v>0</v>
      </c>
      <c r="AD20" s="639">
        <f>IF(AND($AD$12=1,$AB$12=2),PMT(Adm!$AH$7/12,B19,-K19),0)</f>
        <v>0</v>
      </c>
      <c r="AE20" s="639">
        <f t="shared" ref="AE20:AE83" si="11">IF(AND(AF20&gt;0.01,$AB$12=2),AF20,0)</f>
        <v>0</v>
      </c>
      <c r="AF20" s="636">
        <f t="shared" si="7"/>
        <v>0</v>
      </c>
      <c r="AG20" s="647" t="e">
        <f>Captura!AG117</f>
        <v>#N/A</v>
      </c>
    </row>
    <row r="21" spans="1:33">
      <c r="A21" s="151">
        <f t="shared" ca="1" si="0"/>
        <v>3</v>
      </c>
      <c r="B21" s="195">
        <f t="shared" si="1"/>
        <v>0</v>
      </c>
      <c r="C21" s="199">
        <f t="shared" si="8"/>
        <v>0</v>
      </c>
      <c r="D21" s="333">
        <f t="shared" si="9"/>
        <v>0</v>
      </c>
      <c r="E21" s="133">
        <f t="shared" si="2"/>
        <v>0</v>
      </c>
      <c r="F21" s="133">
        <f t="shared" si="3"/>
        <v>0</v>
      </c>
      <c r="G21" s="150">
        <f t="shared" si="10"/>
        <v>0</v>
      </c>
      <c r="H21" s="133">
        <f>IF(K20&lt;0.01,0,IF(Adm!$R$3=Adm!$R$6,0,IF(Adm!$S$10=Adm!$S$11,0,IF(Adm!$S$10=Adm!$S$13,K20*Adm!$X$6,IF(Adm!$S$10=Adm!$S$12,K20*Adm!$Y$3)))))</f>
        <v>0</v>
      </c>
      <c r="I21" s="133">
        <f>IF(K20&lt;0.01,0,E21*Adm!$N$7)</f>
        <v>0</v>
      </c>
      <c r="J21" s="133">
        <f t="shared" si="4"/>
        <v>0</v>
      </c>
      <c r="K21" s="133">
        <f t="shared" si="5"/>
        <v>0</v>
      </c>
      <c r="L21" s="361"/>
      <c r="V21" s="571">
        <f t="shared" si="6"/>
        <v>4</v>
      </c>
      <c r="W21" s="846">
        <f>IF(Adm!$AF$3=Adm!$AF$6,0,IF(V21=1,Adm!$AN$2,0))</f>
        <v>0</v>
      </c>
      <c r="Y21" s="338">
        <f>IF(AND($L$14=$AB$10,Adm!$AF$3=Adm!$AF$6,L20&gt;0),PMT(Cal!$F$86/12,B20,-K20),0)</f>
        <v>0</v>
      </c>
      <c r="AB21" s="650">
        <f t="shared" ref="AB21:AB84" si="12">IF(AC21&gt;1,AC21,IF(AE21&gt;1,AE21,0))</f>
        <v>0</v>
      </c>
      <c r="AC21" s="639">
        <f t="shared" ref="AC21:AC84" si="13">IF(AND($AD$12=1,L20&gt;0.1),AD21,0)</f>
        <v>0</v>
      </c>
      <c r="AD21" s="639">
        <f>IF(AND($AD$12=1,$AB$12=2),PMT(Adm!$AH$7/12,B20,-K20),0)</f>
        <v>0</v>
      </c>
      <c r="AE21" s="639">
        <f t="shared" si="11"/>
        <v>0</v>
      </c>
      <c r="AF21" s="636">
        <f t="shared" si="7"/>
        <v>0</v>
      </c>
      <c r="AG21" s="647" t="e">
        <f>Captura!AG118</f>
        <v>#N/A</v>
      </c>
    </row>
    <row r="22" spans="1:33">
      <c r="A22" s="151">
        <f t="shared" ca="1" si="0"/>
        <v>4</v>
      </c>
      <c r="B22" s="195">
        <f t="shared" si="1"/>
        <v>0</v>
      </c>
      <c r="C22" s="199">
        <f t="shared" si="8"/>
        <v>0</v>
      </c>
      <c r="D22" s="333">
        <f t="shared" si="9"/>
        <v>0</v>
      </c>
      <c r="E22" s="133">
        <f t="shared" si="2"/>
        <v>0</v>
      </c>
      <c r="F22" s="133">
        <f t="shared" si="3"/>
        <v>0</v>
      </c>
      <c r="G22" s="150">
        <f t="shared" si="10"/>
        <v>0</v>
      </c>
      <c r="H22" s="133">
        <f>IF(K21&lt;0.01,0,IF(Adm!$R$3=Adm!$R$6,0,IF(Adm!$S$10=Adm!$S$11,0,IF(Adm!$S$10=Adm!$S$13,K21*Adm!$X$6,IF(Adm!$S$10=Adm!$S$12,K21*Adm!$Y$3)))))</f>
        <v>0</v>
      </c>
      <c r="I22" s="133">
        <f>IF(K21&lt;0.01,0,E22*Adm!$N$7)</f>
        <v>0</v>
      </c>
      <c r="J22" s="133">
        <f t="shared" si="4"/>
        <v>0</v>
      </c>
      <c r="K22" s="133">
        <f t="shared" si="5"/>
        <v>0</v>
      </c>
      <c r="L22" s="361"/>
      <c r="V22" s="571">
        <f t="shared" si="6"/>
        <v>5</v>
      </c>
      <c r="W22" s="846">
        <f>IF(Adm!$AF$3=Adm!$AF$6,0,IF(V22=1,Adm!$AN$2,0))</f>
        <v>0</v>
      </c>
      <c r="Y22" s="338">
        <f>IF(AND($L$14=$AB$10,Adm!$AF$3=Adm!$AF$6,L21&gt;0),PMT(Cal!$F$86/12,B21,-K21),0)</f>
        <v>0</v>
      </c>
      <c r="AB22" s="650">
        <f t="shared" si="12"/>
        <v>0</v>
      </c>
      <c r="AC22" s="639">
        <f t="shared" si="13"/>
        <v>0</v>
      </c>
      <c r="AD22" s="639">
        <f>IF(AND($AD$12=1,$AB$12=2),PMT(Adm!$AH$7/12,B21,-K21),0)</f>
        <v>0</v>
      </c>
      <c r="AE22" s="639">
        <f t="shared" si="11"/>
        <v>0</v>
      </c>
      <c r="AF22" s="636">
        <f t="shared" si="7"/>
        <v>0</v>
      </c>
      <c r="AG22" s="647" t="e">
        <f>Captura!AG119</f>
        <v>#N/A</v>
      </c>
    </row>
    <row r="23" spans="1:33">
      <c r="A23" s="151">
        <f t="shared" ca="1" si="0"/>
        <v>5</v>
      </c>
      <c r="B23" s="195">
        <f t="shared" si="1"/>
        <v>0</v>
      </c>
      <c r="C23" s="199">
        <f t="shared" si="8"/>
        <v>0</v>
      </c>
      <c r="D23" s="333">
        <f t="shared" si="9"/>
        <v>0</v>
      </c>
      <c r="E23" s="133">
        <f t="shared" si="2"/>
        <v>0</v>
      </c>
      <c r="F23" s="133">
        <f t="shared" si="3"/>
        <v>0</v>
      </c>
      <c r="G23" s="150">
        <f t="shared" si="10"/>
        <v>0</v>
      </c>
      <c r="H23" s="133">
        <f>IF(K22&lt;0.01,0,IF(Adm!$R$3=Adm!$R$6,0,IF(Adm!$S$10=Adm!$S$11,0,IF(Adm!$S$10=Adm!$S$13,K22*Adm!$X$6,IF(Adm!$S$10=Adm!$S$12,K22*Adm!$Y$3)))))</f>
        <v>0</v>
      </c>
      <c r="I23" s="133">
        <f>IF(K22&lt;0.01,0,E23*Adm!$N$7)</f>
        <v>0</v>
      </c>
      <c r="J23" s="133">
        <f t="shared" si="4"/>
        <v>0</v>
      </c>
      <c r="K23" s="133">
        <f t="shared" si="5"/>
        <v>0</v>
      </c>
      <c r="L23" s="361"/>
      <c r="V23" s="571">
        <f t="shared" si="6"/>
        <v>6</v>
      </c>
      <c r="W23" s="846">
        <f>IF(Adm!$AF$3=Adm!$AF$6,0,IF(V23=1,Adm!$AN$2,0))</f>
        <v>0</v>
      </c>
      <c r="Y23" s="338">
        <f>IF(AND($L$14=$AB$10,Adm!$AF$3=Adm!$AF$6,L22&gt;0),PMT(Cal!$F$86/12,B22,-K22),0)</f>
        <v>0</v>
      </c>
      <c r="AB23" s="650">
        <f t="shared" si="12"/>
        <v>0</v>
      </c>
      <c r="AC23" s="639">
        <f t="shared" si="13"/>
        <v>0</v>
      </c>
      <c r="AD23" s="639">
        <f>IF(AND($AD$12=1,$AB$12=2),PMT(Adm!$AH$7/12,B22,-K22),0)</f>
        <v>0</v>
      </c>
      <c r="AE23" s="639">
        <f t="shared" si="11"/>
        <v>0</v>
      </c>
      <c r="AF23" s="636">
        <f t="shared" si="7"/>
        <v>0</v>
      </c>
      <c r="AG23" s="647" t="e">
        <f>Captura!AG120</f>
        <v>#N/A</v>
      </c>
    </row>
    <row r="24" spans="1:33">
      <c r="A24" s="151">
        <f t="shared" ca="1" si="0"/>
        <v>6</v>
      </c>
      <c r="B24" s="195">
        <f t="shared" si="1"/>
        <v>0</v>
      </c>
      <c r="C24" s="199">
        <f t="shared" si="8"/>
        <v>0</v>
      </c>
      <c r="D24" s="333">
        <f t="shared" si="9"/>
        <v>0</v>
      </c>
      <c r="E24" s="133">
        <f t="shared" si="2"/>
        <v>0</v>
      </c>
      <c r="F24" s="133">
        <f t="shared" si="3"/>
        <v>0</v>
      </c>
      <c r="G24" s="150">
        <f t="shared" si="10"/>
        <v>0</v>
      </c>
      <c r="H24" s="133">
        <f>IF(K23&lt;0.01,0,IF(Adm!$R$3=Adm!$R$6,0,IF(Adm!$S$10=Adm!$S$11,0,IF(Adm!$S$10=Adm!$S$13,K23*Adm!$X$6,IF(Adm!$S$10=Adm!$S$12,K23*Adm!$Y$3)))))</f>
        <v>0</v>
      </c>
      <c r="I24" s="133">
        <f>IF(K23&lt;0.01,0,E24*Adm!$N$7)</f>
        <v>0</v>
      </c>
      <c r="J24" s="133">
        <f t="shared" si="4"/>
        <v>0</v>
      </c>
      <c r="K24" s="133">
        <f t="shared" si="5"/>
        <v>0</v>
      </c>
      <c r="L24" s="361"/>
      <c r="V24" s="571">
        <f t="shared" si="6"/>
        <v>7</v>
      </c>
      <c r="W24" s="846">
        <f>IF(Adm!$AF$3=Adm!$AF$6,0,IF(V24=1,Adm!$AN$2,0))</f>
        <v>0</v>
      </c>
      <c r="Y24" s="338">
        <f>IF(AND($L$14=$AB$10,Adm!$AF$3=Adm!$AF$6,L23&gt;0),PMT(Cal!$F$86/12,B23,-K23),0)</f>
        <v>0</v>
      </c>
      <c r="AB24" s="650">
        <f t="shared" si="12"/>
        <v>0</v>
      </c>
      <c r="AC24" s="639">
        <f t="shared" si="13"/>
        <v>0</v>
      </c>
      <c r="AD24" s="639">
        <f>IF(AND($AD$12=1,$AB$12=2),PMT(Adm!$AH$7/12,B23,-K23),0)</f>
        <v>0</v>
      </c>
      <c r="AE24" s="639">
        <f t="shared" si="11"/>
        <v>0</v>
      </c>
      <c r="AF24" s="636">
        <f t="shared" si="7"/>
        <v>0</v>
      </c>
      <c r="AG24" s="647" t="e">
        <f>Captura!AG121</f>
        <v>#N/A</v>
      </c>
    </row>
    <row r="25" spans="1:33">
      <c r="A25" s="151">
        <f t="shared" ca="1" si="0"/>
        <v>7</v>
      </c>
      <c r="B25" s="195">
        <f t="shared" si="1"/>
        <v>0</v>
      </c>
      <c r="C25" s="199">
        <f t="shared" si="8"/>
        <v>0</v>
      </c>
      <c r="D25" s="333">
        <f t="shared" si="9"/>
        <v>0</v>
      </c>
      <c r="E25" s="133">
        <f t="shared" si="2"/>
        <v>0</v>
      </c>
      <c r="F25" s="133">
        <f t="shared" si="3"/>
        <v>0</v>
      </c>
      <c r="G25" s="150">
        <f t="shared" si="10"/>
        <v>0</v>
      </c>
      <c r="H25" s="133">
        <f>IF(K24&lt;0.01,0,IF(Adm!$R$3=Adm!$R$6,0,IF(Adm!$S$10=Adm!$S$11,0,IF(Adm!$S$10=Adm!$S$13,K24*Adm!$X$6,IF(Adm!$S$10=Adm!$S$12,K24*Adm!$Y$3)))))</f>
        <v>0</v>
      </c>
      <c r="I25" s="133">
        <f>IF(K24&lt;0.01,0,E25*Adm!$N$7)</f>
        <v>0</v>
      </c>
      <c r="J25" s="133">
        <f t="shared" si="4"/>
        <v>0</v>
      </c>
      <c r="K25" s="133">
        <f t="shared" si="5"/>
        <v>0</v>
      </c>
      <c r="L25" s="361"/>
      <c r="V25" s="571">
        <f t="shared" si="6"/>
        <v>8</v>
      </c>
      <c r="W25" s="846">
        <f>IF(Adm!$AF$3=Adm!$AF$6,0,IF(V25=1,Adm!$AN$2,0))</f>
        <v>0</v>
      </c>
      <c r="Y25" s="338">
        <f>IF(AND($L$14=$AB$10,Adm!$AF$3=Adm!$AF$6,L24&gt;0),PMT(Cal!$F$86/12,B24,-K24),0)</f>
        <v>0</v>
      </c>
      <c r="AB25" s="650">
        <f t="shared" si="12"/>
        <v>0</v>
      </c>
      <c r="AC25" s="639">
        <f t="shared" si="13"/>
        <v>0</v>
      </c>
      <c r="AD25" s="639">
        <f>IF(AND($AD$12=1,$AB$12=2),PMT(Adm!$AH$7/12,B24,-K24),0)</f>
        <v>0</v>
      </c>
      <c r="AE25" s="639">
        <f t="shared" si="11"/>
        <v>0</v>
      </c>
      <c r="AF25" s="636">
        <f t="shared" si="7"/>
        <v>0</v>
      </c>
      <c r="AG25" s="647" t="e">
        <f>Captura!AG122</f>
        <v>#N/A</v>
      </c>
    </row>
    <row r="26" spans="1:33">
      <c r="A26" s="151">
        <f t="shared" ca="1" si="0"/>
        <v>8</v>
      </c>
      <c r="B26" s="195">
        <f t="shared" si="1"/>
        <v>0</v>
      </c>
      <c r="C26" s="199">
        <f t="shared" si="8"/>
        <v>0</v>
      </c>
      <c r="D26" s="333">
        <f t="shared" si="9"/>
        <v>0</v>
      </c>
      <c r="E26" s="133">
        <f t="shared" si="2"/>
        <v>0</v>
      </c>
      <c r="F26" s="133">
        <f t="shared" si="3"/>
        <v>0</v>
      </c>
      <c r="G26" s="150">
        <f t="shared" si="10"/>
        <v>0</v>
      </c>
      <c r="H26" s="133">
        <f>IF(K25&lt;0.01,0,IF(Adm!$R$3=Adm!$R$6,0,IF(Adm!$S$10=Adm!$S$11,0,IF(Adm!$S$10=Adm!$S$13,K25*Adm!$X$6,IF(Adm!$S$10=Adm!$S$12,K25*Adm!$Y$3)))))</f>
        <v>0</v>
      </c>
      <c r="I26" s="133">
        <f>IF(K25&lt;0.01,0,E26*Adm!$N$7)</f>
        <v>0</v>
      </c>
      <c r="J26" s="133">
        <f t="shared" si="4"/>
        <v>0</v>
      </c>
      <c r="K26" s="133">
        <f t="shared" si="5"/>
        <v>0</v>
      </c>
      <c r="L26" s="361"/>
      <c r="V26" s="571">
        <f t="shared" si="6"/>
        <v>9</v>
      </c>
      <c r="W26" s="846">
        <f>IF(Adm!$AF$3=Adm!$AF$6,0,IF(V26=1,Adm!$AN$2,0))</f>
        <v>0</v>
      </c>
      <c r="Y26" s="338">
        <f>IF(AND($L$14=$AB$10,Adm!$AF$3=Adm!$AF$6,L25&gt;0),PMT(Cal!$F$86/12,B25,-K25),0)</f>
        <v>0</v>
      </c>
      <c r="AB26" s="650">
        <f t="shared" si="12"/>
        <v>0</v>
      </c>
      <c r="AC26" s="639">
        <f t="shared" si="13"/>
        <v>0</v>
      </c>
      <c r="AD26" s="639">
        <f>IF(AND($AD$12=1,$AB$12=2),PMT(Adm!$AH$7/12,B25,-K25),0)</f>
        <v>0</v>
      </c>
      <c r="AE26" s="639">
        <f t="shared" si="11"/>
        <v>0</v>
      </c>
      <c r="AF26" s="636">
        <f t="shared" si="7"/>
        <v>0</v>
      </c>
      <c r="AG26" s="647" t="e">
        <f>Captura!AG123</f>
        <v>#N/A</v>
      </c>
    </row>
    <row r="27" spans="1:33">
      <c r="A27" s="151">
        <f t="shared" ca="1" si="0"/>
        <v>9</v>
      </c>
      <c r="B27" s="195">
        <f t="shared" si="1"/>
        <v>0</v>
      </c>
      <c r="C27" s="199">
        <f t="shared" si="8"/>
        <v>0</v>
      </c>
      <c r="D27" s="333">
        <f t="shared" si="9"/>
        <v>0</v>
      </c>
      <c r="E27" s="133">
        <f t="shared" si="2"/>
        <v>0</v>
      </c>
      <c r="F27" s="133">
        <f t="shared" si="3"/>
        <v>0</v>
      </c>
      <c r="G27" s="150">
        <f t="shared" si="10"/>
        <v>0</v>
      </c>
      <c r="H27" s="133">
        <f>IF(K26&lt;0.01,0,IF(Adm!$R$3=Adm!$R$6,0,IF(Adm!$S$10=Adm!$S$11,0,IF(Adm!$S$10=Adm!$S$13,K26*Adm!$X$6,IF(Adm!$S$10=Adm!$S$12,K26*Adm!$Y$3)))))</f>
        <v>0</v>
      </c>
      <c r="I27" s="133">
        <f>IF(K26&lt;0.01,0,E27*Adm!$N$7)</f>
        <v>0</v>
      </c>
      <c r="J27" s="133">
        <f t="shared" si="4"/>
        <v>0</v>
      </c>
      <c r="K27" s="133">
        <f t="shared" si="5"/>
        <v>0</v>
      </c>
      <c r="L27" s="361"/>
      <c r="V27" s="571">
        <f t="shared" si="6"/>
        <v>10</v>
      </c>
      <c r="W27" s="846">
        <f>IF(Adm!$AF$3=Adm!$AF$6,0,IF(V27=1,Adm!$AN$2,0))</f>
        <v>0</v>
      </c>
      <c r="Y27" s="338">
        <f>IF(AND($L$14=$AB$10,Adm!$AF$3=Adm!$AF$6,L26&gt;0),PMT(Cal!$F$86/12,B26,-K26),0)</f>
        <v>0</v>
      </c>
      <c r="AB27" s="650">
        <f t="shared" si="12"/>
        <v>0</v>
      </c>
      <c r="AC27" s="639">
        <f t="shared" si="13"/>
        <v>0</v>
      </c>
      <c r="AD27" s="639">
        <f>IF(AND($AD$12=1,$AB$12=2),PMT(Adm!$AH$7/12,B26,-K26),0)</f>
        <v>0</v>
      </c>
      <c r="AE27" s="639">
        <f t="shared" si="11"/>
        <v>0</v>
      </c>
      <c r="AF27" s="636">
        <f t="shared" si="7"/>
        <v>0</v>
      </c>
      <c r="AG27" s="647" t="e">
        <f>Captura!AG124</f>
        <v>#N/A</v>
      </c>
    </row>
    <row r="28" spans="1:33">
      <c r="A28" s="151">
        <f t="shared" ca="1" si="0"/>
        <v>10</v>
      </c>
      <c r="B28" s="195">
        <f t="shared" si="1"/>
        <v>0</v>
      </c>
      <c r="C28" s="199">
        <f t="shared" si="8"/>
        <v>0</v>
      </c>
      <c r="D28" s="333">
        <f t="shared" si="9"/>
        <v>0</v>
      </c>
      <c r="E28" s="133">
        <f t="shared" si="2"/>
        <v>0</v>
      </c>
      <c r="F28" s="133">
        <f t="shared" si="3"/>
        <v>0</v>
      </c>
      <c r="G28" s="150">
        <f t="shared" si="10"/>
        <v>0</v>
      </c>
      <c r="H28" s="133">
        <f>IF(K27&lt;0.01,0,IF(Adm!$R$3=Adm!$R$6,0,IF(Adm!$S$10=Adm!$S$11,0,IF(Adm!$S$10=Adm!$S$13,K27*Adm!$X$6,IF(Adm!$S$10=Adm!$S$12,K27*Adm!$Y$3)))))</f>
        <v>0</v>
      </c>
      <c r="I28" s="133">
        <f>IF(K27&lt;0.01,0,E28*Adm!$N$7)</f>
        <v>0</v>
      </c>
      <c r="J28" s="133">
        <f t="shared" si="4"/>
        <v>0</v>
      </c>
      <c r="K28" s="133">
        <f t="shared" si="5"/>
        <v>0</v>
      </c>
      <c r="L28" s="361"/>
      <c r="V28" s="571">
        <f t="shared" si="6"/>
        <v>11</v>
      </c>
      <c r="W28" s="846">
        <f>IF(Adm!$AF$3=Adm!$AF$6,0,IF(V28=1,Adm!$AN$2,0))</f>
        <v>0</v>
      </c>
      <c r="Y28" s="338">
        <f>IF(AND($L$14=$AB$10,Adm!$AF$3=Adm!$AF$6,L27&gt;0),PMT(Cal!$F$86/12,B27,-K27),0)</f>
        <v>0</v>
      </c>
      <c r="AB28" s="650">
        <f t="shared" si="12"/>
        <v>0</v>
      </c>
      <c r="AC28" s="639">
        <f t="shared" si="13"/>
        <v>0</v>
      </c>
      <c r="AD28" s="639">
        <f>IF(AND($AD$12=1,$AB$12=2),PMT(Adm!$AH$7/12,B27,-K27),0)</f>
        <v>0</v>
      </c>
      <c r="AE28" s="639">
        <f t="shared" si="11"/>
        <v>0</v>
      </c>
      <c r="AF28" s="636">
        <f t="shared" si="7"/>
        <v>0</v>
      </c>
      <c r="AG28" s="647" t="e">
        <f>Captura!AG125</f>
        <v>#N/A</v>
      </c>
    </row>
    <row r="29" spans="1:33">
      <c r="A29" s="151">
        <f t="shared" ca="1" si="0"/>
        <v>11</v>
      </c>
      <c r="B29" s="195">
        <f t="shared" si="1"/>
        <v>0</v>
      </c>
      <c r="C29" s="199">
        <f t="shared" si="8"/>
        <v>0</v>
      </c>
      <c r="D29" s="333">
        <f t="shared" si="9"/>
        <v>0</v>
      </c>
      <c r="E29" s="133">
        <f t="shared" si="2"/>
        <v>0</v>
      </c>
      <c r="F29" s="133">
        <f t="shared" si="3"/>
        <v>0</v>
      </c>
      <c r="G29" s="150">
        <f t="shared" si="10"/>
        <v>0</v>
      </c>
      <c r="H29" s="133">
        <f>IF(K28&lt;0.01,0,IF(Adm!$R$3=Adm!$R$6,0,IF(Adm!$S$10=Adm!$S$11,0,IF(Adm!$S$10=Adm!$S$13,K28*Adm!$X$6,IF(Adm!$S$10=Adm!$S$12,K28*Adm!$Y$3)))))</f>
        <v>0</v>
      </c>
      <c r="I29" s="133">
        <f>IF(K28&lt;0.01,0,E29*Adm!$N$7)</f>
        <v>0</v>
      </c>
      <c r="J29" s="133">
        <f t="shared" si="4"/>
        <v>0</v>
      </c>
      <c r="K29" s="133">
        <f t="shared" si="5"/>
        <v>0</v>
      </c>
      <c r="L29" s="361"/>
      <c r="V29" s="571">
        <f t="shared" si="6"/>
        <v>12</v>
      </c>
      <c r="W29" s="846">
        <f>IF(Adm!$AF$3=Adm!$AF$6,0,IF(V29=1,Adm!$AN$2,0))</f>
        <v>0</v>
      </c>
      <c r="Y29" s="338">
        <f>IF(AND($L$14=$AB$10,Adm!$AF$3=Adm!$AF$6,L28&gt;0),PMT(Cal!$F$86/12,B28,-K28),0)</f>
        <v>0</v>
      </c>
      <c r="AB29" s="650">
        <f t="shared" si="12"/>
        <v>0</v>
      </c>
      <c r="AC29" s="639">
        <f t="shared" si="13"/>
        <v>0</v>
      </c>
      <c r="AD29" s="639">
        <f>IF(AND($AD$12=1,$AB$12=2),PMT(Adm!$AH$7/12,B28,-K28),0)</f>
        <v>0</v>
      </c>
      <c r="AE29" s="639">
        <f t="shared" si="11"/>
        <v>0</v>
      </c>
      <c r="AF29" s="636">
        <f t="shared" si="7"/>
        <v>0</v>
      </c>
      <c r="AG29" s="647" t="e">
        <f>Captura!AG126</f>
        <v>#N/A</v>
      </c>
    </row>
    <row r="30" spans="1:33">
      <c r="A30" s="151">
        <f t="shared" ca="1" si="0"/>
        <v>12</v>
      </c>
      <c r="B30" s="195">
        <f t="shared" si="1"/>
        <v>0</v>
      </c>
      <c r="C30" s="199">
        <f t="shared" si="8"/>
        <v>0</v>
      </c>
      <c r="D30" s="333">
        <f t="shared" si="9"/>
        <v>0</v>
      </c>
      <c r="E30" s="133">
        <f t="shared" si="2"/>
        <v>0</v>
      </c>
      <c r="F30" s="133">
        <f t="shared" si="3"/>
        <v>0</v>
      </c>
      <c r="G30" s="150">
        <f>IF(K29&lt;0.1,0,MIN(K29+E30,IF(AB30&gt;0,AB30,G29*(1+W30))))</f>
        <v>0</v>
      </c>
      <c r="H30" s="133">
        <f>IF(K29&lt;0.01,0,IF(Adm!$R$3=Adm!$R$6,0,IF(Adm!$S$10=Adm!$S$11,0,IF(Adm!$S$10=Adm!$S$13,K29*Adm!$X$6,IF(Adm!$S$10=Adm!$S$12,K29*Adm!$Y$3)))))</f>
        <v>0</v>
      </c>
      <c r="I30" s="133">
        <f>IF(K29&lt;0.01,0,E30*Adm!$N$7)</f>
        <v>0</v>
      </c>
      <c r="J30" s="133">
        <f t="shared" si="4"/>
        <v>0</v>
      </c>
      <c r="K30" s="133">
        <f t="shared" si="5"/>
        <v>0</v>
      </c>
      <c r="L30" s="361"/>
      <c r="V30" s="571">
        <f t="shared" si="6"/>
        <v>1</v>
      </c>
      <c r="W30" s="846">
        <f>IF(Adm!$AF$3=Adm!$AF$6,0,IF(V30=1,Adm!$AN$2,0))</f>
        <v>0</v>
      </c>
      <c r="Y30" s="338">
        <f>IF(AND($L$14=$AB$10,Adm!$AF$3=Adm!$AF$6,L29&gt;0),PMT(Cal!$F$86/12,B29,-K29),0)</f>
        <v>0</v>
      </c>
      <c r="AB30" s="650">
        <f t="shared" si="12"/>
        <v>0</v>
      </c>
      <c r="AC30" s="639">
        <f t="shared" si="13"/>
        <v>0</v>
      </c>
      <c r="AD30" s="639">
        <f>IF(AND($AD$12=1,$AB$12=2),PMT(Adm!$AH$7/12,B29,-K29),0)</f>
        <v>0</v>
      </c>
      <c r="AE30" s="639">
        <f t="shared" si="11"/>
        <v>0</v>
      </c>
      <c r="AF30" s="636">
        <f t="shared" si="7"/>
        <v>0</v>
      </c>
      <c r="AG30" s="647" t="e">
        <f>Captura!AG127</f>
        <v>#N/A</v>
      </c>
    </row>
    <row r="31" spans="1:33">
      <c r="A31" s="151">
        <f t="shared" ca="1" si="0"/>
        <v>1</v>
      </c>
      <c r="B31" s="195">
        <f t="shared" si="1"/>
        <v>0</v>
      </c>
      <c r="C31" s="199">
        <f t="shared" si="8"/>
        <v>0</v>
      </c>
      <c r="D31" s="333">
        <f t="shared" si="9"/>
        <v>0</v>
      </c>
      <c r="E31" s="133">
        <f t="shared" si="2"/>
        <v>0</v>
      </c>
      <c r="F31" s="133">
        <f t="shared" si="3"/>
        <v>0</v>
      </c>
      <c r="G31" s="150">
        <f t="shared" ref="G31:G94" si="14">IF(K30&lt;0.1,0,MIN(K30+E31,IF(AB31&gt;0,AB31,G30*(1+W31))))</f>
        <v>0</v>
      </c>
      <c r="H31" s="133">
        <f>IF(K30&lt;0.01,0,IF(Adm!$R$3=Adm!$R$6,0,IF(Adm!$S$10=Adm!$S$11,0,IF(Adm!$S$10=Adm!$S$13,K30*Adm!$X$6,IF(Adm!$S$10=Adm!$S$12,K30*Adm!$Y$3)))))</f>
        <v>0</v>
      </c>
      <c r="I31" s="133">
        <f>IF(K30&lt;0.01,0,E31*Adm!$N$7)</f>
        <v>0</v>
      </c>
      <c r="J31" s="133">
        <f t="shared" si="4"/>
        <v>0</v>
      </c>
      <c r="K31" s="133">
        <f t="shared" si="5"/>
        <v>0</v>
      </c>
      <c r="L31" s="361"/>
      <c r="V31" s="571">
        <f t="shared" si="6"/>
        <v>2</v>
      </c>
      <c r="W31" s="846">
        <f>IF(Adm!$AF$3=Adm!$AF$6,0,IF(V31=1,Adm!$AN$2,0))</f>
        <v>0</v>
      </c>
      <c r="Y31" s="338">
        <f>IF(AND($L$14=$AB$10,Adm!$AF$3=Adm!$AF$6,L30&gt;0),PMT(Cal!$F$86/12,B30,-K30),0)</f>
        <v>0</v>
      </c>
      <c r="AB31" s="650">
        <f t="shared" si="12"/>
        <v>0</v>
      </c>
      <c r="AC31" s="639">
        <f t="shared" si="13"/>
        <v>0</v>
      </c>
      <c r="AD31" s="639">
        <f>IF(AND($AD$12=1,$AB$12=2),PMT(Adm!$AH$7/12,B30,-K30),0)</f>
        <v>0</v>
      </c>
      <c r="AE31" s="639">
        <f t="shared" si="11"/>
        <v>0</v>
      </c>
      <c r="AF31" s="636">
        <f t="shared" si="7"/>
        <v>0</v>
      </c>
      <c r="AG31" s="647" t="e">
        <f>Captura!AG128</f>
        <v>#N/A</v>
      </c>
    </row>
    <row r="32" spans="1:33">
      <c r="A32" s="151">
        <f t="shared" ca="1" si="0"/>
        <v>2</v>
      </c>
      <c r="B32" s="195">
        <f t="shared" si="1"/>
        <v>0</v>
      </c>
      <c r="C32" s="199">
        <f t="shared" si="8"/>
        <v>0</v>
      </c>
      <c r="D32" s="333">
        <f t="shared" si="9"/>
        <v>0</v>
      </c>
      <c r="E32" s="133">
        <f t="shared" si="2"/>
        <v>0</v>
      </c>
      <c r="F32" s="133">
        <f t="shared" si="3"/>
        <v>0</v>
      </c>
      <c r="G32" s="150">
        <f t="shared" si="14"/>
        <v>0</v>
      </c>
      <c r="H32" s="133">
        <f>IF(K31&lt;0.01,0,IF(Adm!$R$3=Adm!$R$6,0,IF(Adm!$S$10=Adm!$S$11,0,IF(Adm!$S$10=Adm!$S$13,K31*Adm!$X$6,IF(Adm!$S$10=Adm!$S$12,K31*Adm!$Y$3)))))</f>
        <v>0</v>
      </c>
      <c r="I32" s="133">
        <f>IF(K31&lt;0.01,0,E32*Adm!$N$7)</f>
        <v>0</v>
      </c>
      <c r="J32" s="133">
        <f t="shared" si="4"/>
        <v>0</v>
      </c>
      <c r="K32" s="133">
        <f t="shared" si="5"/>
        <v>0</v>
      </c>
      <c r="L32" s="361"/>
      <c r="V32" s="571">
        <f t="shared" si="6"/>
        <v>3</v>
      </c>
      <c r="W32" s="846">
        <f>IF(Adm!$AF$3=Adm!$AF$6,0,IF(V32=1,Adm!$AN$2,0))</f>
        <v>0</v>
      </c>
      <c r="Y32" s="338">
        <f>IF(AND($L$14=$AB$10,Adm!$AF$3=Adm!$AF$6,L31&gt;0),PMT(Cal!$F$86/12,B31,-K31),0)</f>
        <v>0</v>
      </c>
      <c r="AB32" s="650">
        <f t="shared" si="12"/>
        <v>0</v>
      </c>
      <c r="AC32" s="639">
        <f t="shared" si="13"/>
        <v>0</v>
      </c>
      <c r="AD32" s="639">
        <f>IF(AND($AD$12=1,$AB$12=2),PMT(Adm!$AH$7/12,B31,-K31),0)</f>
        <v>0</v>
      </c>
      <c r="AE32" s="639">
        <f t="shared" si="11"/>
        <v>0</v>
      </c>
      <c r="AF32" s="636">
        <f t="shared" si="7"/>
        <v>0</v>
      </c>
      <c r="AG32" s="647" t="e">
        <f>Captura!AG129</f>
        <v>#N/A</v>
      </c>
    </row>
    <row r="33" spans="1:33">
      <c r="A33" s="151">
        <f t="shared" ca="1" si="0"/>
        <v>3</v>
      </c>
      <c r="B33" s="195">
        <f t="shared" si="1"/>
        <v>0</v>
      </c>
      <c r="C33" s="199">
        <f t="shared" si="8"/>
        <v>0</v>
      </c>
      <c r="D33" s="333">
        <f t="shared" si="9"/>
        <v>0</v>
      </c>
      <c r="E33" s="133">
        <f t="shared" si="2"/>
        <v>0</v>
      </c>
      <c r="F33" s="133">
        <f t="shared" si="3"/>
        <v>0</v>
      </c>
      <c r="G33" s="150">
        <f t="shared" si="14"/>
        <v>0</v>
      </c>
      <c r="H33" s="133">
        <f>IF(K32&lt;0.01,0,IF(Adm!$R$3=Adm!$R$6,0,IF(Adm!$S$10=Adm!$S$11,0,IF(Adm!$S$10=Adm!$S$13,K32*Adm!$X$6,IF(Adm!$S$10=Adm!$S$12,K32*Adm!$Y$3)))))</f>
        <v>0</v>
      </c>
      <c r="I33" s="133">
        <f>IF(K32&lt;0.01,0,E33*Adm!$N$7)</f>
        <v>0</v>
      </c>
      <c r="J33" s="133">
        <f t="shared" si="4"/>
        <v>0</v>
      </c>
      <c r="K33" s="133">
        <f t="shared" si="5"/>
        <v>0</v>
      </c>
      <c r="L33" s="361"/>
      <c r="V33" s="571">
        <f t="shared" si="6"/>
        <v>4</v>
      </c>
      <c r="W33" s="846">
        <f>IF(Adm!$AF$3=Adm!$AF$6,0,IF(V33=1,Adm!$AN$2,0))</f>
        <v>0</v>
      </c>
      <c r="Y33" s="338">
        <f>IF(AND($L$14=$AB$10,Adm!$AF$3=Adm!$AF$6,L32&gt;0),PMT(Cal!$F$86/12,B32,-K32),0)</f>
        <v>0</v>
      </c>
      <c r="AB33" s="650">
        <f t="shared" si="12"/>
        <v>0</v>
      </c>
      <c r="AC33" s="639">
        <f t="shared" si="13"/>
        <v>0</v>
      </c>
      <c r="AD33" s="639">
        <f>IF(AND($AD$12=1,$AB$12=2),PMT(Adm!$AH$7/12,B32,-K32),0)</f>
        <v>0</v>
      </c>
      <c r="AE33" s="639">
        <f t="shared" si="11"/>
        <v>0</v>
      </c>
      <c r="AF33" s="636">
        <f t="shared" si="7"/>
        <v>0</v>
      </c>
      <c r="AG33" s="647" t="e">
        <f>Captura!AG130</f>
        <v>#N/A</v>
      </c>
    </row>
    <row r="34" spans="1:33">
      <c r="A34" s="151">
        <f t="shared" ca="1" si="0"/>
        <v>4</v>
      </c>
      <c r="B34" s="195">
        <f t="shared" si="1"/>
        <v>0</v>
      </c>
      <c r="C34" s="199">
        <f t="shared" si="8"/>
        <v>0</v>
      </c>
      <c r="D34" s="333">
        <f t="shared" si="9"/>
        <v>0</v>
      </c>
      <c r="E34" s="133">
        <f t="shared" si="2"/>
        <v>0</v>
      </c>
      <c r="F34" s="133">
        <f t="shared" si="3"/>
        <v>0</v>
      </c>
      <c r="G34" s="150">
        <f t="shared" si="14"/>
        <v>0</v>
      </c>
      <c r="H34" s="133">
        <f>IF(K33&lt;0.01,0,IF(Adm!$R$3=Adm!$R$6,0,IF(Adm!$S$10=Adm!$S$11,0,IF(Adm!$S$10=Adm!$S$13,K33*Adm!$X$6,IF(Adm!$S$10=Adm!$S$12,K33*Adm!$Y$3)))))</f>
        <v>0</v>
      </c>
      <c r="I34" s="133">
        <f>IF(K33&lt;0.01,0,E34*Adm!$N$7)</f>
        <v>0</v>
      </c>
      <c r="J34" s="133">
        <f t="shared" si="4"/>
        <v>0</v>
      </c>
      <c r="K34" s="133">
        <f t="shared" si="5"/>
        <v>0</v>
      </c>
      <c r="L34" s="361"/>
      <c r="V34" s="571">
        <f t="shared" si="6"/>
        <v>5</v>
      </c>
      <c r="W34" s="846">
        <f>IF(Adm!$AF$3=Adm!$AF$6,0,IF(V34=1,Adm!$AN$2,0))</f>
        <v>0</v>
      </c>
      <c r="Y34" s="338">
        <f>IF(AND($L$14=$AB$10,Adm!$AF$3=Adm!$AF$6,L33&gt;0),PMT(Cal!$F$86/12,B33,-K33),0)</f>
        <v>0</v>
      </c>
      <c r="AB34" s="650">
        <f t="shared" si="12"/>
        <v>0</v>
      </c>
      <c r="AC34" s="639">
        <f t="shared" si="13"/>
        <v>0</v>
      </c>
      <c r="AD34" s="639">
        <f>IF(AND($AD$12=1,$AB$12=2),PMT(Adm!$AH$7/12,B33,-K33),0)</f>
        <v>0</v>
      </c>
      <c r="AE34" s="639">
        <f t="shared" si="11"/>
        <v>0</v>
      </c>
      <c r="AF34" s="636">
        <f t="shared" si="7"/>
        <v>0</v>
      </c>
      <c r="AG34" s="647" t="e">
        <f>Captura!AG131</f>
        <v>#N/A</v>
      </c>
    </row>
    <row r="35" spans="1:33">
      <c r="A35" s="151">
        <f t="shared" ca="1" si="0"/>
        <v>5</v>
      </c>
      <c r="B35" s="195">
        <f t="shared" si="1"/>
        <v>0</v>
      </c>
      <c r="C35" s="199">
        <f t="shared" si="8"/>
        <v>0</v>
      </c>
      <c r="D35" s="333">
        <f t="shared" si="9"/>
        <v>0</v>
      </c>
      <c r="E35" s="133">
        <f t="shared" si="2"/>
        <v>0</v>
      </c>
      <c r="F35" s="133">
        <f t="shared" si="3"/>
        <v>0</v>
      </c>
      <c r="G35" s="150">
        <f t="shared" si="14"/>
        <v>0</v>
      </c>
      <c r="H35" s="133">
        <f>IF(K34&lt;0.01,0,IF(Adm!$R$3=Adm!$R$6,0,IF(Adm!$S$10=Adm!$S$11,0,IF(Adm!$S$10=Adm!$S$13,K34*Adm!$X$6,IF(Adm!$S$10=Adm!$S$12,K34*Adm!$Y$3)))))</f>
        <v>0</v>
      </c>
      <c r="I35" s="133">
        <f>IF(K34&lt;0.01,0,E35*Adm!$N$7)</f>
        <v>0</v>
      </c>
      <c r="J35" s="133">
        <f t="shared" si="4"/>
        <v>0</v>
      </c>
      <c r="K35" s="133">
        <f t="shared" si="5"/>
        <v>0</v>
      </c>
      <c r="L35" s="361"/>
      <c r="V35" s="571">
        <f t="shared" si="6"/>
        <v>6</v>
      </c>
      <c r="W35" s="846">
        <f>IF(Adm!$AF$3=Adm!$AF$6,0,IF(V35=1,Adm!$AN$2,0))</f>
        <v>0</v>
      </c>
      <c r="Y35" s="338">
        <f>IF(AND($L$14=$AB$10,Adm!$AF$3=Adm!$AF$6,L34&gt;0),PMT(Cal!$F$86/12,B34,-K34),0)</f>
        <v>0</v>
      </c>
      <c r="AB35" s="650">
        <f t="shared" si="12"/>
        <v>0</v>
      </c>
      <c r="AC35" s="639">
        <f t="shared" si="13"/>
        <v>0</v>
      </c>
      <c r="AD35" s="639">
        <f>IF(AND($AD$12=1,$AB$12=2),PMT(Adm!$AH$7/12,B34,-K34),0)</f>
        <v>0</v>
      </c>
      <c r="AE35" s="639">
        <f t="shared" si="11"/>
        <v>0</v>
      </c>
      <c r="AF35" s="636">
        <f t="shared" si="7"/>
        <v>0</v>
      </c>
      <c r="AG35" s="647" t="e">
        <f>Captura!AG132</f>
        <v>#N/A</v>
      </c>
    </row>
    <row r="36" spans="1:33">
      <c r="A36" s="151">
        <f t="shared" ca="1" si="0"/>
        <v>6</v>
      </c>
      <c r="B36" s="195">
        <f t="shared" si="1"/>
        <v>0</v>
      </c>
      <c r="C36" s="199">
        <f t="shared" si="8"/>
        <v>0</v>
      </c>
      <c r="D36" s="333">
        <f t="shared" si="9"/>
        <v>0</v>
      </c>
      <c r="E36" s="133">
        <f t="shared" si="2"/>
        <v>0</v>
      </c>
      <c r="F36" s="133">
        <f t="shared" si="3"/>
        <v>0</v>
      </c>
      <c r="G36" s="150">
        <f t="shared" si="14"/>
        <v>0</v>
      </c>
      <c r="H36" s="133">
        <f>IF(K35&lt;0.01,0,IF(Adm!$R$3=Adm!$R$6,0,IF(Adm!$S$10=Adm!$S$11,0,IF(Adm!$S$10=Adm!$S$13,K35*Adm!$X$6,IF(Adm!$S$10=Adm!$S$12,K35*Adm!$Y$3)))))</f>
        <v>0</v>
      </c>
      <c r="I36" s="133">
        <f>IF(K35&lt;0.01,0,E36*Adm!$N$7)</f>
        <v>0</v>
      </c>
      <c r="J36" s="133">
        <f t="shared" si="4"/>
        <v>0</v>
      </c>
      <c r="K36" s="133">
        <f t="shared" si="5"/>
        <v>0</v>
      </c>
      <c r="L36" s="361"/>
      <c r="V36" s="571">
        <f t="shared" si="6"/>
        <v>7</v>
      </c>
      <c r="W36" s="846">
        <f>IF(Adm!$AF$3=Adm!$AF$6,0,IF(V36=1,Adm!$AN$2,0))</f>
        <v>0</v>
      </c>
      <c r="Y36" s="338">
        <f>IF(AND($L$14=$AB$10,Adm!$AF$3=Adm!$AF$6,L35&gt;0),PMT(Cal!$F$86/12,B35,-K35),0)</f>
        <v>0</v>
      </c>
      <c r="AB36" s="650">
        <f t="shared" si="12"/>
        <v>0</v>
      </c>
      <c r="AC36" s="639">
        <f t="shared" si="13"/>
        <v>0</v>
      </c>
      <c r="AD36" s="639">
        <f>IF(AND($AD$12=1,$AB$12=2),PMT(Adm!$AH$7/12,B35,-K35),0)</f>
        <v>0</v>
      </c>
      <c r="AE36" s="639">
        <f t="shared" si="11"/>
        <v>0</v>
      </c>
      <c r="AF36" s="636">
        <f t="shared" si="7"/>
        <v>0</v>
      </c>
      <c r="AG36" s="647" t="e">
        <f>Captura!AG133</f>
        <v>#N/A</v>
      </c>
    </row>
    <row r="37" spans="1:33">
      <c r="A37" s="151">
        <f t="shared" ca="1" si="0"/>
        <v>7</v>
      </c>
      <c r="B37" s="195">
        <f t="shared" si="1"/>
        <v>0</v>
      </c>
      <c r="C37" s="199">
        <f t="shared" si="8"/>
        <v>0</v>
      </c>
      <c r="D37" s="333">
        <f t="shared" si="9"/>
        <v>0</v>
      </c>
      <c r="E37" s="133">
        <f t="shared" si="2"/>
        <v>0</v>
      </c>
      <c r="F37" s="133">
        <f t="shared" si="3"/>
        <v>0</v>
      </c>
      <c r="G37" s="150">
        <f t="shared" si="14"/>
        <v>0</v>
      </c>
      <c r="H37" s="133">
        <f>IF(K36&lt;0.01,0,IF(Adm!$R$3=Adm!$R$6,0,IF(Adm!$S$10=Adm!$S$11,0,IF(Adm!$S$10=Adm!$S$13,K36*Adm!$X$6,IF(Adm!$S$10=Adm!$S$12,K36*Adm!$Y$3)))))</f>
        <v>0</v>
      </c>
      <c r="I37" s="133">
        <f>IF(K36&lt;0.01,0,E37*Adm!$N$7)</f>
        <v>0</v>
      </c>
      <c r="J37" s="133">
        <f t="shared" si="4"/>
        <v>0</v>
      </c>
      <c r="K37" s="133">
        <f t="shared" si="5"/>
        <v>0</v>
      </c>
      <c r="L37" s="361"/>
      <c r="V37" s="571">
        <f t="shared" si="6"/>
        <v>8</v>
      </c>
      <c r="W37" s="846">
        <f>IF(Adm!$AF$3=Adm!$AF$6,0,IF(V37=1,Adm!$AN$2,0))</f>
        <v>0</v>
      </c>
      <c r="Y37" s="338">
        <f>IF(AND($L$14=$AB$10,Adm!$AF$3=Adm!$AF$6,L36&gt;0),PMT(Cal!$F$86/12,B36,-K36),0)</f>
        <v>0</v>
      </c>
      <c r="AB37" s="650">
        <f t="shared" si="12"/>
        <v>0</v>
      </c>
      <c r="AC37" s="639">
        <f t="shared" si="13"/>
        <v>0</v>
      </c>
      <c r="AD37" s="639">
        <f>IF(AND($AD$12=1,$AB$12=2),PMT(Adm!$AH$7/12,B36,-K36),0)</f>
        <v>0</v>
      </c>
      <c r="AE37" s="639">
        <f t="shared" si="11"/>
        <v>0</v>
      </c>
      <c r="AF37" s="636">
        <f t="shared" si="7"/>
        <v>0</v>
      </c>
      <c r="AG37" s="647" t="e">
        <f>Captura!AG134</f>
        <v>#N/A</v>
      </c>
    </row>
    <row r="38" spans="1:33">
      <c r="A38" s="151">
        <f t="shared" ca="1" si="0"/>
        <v>8</v>
      </c>
      <c r="B38" s="195">
        <f t="shared" si="1"/>
        <v>0</v>
      </c>
      <c r="C38" s="199">
        <f t="shared" si="8"/>
        <v>0</v>
      </c>
      <c r="D38" s="333">
        <f t="shared" si="9"/>
        <v>0</v>
      </c>
      <c r="E38" s="133">
        <f t="shared" si="2"/>
        <v>0</v>
      </c>
      <c r="F38" s="133">
        <f t="shared" si="3"/>
        <v>0</v>
      </c>
      <c r="G38" s="150">
        <f t="shared" si="14"/>
        <v>0</v>
      </c>
      <c r="H38" s="133">
        <f>IF(K37&lt;0.01,0,IF(Adm!$R$3=Adm!$R$6,0,IF(Adm!$S$10=Adm!$S$11,0,IF(Adm!$S$10=Adm!$S$13,K37*Adm!$X$6,IF(Adm!$S$10=Adm!$S$12,K37*Adm!$Y$3)))))</f>
        <v>0</v>
      </c>
      <c r="I38" s="133">
        <f>IF(K37&lt;0.01,0,E38*Adm!$N$7)</f>
        <v>0</v>
      </c>
      <c r="J38" s="133">
        <f t="shared" si="4"/>
        <v>0</v>
      </c>
      <c r="K38" s="133">
        <f t="shared" si="5"/>
        <v>0</v>
      </c>
      <c r="L38" s="361"/>
      <c r="V38" s="571">
        <f t="shared" si="6"/>
        <v>9</v>
      </c>
      <c r="W38" s="846">
        <f>IF(Adm!$AF$3=Adm!$AF$6,0,IF(V38=1,Adm!$AN$2,0))</f>
        <v>0</v>
      </c>
      <c r="Y38" s="338">
        <f>IF(AND($L$14=$AB$10,Adm!$AF$3=Adm!$AF$6,L37&gt;0),PMT(Cal!$F$86/12,B37,-K37),0)</f>
        <v>0</v>
      </c>
      <c r="AB38" s="650">
        <f t="shared" si="12"/>
        <v>0</v>
      </c>
      <c r="AC38" s="639">
        <f t="shared" si="13"/>
        <v>0</v>
      </c>
      <c r="AD38" s="639">
        <f>IF(AND($AD$12=1,$AB$12=2),PMT(Adm!$AH$7/12,B37,-K37),0)</f>
        <v>0</v>
      </c>
      <c r="AE38" s="639">
        <f t="shared" si="11"/>
        <v>0</v>
      </c>
      <c r="AF38" s="636">
        <f t="shared" si="7"/>
        <v>0</v>
      </c>
      <c r="AG38" s="647" t="e">
        <f>Captura!AG135</f>
        <v>#N/A</v>
      </c>
    </row>
    <row r="39" spans="1:33">
      <c r="A39" s="151">
        <f t="shared" ca="1" si="0"/>
        <v>9</v>
      </c>
      <c r="B39" s="195">
        <f t="shared" si="1"/>
        <v>0</v>
      </c>
      <c r="C39" s="199">
        <f t="shared" si="8"/>
        <v>0</v>
      </c>
      <c r="D39" s="333">
        <f t="shared" si="9"/>
        <v>0</v>
      </c>
      <c r="E39" s="133">
        <f t="shared" si="2"/>
        <v>0</v>
      </c>
      <c r="F39" s="133">
        <f t="shared" si="3"/>
        <v>0</v>
      </c>
      <c r="G39" s="150">
        <f t="shared" si="14"/>
        <v>0</v>
      </c>
      <c r="H39" s="133">
        <f>IF(K38&lt;0.01,0,IF(Adm!$R$3=Adm!$R$6,0,IF(Adm!$S$10=Adm!$S$11,0,IF(Adm!$S$10=Adm!$S$13,K38*Adm!$X$6,IF(Adm!$S$10=Adm!$S$12,K38*Adm!$Y$3)))))</f>
        <v>0</v>
      </c>
      <c r="I39" s="133">
        <f>IF(K38&lt;0.01,0,E39*Adm!$N$7)</f>
        <v>0</v>
      </c>
      <c r="J39" s="133">
        <f t="shared" si="4"/>
        <v>0</v>
      </c>
      <c r="K39" s="133">
        <f t="shared" si="5"/>
        <v>0</v>
      </c>
      <c r="L39" s="361"/>
      <c r="V39" s="571">
        <f t="shared" si="6"/>
        <v>10</v>
      </c>
      <c r="W39" s="846">
        <f>IF(Adm!$AF$3=Adm!$AF$6,0,IF(V39=1,Adm!$AN$2,0))</f>
        <v>0</v>
      </c>
      <c r="Y39" s="338">
        <f>IF(AND($L$14=$AB$10,Adm!$AF$3=Adm!$AF$6,L38&gt;0),PMT(Cal!$F$86/12,B38,-K38),0)</f>
        <v>0</v>
      </c>
      <c r="AB39" s="650">
        <f t="shared" si="12"/>
        <v>0</v>
      </c>
      <c r="AC39" s="639">
        <f t="shared" si="13"/>
        <v>0</v>
      </c>
      <c r="AD39" s="639">
        <f>IF(AND($AD$12=1,$AB$12=2),PMT(Adm!$AH$7/12,B38,-K38),0)</f>
        <v>0</v>
      </c>
      <c r="AE39" s="639">
        <f t="shared" si="11"/>
        <v>0</v>
      </c>
      <c r="AF39" s="636">
        <f t="shared" si="7"/>
        <v>0</v>
      </c>
      <c r="AG39" s="647" t="e">
        <f>Captura!AG136</f>
        <v>#N/A</v>
      </c>
    </row>
    <row r="40" spans="1:33">
      <c r="A40" s="151">
        <f t="shared" ca="1" si="0"/>
        <v>10</v>
      </c>
      <c r="B40" s="195">
        <f t="shared" si="1"/>
        <v>0</v>
      </c>
      <c r="C40" s="199">
        <f t="shared" si="8"/>
        <v>0</v>
      </c>
      <c r="D40" s="333">
        <f t="shared" si="9"/>
        <v>0</v>
      </c>
      <c r="E40" s="133">
        <f t="shared" si="2"/>
        <v>0</v>
      </c>
      <c r="F40" s="133">
        <f t="shared" si="3"/>
        <v>0</v>
      </c>
      <c r="G40" s="150">
        <f t="shared" si="14"/>
        <v>0</v>
      </c>
      <c r="H40" s="133">
        <f>IF(K39&lt;0.01,0,IF(Adm!$R$3=Adm!$R$6,0,IF(Adm!$S$10=Adm!$S$11,0,IF(Adm!$S$10=Adm!$S$13,K39*Adm!$X$6,IF(Adm!$S$10=Adm!$S$12,K39*Adm!$Y$3)))))</f>
        <v>0</v>
      </c>
      <c r="I40" s="133">
        <f>IF(K39&lt;0.01,0,E40*Adm!$N$7)</f>
        <v>0</v>
      </c>
      <c r="J40" s="133">
        <f t="shared" si="4"/>
        <v>0</v>
      </c>
      <c r="K40" s="133">
        <f t="shared" si="5"/>
        <v>0</v>
      </c>
      <c r="L40" s="361"/>
      <c r="V40" s="571">
        <f t="shared" si="6"/>
        <v>11</v>
      </c>
      <c r="W40" s="846">
        <f>IF(Adm!$AF$3=Adm!$AF$6,0,IF(V40=1,Adm!$AN$2,0))</f>
        <v>0</v>
      </c>
      <c r="Y40" s="338">
        <f>IF(AND($L$14=$AB$10,Adm!$AF$3=Adm!$AF$6,L39&gt;0),PMT(Cal!$F$86/12,B39,-K39),0)</f>
        <v>0</v>
      </c>
      <c r="AB40" s="650">
        <f t="shared" si="12"/>
        <v>0</v>
      </c>
      <c r="AC40" s="639">
        <f t="shared" si="13"/>
        <v>0</v>
      </c>
      <c r="AD40" s="639">
        <f>IF(AND($AD$12=1,$AB$12=2),PMT(Adm!$AH$7/12,B39,-K39),0)</f>
        <v>0</v>
      </c>
      <c r="AE40" s="639">
        <f t="shared" si="11"/>
        <v>0</v>
      </c>
      <c r="AF40" s="636">
        <f t="shared" si="7"/>
        <v>0</v>
      </c>
      <c r="AG40" s="647" t="e">
        <f>Captura!AG137</f>
        <v>#N/A</v>
      </c>
    </row>
    <row r="41" spans="1:33">
      <c r="A41" s="151">
        <f t="shared" ca="1" si="0"/>
        <v>11</v>
      </c>
      <c r="B41" s="195">
        <f t="shared" si="1"/>
        <v>0</v>
      </c>
      <c r="C41" s="199">
        <f t="shared" si="8"/>
        <v>0</v>
      </c>
      <c r="D41" s="333">
        <f t="shared" si="9"/>
        <v>0</v>
      </c>
      <c r="E41" s="133">
        <f t="shared" si="2"/>
        <v>0</v>
      </c>
      <c r="F41" s="133">
        <f t="shared" si="3"/>
        <v>0</v>
      </c>
      <c r="G41" s="150">
        <f t="shared" si="14"/>
        <v>0</v>
      </c>
      <c r="H41" s="133">
        <f>IF(K40&lt;0.01,0,IF(Adm!$R$3=Adm!$R$6,0,IF(Adm!$S$10=Adm!$S$11,0,IF(Adm!$S$10=Adm!$S$13,K40*Adm!$X$6,IF(Adm!$S$10=Adm!$S$12,K40*Adm!$Y$3)))))</f>
        <v>0</v>
      </c>
      <c r="I41" s="133">
        <f>IF(K40&lt;0.01,0,E41*Adm!$N$7)</f>
        <v>0</v>
      </c>
      <c r="J41" s="133">
        <f t="shared" si="4"/>
        <v>0</v>
      </c>
      <c r="K41" s="133">
        <f t="shared" si="5"/>
        <v>0</v>
      </c>
      <c r="L41" s="361"/>
      <c r="V41" s="571">
        <f t="shared" si="6"/>
        <v>12</v>
      </c>
      <c r="W41" s="846">
        <f>IF(Adm!$AF$3=Adm!$AF$6,0,IF(V41=1,Adm!$AN$2,0))</f>
        <v>0</v>
      </c>
      <c r="Y41" s="338">
        <f>IF(AND($L$14=$AB$10,Adm!$AF$3=Adm!$AF$6,L40&gt;0),PMT(Cal!$F$86/12,B40,-K40),0)</f>
        <v>0</v>
      </c>
      <c r="AB41" s="650">
        <f t="shared" si="12"/>
        <v>0</v>
      </c>
      <c r="AC41" s="639">
        <f t="shared" si="13"/>
        <v>0</v>
      </c>
      <c r="AD41" s="639">
        <f>IF(AND($AD$12=1,$AB$12=2),PMT(Adm!$AH$7/12,B40,-K40),0)</f>
        <v>0</v>
      </c>
      <c r="AE41" s="639">
        <f t="shared" si="11"/>
        <v>0</v>
      </c>
      <c r="AF41" s="636">
        <f t="shared" si="7"/>
        <v>0</v>
      </c>
      <c r="AG41" s="647" t="e">
        <f>Captura!AG138</f>
        <v>#N/A</v>
      </c>
    </row>
    <row r="42" spans="1:33">
      <c r="A42" s="151">
        <f t="shared" ca="1" si="0"/>
        <v>12</v>
      </c>
      <c r="B42" s="195">
        <f t="shared" si="1"/>
        <v>0</v>
      </c>
      <c r="C42" s="199">
        <f t="shared" si="8"/>
        <v>0</v>
      </c>
      <c r="D42" s="333">
        <f t="shared" si="9"/>
        <v>0</v>
      </c>
      <c r="E42" s="133">
        <f t="shared" si="2"/>
        <v>0</v>
      </c>
      <c r="F42" s="133">
        <f t="shared" si="3"/>
        <v>0</v>
      </c>
      <c r="G42" s="150">
        <f t="shared" si="14"/>
        <v>0</v>
      </c>
      <c r="H42" s="133">
        <f>IF(K41&lt;0.01,0,IF(Adm!$R$3=Adm!$R$6,0,IF(Adm!$S$10=Adm!$S$11,0,IF(Adm!$S$10=Adm!$S$13,K41*Adm!$X$6,IF(Adm!$S$10=Adm!$S$12,K41*Adm!$Y$3)))))</f>
        <v>0</v>
      </c>
      <c r="I42" s="133">
        <f>IF(K41&lt;0.01,0,E42*Adm!$N$7)</f>
        <v>0</v>
      </c>
      <c r="J42" s="133">
        <f t="shared" si="4"/>
        <v>0</v>
      </c>
      <c r="K42" s="133">
        <f t="shared" si="5"/>
        <v>0</v>
      </c>
      <c r="L42" s="361"/>
      <c r="V42" s="571">
        <f t="shared" si="6"/>
        <v>1</v>
      </c>
      <c r="W42" s="846">
        <f>IF(Adm!$AF$3=Adm!$AF$6,0,IF(V42=1,Adm!$AN$2,0))</f>
        <v>0</v>
      </c>
      <c r="Y42" s="338">
        <f>IF(AND($L$14=$AB$10,Adm!$AF$3=Adm!$AF$6,L41&gt;0),PMT(Cal!$F$86/12,B41,-K41),0)</f>
        <v>0</v>
      </c>
      <c r="AB42" s="650">
        <f t="shared" si="12"/>
        <v>0</v>
      </c>
      <c r="AC42" s="639">
        <f t="shared" si="13"/>
        <v>0</v>
      </c>
      <c r="AD42" s="639">
        <f>IF(AND($AD$12=1,$AB$12=2),PMT(Adm!$AH$7/12,B41,-K41),0)</f>
        <v>0</v>
      </c>
      <c r="AE42" s="639">
        <f t="shared" si="11"/>
        <v>0</v>
      </c>
      <c r="AF42" s="636">
        <f t="shared" si="7"/>
        <v>0</v>
      </c>
      <c r="AG42" s="647" t="e">
        <f>Captura!AG139</f>
        <v>#N/A</v>
      </c>
    </row>
    <row r="43" spans="1:33">
      <c r="A43" s="151">
        <f t="shared" ca="1" si="0"/>
        <v>1</v>
      </c>
      <c r="B43" s="195">
        <f t="shared" si="1"/>
        <v>0</v>
      </c>
      <c r="C43" s="199">
        <f t="shared" si="8"/>
        <v>0</v>
      </c>
      <c r="D43" s="333">
        <f t="shared" si="9"/>
        <v>0</v>
      </c>
      <c r="E43" s="133">
        <f t="shared" si="2"/>
        <v>0</v>
      </c>
      <c r="F43" s="133">
        <f t="shared" si="3"/>
        <v>0</v>
      </c>
      <c r="G43" s="150">
        <f t="shared" si="14"/>
        <v>0</v>
      </c>
      <c r="H43" s="133">
        <f>IF(K42&lt;0.01,0,IF(Adm!$R$3=Adm!$R$6,0,IF(Adm!$S$10=Adm!$S$11,0,IF(Adm!$S$10=Adm!$S$13,K42*Adm!$X$6,IF(Adm!$S$10=Adm!$S$12,K42*Adm!$Y$3)))))</f>
        <v>0</v>
      </c>
      <c r="I43" s="133">
        <f>IF(K42&lt;0.01,0,E43*Adm!$N$7)</f>
        <v>0</v>
      </c>
      <c r="J43" s="133">
        <f t="shared" si="4"/>
        <v>0</v>
      </c>
      <c r="K43" s="133">
        <f t="shared" si="5"/>
        <v>0</v>
      </c>
      <c r="L43" s="361"/>
      <c r="V43" s="571">
        <f t="shared" si="6"/>
        <v>2</v>
      </c>
      <c r="W43" s="846">
        <f>IF(Adm!$AF$3=Adm!$AF$6,0,IF(V43=1,Adm!$AN$2,0))</f>
        <v>0</v>
      </c>
      <c r="Y43" s="338">
        <f>IF(AND($L$14=$AB$10,Adm!$AF$3=Adm!$AF$6,L42&gt;0),PMT(Cal!$F$86/12,B42,-K42),0)</f>
        <v>0</v>
      </c>
      <c r="AB43" s="650">
        <f t="shared" si="12"/>
        <v>0</v>
      </c>
      <c r="AC43" s="639">
        <f t="shared" si="13"/>
        <v>0</v>
      </c>
      <c r="AD43" s="639">
        <f>IF(AND($AD$12=1,$AB$12=2),PMT(Adm!$AH$7/12,B42,-K42),0)</f>
        <v>0</v>
      </c>
      <c r="AE43" s="639">
        <f t="shared" si="11"/>
        <v>0</v>
      </c>
      <c r="AF43" s="636">
        <f t="shared" si="7"/>
        <v>0</v>
      </c>
      <c r="AG43" s="647" t="e">
        <f>Captura!AG140</f>
        <v>#N/A</v>
      </c>
    </row>
    <row r="44" spans="1:33">
      <c r="A44" s="151">
        <f t="shared" ca="1" si="0"/>
        <v>2</v>
      </c>
      <c r="B44" s="195">
        <f t="shared" si="1"/>
        <v>0</v>
      </c>
      <c r="C44" s="199">
        <f t="shared" si="8"/>
        <v>0</v>
      </c>
      <c r="D44" s="333">
        <f t="shared" si="9"/>
        <v>0</v>
      </c>
      <c r="E44" s="133">
        <f t="shared" si="2"/>
        <v>0</v>
      </c>
      <c r="F44" s="133">
        <f t="shared" si="3"/>
        <v>0</v>
      </c>
      <c r="G44" s="150">
        <f t="shared" si="14"/>
        <v>0</v>
      </c>
      <c r="H44" s="133">
        <f>IF(K43&lt;0.01,0,IF(Adm!$R$3=Adm!$R$6,0,IF(Adm!$S$10=Adm!$S$11,0,IF(Adm!$S$10=Adm!$S$13,K43*Adm!$X$6,IF(Adm!$S$10=Adm!$S$12,K43*Adm!$Y$3)))))</f>
        <v>0</v>
      </c>
      <c r="I44" s="133">
        <f>IF(K43&lt;0.01,0,E44*Adm!$N$7)</f>
        <v>0</v>
      </c>
      <c r="J44" s="133">
        <f t="shared" si="4"/>
        <v>0</v>
      </c>
      <c r="K44" s="133">
        <f t="shared" si="5"/>
        <v>0</v>
      </c>
      <c r="L44" s="361"/>
      <c r="V44" s="571">
        <f t="shared" si="6"/>
        <v>3</v>
      </c>
      <c r="W44" s="846">
        <f>IF(Adm!$AF$3=Adm!$AF$6,0,IF(V44=1,Adm!$AN$2,0))</f>
        <v>0</v>
      </c>
      <c r="Y44" s="338">
        <f>IF(AND($L$14=$AB$10,Adm!$AF$3=Adm!$AF$6,L43&gt;0),PMT(Cal!$F$86/12,B43,-K43),0)</f>
        <v>0</v>
      </c>
      <c r="AB44" s="650">
        <f t="shared" si="12"/>
        <v>0</v>
      </c>
      <c r="AC44" s="639">
        <f t="shared" si="13"/>
        <v>0</v>
      </c>
      <c r="AD44" s="639">
        <f>IF(AND($AD$12=1,$AB$12=2),PMT(Adm!$AH$7/12,B43,-K43),0)</f>
        <v>0</v>
      </c>
      <c r="AE44" s="639">
        <f t="shared" si="11"/>
        <v>0</v>
      </c>
      <c r="AF44" s="636">
        <f t="shared" si="7"/>
        <v>0</v>
      </c>
      <c r="AG44" s="647" t="e">
        <f>Captura!AG141</f>
        <v>#N/A</v>
      </c>
    </row>
    <row r="45" spans="1:33">
      <c r="A45" s="151">
        <f t="shared" ca="1" si="0"/>
        <v>3</v>
      </c>
      <c r="B45" s="195">
        <f t="shared" si="1"/>
        <v>0</v>
      </c>
      <c r="C45" s="199">
        <f t="shared" si="8"/>
        <v>0</v>
      </c>
      <c r="D45" s="333">
        <f t="shared" si="9"/>
        <v>0</v>
      </c>
      <c r="E45" s="133">
        <f t="shared" si="2"/>
        <v>0</v>
      </c>
      <c r="F45" s="133">
        <f t="shared" si="3"/>
        <v>0</v>
      </c>
      <c r="G45" s="150">
        <f t="shared" si="14"/>
        <v>0</v>
      </c>
      <c r="H45" s="133">
        <f>IF(K44&lt;0.01,0,IF(Adm!$R$3=Adm!$R$6,0,IF(Adm!$S$10=Adm!$S$11,0,IF(Adm!$S$10=Adm!$S$13,K44*Adm!$X$6,IF(Adm!$S$10=Adm!$S$12,K44*Adm!$Y$3)))))</f>
        <v>0</v>
      </c>
      <c r="I45" s="133">
        <f>IF(K44&lt;0.01,0,E45*Adm!$N$7)</f>
        <v>0</v>
      </c>
      <c r="J45" s="133">
        <f t="shared" si="4"/>
        <v>0</v>
      </c>
      <c r="K45" s="133">
        <f t="shared" si="5"/>
        <v>0</v>
      </c>
      <c r="L45" s="361"/>
      <c r="V45" s="571">
        <f t="shared" si="6"/>
        <v>4</v>
      </c>
      <c r="W45" s="846">
        <f>IF(Adm!$AF$3=Adm!$AF$6,0,IF(V45=1,Adm!$AN$2,0))</f>
        <v>0</v>
      </c>
      <c r="Y45" s="338">
        <f>IF(AND($L$14=$AB$10,Adm!$AF$3=Adm!$AF$6,L44&gt;0),PMT(Cal!$F$86/12,B44,-K44),0)</f>
        <v>0</v>
      </c>
      <c r="AB45" s="650">
        <f t="shared" si="12"/>
        <v>0</v>
      </c>
      <c r="AC45" s="639">
        <f t="shared" si="13"/>
        <v>0</v>
      </c>
      <c r="AD45" s="639">
        <f>IF(AND($AD$12=1,$AB$12=2),PMT(Adm!$AH$7/12,B44,-K44),0)</f>
        <v>0</v>
      </c>
      <c r="AE45" s="639">
        <f t="shared" si="11"/>
        <v>0</v>
      </c>
      <c r="AF45" s="636">
        <f t="shared" si="7"/>
        <v>0</v>
      </c>
      <c r="AG45" s="647" t="e">
        <f>Captura!AG142</f>
        <v>#N/A</v>
      </c>
    </row>
    <row r="46" spans="1:33">
      <c r="A46" s="151">
        <f t="shared" ca="1" si="0"/>
        <v>4</v>
      </c>
      <c r="B46" s="195">
        <f t="shared" si="1"/>
        <v>0</v>
      </c>
      <c r="C46" s="199">
        <f t="shared" si="8"/>
        <v>0</v>
      </c>
      <c r="D46" s="333">
        <f t="shared" si="9"/>
        <v>0</v>
      </c>
      <c r="E46" s="133">
        <f t="shared" si="2"/>
        <v>0</v>
      </c>
      <c r="F46" s="133">
        <f t="shared" si="3"/>
        <v>0</v>
      </c>
      <c r="G46" s="150">
        <f t="shared" si="14"/>
        <v>0</v>
      </c>
      <c r="H46" s="133">
        <f>IF(K45&lt;0.01,0,IF(Adm!$R$3=Adm!$R$6,0,IF(Adm!$S$10=Adm!$S$11,0,IF(Adm!$S$10=Adm!$S$13,K45*Adm!$X$6,IF(Adm!$S$10=Adm!$S$12,K45*Adm!$Y$3)))))</f>
        <v>0</v>
      </c>
      <c r="I46" s="133">
        <f>IF(K45&lt;0.01,0,E46*Adm!$N$7)</f>
        <v>0</v>
      </c>
      <c r="J46" s="133">
        <f t="shared" si="4"/>
        <v>0</v>
      </c>
      <c r="K46" s="133">
        <f t="shared" si="5"/>
        <v>0</v>
      </c>
      <c r="L46" s="361"/>
      <c r="V46" s="571">
        <f t="shared" si="6"/>
        <v>5</v>
      </c>
      <c r="W46" s="846">
        <f>IF(Adm!$AF$3=Adm!$AF$6,0,IF(V46=1,Adm!$AN$2,0))</f>
        <v>0</v>
      </c>
      <c r="Y46" s="338">
        <f>IF(AND($L$14=$AB$10,Adm!$AF$3=Adm!$AF$6,L45&gt;0),PMT(Cal!$F$86/12,B45,-K45),0)</f>
        <v>0</v>
      </c>
      <c r="AB46" s="650">
        <f t="shared" si="12"/>
        <v>0</v>
      </c>
      <c r="AC46" s="639">
        <f t="shared" si="13"/>
        <v>0</v>
      </c>
      <c r="AD46" s="639">
        <f>IF(AND($AD$12=1,$AB$12=2),PMT(Adm!$AH$7/12,B45,-K45),0)</f>
        <v>0</v>
      </c>
      <c r="AE46" s="639">
        <f t="shared" si="11"/>
        <v>0</v>
      </c>
      <c r="AF46" s="636">
        <f t="shared" si="7"/>
        <v>0</v>
      </c>
      <c r="AG46" s="647" t="e">
        <f>Captura!AG143</f>
        <v>#N/A</v>
      </c>
    </row>
    <row r="47" spans="1:33">
      <c r="A47" s="151">
        <f t="shared" ca="1" si="0"/>
        <v>5</v>
      </c>
      <c r="B47" s="195">
        <f t="shared" si="1"/>
        <v>0</v>
      </c>
      <c r="C47" s="199">
        <f t="shared" si="8"/>
        <v>0</v>
      </c>
      <c r="D47" s="333">
        <f t="shared" si="9"/>
        <v>0</v>
      </c>
      <c r="E47" s="133">
        <f t="shared" si="2"/>
        <v>0</v>
      </c>
      <c r="F47" s="133">
        <f t="shared" si="3"/>
        <v>0</v>
      </c>
      <c r="G47" s="150">
        <f t="shared" si="14"/>
        <v>0</v>
      </c>
      <c r="H47" s="133">
        <f>IF(K46&lt;0.01,0,IF(Adm!$R$3=Adm!$R$6,0,IF(Adm!$S$10=Adm!$S$11,0,IF(Adm!$S$10=Adm!$S$13,K46*Adm!$X$6,IF(Adm!$S$10=Adm!$S$12,K46*Adm!$Y$3)))))</f>
        <v>0</v>
      </c>
      <c r="I47" s="133">
        <f>IF(K46&lt;0.01,0,E47*Adm!$N$7)</f>
        <v>0</v>
      </c>
      <c r="J47" s="133">
        <f t="shared" si="4"/>
        <v>0</v>
      </c>
      <c r="K47" s="133">
        <f t="shared" si="5"/>
        <v>0</v>
      </c>
      <c r="L47" s="361"/>
      <c r="V47" s="571">
        <f t="shared" si="6"/>
        <v>6</v>
      </c>
      <c r="W47" s="846">
        <f>IF(Adm!$AF$3=Adm!$AF$6,0,IF(V47=1,Adm!$AN$2,0))</f>
        <v>0</v>
      </c>
      <c r="Y47" s="338">
        <f>IF(AND($L$14=$AB$10,Adm!$AF$3=Adm!$AF$6,L46&gt;0),PMT(Cal!$F$86/12,B46,-K46),0)</f>
        <v>0</v>
      </c>
      <c r="AB47" s="650">
        <f t="shared" si="12"/>
        <v>0</v>
      </c>
      <c r="AC47" s="639">
        <f t="shared" si="13"/>
        <v>0</v>
      </c>
      <c r="AD47" s="639">
        <f>IF(AND($AD$12=1,$AB$12=2),PMT(Adm!$AH$7/12,B46,-K46),0)</f>
        <v>0</v>
      </c>
      <c r="AE47" s="639">
        <f t="shared" si="11"/>
        <v>0</v>
      </c>
      <c r="AF47" s="636">
        <f t="shared" si="7"/>
        <v>0</v>
      </c>
      <c r="AG47" s="647" t="e">
        <f>Captura!AG144</f>
        <v>#N/A</v>
      </c>
    </row>
    <row r="48" spans="1:33">
      <c r="A48" s="151">
        <f t="shared" ca="1" si="0"/>
        <v>6</v>
      </c>
      <c r="B48" s="195">
        <f t="shared" si="1"/>
        <v>0</v>
      </c>
      <c r="C48" s="199">
        <f t="shared" si="8"/>
        <v>0</v>
      </c>
      <c r="D48" s="333">
        <f t="shared" si="9"/>
        <v>0</v>
      </c>
      <c r="E48" s="133">
        <f t="shared" si="2"/>
        <v>0</v>
      </c>
      <c r="F48" s="133">
        <f t="shared" si="3"/>
        <v>0</v>
      </c>
      <c r="G48" s="150">
        <f t="shared" si="14"/>
        <v>0</v>
      </c>
      <c r="H48" s="133">
        <f>IF(K47&lt;0.01,0,IF(Adm!$R$3=Adm!$R$6,0,IF(Adm!$S$10=Adm!$S$11,0,IF(Adm!$S$10=Adm!$S$13,K47*Adm!$X$6,IF(Adm!$S$10=Adm!$S$12,K47*Adm!$Y$3)))))</f>
        <v>0</v>
      </c>
      <c r="I48" s="133">
        <f>IF(K47&lt;0.01,0,E48*Adm!$N$7)</f>
        <v>0</v>
      </c>
      <c r="J48" s="133">
        <f t="shared" si="4"/>
        <v>0</v>
      </c>
      <c r="K48" s="133">
        <f t="shared" si="5"/>
        <v>0</v>
      </c>
      <c r="L48" s="361"/>
      <c r="V48" s="571">
        <f t="shared" si="6"/>
        <v>7</v>
      </c>
      <c r="W48" s="846">
        <f>IF(Adm!$AF$3=Adm!$AF$6,0,IF(V48=1,Adm!$AN$2,0))</f>
        <v>0</v>
      </c>
      <c r="Y48" s="338">
        <f>IF(AND($L$14=$AB$10,Adm!$AF$3=Adm!$AF$6,L47&gt;0),PMT(Cal!$F$86/12,B47,-K47),0)</f>
        <v>0</v>
      </c>
      <c r="AB48" s="650">
        <f t="shared" si="12"/>
        <v>0</v>
      </c>
      <c r="AC48" s="639">
        <f t="shared" si="13"/>
        <v>0</v>
      </c>
      <c r="AD48" s="639">
        <f>IF(AND($AD$12=1,$AB$12=2),PMT(Adm!$AH$7/12,B47,-K47),0)</f>
        <v>0</v>
      </c>
      <c r="AE48" s="639">
        <f t="shared" si="11"/>
        <v>0</v>
      </c>
      <c r="AF48" s="636">
        <f t="shared" si="7"/>
        <v>0</v>
      </c>
      <c r="AG48" s="647" t="e">
        <f>Captura!AG145</f>
        <v>#N/A</v>
      </c>
    </row>
    <row r="49" spans="1:33">
      <c r="A49" s="151">
        <f t="shared" ca="1" si="0"/>
        <v>7</v>
      </c>
      <c r="B49" s="195">
        <f t="shared" si="1"/>
        <v>0</v>
      </c>
      <c r="C49" s="199">
        <f t="shared" si="8"/>
        <v>0</v>
      </c>
      <c r="D49" s="333">
        <f t="shared" si="9"/>
        <v>0</v>
      </c>
      <c r="E49" s="133">
        <f t="shared" si="2"/>
        <v>0</v>
      </c>
      <c r="F49" s="133">
        <f t="shared" si="3"/>
        <v>0</v>
      </c>
      <c r="G49" s="150">
        <f t="shared" si="14"/>
        <v>0</v>
      </c>
      <c r="H49" s="133">
        <f>IF(K48&lt;0.01,0,IF(Adm!$R$3=Adm!$R$6,0,IF(Adm!$S$10=Adm!$S$11,0,IF(Adm!$S$10=Adm!$S$13,K48*Adm!$X$6,IF(Adm!$S$10=Adm!$S$12,K48*Adm!$Y$3)))))</f>
        <v>0</v>
      </c>
      <c r="I49" s="133">
        <f>IF(K48&lt;0.01,0,E49*Adm!$N$7)</f>
        <v>0</v>
      </c>
      <c r="J49" s="133">
        <f t="shared" si="4"/>
        <v>0</v>
      </c>
      <c r="K49" s="133">
        <f t="shared" si="5"/>
        <v>0</v>
      </c>
      <c r="L49" s="361"/>
      <c r="V49" s="571">
        <f t="shared" si="6"/>
        <v>8</v>
      </c>
      <c r="W49" s="846">
        <f>IF(Adm!$AF$3=Adm!$AF$6,0,IF(V49=1,Adm!$AN$2,0))</f>
        <v>0</v>
      </c>
      <c r="Y49" s="338">
        <f>IF(AND($L$14=$AB$10,Adm!$AF$3=Adm!$AF$6,L48&gt;0),PMT(Cal!$F$86/12,B48,-K48),0)</f>
        <v>0</v>
      </c>
      <c r="AB49" s="650">
        <f t="shared" si="12"/>
        <v>0</v>
      </c>
      <c r="AC49" s="639">
        <f t="shared" si="13"/>
        <v>0</v>
      </c>
      <c r="AD49" s="639">
        <f>IF(AND($AD$12=1,$AB$12=2),PMT(Adm!$AH$7/12,B48,-K48),0)</f>
        <v>0</v>
      </c>
      <c r="AE49" s="639">
        <f t="shared" si="11"/>
        <v>0</v>
      </c>
      <c r="AF49" s="636">
        <f t="shared" si="7"/>
        <v>0</v>
      </c>
      <c r="AG49" s="647" t="e">
        <f>Captura!AG146</f>
        <v>#N/A</v>
      </c>
    </row>
    <row r="50" spans="1:33">
      <c r="A50" s="151">
        <f t="shared" ca="1" si="0"/>
        <v>8</v>
      </c>
      <c r="B50" s="195">
        <f t="shared" si="1"/>
        <v>0</v>
      </c>
      <c r="C50" s="199">
        <f t="shared" si="8"/>
        <v>0</v>
      </c>
      <c r="D50" s="333">
        <f t="shared" si="9"/>
        <v>0</v>
      </c>
      <c r="E50" s="133">
        <f t="shared" si="2"/>
        <v>0</v>
      </c>
      <c r="F50" s="133">
        <f t="shared" si="3"/>
        <v>0</v>
      </c>
      <c r="G50" s="150">
        <f t="shared" si="14"/>
        <v>0</v>
      </c>
      <c r="H50" s="133">
        <f>IF(K49&lt;0.01,0,IF(Adm!$R$3=Adm!$R$6,0,IF(Adm!$S$10=Adm!$S$11,0,IF(Adm!$S$10=Adm!$S$13,K49*Adm!$X$6,IF(Adm!$S$10=Adm!$S$12,K49*Adm!$Y$3)))))</f>
        <v>0</v>
      </c>
      <c r="I50" s="133">
        <f>IF(K49&lt;0.01,0,E50*Adm!$N$7)</f>
        <v>0</v>
      </c>
      <c r="J50" s="133">
        <f t="shared" si="4"/>
        <v>0</v>
      </c>
      <c r="K50" s="133">
        <f t="shared" si="5"/>
        <v>0</v>
      </c>
      <c r="L50" s="361"/>
      <c r="V50" s="571">
        <f t="shared" si="6"/>
        <v>9</v>
      </c>
      <c r="W50" s="846">
        <f>IF(Adm!$AF$3=Adm!$AF$6,0,IF(V50=1,Adm!$AN$2,0))</f>
        <v>0</v>
      </c>
      <c r="Y50" s="338">
        <f>IF(AND($L$14=$AB$10,Adm!$AF$3=Adm!$AF$6,L49&gt;0),PMT(Cal!$F$86/12,B49,-K49),0)</f>
        <v>0</v>
      </c>
      <c r="AB50" s="650">
        <f t="shared" si="12"/>
        <v>0</v>
      </c>
      <c r="AC50" s="639">
        <f t="shared" si="13"/>
        <v>0</v>
      </c>
      <c r="AD50" s="639">
        <f>IF(AND($AD$12=1,$AB$12=2),PMT(Adm!$AH$7/12,B49,-K49),0)</f>
        <v>0</v>
      </c>
      <c r="AE50" s="639">
        <f t="shared" si="11"/>
        <v>0</v>
      </c>
      <c r="AF50" s="636">
        <f t="shared" si="7"/>
        <v>0</v>
      </c>
      <c r="AG50" s="647" t="e">
        <f>Captura!AG147</f>
        <v>#N/A</v>
      </c>
    </row>
    <row r="51" spans="1:33">
      <c r="A51" s="151">
        <f t="shared" ca="1" si="0"/>
        <v>9</v>
      </c>
      <c r="B51" s="195">
        <f t="shared" si="1"/>
        <v>0</v>
      </c>
      <c r="C51" s="199">
        <f t="shared" si="8"/>
        <v>0</v>
      </c>
      <c r="D51" s="333">
        <f t="shared" si="9"/>
        <v>0</v>
      </c>
      <c r="E51" s="133">
        <f t="shared" si="2"/>
        <v>0</v>
      </c>
      <c r="F51" s="133">
        <f t="shared" si="3"/>
        <v>0</v>
      </c>
      <c r="G51" s="150">
        <f t="shared" si="14"/>
        <v>0</v>
      </c>
      <c r="H51" s="133">
        <f>IF(K50&lt;0.01,0,IF(Adm!$R$3=Adm!$R$6,0,IF(Adm!$S$10=Adm!$S$11,0,IF(Adm!$S$10=Adm!$S$13,K50*Adm!$X$6,IF(Adm!$S$10=Adm!$S$12,K50*Adm!$Y$3)))))</f>
        <v>0</v>
      </c>
      <c r="I51" s="133">
        <f>IF(K50&lt;0.01,0,E51*Adm!$N$7)</f>
        <v>0</v>
      </c>
      <c r="J51" s="133">
        <f t="shared" si="4"/>
        <v>0</v>
      </c>
      <c r="K51" s="133">
        <f t="shared" si="5"/>
        <v>0</v>
      </c>
      <c r="L51" s="361"/>
      <c r="V51" s="571">
        <f t="shared" si="6"/>
        <v>10</v>
      </c>
      <c r="W51" s="846">
        <f>IF(Adm!$AF$3=Adm!$AF$6,0,IF(V51=1,Adm!$AN$2,0))</f>
        <v>0</v>
      </c>
      <c r="Y51" s="338">
        <f>IF(AND($L$14=$AB$10,Adm!$AF$3=Adm!$AF$6,L50&gt;0),PMT(Cal!$F$86/12,B50,-K50),0)</f>
        <v>0</v>
      </c>
      <c r="AB51" s="650">
        <f t="shared" si="12"/>
        <v>0</v>
      </c>
      <c r="AC51" s="639">
        <f t="shared" si="13"/>
        <v>0</v>
      </c>
      <c r="AD51" s="639">
        <f>IF(AND($AD$12=1,$AB$12=2),PMT(Adm!$AH$7/12,B50,-K50),0)</f>
        <v>0</v>
      </c>
      <c r="AE51" s="639">
        <f t="shared" si="11"/>
        <v>0</v>
      </c>
      <c r="AF51" s="636">
        <f t="shared" si="7"/>
        <v>0</v>
      </c>
      <c r="AG51" s="647" t="e">
        <f>Captura!AG148</f>
        <v>#N/A</v>
      </c>
    </row>
    <row r="52" spans="1:33">
      <c r="A52" s="151">
        <f t="shared" ca="1" si="0"/>
        <v>10</v>
      </c>
      <c r="B52" s="195">
        <f t="shared" si="1"/>
        <v>0</v>
      </c>
      <c r="C52" s="199">
        <f t="shared" si="8"/>
        <v>0</v>
      </c>
      <c r="D52" s="333">
        <f t="shared" si="9"/>
        <v>0</v>
      </c>
      <c r="E52" s="133">
        <f t="shared" si="2"/>
        <v>0</v>
      </c>
      <c r="F52" s="133">
        <f t="shared" si="3"/>
        <v>0</v>
      </c>
      <c r="G52" s="150">
        <f t="shared" si="14"/>
        <v>0</v>
      </c>
      <c r="H52" s="133">
        <f>IF(K51&lt;0.01,0,IF(Adm!$R$3=Adm!$R$6,0,IF(Adm!$S$10=Adm!$S$11,0,IF(Adm!$S$10=Adm!$S$13,K51*Adm!$X$6,IF(Adm!$S$10=Adm!$S$12,K51*Adm!$Y$3)))))</f>
        <v>0</v>
      </c>
      <c r="I52" s="133">
        <f>IF(K51&lt;0.01,0,E52*Adm!$N$7)</f>
        <v>0</v>
      </c>
      <c r="J52" s="133">
        <f t="shared" si="4"/>
        <v>0</v>
      </c>
      <c r="K52" s="133">
        <f t="shared" si="5"/>
        <v>0</v>
      </c>
      <c r="L52" s="361"/>
      <c r="V52" s="571">
        <f t="shared" si="6"/>
        <v>11</v>
      </c>
      <c r="W52" s="846">
        <f>IF(Adm!$AF$3=Adm!$AF$6,0,IF(V52=1,Adm!$AN$2,0))</f>
        <v>0</v>
      </c>
      <c r="Y52" s="338">
        <f>IF(AND($L$14=$AB$10,Adm!$AF$3=Adm!$AF$6,L51&gt;0),PMT(Cal!$F$86/12,B51,-K51),0)</f>
        <v>0</v>
      </c>
      <c r="AB52" s="650">
        <f t="shared" si="12"/>
        <v>0</v>
      </c>
      <c r="AC52" s="639">
        <f t="shared" si="13"/>
        <v>0</v>
      </c>
      <c r="AD52" s="639">
        <f>IF(AND($AD$12=1,$AB$12=2),PMT(Adm!$AH$7/12,B51,-K51),0)</f>
        <v>0</v>
      </c>
      <c r="AE52" s="639">
        <f t="shared" si="11"/>
        <v>0</v>
      </c>
      <c r="AF52" s="636">
        <f t="shared" si="7"/>
        <v>0</v>
      </c>
      <c r="AG52" s="647" t="e">
        <f>Captura!AG149</f>
        <v>#N/A</v>
      </c>
    </row>
    <row r="53" spans="1:33">
      <c r="A53" s="151">
        <f t="shared" ca="1" si="0"/>
        <v>11</v>
      </c>
      <c r="B53" s="195">
        <f t="shared" si="1"/>
        <v>0</v>
      </c>
      <c r="C53" s="199">
        <f t="shared" si="8"/>
        <v>0</v>
      </c>
      <c r="D53" s="333">
        <f t="shared" si="9"/>
        <v>0</v>
      </c>
      <c r="E53" s="133">
        <f t="shared" si="2"/>
        <v>0</v>
      </c>
      <c r="F53" s="133">
        <f t="shared" si="3"/>
        <v>0</v>
      </c>
      <c r="G53" s="150">
        <f t="shared" si="14"/>
        <v>0</v>
      </c>
      <c r="H53" s="133">
        <f>IF(K52&lt;0.01,0,IF(Adm!$R$3=Adm!$R$6,0,IF(Adm!$S$10=Adm!$S$11,0,IF(Adm!$S$10=Adm!$S$13,K52*Adm!$X$6,IF(Adm!$S$10=Adm!$S$12,K52*Adm!$Y$3)))))</f>
        <v>0</v>
      </c>
      <c r="I53" s="133">
        <f>IF(K52&lt;0.01,0,E53*Adm!$N$7)</f>
        <v>0</v>
      </c>
      <c r="J53" s="133">
        <f t="shared" si="4"/>
        <v>0</v>
      </c>
      <c r="K53" s="133">
        <f t="shared" si="5"/>
        <v>0</v>
      </c>
      <c r="L53" s="361"/>
      <c r="V53" s="571">
        <f t="shared" si="6"/>
        <v>12</v>
      </c>
      <c r="W53" s="846">
        <f>IF(Adm!$AF$3=Adm!$AF$6,0,IF(V53=1,Adm!$AN$2,0))</f>
        <v>0</v>
      </c>
      <c r="Y53" s="338">
        <f>IF(AND($L$14=$AB$10,Adm!$AF$3=Adm!$AF$6,L52&gt;0),PMT(Cal!$F$86/12,B52,-K52),0)</f>
        <v>0</v>
      </c>
      <c r="AB53" s="650">
        <f t="shared" si="12"/>
        <v>0</v>
      </c>
      <c r="AC53" s="639">
        <f t="shared" si="13"/>
        <v>0</v>
      </c>
      <c r="AD53" s="639">
        <f>IF(AND($AD$12=1,$AB$12=2),PMT(Adm!$AH$7/12,B52,-K52),0)</f>
        <v>0</v>
      </c>
      <c r="AE53" s="639">
        <f t="shared" si="11"/>
        <v>0</v>
      </c>
      <c r="AF53" s="636">
        <f t="shared" si="7"/>
        <v>0</v>
      </c>
      <c r="AG53" s="647" t="e">
        <f>Captura!AG150</f>
        <v>#N/A</v>
      </c>
    </row>
    <row r="54" spans="1:33">
      <c r="A54" s="151">
        <f t="shared" ca="1" si="0"/>
        <v>12</v>
      </c>
      <c r="B54" s="195">
        <f t="shared" si="1"/>
        <v>0</v>
      </c>
      <c r="C54" s="199">
        <f t="shared" si="8"/>
        <v>0</v>
      </c>
      <c r="D54" s="333">
        <f t="shared" si="9"/>
        <v>0</v>
      </c>
      <c r="E54" s="133">
        <f t="shared" si="2"/>
        <v>0</v>
      </c>
      <c r="F54" s="133">
        <f t="shared" si="3"/>
        <v>0</v>
      </c>
      <c r="G54" s="150">
        <f t="shared" si="14"/>
        <v>0</v>
      </c>
      <c r="H54" s="133">
        <f>IF(K53&lt;0.01,0,IF(Adm!$R$3=Adm!$R$6,0,IF(Adm!$S$10=Adm!$S$11,0,IF(Adm!$S$10=Adm!$S$13,K53*Adm!$X$6,IF(Adm!$S$10=Adm!$S$12,K53*Adm!$Y$3)))))</f>
        <v>0</v>
      </c>
      <c r="I54" s="133">
        <f>IF(K53&lt;0.01,0,E54*Adm!$N$7)</f>
        <v>0</v>
      </c>
      <c r="J54" s="133">
        <f t="shared" si="4"/>
        <v>0</v>
      </c>
      <c r="K54" s="133">
        <f t="shared" si="5"/>
        <v>0</v>
      </c>
      <c r="L54" s="361"/>
      <c r="V54" s="571">
        <f t="shared" si="6"/>
        <v>1</v>
      </c>
      <c r="W54" s="846">
        <f>IF(Adm!$AF$3=Adm!$AF$6,0,IF(V54=1,Adm!$AN$2,0))</f>
        <v>0</v>
      </c>
      <c r="Y54" s="338">
        <f>IF(AND($L$14=$AB$10,Adm!$AF$3=Adm!$AF$6,L53&gt;0),PMT(Cal!$F$86/12,B53,-K53),0)</f>
        <v>0</v>
      </c>
      <c r="AB54" s="650">
        <f t="shared" si="12"/>
        <v>0</v>
      </c>
      <c r="AC54" s="639">
        <f t="shared" si="13"/>
        <v>0</v>
      </c>
      <c r="AD54" s="639">
        <f>IF(AND($AD$12=1,$AB$12=2),PMT(Adm!$AH$7/12,B53,-K53),0)</f>
        <v>0</v>
      </c>
      <c r="AE54" s="639">
        <f t="shared" si="11"/>
        <v>0</v>
      </c>
      <c r="AF54" s="636">
        <f t="shared" si="7"/>
        <v>0</v>
      </c>
      <c r="AG54" s="647" t="e">
        <f>Captura!AG151</f>
        <v>#N/A</v>
      </c>
    </row>
    <row r="55" spans="1:33">
      <c r="A55" s="151">
        <f t="shared" ca="1" si="0"/>
        <v>1</v>
      </c>
      <c r="B55" s="195">
        <f t="shared" si="1"/>
        <v>0</v>
      </c>
      <c r="C55" s="199">
        <f t="shared" si="8"/>
        <v>0</v>
      </c>
      <c r="D55" s="333">
        <f t="shared" si="9"/>
        <v>0</v>
      </c>
      <c r="E55" s="133">
        <f t="shared" si="2"/>
        <v>0</v>
      </c>
      <c r="F55" s="133">
        <f t="shared" si="3"/>
        <v>0</v>
      </c>
      <c r="G55" s="150">
        <f t="shared" si="14"/>
        <v>0</v>
      </c>
      <c r="H55" s="133">
        <f>IF(K54&lt;0.01,0,IF(Adm!$R$3=Adm!$R$6,0,IF(Adm!$S$10=Adm!$S$11,0,IF(Adm!$S$10=Adm!$S$13,K54*Adm!$X$6,IF(Adm!$S$10=Adm!$S$12,K54*Adm!$Y$3)))))</f>
        <v>0</v>
      </c>
      <c r="I55" s="133">
        <f>IF(K54&lt;0.01,0,E55*Adm!$N$7)</f>
        <v>0</v>
      </c>
      <c r="J55" s="133">
        <f t="shared" si="4"/>
        <v>0</v>
      </c>
      <c r="K55" s="133">
        <f t="shared" si="5"/>
        <v>0</v>
      </c>
      <c r="L55" s="361"/>
      <c r="V55" s="571">
        <f t="shared" si="6"/>
        <v>2</v>
      </c>
      <c r="W55" s="846">
        <f>IF(Adm!$AF$3=Adm!$AF$6,0,IF(V55=1,Adm!$AN$2,0))</f>
        <v>0</v>
      </c>
      <c r="Y55" s="338">
        <f>IF(AND($L$14=$AB$10,Adm!$AF$3=Adm!$AF$6,L54&gt;0),PMT(Cal!$F$86/12,B54,-K54),0)</f>
        <v>0</v>
      </c>
      <c r="AB55" s="650">
        <f t="shared" si="12"/>
        <v>0</v>
      </c>
      <c r="AC55" s="639">
        <f t="shared" si="13"/>
        <v>0</v>
      </c>
      <c r="AD55" s="639">
        <f>IF(AND($AD$12=1,$AB$12=2),PMT(Adm!$AH$7/12,B54,-K54),0)</f>
        <v>0</v>
      </c>
      <c r="AE55" s="639">
        <f t="shared" si="11"/>
        <v>0</v>
      </c>
      <c r="AF55" s="636">
        <f t="shared" si="7"/>
        <v>0</v>
      </c>
      <c r="AG55" s="647" t="e">
        <f>Captura!AG152</f>
        <v>#N/A</v>
      </c>
    </row>
    <row r="56" spans="1:33">
      <c r="A56" s="151">
        <f t="shared" ca="1" si="0"/>
        <v>2</v>
      </c>
      <c r="B56" s="195">
        <f t="shared" si="1"/>
        <v>0</v>
      </c>
      <c r="C56" s="199">
        <f t="shared" si="8"/>
        <v>0</v>
      </c>
      <c r="D56" s="333">
        <f t="shared" si="9"/>
        <v>0</v>
      </c>
      <c r="E56" s="133">
        <f t="shared" si="2"/>
        <v>0</v>
      </c>
      <c r="F56" s="133">
        <f t="shared" si="3"/>
        <v>0</v>
      </c>
      <c r="G56" s="150">
        <f t="shared" si="14"/>
        <v>0</v>
      </c>
      <c r="H56" s="133">
        <f>IF(K55&lt;0.01,0,IF(Adm!$R$3=Adm!$R$6,0,IF(Adm!$S$10=Adm!$S$11,0,IF(Adm!$S$10=Adm!$S$13,K55*Adm!$X$6,IF(Adm!$S$10=Adm!$S$12,K55*Adm!$Y$3)))))</f>
        <v>0</v>
      </c>
      <c r="I56" s="133">
        <f>IF(K55&lt;0.01,0,E56*Adm!$N$7)</f>
        <v>0</v>
      </c>
      <c r="J56" s="133">
        <f t="shared" si="4"/>
        <v>0</v>
      </c>
      <c r="K56" s="133">
        <f t="shared" si="5"/>
        <v>0</v>
      </c>
      <c r="L56" s="361"/>
      <c r="V56" s="571">
        <f t="shared" si="6"/>
        <v>3</v>
      </c>
      <c r="W56" s="846">
        <f>IF(Adm!$AF$3=Adm!$AF$6,0,IF(V56=1,Adm!$AN$2,0))</f>
        <v>0</v>
      </c>
      <c r="Y56" s="338">
        <f>IF(AND($L$14=$AB$10,Adm!$AF$3=Adm!$AF$6,L55&gt;0),PMT(Cal!$F$86/12,B55,-K55),0)</f>
        <v>0</v>
      </c>
      <c r="AB56" s="650">
        <f t="shared" si="12"/>
        <v>0</v>
      </c>
      <c r="AC56" s="639">
        <f t="shared" si="13"/>
        <v>0</v>
      </c>
      <c r="AD56" s="639">
        <f>IF(AND($AD$12=1,$AB$12=2),PMT(Adm!$AH$7/12,B55,-K55),0)</f>
        <v>0</v>
      </c>
      <c r="AE56" s="639">
        <f t="shared" si="11"/>
        <v>0</v>
      </c>
      <c r="AF56" s="636">
        <f t="shared" si="7"/>
        <v>0</v>
      </c>
      <c r="AG56" s="647" t="e">
        <f>Captura!AG153</f>
        <v>#N/A</v>
      </c>
    </row>
    <row r="57" spans="1:33">
      <c r="A57" s="151">
        <f t="shared" ca="1" si="0"/>
        <v>3</v>
      </c>
      <c r="B57" s="195">
        <f t="shared" si="1"/>
        <v>0</v>
      </c>
      <c r="C57" s="199">
        <f t="shared" si="8"/>
        <v>0</v>
      </c>
      <c r="D57" s="333">
        <f t="shared" si="9"/>
        <v>0</v>
      </c>
      <c r="E57" s="133">
        <f t="shared" si="2"/>
        <v>0</v>
      </c>
      <c r="F57" s="133">
        <f t="shared" si="3"/>
        <v>0</v>
      </c>
      <c r="G57" s="150">
        <f t="shared" si="14"/>
        <v>0</v>
      </c>
      <c r="H57" s="133">
        <f>IF(K56&lt;0.01,0,IF(Adm!$R$3=Adm!$R$6,0,IF(Adm!$S$10=Adm!$S$11,0,IF(Adm!$S$10=Adm!$S$13,K56*Adm!$X$6,IF(Adm!$S$10=Adm!$S$12,K56*Adm!$Y$3)))))</f>
        <v>0</v>
      </c>
      <c r="I57" s="133">
        <f>IF(K56&lt;0.01,0,E57*Adm!$N$7)</f>
        <v>0</v>
      </c>
      <c r="J57" s="133">
        <f t="shared" si="4"/>
        <v>0</v>
      </c>
      <c r="K57" s="133">
        <f t="shared" si="5"/>
        <v>0</v>
      </c>
      <c r="L57" s="361"/>
      <c r="V57" s="571">
        <f t="shared" si="6"/>
        <v>4</v>
      </c>
      <c r="W57" s="846">
        <f>IF(Adm!$AF$3=Adm!$AF$6,0,IF(V57=1,Adm!$AN$2,0))</f>
        <v>0</v>
      </c>
      <c r="Y57" s="338">
        <f>IF(AND($L$14=$AB$10,Adm!$AF$3=Adm!$AF$6,L56&gt;0),PMT(Cal!$F$86/12,B56,-K56),0)</f>
        <v>0</v>
      </c>
      <c r="AB57" s="650">
        <f t="shared" si="12"/>
        <v>0</v>
      </c>
      <c r="AC57" s="639">
        <f t="shared" si="13"/>
        <v>0</v>
      </c>
      <c r="AD57" s="639">
        <f>IF(AND($AD$12=1,$AB$12=2),PMT(Adm!$AH$7/12,B56,-K56),0)</f>
        <v>0</v>
      </c>
      <c r="AE57" s="639">
        <f t="shared" si="11"/>
        <v>0</v>
      </c>
      <c r="AF57" s="636">
        <f t="shared" si="7"/>
        <v>0</v>
      </c>
      <c r="AG57" s="647" t="e">
        <f>Captura!AG154</f>
        <v>#N/A</v>
      </c>
    </row>
    <row r="58" spans="1:33">
      <c r="A58" s="151">
        <f t="shared" ca="1" si="0"/>
        <v>4</v>
      </c>
      <c r="B58" s="195">
        <f t="shared" si="1"/>
        <v>0</v>
      </c>
      <c r="C58" s="199">
        <f t="shared" si="8"/>
        <v>0</v>
      </c>
      <c r="D58" s="333">
        <f t="shared" si="9"/>
        <v>0</v>
      </c>
      <c r="E58" s="133">
        <f t="shared" si="2"/>
        <v>0</v>
      </c>
      <c r="F58" s="133">
        <f t="shared" si="3"/>
        <v>0</v>
      </c>
      <c r="G58" s="150">
        <f t="shared" si="14"/>
        <v>0</v>
      </c>
      <c r="H58" s="133">
        <f>IF(K57&lt;0.01,0,IF(Adm!$R$3=Adm!$R$6,0,IF(Adm!$S$10=Adm!$S$11,0,IF(Adm!$S$10=Adm!$S$13,K57*Adm!$X$6,IF(Adm!$S$10=Adm!$S$12,K57*Adm!$Y$3)))))</f>
        <v>0</v>
      </c>
      <c r="I58" s="133">
        <f>IF(K57&lt;0.01,0,E58*Adm!$N$7)</f>
        <v>0</v>
      </c>
      <c r="J58" s="133">
        <f t="shared" si="4"/>
        <v>0</v>
      </c>
      <c r="K58" s="133">
        <f t="shared" si="5"/>
        <v>0</v>
      </c>
      <c r="L58" s="361"/>
      <c r="V58" s="571">
        <f t="shared" si="6"/>
        <v>5</v>
      </c>
      <c r="W58" s="846">
        <f>IF(Adm!$AF$3=Adm!$AF$6,0,IF(V58=1,Adm!$AN$2,0))</f>
        <v>0</v>
      </c>
      <c r="Y58" s="338">
        <f>IF(AND($L$14=$AB$10,Adm!$AF$3=Adm!$AF$6,L57&gt;0),PMT(Cal!$F$86/12,B57,-K57),0)</f>
        <v>0</v>
      </c>
      <c r="AB58" s="650">
        <f t="shared" si="12"/>
        <v>0</v>
      </c>
      <c r="AC58" s="639">
        <f t="shared" si="13"/>
        <v>0</v>
      </c>
      <c r="AD58" s="639">
        <f>IF(AND($AD$12=1,$AB$12=2),PMT(Adm!$AH$7/12,B57,-K57),0)</f>
        <v>0</v>
      </c>
      <c r="AE58" s="639">
        <f t="shared" si="11"/>
        <v>0</v>
      </c>
      <c r="AF58" s="636">
        <f t="shared" si="7"/>
        <v>0</v>
      </c>
      <c r="AG58" s="647" t="e">
        <f>Captura!AG155</f>
        <v>#N/A</v>
      </c>
    </row>
    <row r="59" spans="1:33">
      <c r="A59" s="151">
        <f t="shared" ca="1" si="0"/>
        <v>5</v>
      </c>
      <c r="B59" s="195">
        <f t="shared" si="1"/>
        <v>0</v>
      </c>
      <c r="C59" s="199">
        <f t="shared" si="8"/>
        <v>0</v>
      </c>
      <c r="D59" s="333">
        <f t="shared" si="9"/>
        <v>0</v>
      </c>
      <c r="E59" s="133">
        <f t="shared" si="2"/>
        <v>0</v>
      </c>
      <c r="F59" s="133">
        <f t="shared" si="3"/>
        <v>0</v>
      </c>
      <c r="G59" s="150">
        <f t="shared" si="14"/>
        <v>0</v>
      </c>
      <c r="H59" s="133">
        <f>IF(K58&lt;0.01,0,IF(Adm!$R$3=Adm!$R$6,0,IF(Adm!$S$10=Adm!$S$11,0,IF(Adm!$S$10=Adm!$S$13,K58*Adm!$X$6,IF(Adm!$S$10=Adm!$S$12,K58*Adm!$Y$3)))))</f>
        <v>0</v>
      </c>
      <c r="I59" s="133">
        <f>IF(K58&lt;0.01,0,E59*Adm!$N$7)</f>
        <v>0</v>
      </c>
      <c r="J59" s="133">
        <f t="shared" si="4"/>
        <v>0</v>
      </c>
      <c r="K59" s="133">
        <f t="shared" si="5"/>
        <v>0</v>
      </c>
      <c r="L59" s="361"/>
      <c r="V59" s="571">
        <f t="shared" si="6"/>
        <v>6</v>
      </c>
      <c r="W59" s="846">
        <f>IF(Adm!$AF$3=Adm!$AF$6,0,IF(V59=1,Adm!$AN$2,0))</f>
        <v>0</v>
      </c>
      <c r="Y59" s="338">
        <f>IF(AND($L$14=$AB$10,Adm!$AF$3=Adm!$AF$6,L58&gt;0),PMT(Cal!$F$86/12,B58,-K58),0)</f>
        <v>0</v>
      </c>
      <c r="AB59" s="650">
        <f t="shared" si="12"/>
        <v>0</v>
      </c>
      <c r="AC59" s="639">
        <f t="shared" si="13"/>
        <v>0</v>
      </c>
      <c r="AD59" s="639">
        <f>IF(AND($AD$12=1,$AB$12=2),PMT(Adm!$AH$7/12,B58,-K58),0)</f>
        <v>0</v>
      </c>
      <c r="AE59" s="639">
        <f t="shared" si="11"/>
        <v>0</v>
      </c>
      <c r="AF59" s="636">
        <f t="shared" si="7"/>
        <v>0</v>
      </c>
      <c r="AG59" s="647" t="e">
        <f>Captura!AG156</f>
        <v>#N/A</v>
      </c>
    </row>
    <row r="60" spans="1:33">
      <c r="A60" s="151">
        <f t="shared" ca="1" si="0"/>
        <v>6</v>
      </c>
      <c r="B60" s="195">
        <f t="shared" si="1"/>
        <v>0</v>
      </c>
      <c r="C60" s="199">
        <f t="shared" si="8"/>
        <v>0</v>
      </c>
      <c r="D60" s="333">
        <f t="shared" si="9"/>
        <v>0</v>
      </c>
      <c r="E60" s="133">
        <f t="shared" si="2"/>
        <v>0</v>
      </c>
      <c r="F60" s="133">
        <f t="shared" si="3"/>
        <v>0</v>
      </c>
      <c r="G60" s="150">
        <f t="shared" si="14"/>
        <v>0</v>
      </c>
      <c r="H60" s="133">
        <f>IF(K59&lt;0.01,0,IF(Adm!$R$3=Adm!$R$6,0,IF(Adm!$S$10=Adm!$S$11,0,IF(Adm!$S$10=Adm!$S$13,K59*Adm!$X$6,IF(Adm!$S$10=Adm!$S$12,K59*Adm!$Y$3)))))</f>
        <v>0</v>
      </c>
      <c r="I60" s="133">
        <f>IF(K59&lt;0.01,0,E60*Adm!$N$7)</f>
        <v>0</v>
      </c>
      <c r="J60" s="133">
        <f t="shared" si="4"/>
        <v>0</v>
      </c>
      <c r="K60" s="133">
        <f t="shared" si="5"/>
        <v>0</v>
      </c>
      <c r="L60" s="361"/>
      <c r="V60" s="571">
        <f t="shared" si="6"/>
        <v>7</v>
      </c>
      <c r="W60" s="846">
        <f>IF(Adm!$AF$3=Adm!$AF$6,0,IF(V60=1,Adm!$AN$2,0))</f>
        <v>0</v>
      </c>
      <c r="Y60" s="338">
        <f>IF(AND($L$14=$AB$10,Adm!$AF$3=Adm!$AF$6,L59&gt;0),PMT(Cal!$F$86/12,B59,-K59),0)</f>
        <v>0</v>
      </c>
      <c r="AB60" s="650">
        <f t="shared" si="12"/>
        <v>0</v>
      </c>
      <c r="AC60" s="639">
        <f t="shared" si="13"/>
        <v>0</v>
      </c>
      <c r="AD60" s="639">
        <f>IF(AND($AD$12=1,$AB$12=2),PMT(Adm!$AH$7/12,B59,-K59),0)</f>
        <v>0</v>
      </c>
      <c r="AE60" s="639">
        <f t="shared" si="11"/>
        <v>0</v>
      </c>
      <c r="AF60" s="636">
        <f t="shared" si="7"/>
        <v>0</v>
      </c>
      <c r="AG60" s="647" t="e">
        <f>Captura!AG157</f>
        <v>#N/A</v>
      </c>
    </row>
    <row r="61" spans="1:33">
      <c r="A61" s="151">
        <f t="shared" ca="1" si="0"/>
        <v>7</v>
      </c>
      <c r="B61" s="195">
        <f t="shared" si="1"/>
        <v>0</v>
      </c>
      <c r="C61" s="199">
        <f t="shared" si="8"/>
        <v>0</v>
      </c>
      <c r="D61" s="333">
        <f t="shared" si="9"/>
        <v>0</v>
      </c>
      <c r="E61" s="133">
        <f t="shared" si="2"/>
        <v>0</v>
      </c>
      <c r="F61" s="133">
        <f t="shared" si="3"/>
        <v>0</v>
      </c>
      <c r="G61" s="150">
        <f t="shared" si="14"/>
        <v>0</v>
      </c>
      <c r="H61" s="133">
        <f>IF(K60&lt;0.01,0,IF(Adm!$R$3=Adm!$R$6,0,IF(Adm!$S$10=Adm!$S$11,0,IF(Adm!$S$10=Adm!$S$13,K60*Adm!$X$6,IF(Adm!$S$10=Adm!$S$12,K60*Adm!$Y$3)))))</f>
        <v>0</v>
      </c>
      <c r="I61" s="133">
        <f>IF(K60&lt;0.01,0,E61*Adm!$N$7)</f>
        <v>0</v>
      </c>
      <c r="J61" s="133">
        <f t="shared" si="4"/>
        <v>0</v>
      </c>
      <c r="K61" s="133">
        <f t="shared" si="5"/>
        <v>0</v>
      </c>
      <c r="L61" s="361"/>
      <c r="V61" s="571">
        <f t="shared" si="6"/>
        <v>8</v>
      </c>
      <c r="W61" s="846">
        <f>IF(Adm!$AF$3=Adm!$AF$6,0,IF(V61=1,Adm!$AN$2,0))</f>
        <v>0</v>
      </c>
      <c r="Y61" s="338">
        <f>IF(AND($L$14=$AB$10,Adm!$AF$3=Adm!$AF$6,L60&gt;0),PMT(Cal!$F$86/12,B60,-K60),0)</f>
        <v>0</v>
      </c>
      <c r="AB61" s="650">
        <f t="shared" si="12"/>
        <v>0</v>
      </c>
      <c r="AC61" s="639">
        <f t="shared" si="13"/>
        <v>0</v>
      </c>
      <c r="AD61" s="639">
        <f>IF(AND($AD$12=1,$AB$12=2),PMT(Adm!$AH$7/12,B60,-K60),0)</f>
        <v>0</v>
      </c>
      <c r="AE61" s="639">
        <f t="shared" si="11"/>
        <v>0</v>
      </c>
      <c r="AF61" s="636">
        <f t="shared" si="7"/>
        <v>0</v>
      </c>
      <c r="AG61" s="647" t="e">
        <f>Captura!AG158</f>
        <v>#N/A</v>
      </c>
    </row>
    <row r="62" spans="1:33">
      <c r="A62" s="151">
        <f t="shared" ca="1" si="0"/>
        <v>8</v>
      </c>
      <c r="B62" s="195">
        <f t="shared" si="1"/>
        <v>0</v>
      </c>
      <c r="C62" s="199">
        <f t="shared" si="8"/>
        <v>0</v>
      </c>
      <c r="D62" s="333">
        <f t="shared" si="9"/>
        <v>0</v>
      </c>
      <c r="E62" s="133">
        <f t="shared" si="2"/>
        <v>0</v>
      </c>
      <c r="F62" s="133">
        <f t="shared" si="3"/>
        <v>0</v>
      </c>
      <c r="G62" s="150">
        <f t="shared" si="14"/>
        <v>0</v>
      </c>
      <c r="H62" s="133">
        <f>IF(K61&lt;0.01,0,IF(Adm!$R$3=Adm!$R$6,0,IF(Adm!$S$10=Adm!$S$11,0,IF(Adm!$S$10=Adm!$S$13,K61*Adm!$X$6,IF(Adm!$S$10=Adm!$S$12,K61*Adm!$Y$3)))))</f>
        <v>0</v>
      </c>
      <c r="I62" s="133">
        <f>IF(K61&lt;0.01,0,E62*Adm!$N$7)</f>
        <v>0</v>
      </c>
      <c r="J62" s="133">
        <f t="shared" si="4"/>
        <v>0</v>
      </c>
      <c r="K62" s="133">
        <f t="shared" si="5"/>
        <v>0</v>
      </c>
      <c r="L62" s="361"/>
      <c r="V62" s="571">
        <f t="shared" si="6"/>
        <v>9</v>
      </c>
      <c r="W62" s="846">
        <f>IF(Adm!$AF$3=Adm!$AF$6,0,IF(V62=1,Adm!$AN$2,0))</f>
        <v>0</v>
      </c>
      <c r="Y62" s="338">
        <f>IF(AND($L$14=$AB$10,Adm!$AF$3=Adm!$AF$6,L61&gt;0),PMT(Cal!$F$86/12,B61,-K61),0)</f>
        <v>0</v>
      </c>
      <c r="AB62" s="650">
        <f t="shared" si="12"/>
        <v>0</v>
      </c>
      <c r="AC62" s="639">
        <f t="shared" si="13"/>
        <v>0</v>
      </c>
      <c r="AD62" s="639">
        <f>IF(AND($AD$12=1,$AB$12=2),PMT(Adm!$AH$7/12,B61,-K61),0)</f>
        <v>0</v>
      </c>
      <c r="AE62" s="639">
        <f t="shared" si="11"/>
        <v>0</v>
      </c>
      <c r="AF62" s="636">
        <f t="shared" si="7"/>
        <v>0</v>
      </c>
      <c r="AG62" s="647" t="e">
        <f>Captura!AG159</f>
        <v>#N/A</v>
      </c>
    </row>
    <row r="63" spans="1:33">
      <c r="A63" s="151">
        <f t="shared" ca="1" si="0"/>
        <v>9</v>
      </c>
      <c r="B63" s="195">
        <f t="shared" si="1"/>
        <v>0</v>
      </c>
      <c r="C63" s="199">
        <f t="shared" si="8"/>
        <v>0</v>
      </c>
      <c r="D63" s="333">
        <f t="shared" si="9"/>
        <v>0</v>
      </c>
      <c r="E63" s="133">
        <f t="shared" si="2"/>
        <v>0</v>
      </c>
      <c r="F63" s="133">
        <f t="shared" si="3"/>
        <v>0</v>
      </c>
      <c r="G63" s="150">
        <f t="shared" si="14"/>
        <v>0</v>
      </c>
      <c r="H63" s="133">
        <f>IF(K62&lt;0.01,0,IF(Adm!$R$3=Adm!$R$6,0,IF(Adm!$S$10=Adm!$S$11,0,IF(Adm!$S$10=Adm!$S$13,K62*Adm!$X$6,IF(Adm!$S$10=Adm!$S$12,K62*Adm!$Y$3)))))</f>
        <v>0</v>
      </c>
      <c r="I63" s="133">
        <f>IF(K62&lt;0.01,0,E63*Adm!$N$7)</f>
        <v>0</v>
      </c>
      <c r="J63" s="133">
        <f t="shared" si="4"/>
        <v>0</v>
      </c>
      <c r="K63" s="133">
        <f t="shared" si="5"/>
        <v>0</v>
      </c>
      <c r="L63" s="361"/>
      <c r="V63" s="571">
        <f t="shared" si="6"/>
        <v>10</v>
      </c>
      <c r="W63" s="846">
        <f>IF(Adm!$AF$3=Adm!$AF$6,0,IF(V63=1,Adm!$AN$2,0))</f>
        <v>0</v>
      </c>
      <c r="Y63" s="338">
        <f>IF(AND($L$14=$AB$10,Adm!$AF$3=Adm!$AF$6,L62&gt;0),PMT(Cal!$F$86/12,B62,-K62),0)</f>
        <v>0</v>
      </c>
      <c r="AB63" s="650">
        <f t="shared" si="12"/>
        <v>0</v>
      </c>
      <c r="AC63" s="639">
        <f t="shared" si="13"/>
        <v>0</v>
      </c>
      <c r="AD63" s="639">
        <f>IF(AND($AD$12=1,$AB$12=2),PMT(Adm!$AH$7/12,B62,-K62),0)</f>
        <v>0</v>
      </c>
      <c r="AE63" s="639">
        <f t="shared" si="11"/>
        <v>0</v>
      </c>
      <c r="AF63" s="636">
        <f t="shared" si="7"/>
        <v>0</v>
      </c>
      <c r="AG63" s="647" t="e">
        <f>Captura!AG160</f>
        <v>#N/A</v>
      </c>
    </row>
    <row r="64" spans="1:33">
      <c r="A64" s="151">
        <f t="shared" ca="1" si="0"/>
        <v>10</v>
      </c>
      <c r="B64" s="195">
        <f t="shared" si="1"/>
        <v>0</v>
      </c>
      <c r="C64" s="199">
        <f t="shared" si="8"/>
        <v>0</v>
      </c>
      <c r="D64" s="333">
        <f t="shared" si="9"/>
        <v>0</v>
      </c>
      <c r="E64" s="133">
        <f t="shared" si="2"/>
        <v>0</v>
      </c>
      <c r="F64" s="133">
        <f t="shared" si="3"/>
        <v>0</v>
      </c>
      <c r="G64" s="150">
        <f t="shared" si="14"/>
        <v>0</v>
      </c>
      <c r="H64" s="133">
        <f>IF(K63&lt;0.01,0,IF(Adm!$R$3=Adm!$R$6,0,IF(Adm!$S$10=Adm!$S$11,0,IF(Adm!$S$10=Adm!$S$13,K63*Adm!$X$6,IF(Adm!$S$10=Adm!$S$12,K63*Adm!$Y$3)))))</f>
        <v>0</v>
      </c>
      <c r="I64" s="133">
        <f>IF(K63&lt;0.01,0,E64*Adm!$N$7)</f>
        <v>0</v>
      </c>
      <c r="J64" s="133">
        <f t="shared" si="4"/>
        <v>0</v>
      </c>
      <c r="K64" s="133">
        <f t="shared" si="5"/>
        <v>0</v>
      </c>
      <c r="L64" s="361"/>
      <c r="V64" s="571">
        <f t="shared" si="6"/>
        <v>11</v>
      </c>
      <c r="W64" s="846">
        <f>IF(Adm!$AF$3=Adm!$AF$6,0,IF(V64=1,Adm!$AN$2,0))</f>
        <v>0</v>
      </c>
      <c r="Y64" s="338">
        <f>IF(AND($L$14=$AB$10,Adm!$AF$3=Adm!$AF$6,L63&gt;0),PMT(Cal!$F$86/12,B63,-K63),0)</f>
        <v>0</v>
      </c>
      <c r="AB64" s="650">
        <f t="shared" si="12"/>
        <v>0</v>
      </c>
      <c r="AC64" s="639">
        <f t="shared" si="13"/>
        <v>0</v>
      </c>
      <c r="AD64" s="639">
        <f>IF(AND($AD$12=1,$AB$12=2),PMT(Adm!$AH$7/12,B63,-K63),0)</f>
        <v>0</v>
      </c>
      <c r="AE64" s="639">
        <f t="shared" si="11"/>
        <v>0</v>
      </c>
      <c r="AF64" s="636">
        <f t="shared" si="7"/>
        <v>0</v>
      </c>
      <c r="AG64" s="647" t="e">
        <f>Captura!AG161</f>
        <v>#N/A</v>
      </c>
    </row>
    <row r="65" spans="1:33">
      <c r="A65" s="151">
        <f t="shared" ca="1" si="0"/>
        <v>11</v>
      </c>
      <c r="B65" s="195">
        <f t="shared" si="1"/>
        <v>0</v>
      </c>
      <c r="C65" s="199">
        <f t="shared" si="8"/>
        <v>0</v>
      </c>
      <c r="D65" s="333">
        <f t="shared" si="9"/>
        <v>0</v>
      </c>
      <c r="E65" s="133">
        <f t="shared" si="2"/>
        <v>0</v>
      </c>
      <c r="F65" s="133">
        <f t="shared" si="3"/>
        <v>0</v>
      </c>
      <c r="G65" s="150">
        <f t="shared" si="14"/>
        <v>0</v>
      </c>
      <c r="H65" s="133">
        <f>IF(K64&lt;0.01,0,IF(Adm!$R$3=Adm!$R$6,0,IF(Adm!$S$10=Adm!$S$11,0,IF(Adm!$S$10=Adm!$S$13,K64*Adm!$X$6,IF(Adm!$S$10=Adm!$S$12,K64*Adm!$Y$3)))))</f>
        <v>0</v>
      </c>
      <c r="I65" s="133">
        <f>IF(K64&lt;0.01,0,E65*Adm!$N$7)</f>
        <v>0</v>
      </c>
      <c r="J65" s="133">
        <f t="shared" si="4"/>
        <v>0</v>
      </c>
      <c r="K65" s="133">
        <f t="shared" si="5"/>
        <v>0</v>
      </c>
      <c r="L65" s="361"/>
      <c r="V65" s="571">
        <f t="shared" si="6"/>
        <v>12</v>
      </c>
      <c r="W65" s="846">
        <f>IF(Adm!$AF$3=Adm!$AF$6,0,IF(V65=1,Adm!$AN$2,0))</f>
        <v>0</v>
      </c>
      <c r="Y65" s="338">
        <f>IF(AND($L$14=$AB$10,Adm!$AF$3=Adm!$AF$6,L64&gt;0),PMT(Cal!$F$86/12,B64,-K64),0)</f>
        <v>0</v>
      </c>
      <c r="AB65" s="650">
        <f t="shared" si="12"/>
        <v>0</v>
      </c>
      <c r="AC65" s="639">
        <f t="shared" si="13"/>
        <v>0</v>
      </c>
      <c r="AD65" s="639">
        <f>IF(AND($AD$12=1,$AB$12=2),PMT(Adm!$AH$7/12,B64,-K64),0)</f>
        <v>0</v>
      </c>
      <c r="AE65" s="639">
        <f t="shared" si="11"/>
        <v>0</v>
      </c>
      <c r="AF65" s="636">
        <f t="shared" si="7"/>
        <v>0</v>
      </c>
      <c r="AG65" s="647" t="e">
        <f>Captura!AG162</f>
        <v>#N/A</v>
      </c>
    </row>
    <row r="66" spans="1:33">
      <c r="A66" s="151">
        <f t="shared" ca="1" si="0"/>
        <v>12</v>
      </c>
      <c r="B66" s="195">
        <f t="shared" si="1"/>
        <v>0</v>
      </c>
      <c r="C66" s="199">
        <f t="shared" si="8"/>
        <v>0</v>
      </c>
      <c r="D66" s="333">
        <f t="shared" si="9"/>
        <v>0</v>
      </c>
      <c r="E66" s="133">
        <f t="shared" si="2"/>
        <v>0</v>
      </c>
      <c r="F66" s="133">
        <f t="shared" si="3"/>
        <v>0</v>
      </c>
      <c r="G66" s="150">
        <f t="shared" si="14"/>
        <v>0</v>
      </c>
      <c r="H66" s="133">
        <f>IF(K65&lt;0.01,0,IF(Adm!$R$3=Adm!$R$6,0,IF(Adm!$S$10=Adm!$S$13,K65*Adm!$X$6,IF(Adm!$S$10=Adm!$S$11,K65*Adm!$X$3,IF(Adm!$S$10=Adm!$S$12,K65*Adm!$Y$3)))))</f>
        <v>0</v>
      </c>
      <c r="I66" s="133">
        <f>IF(K65&lt;0.01,0,E66*Adm!$N$7)</f>
        <v>0</v>
      </c>
      <c r="J66" s="133">
        <f t="shared" si="4"/>
        <v>0</v>
      </c>
      <c r="K66" s="133">
        <f t="shared" si="5"/>
        <v>0</v>
      </c>
      <c r="L66" s="361"/>
      <c r="V66" s="571">
        <f t="shared" si="6"/>
        <v>1</v>
      </c>
      <c r="W66" s="846">
        <f>IF(Adm!$AF$3=Adm!$AF$6,0,IF(V66=1,Adm!$AN$2,0))</f>
        <v>0</v>
      </c>
      <c r="Y66" s="338">
        <f>IF(AND($L$14=$AB$10,Adm!$AF$3=Adm!$AF$6,L65&gt;0),PMT(Cal!$F$86/12,B65,-K65),0)</f>
        <v>0</v>
      </c>
      <c r="AB66" s="650">
        <f t="shared" si="12"/>
        <v>0</v>
      </c>
      <c r="AC66" s="639">
        <f t="shared" si="13"/>
        <v>0</v>
      </c>
      <c r="AD66" s="639">
        <f>IF(AND($AD$12=1,$AB$12=2),PMT(Adm!$AH$7/12,B65,-K65),0)</f>
        <v>0</v>
      </c>
      <c r="AE66" s="639">
        <f t="shared" si="11"/>
        <v>0</v>
      </c>
      <c r="AF66" s="636">
        <f t="shared" si="7"/>
        <v>0</v>
      </c>
      <c r="AG66" s="647" t="e">
        <f>Captura!AG163</f>
        <v>#N/A</v>
      </c>
    </row>
    <row r="67" spans="1:33">
      <c r="A67" s="151">
        <f t="shared" ca="1" si="0"/>
        <v>1</v>
      </c>
      <c r="B67" s="195">
        <f t="shared" si="1"/>
        <v>0</v>
      </c>
      <c r="C67" s="199">
        <f t="shared" si="8"/>
        <v>0</v>
      </c>
      <c r="D67" s="333">
        <f t="shared" si="9"/>
        <v>0</v>
      </c>
      <c r="E67" s="133">
        <f t="shared" si="2"/>
        <v>0</v>
      </c>
      <c r="F67" s="133">
        <f t="shared" si="3"/>
        <v>0</v>
      </c>
      <c r="G67" s="150">
        <f t="shared" si="14"/>
        <v>0</v>
      </c>
      <c r="H67" s="133">
        <f>IF(K66&lt;0.01,0,IF(Adm!$R$3=Adm!$R$6,0,IF(Adm!$S$10=Adm!$S$13,K66*Adm!$X$6,IF(Adm!$S$10=Adm!$S$11,K66*Adm!$X$3,IF(Adm!$S$10=Adm!$S$12,K66*Adm!$Y$3)))))</f>
        <v>0</v>
      </c>
      <c r="I67" s="133">
        <f>IF(K66&lt;0.01,0,E67*Adm!$N$7)</f>
        <v>0</v>
      </c>
      <c r="J67" s="133">
        <f t="shared" si="4"/>
        <v>0</v>
      </c>
      <c r="K67" s="133">
        <f t="shared" si="5"/>
        <v>0</v>
      </c>
      <c r="L67" s="361"/>
      <c r="V67" s="571">
        <f t="shared" si="6"/>
        <v>2</v>
      </c>
      <c r="W67" s="846">
        <f>IF(Adm!$AF$3=Adm!$AF$6,0,IF(V67=1,Adm!$AN$2,0))</f>
        <v>0</v>
      </c>
      <c r="Y67" s="338">
        <f>IF(AND($L$14=$AB$10,Adm!$AF$3=Adm!$AF$6,L66&gt;0),PMT(Cal!$F$86/12,B66,-K66),0)</f>
        <v>0</v>
      </c>
      <c r="AB67" s="650">
        <f t="shared" si="12"/>
        <v>0</v>
      </c>
      <c r="AC67" s="639">
        <f t="shared" si="13"/>
        <v>0</v>
      </c>
      <c r="AD67" s="639">
        <f>IF(AND($AD$12=1,$AB$12=2),PMT(Adm!$AH$7/12,B66,-K66),0)</f>
        <v>0</v>
      </c>
      <c r="AE67" s="639">
        <f t="shared" si="11"/>
        <v>0</v>
      </c>
      <c r="AF67" s="636">
        <f t="shared" si="7"/>
        <v>0</v>
      </c>
      <c r="AG67" s="647" t="e">
        <f>Captura!AG164</f>
        <v>#N/A</v>
      </c>
    </row>
    <row r="68" spans="1:33">
      <c r="A68" s="151">
        <f t="shared" ca="1" si="0"/>
        <v>2</v>
      </c>
      <c r="B68" s="195">
        <f t="shared" si="1"/>
        <v>0</v>
      </c>
      <c r="C68" s="199">
        <f t="shared" si="8"/>
        <v>0</v>
      </c>
      <c r="D68" s="333">
        <f t="shared" si="9"/>
        <v>0</v>
      </c>
      <c r="E68" s="133">
        <f t="shared" si="2"/>
        <v>0</v>
      </c>
      <c r="F68" s="133">
        <f t="shared" si="3"/>
        <v>0</v>
      </c>
      <c r="G68" s="150">
        <f t="shared" si="14"/>
        <v>0</v>
      </c>
      <c r="H68" s="133">
        <f>IF(K67&lt;0.01,0,IF(Adm!$R$3=Adm!$R$6,0,IF(Adm!$S$10=Adm!$S$13,K67*Adm!$X$6,IF(Adm!$S$10=Adm!$S$11,K67*Adm!$X$3,IF(Adm!$S$10=Adm!$S$12,K67*Adm!$Y$3)))))</f>
        <v>0</v>
      </c>
      <c r="I68" s="133">
        <f>IF(K67&lt;0.01,0,E68*Adm!$N$7)</f>
        <v>0</v>
      </c>
      <c r="J68" s="133">
        <f t="shared" si="4"/>
        <v>0</v>
      </c>
      <c r="K68" s="133">
        <f t="shared" si="5"/>
        <v>0</v>
      </c>
      <c r="L68" s="361"/>
      <c r="V68" s="571">
        <f t="shared" si="6"/>
        <v>3</v>
      </c>
      <c r="W68" s="846">
        <f>IF(Adm!$AF$3=Adm!$AF$6,0,IF(V68=1,Adm!$AN$2,0))</f>
        <v>0</v>
      </c>
      <c r="Y68" s="338">
        <f>IF(AND($L$14=$AB$10,Adm!$AF$3=Adm!$AF$6,L67&gt;0),PMT(Cal!$F$86/12,B67,-K67),0)</f>
        <v>0</v>
      </c>
      <c r="AB68" s="650">
        <f t="shared" si="12"/>
        <v>0</v>
      </c>
      <c r="AC68" s="639">
        <f t="shared" si="13"/>
        <v>0</v>
      </c>
      <c r="AD68" s="639">
        <f>IF(AND($AD$12=1,$AB$12=2),PMT(Adm!$AH$7/12,B67,-K67),0)</f>
        <v>0</v>
      </c>
      <c r="AE68" s="639">
        <f t="shared" si="11"/>
        <v>0</v>
      </c>
      <c r="AF68" s="636">
        <f t="shared" si="7"/>
        <v>0</v>
      </c>
      <c r="AG68" s="647" t="e">
        <f>Captura!AG165</f>
        <v>#N/A</v>
      </c>
    </row>
    <row r="69" spans="1:33">
      <c r="A69" s="151">
        <f t="shared" ca="1" si="0"/>
        <v>3</v>
      </c>
      <c r="B69" s="195">
        <f t="shared" si="1"/>
        <v>0</v>
      </c>
      <c r="C69" s="199">
        <f t="shared" si="8"/>
        <v>0</v>
      </c>
      <c r="D69" s="333">
        <f t="shared" si="9"/>
        <v>0</v>
      </c>
      <c r="E69" s="133">
        <f t="shared" si="2"/>
        <v>0</v>
      </c>
      <c r="F69" s="133">
        <f t="shared" si="3"/>
        <v>0</v>
      </c>
      <c r="G69" s="150">
        <f t="shared" si="14"/>
        <v>0</v>
      </c>
      <c r="H69" s="133">
        <f>IF(K68&lt;0.01,0,IF(Adm!$R$3=Adm!$R$6,0,IF(Adm!$S$10=Adm!$S$13,K68*Adm!$X$6,IF(Adm!$S$10=Adm!$S$11,K68*Adm!$X$3,IF(Adm!$S$10=Adm!$S$12,K68*Adm!$Y$3)))))</f>
        <v>0</v>
      </c>
      <c r="I69" s="133">
        <f>IF(K68&lt;0.01,0,E69*Adm!$N$7)</f>
        <v>0</v>
      </c>
      <c r="J69" s="133">
        <f t="shared" si="4"/>
        <v>0</v>
      </c>
      <c r="K69" s="133">
        <f t="shared" si="5"/>
        <v>0</v>
      </c>
      <c r="L69" s="361"/>
      <c r="V69" s="571">
        <f t="shared" si="6"/>
        <v>4</v>
      </c>
      <c r="W69" s="846">
        <f>IF(Adm!$AF$3=Adm!$AF$6,0,IF(V69=1,Adm!$AN$2,0))</f>
        <v>0</v>
      </c>
      <c r="Y69" s="338">
        <f>IF(AND($L$14=$AB$10,Adm!$AF$3=Adm!$AF$6,L68&gt;0),PMT(Cal!$F$86/12,B68,-K68),0)</f>
        <v>0</v>
      </c>
      <c r="AB69" s="650">
        <f t="shared" si="12"/>
        <v>0</v>
      </c>
      <c r="AC69" s="639">
        <f t="shared" si="13"/>
        <v>0</v>
      </c>
      <c r="AD69" s="639">
        <f>IF(AND($AD$12=1,$AB$12=2),PMT(Adm!$AH$7/12,B68,-K68),0)</f>
        <v>0</v>
      </c>
      <c r="AE69" s="639">
        <f t="shared" si="11"/>
        <v>0</v>
      </c>
      <c r="AF69" s="636">
        <f t="shared" si="7"/>
        <v>0</v>
      </c>
      <c r="AG69" s="647" t="e">
        <f>Captura!AG166</f>
        <v>#N/A</v>
      </c>
    </row>
    <row r="70" spans="1:33">
      <c r="A70" s="151">
        <f t="shared" ca="1" si="0"/>
        <v>4</v>
      </c>
      <c r="B70" s="195">
        <f t="shared" si="1"/>
        <v>0</v>
      </c>
      <c r="C70" s="199">
        <f t="shared" si="8"/>
        <v>0</v>
      </c>
      <c r="D70" s="333">
        <f t="shared" si="9"/>
        <v>0</v>
      </c>
      <c r="E70" s="133">
        <f t="shared" si="2"/>
        <v>0</v>
      </c>
      <c r="F70" s="133">
        <f t="shared" si="3"/>
        <v>0</v>
      </c>
      <c r="G70" s="150">
        <f t="shared" si="14"/>
        <v>0</v>
      </c>
      <c r="H70" s="133">
        <f>IF(K69&lt;0.01,0,IF(Adm!$R$3=Adm!$R$6,0,IF(Adm!$S$10=Adm!$S$13,K69*Adm!$X$6,IF(Adm!$S$10=Adm!$S$11,K69*Adm!$X$3,IF(Adm!$S$10=Adm!$S$12,K69*Adm!$Y$3)))))</f>
        <v>0</v>
      </c>
      <c r="I70" s="133">
        <f>IF(K69&lt;0.01,0,E70*Adm!$N$7)</f>
        <v>0</v>
      </c>
      <c r="J70" s="133">
        <f t="shared" si="4"/>
        <v>0</v>
      </c>
      <c r="K70" s="133">
        <f t="shared" si="5"/>
        <v>0</v>
      </c>
      <c r="L70" s="361"/>
      <c r="V70" s="571">
        <f t="shared" si="6"/>
        <v>5</v>
      </c>
      <c r="W70" s="846">
        <f>IF(Adm!$AF$3=Adm!$AF$6,0,IF(V70=1,Adm!$AN$2,0))</f>
        <v>0</v>
      </c>
      <c r="Y70" s="338">
        <f>IF(AND($L$14=$AB$10,Adm!$AF$3=Adm!$AF$6,L69&gt;0),PMT(Cal!$F$86/12,B69,-K69),0)</f>
        <v>0</v>
      </c>
      <c r="AB70" s="650">
        <f t="shared" si="12"/>
        <v>0</v>
      </c>
      <c r="AC70" s="639">
        <f t="shared" si="13"/>
        <v>0</v>
      </c>
      <c r="AD70" s="639">
        <f>IF(AND($AD$12=1,$AB$12=2),PMT(Adm!$AH$7/12,B69,-K69),0)</f>
        <v>0</v>
      </c>
      <c r="AE70" s="639">
        <f t="shared" si="11"/>
        <v>0</v>
      </c>
      <c r="AF70" s="636">
        <f t="shared" si="7"/>
        <v>0</v>
      </c>
      <c r="AG70" s="647" t="e">
        <f>Captura!AG167</f>
        <v>#N/A</v>
      </c>
    </row>
    <row r="71" spans="1:33">
      <c r="A71" s="151">
        <f t="shared" ca="1" si="0"/>
        <v>5</v>
      </c>
      <c r="B71" s="195">
        <f t="shared" si="1"/>
        <v>0</v>
      </c>
      <c r="C71" s="199">
        <f t="shared" si="8"/>
        <v>0</v>
      </c>
      <c r="D71" s="333">
        <f t="shared" si="9"/>
        <v>0</v>
      </c>
      <c r="E71" s="133">
        <f t="shared" si="2"/>
        <v>0</v>
      </c>
      <c r="F71" s="133">
        <f t="shared" si="3"/>
        <v>0</v>
      </c>
      <c r="G71" s="150">
        <f t="shared" si="14"/>
        <v>0</v>
      </c>
      <c r="H71" s="133">
        <f>IF(K70&lt;0.01,0,IF(Adm!$R$3=Adm!$R$6,0,IF(Adm!$S$10=Adm!$S$13,K70*Adm!$X$6,IF(Adm!$S$10=Adm!$S$11,K70*Adm!$X$3,IF(Adm!$S$10=Adm!$S$12,K70*Adm!$Y$3)))))</f>
        <v>0</v>
      </c>
      <c r="I71" s="133">
        <f>IF(K70&lt;0.01,0,E71*Adm!$N$7)</f>
        <v>0</v>
      </c>
      <c r="J71" s="133">
        <f t="shared" si="4"/>
        <v>0</v>
      </c>
      <c r="K71" s="133">
        <f t="shared" si="5"/>
        <v>0</v>
      </c>
      <c r="L71" s="361"/>
      <c r="V71" s="571">
        <f t="shared" si="6"/>
        <v>6</v>
      </c>
      <c r="W71" s="846">
        <f>IF(Adm!$AF$3=Adm!$AF$6,0,IF(V71=1,Adm!$AN$2,0))</f>
        <v>0</v>
      </c>
      <c r="Y71" s="338">
        <f>IF(AND($L$14=$AB$10,Adm!$AF$3=Adm!$AF$6,L70&gt;0),PMT(Cal!$F$86/12,B70,-K70),0)</f>
        <v>0</v>
      </c>
      <c r="AB71" s="650">
        <f t="shared" si="12"/>
        <v>0</v>
      </c>
      <c r="AC71" s="639">
        <f t="shared" si="13"/>
        <v>0</v>
      </c>
      <c r="AD71" s="639">
        <f>IF(AND($AD$12=1,$AB$12=2),PMT(Adm!$AH$7/12,B70,-K70),0)</f>
        <v>0</v>
      </c>
      <c r="AE71" s="639">
        <f t="shared" si="11"/>
        <v>0</v>
      </c>
      <c r="AF71" s="636">
        <f t="shared" si="7"/>
        <v>0</v>
      </c>
      <c r="AG71" s="647" t="e">
        <f>Captura!AG168</f>
        <v>#N/A</v>
      </c>
    </row>
    <row r="72" spans="1:33">
      <c r="A72" s="151">
        <f t="shared" ca="1" si="0"/>
        <v>6</v>
      </c>
      <c r="B72" s="195">
        <f t="shared" si="1"/>
        <v>0</v>
      </c>
      <c r="C72" s="199">
        <f t="shared" si="8"/>
        <v>0</v>
      </c>
      <c r="D72" s="333">
        <f t="shared" si="9"/>
        <v>0</v>
      </c>
      <c r="E72" s="133">
        <f t="shared" si="2"/>
        <v>0</v>
      </c>
      <c r="F72" s="133">
        <f t="shared" si="3"/>
        <v>0</v>
      </c>
      <c r="G72" s="150">
        <f t="shared" si="14"/>
        <v>0</v>
      </c>
      <c r="H72" s="133">
        <f>IF(K71&lt;0.01,0,IF(Adm!$R$3=Adm!$R$6,0,IF(Adm!$S$10=Adm!$S$13,K71*Adm!$X$6,IF(Adm!$S$10=Adm!$S$11,K71*Adm!$X$3,IF(Adm!$S$10=Adm!$S$12,K71*Adm!$Y$3)))))</f>
        <v>0</v>
      </c>
      <c r="I72" s="133">
        <f>IF(K71&lt;0.01,0,E72*Adm!$N$7)</f>
        <v>0</v>
      </c>
      <c r="J72" s="133">
        <f t="shared" si="4"/>
        <v>0</v>
      </c>
      <c r="K72" s="133">
        <f t="shared" si="5"/>
        <v>0</v>
      </c>
      <c r="L72" s="361"/>
      <c r="V72" s="571">
        <f t="shared" si="6"/>
        <v>7</v>
      </c>
      <c r="W72" s="846">
        <f>IF(Adm!$AF$3=Adm!$AF$6,0,IF(V72=1,Adm!$AN$2,0))</f>
        <v>0</v>
      </c>
      <c r="Y72" s="338">
        <f>IF(AND($L$14=$AB$10,Adm!$AF$3=Adm!$AF$6,L71&gt;0),PMT(Cal!$F$86/12,B71,-K71),0)</f>
        <v>0</v>
      </c>
      <c r="AB72" s="650">
        <f t="shared" si="12"/>
        <v>0</v>
      </c>
      <c r="AC72" s="639">
        <f t="shared" si="13"/>
        <v>0</v>
      </c>
      <c r="AD72" s="639">
        <f>IF(AND($AD$12=1,$AB$12=2),PMT(Adm!$AH$7/12,B71,-K71),0)</f>
        <v>0</v>
      </c>
      <c r="AE72" s="639">
        <f t="shared" si="11"/>
        <v>0</v>
      </c>
      <c r="AF72" s="636">
        <f t="shared" si="7"/>
        <v>0</v>
      </c>
      <c r="AG72" s="647" t="e">
        <f>Captura!AG169</f>
        <v>#N/A</v>
      </c>
    </row>
    <row r="73" spans="1:33">
      <c r="A73" s="151">
        <f t="shared" ca="1" si="0"/>
        <v>7</v>
      </c>
      <c r="B73" s="195">
        <f t="shared" si="1"/>
        <v>0</v>
      </c>
      <c r="C73" s="199">
        <f t="shared" si="8"/>
        <v>0</v>
      </c>
      <c r="D73" s="333">
        <f t="shared" si="9"/>
        <v>0</v>
      </c>
      <c r="E73" s="133">
        <f t="shared" si="2"/>
        <v>0</v>
      </c>
      <c r="F73" s="133">
        <f t="shared" si="3"/>
        <v>0</v>
      </c>
      <c r="G73" s="150">
        <f t="shared" si="14"/>
        <v>0</v>
      </c>
      <c r="H73" s="133">
        <f>IF(K72&lt;0.01,0,IF(Adm!$R$3=Adm!$R$6,0,IF(Adm!$S$10=Adm!$S$13,K72*Adm!$X$6,IF(Adm!$S$10=Adm!$S$11,K72*Adm!$X$3,IF(Adm!$S$10=Adm!$S$12,K72*Adm!$Y$3)))))</f>
        <v>0</v>
      </c>
      <c r="I73" s="133">
        <f>IF(K72&lt;0.01,0,E73*Adm!$N$7)</f>
        <v>0</v>
      </c>
      <c r="J73" s="133">
        <f t="shared" si="4"/>
        <v>0</v>
      </c>
      <c r="K73" s="133">
        <f t="shared" si="5"/>
        <v>0</v>
      </c>
      <c r="L73" s="361"/>
      <c r="V73" s="571">
        <f t="shared" si="6"/>
        <v>8</v>
      </c>
      <c r="W73" s="846">
        <f>IF(Adm!$AF$3=Adm!$AF$6,0,IF(V73=1,Adm!$AN$2,0))</f>
        <v>0</v>
      </c>
      <c r="Y73" s="338">
        <f>IF(AND($L$14=$AB$10,Adm!$AF$3=Adm!$AF$6,L72&gt;0),PMT(Cal!$F$86/12,B72,-K72),0)</f>
        <v>0</v>
      </c>
      <c r="AB73" s="650">
        <f t="shared" si="12"/>
        <v>0</v>
      </c>
      <c r="AC73" s="639">
        <f t="shared" si="13"/>
        <v>0</v>
      </c>
      <c r="AD73" s="639">
        <f>IF(AND($AD$12=1,$AB$12=2),PMT(Adm!$AH$7/12,B72,-K72),0)</f>
        <v>0</v>
      </c>
      <c r="AE73" s="639">
        <f t="shared" si="11"/>
        <v>0</v>
      </c>
      <c r="AF73" s="636">
        <f t="shared" si="7"/>
        <v>0</v>
      </c>
      <c r="AG73" s="647" t="e">
        <f>Captura!AG170</f>
        <v>#N/A</v>
      </c>
    </row>
    <row r="74" spans="1:33">
      <c r="A74" s="151">
        <f t="shared" ca="1" si="0"/>
        <v>8</v>
      </c>
      <c r="B74" s="195">
        <f t="shared" si="1"/>
        <v>0</v>
      </c>
      <c r="C74" s="199">
        <f t="shared" si="8"/>
        <v>0</v>
      </c>
      <c r="D74" s="333">
        <f t="shared" si="9"/>
        <v>0</v>
      </c>
      <c r="E74" s="133">
        <f t="shared" si="2"/>
        <v>0</v>
      </c>
      <c r="F74" s="133">
        <f t="shared" si="3"/>
        <v>0</v>
      </c>
      <c r="G74" s="150">
        <f t="shared" si="14"/>
        <v>0</v>
      </c>
      <c r="H74" s="133">
        <f>IF(K73&lt;0.01,0,IF(Adm!$R$3=Adm!$R$6,0,IF(Adm!$S$10=Adm!$S$13,K73*Adm!$X$6,IF(Adm!$S$10=Adm!$S$11,K73*Adm!$X$3,IF(Adm!$S$10=Adm!$S$12,K73*Adm!$Y$3)))))</f>
        <v>0</v>
      </c>
      <c r="I74" s="133">
        <f>IF(K73&lt;0.01,0,E74*Adm!$N$7)</f>
        <v>0</v>
      </c>
      <c r="J74" s="133">
        <f t="shared" si="4"/>
        <v>0</v>
      </c>
      <c r="K74" s="133">
        <f t="shared" si="5"/>
        <v>0</v>
      </c>
      <c r="L74" s="361"/>
      <c r="V74" s="571">
        <f t="shared" si="6"/>
        <v>9</v>
      </c>
      <c r="W74" s="846">
        <f>IF(Adm!$AF$3=Adm!$AF$6,0,IF(V74=1,Adm!$AN$2,0))</f>
        <v>0</v>
      </c>
      <c r="Y74" s="338">
        <f>IF(AND($L$14=$AB$10,Adm!$AF$3=Adm!$AF$6,L73&gt;0),PMT(Cal!$F$86/12,B73,-K73),0)</f>
        <v>0</v>
      </c>
      <c r="AB74" s="650">
        <f t="shared" si="12"/>
        <v>0</v>
      </c>
      <c r="AC74" s="639">
        <f t="shared" si="13"/>
        <v>0</v>
      </c>
      <c r="AD74" s="639">
        <f>IF(AND($AD$12=1,$AB$12=2),PMT(Adm!$AH$7/12,B73,-K73),0)</f>
        <v>0</v>
      </c>
      <c r="AE74" s="639">
        <f t="shared" si="11"/>
        <v>0</v>
      </c>
      <c r="AF74" s="636">
        <f t="shared" si="7"/>
        <v>0</v>
      </c>
      <c r="AG74" s="647" t="e">
        <f>Captura!AG171</f>
        <v>#N/A</v>
      </c>
    </row>
    <row r="75" spans="1:33">
      <c r="A75" s="151">
        <f t="shared" ca="1" si="0"/>
        <v>9</v>
      </c>
      <c r="B75" s="195">
        <f t="shared" si="1"/>
        <v>0</v>
      </c>
      <c r="C75" s="199">
        <f t="shared" si="8"/>
        <v>0</v>
      </c>
      <c r="D75" s="333">
        <f t="shared" si="9"/>
        <v>0</v>
      </c>
      <c r="E75" s="133">
        <f t="shared" si="2"/>
        <v>0</v>
      </c>
      <c r="F75" s="133">
        <f t="shared" si="3"/>
        <v>0</v>
      </c>
      <c r="G75" s="150">
        <f t="shared" si="14"/>
        <v>0</v>
      </c>
      <c r="H75" s="133">
        <f>IF(K74&lt;0.01,0,IF(Adm!$R$3=Adm!$R$6,0,IF(Adm!$S$10=Adm!$S$13,K74*Adm!$X$6,IF(Adm!$S$10=Adm!$S$11,K74*Adm!$X$3,IF(Adm!$S$10=Adm!$S$12,K74*Adm!$Y$3)))))</f>
        <v>0</v>
      </c>
      <c r="I75" s="133">
        <f>IF(K74&lt;0.01,0,E75*Adm!$N$7)</f>
        <v>0</v>
      </c>
      <c r="J75" s="133">
        <f t="shared" si="4"/>
        <v>0</v>
      </c>
      <c r="K75" s="133">
        <f t="shared" si="5"/>
        <v>0</v>
      </c>
      <c r="L75" s="361"/>
      <c r="V75" s="571">
        <f t="shared" si="6"/>
        <v>10</v>
      </c>
      <c r="W75" s="846">
        <f>IF(Adm!$AF$3=Adm!$AF$6,0,IF(V75=1,Adm!$AN$2,0))</f>
        <v>0</v>
      </c>
      <c r="Y75" s="338">
        <f>IF(AND($L$14=$AB$10,Adm!$AF$3=Adm!$AF$6,L74&gt;0),PMT(Cal!$F$86/12,B74,-K74),0)</f>
        <v>0</v>
      </c>
      <c r="AB75" s="650">
        <f t="shared" si="12"/>
        <v>0</v>
      </c>
      <c r="AC75" s="639">
        <f t="shared" si="13"/>
        <v>0</v>
      </c>
      <c r="AD75" s="639">
        <f>IF(AND($AD$12=1,$AB$12=2),PMT(Adm!$AH$7/12,B74,-K74),0)</f>
        <v>0</v>
      </c>
      <c r="AE75" s="639">
        <f t="shared" si="11"/>
        <v>0</v>
      </c>
      <c r="AF75" s="636">
        <f t="shared" si="7"/>
        <v>0</v>
      </c>
      <c r="AG75" s="647" t="e">
        <f>Captura!AG172</f>
        <v>#N/A</v>
      </c>
    </row>
    <row r="76" spans="1:33">
      <c r="A76" s="151">
        <f t="shared" ca="1" si="0"/>
        <v>10</v>
      </c>
      <c r="B76" s="195">
        <f t="shared" si="1"/>
        <v>0</v>
      </c>
      <c r="C76" s="199">
        <f t="shared" si="8"/>
        <v>0</v>
      </c>
      <c r="D76" s="333">
        <f t="shared" si="9"/>
        <v>0</v>
      </c>
      <c r="E76" s="133">
        <f t="shared" si="2"/>
        <v>0</v>
      </c>
      <c r="F76" s="133">
        <f t="shared" si="3"/>
        <v>0</v>
      </c>
      <c r="G76" s="150">
        <f t="shared" si="14"/>
        <v>0</v>
      </c>
      <c r="H76" s="133">
        <f>IF(K75&lt;0.01,0,IF(Adm!$R$3=Adm!$R$6,0,IF(Adm!$S$10=Adm!$S$13,K75*Adm!$X$6,IF(Adm!$S$10=Adm!$S$11,K75*Adm!$X$3,IF(Adm!$S$10=Adm!$S$12,K75*Adm!$Y$3)))))</f>
        <v>0</v>
      </c>
      <c r="I76" s="133">
        <f>IF(K75&lt;0.01,0,E76*Adm!$N$7)</f>
        <v>0</v>
      </c>
      <c r="J76" s="133">
        <f t="shared" si="4"/>
        <v>0</v>
      </c>
      <c r="K76" s="133">
        <f t="shared" si="5"/>
        <v>0</v>
      </c>
      <c r="L76" s="361"/>
      <c r="V76" s="571">
        <f t="shared" si="6"/>
        <v>11</v>
      </c>
      <c r="W76" s="846">
        <f>IF(Adm!$AF$3=Adm!$AF$6,0,IF(V76=1,Adm!$AN$2,0))</f>
        <v>0</v>
      </c>
      <c r="Y76" s="338">
        <f>IF(AND($L$14=$AB$10,Adm!$AF$3=Adm!$AF$6,L75&gt;0),PMT(Cal!$F$86/12,B75,-K75),0)</f>
        <v>0</v>
      </c>
      <c r="AB76" s="650">
        <f t="shared" si="12"/>
        <v>0</v>
      </c>
      <c r="AC76" s="639">
        <f t="shared" si="13"/>
        <v>0</v>
      </c>
      <c r="AD76" s="639">
        <f>IF(AND($AD$12=1,$AB$12=2),PMT(Adm!$AH$7/12,B75,-K75),0)</f>
        <v>0</v>
      </c>
      <c r="AE76" s="639">
        <f t="shared" si="11"/>
        <v>0</v>
      </c>
      <c r="AF76" s="636">
        <f t="shared" si="7"/>
        <v>0</v>
      </c>
      <c r="AG76" s="647" t="e">
        <f>Captura!AG173</f>
        <v>#N/A</v>
      </c>
    </row>
    <row r="77" spans="1:33">
      <c r="A77" s="151">
        <f t="shared" ca="1" si="0"/>
        <v>11</v>
      </c>
      <c r="B77" s="195">
        <f t="shared" si="1"/>
        <v>0</v>
      </c>
      <c r="C77" s="199">
        <f t="shared" si="8"/>
        <v>0</v>
      </c>
      <c r="D77" s="333">
        <f t="shared" si="9"/>
        <v>0</v>
      </c>
      <c r="E77" s="133">
        <f t="shared" si="2"/>
        <v>0</v>
      </c>
      <c r="F77" s="133">
        <f t="shared" si="3"/>
        <v>0</v>
      </c>
      <c r="G77" s="150">
        <f t="shared" si="14"/>
        <v>0</v>
      </c>
      <c r="H77" s="133">
        <f>IF(K76&lt;0.01,0,IF(Adm!$R$3=Adm!$R$6,0,IF(Adm!$S$10=Adm!$S$13,K76*Adm!$X$6,IF(Adm!$S$10=Adm!$S$11,K76*Adm!$X$3,IF(Adm!$S$10=Adm!$S$12,K76*Adm!$Y$3)))))</f>
        <v>0</v>
      </c>
      <c r="I77" s="133">
        <f>IF(K76&lt;0.01,0,E77*Adm!$N$7)</f>
        <v>0</v>
      </c>
      <c r="J77" s="133">
        <f t="shared" si="4"/>
        <v>0</v>
      </c>
      <c r="K77" s="133">
        <f t="shared" si="5"/>
        <v>0</v>
      </c>
      <c r="L77" s="361"/>
      <c r="V77" s="571">
        <f t="shared" si="6"/>
        <v>12</v>
      </c>
      <c r="W77" s="846">
        <f>IF(Adm!$AF$3=Adm!$AF$6,0,IF(V77=1,Adm!$AN$2,0))</f>
        <v>0</v>
      </c>
      <c r="Y77" s="338">
        <f>IF(AND($L$14=$AB$10,Adm!$AF$3=Adm!$AF$6,L76&gt;0),PMT(Cal!$F$86/12,B76,-K76),0)</f>
        <v>0</v>
      </c>
      <c r="AB77" s="650">
        <f t="shared" si="12"/>
        <v>0</v>
      </c>
      <c r="AC77" s="639">
        <f t="shared" si="13"/>
        <v>0</v>
      </c>
      <c r="AD77" s="639">
        <f>IF(AND($AD$12=1,$AB$12=2),PMT(Adm!$AH$7/12,B76,-K76),0)</f>
        <v>0</v>
      </c>
      <c r="AE77" s="639">
        <f t="shared" si="11"/>
        <v>0</v>
      </c>
      <c r="AF77" s="636">
        <f t="shared" si="7"/>
        <v>0</v>
      </c>
      <c r="AG77" s="647" t="e">
        <f>Captura!AG174</f>
        <v>#N/A</v>
      </c>
    </row>
    <row r="78" spans="1:33">
      <c r="A78" s="151">
        <f t="shared" ca="1" si="0"/>
        <v>12</v>
      </c>
      <c r="B78" s="195">
        <f t="shared" si="1"/>
        <v>0</v>
      </c>
      <c r="C78" s="199">
        <f t="shared" si="8"/>
        <v>0</v>
      </c>
      <c r="D78" s="333">
        <f t="shared" si="9"/>
        <v>0</v>
      </c>
      <c r="E78" s="133">
        <f t="shared" si="2"/>
        <v>0</v>
      </c>
      <c r="F78" s="133">
        <f t="shared" si="3"/>
        <v>0</v>
      </c>
      <c r="G78" s="150">
        <f t="shared" si="14"/>
        <v>0</v>
      </c>
      <c r="H78" s="133">
        <f>IF(K77&lt;0.01,0,IF(Adm!$R$3=Adm!$R$6,0,IF(Adm!$S$10=Adm!$S$13,K77*Adm!$X$6,IF(Adm!$S$10=Adm!$S$11,K77*Adm!$X$3,IF(Adm!$S$10=Adm!$S$12,K77*Adm!$Y$3)))))</f>
        <v>0</v>
      </c>
      <c r="I78" s="133">
        <f>IF(K77&lt;0.01,0,E78*Adm!$N$7)</f>
        <v>0</v>
      </c>
      <c r="J78" s="133">
        <f t="shared" si="4"/>
        <v>0</v>
      </c>
      <c r="K78" s="133">
        <f t="shared" si="5"/>
        <v>0</v>
      </c>
      <c r="L78" s="361"/>
      <c r="V78" s="571">
        <f t="shared" si="6"/>
        <v>1</v>
      </c>
      <c r="W78" s="846">
        <f>IF(Adm!$AF$3=Adm!$AF$6,0,IF(V78=1,Adm!$AN$2,0))</f>
        <v>0</v>
      </c>
      <c r="Y78" s="338">
        <f>IF(AND($L$14=$AB$10,Adm!$AF$3=Adm!$AF$6,L77&gt;0),PMT(Cal!$F$86/12,B77,-K77),0)</f>
        <v>0</v>
      </c>
      <c r="AB78" s="650">
        <f t="shared" si="12"/>
        <v>0</v>
      </c>
      <c r="AC78" s="639">
        <f t="shared" si="13"/>
        <v>0</v>
      </c>
      <c r="AD78" s="639">
        <f>IF(AND($AD$12=1,$AB$12=2),PMT(Adm!$AH$7/12,B77,-K77),0)</f>
        <v>0</v>
      </c>
      <c r="AE78" s="639">
        <f t="shared" si="11"/>
        <v>0</v>
      </c>
      <c r="AF78" s="636">
        <f t="shared" si="7"/>
        <v>0</v>
      </c>
      <c r="AG78" s="647" t="e">
        <f>Captura!AG175</f>
        <v>#N/A</v>
      </c>
    </row>
    <row r="79" spans="1:33">
      <c r="A79" s="151">
        <f t="shared" ca="1" si="0"/>
        <v>1</v>
      </c>
      <c r="B79" s="195">
        <f t="shared" si="1"/>
        <v>0</v>
      </c>
      <c r="C79" s="199">
        <f t="shared" si="8"/>
        <v>0</v>
      </c>
      <c r="D79" s="333">
        <f t="shared" si="9"/>
        <v>0</v>
      </c>
      <c r="E79" s="133">
        <f t="shared" si="2"/>
        <v>0</v>
      </c>
      <c r="F79" s="133">
        <f t="shared" si="3"/>
        <v>0</v>
      </c>
      <c r="G79" s="150">
        <f t="shared" si="14"/>
        <v>0</v>
      </c>
      <c r="H79" s="133">
        <f>IF(K78&lt;0.01,0,IF(Adm!$R$3=Adm!$R$6,0,IF(Adm!$S$10=Adm!$S$13,K78*Adm!$X$6,IF(Adm!$S$10=Adm!$S$11,K78*Adm!$X$3,IF(Adm!$S$10=Adm!$S$12,K78*Adm!$Y$3)))))</f>
        <v>0</v>
      </c>
      <c r="I79" s="133">
        <f>IF(K78&lt;0.01,0,E79*Adm!$N$7)</f>
        <v>0</v>
      </c>
      <c r="J79" s="133">
        <f t="shared" si="4"/>
        <v>0</v>
      </c>
      <c r="K79" s="133">
        <f t="shared" si="5"/>
        <v>0</v>
      </c>
      <c r="L79" s="361"/>
      <c r="V79" s="571">
        <f t="shared" si="6"/>
        <v>2</v>
      </c>
      <c r="W79" s="846">
        <f>IF(Adm!$AF$3=Adm!$AF$6,0,IF(V79=1,Adm!$AN$2,0))</f>
        <v>0</v>
      </c>
      <c r="Y79" s="338">
        <f>IF(AND($L$14=$AB$10,Adm!$AF$3=Adm!$AF$6,L78&gt;0),PMT(Cal!$F$86/12,B78,-K78),0)</f>
        <v>0</v>
      </c>
      <c r="AB79" s="650">
        <f t="shared" si="12"/>
        <v>0</v>
      </c>
      <c r="AC79" s="639">
        <f t="shared" si="13"/>
        <v>0</v>
      </c>
      <c r="AD79" s="639">
        <f>IF(AND($AD$12=1,$AB$12=2),PMT(Adm!$AH$7/12,B78,-K78),0)</f>
        <v>0</v>
      </c>
      <c r="AE79" s="639">
        <f t="shared" si="11"/>
        <v>0</v>
      </c>
      <c r="AF79" s="636">
        <f t="shared" si="7"/>
        <v>0</v>
      </c>
      <c r="AG79" s="647" t="e">
        <f>Captura!AG176</f>
        <v>#N/A</v>
      </c>
    </row>
    <row r="80" spans="1:33">
      <c r="A80" s="151">
        <f t="shared" ca="1" si="0"/>
        <v>2</v>
      </c>
      <c r="B80" s="195">
        <f t="shared" si="1"/>
        <v>0</v>
      </c>
      <c r="C80" s="199">
        <f t="shared" si="8"/>
        <v>0</v>
      </c>
      <c r="D80" s="333">
        <f t="shared" si="9"/>
        <v>0</v>
      </c>
      <c r="E80" s="133">
        <f t="shared" si="2"/>
        <v>0</v>
      </c>
      <c r="F80" s="133">
        <f t="shared" si="3"/>
        <v>0</v>
      </c>
      <c r="G80" s="150">
        <f t="shared" si="14"/>
        <v>0</v>
      </c>
      <c r="H80" s="133">
        <f>IF(K79&lt;0.01,0,IF(Adm!$R$3=Adm!$R$6,0,IF(Adm!$S$10=Adm!$S$13,K79*Adm!$X$6,IF(Adm!$S$10=Adm!$S$11,K79*Adm!$X$3,IF(Adm!$S$10=Adm!$S$12,K79*Adm!$Y$3)))))</f>
        <v>0</v>
      </c>
      <c r="I80" s="133">
        <f>IF(K79&lt;0.01,0,E80*Adm!$N$7)</f>
        <v>0</v>
      </c>
      <c r="J80" s="133">
        <f t="shared" si="4"/>
        <v>0</v>
      </c>
      <c r="K80" s="133">
        <f t="shared" si="5"/>
        <v>0</v>
      </c>
      <c r="L80" s="361"/>
      <c r="V80" s="571">
        <f t="shared" si="6"/>
        <v>3</v>
      </c>
      <c r="W80" s="846">
        <f>IF(Adm!$AF$3=Adm!$AF$6,0,IF(V80=1,Adm!$AN$2,0))</f>
        <v>0</v>
      </c>
      <c r="Y80" s="338">
        <f>IF(AND($L$14=$AB$10,Adm!$AF$3=Adm!$AF$6,L79&gt;0),PMT(Cal!$F$86/12,B79,-K79),0)</f>
        <v>0</v>
      </c>
      <c r="AB80" s="650">
        <f t="shared" si="12"/>
        <v>0</v>
      </c>
      <c r="AC80" s="639">
        <f t="shared" si="13"/>
        <v>0</v>
      </c>
      <c r="AD80" s="639">
        <f>IF(AND($AD$12=1,$AB$12=2),PMT(Adm!$AH$7/12,B79,-K79),0)</f>
        <v>0</v>
      </c>
      <c r="AE80" s="639">
        <f t="shared" si="11"/>
        <v>0</v>
      </c>
      <c r="AF80" s="636">
        <f t="shared" si="7"/>
        <v>0</v>
      </c>
      <c r="AG80" s="647" t="e">
        <f>Captura!AG177</f>
        <v>#N/A</v>
      </c>
    </row>
    <row r="81" spans="1:33">
      <c r="A81" s="151">
        <f t="shared" ca="1" si="0"/>
        <v>3</v>
      </c>
      <c r="B81" s="195">
        <f t="shared" si="1"/>
        <v>0</v>
      </c>
      <c r="C81" s="199">
        <f t="shared" si="8"/>
        <v>0</v>
      </c>
      <c r="D81" s="333">
        <f t="shared" si="9"/>
        <v>0</v>
      </c>
      <c r="E81" s="133">
        <f t="shared" si="2"/>
        <v>0</v>
      </c>
      <c r="F81" s="133">
        <f t="shared" si="3"/>
        <v>0</v>
      </c>
      <c r="G81" s="150">
        <f t="shared" si="14"/>
        <v>0</v>
      </c>
      <c r="H81" s="133">
        <f>IF(K80&lt;0.01,0,IF(Adm!$R$3=Adm!$R$6,0,IF(Adm!$S$10=Adm!$S$13,K80*Adm!$X$6,IF(Adm!$S$10=Adm!$S$11,K80*Adm!$X$3,IF(Adm!$S$10=Adm!$S$12,K80*Adm!$Y$3)))))</f>
        <v>0</v>
      </c>
      <c r="I81" s="133">
        <f>IF(K80&lt;0.01,0,E81*Adm!$N$7)</f>
        <v>0</v>
      </c>
      <c r="J81" s="133">
        <f t="shared" si="4"/>
        <v>0</v>
      </c>
      <c r="K81" s="133">
        <f t="shared" si="5"/>
        <v>0</v>
      </c>
      <c r="L81" s="361"/>
      <c r="V81" s="571">
        <f t="shared" si="6"/>
        <v>4</v>
      </c>
      <c r="W81" s="846">
        <f>IF(Adm!$AF$3=Adm!$AF$6,0,IF(V81=1,Adm!$AN$2,0))</f>
        <v>0</v>
      </c>
      <c r="Y81" s="338">
        <f>IF(AND($L$14=$AB$10,Adm!$AF$3=Adm!$AF$6,L80&gt;0),PMT(Cal!$F$86/12,B80,-K80),0)</f>
        <v>0</v>
      </c>
      <c r="AB81" s="650">
        <f t="shared" si="12"/>
        <v>0</v>
      </c>
      <c r="AC81" s="639">
        <f t="shared" si="13"/>
        <v>0</v>
      </c>
      <c r="AD81" s="639">
        <f>IF(AND($AD$12=1,$AB$12=2),PMT(Adm!$AH$7/12,B80,-K80),0)</f>
        <v>0</v>
      </c>
      <c r="AE81" s="639">
        <f t="shared" si="11"/>
        <v>0</v>
      </c>
      <c r="AF81" s="636">
        <f t="shared" si="7"/>
        <v>0</v>
      </c>
      <c r="AG81" s="647" t="e">
        <f>Captura!AG178</f>
        <v>#N/A</v>
      </c>
    </row>
    <row r="82" spans="1:33">
      <c r="A82" s="151">
        <f t="shared" ref="A82:A145" ca="1" si="15">IF(A81=12,1,A81+1)</f>
        <v>4</v>
      </c>
      <c r="B82" s="195">
        <f t="shared" si="1"/>
        <v>0</v>
      </c>
      <c r="C82" s="199">
        <f t="shared" si="8"/>
        <v>0</v>
      </c>
      <c r="D82" s="333">
        <f t="shared" si="9"/>
        <v>0</v>
      </c>
      <c r="E82" s="133">
        <f t="shared" si="2"/>
        <v>0</v>
      </c>
      <c r="F82" s="133">
        <f t="shared" si="3"/>
        <v>0</v>
      </c>
      <c r="G82" s="150">
        <f t="shared" si="14"/>
        <v>0</v>
      </c>
      <c r="H82" s="133">
        <f>IF(K81&lt;0.01,0,IF(Adm!$R$3=Adm!$R$6,0,IF(Adm!$S$10=Adm!$S$13,K81*Adm!$X$6,IF(Adm!$S$10=Adm!$S$11,K81*Adm!$X$3,IF(Adm!$S$10=Adm!$S$12,K81*Adm!$Y$3)))))</f>
        <v>0</v>
      </c>
      <c r="I82" s="133">
        <f>IF(K81&lt;0.01,0,E82*Adm!$N$7)</f>
        <v>0</v>
      </c>
      <c r="J82" s="133">
        <f t="shared" si="4"/>
        <v>0</v>
      </c>
      <c r="K82" s="133">
        <f t="shared" si="5"/>
        <v>0</v>
      </c>
      <c r="L82" s="361"/>
      <c r="V82" s="571">
        <f t="shared" si="6"/>
        <v>5</v>
      </c>
      <c r="W82" s="846">
        <f>IF(Adm!$AF$3=Adm!$AF$6,0,IF(V82=1,Adm!$AN$2,0))</f>
        <v>0</v>
      </c>
      <c r="Y82" s="338">
        <f>IF(AND($L$14=$AB$10,Adm!$AF$3=Adm!$AF$6,L81&gt;0),PMT(Cal!$F$86/12,B81,-K81),0)</f>
        <v>0</v>
      </c>
      <c r="AB82" s="650">
        <f t="shared" si="12"/>
        <v>0</v>
      </c>
      <c r="AC82" s="639">
        <f t="shared" si="13"/>
        <v>0</v>
      </c>
      <c r="AD82" s="639">
        <f>IF(AND($AD$12=1,$AB$12=2),PMT(Adm!$AH$7/12,B81,-K81),0)</f>
        <v>0</v>
      </c>
      <c r="AE82" s="639">
        <f t="shared" si="11"/>
        <v>0</v>
      </c>
      <c r="AF82" s="636">
        <f t="shared" si="7"/>
        <v>0</v>
      </c>
      <c r="AG82" s="647" t="e">
        <f>Captura!AG179</f>
        <v>#N/A</v>
      </c>
    </row>
    <row r="83" spans="1:33">
      <c r="A83" s="151">
        <f t="shared" ca="1" si="15"/>
        <v>5</v>
      </c>
      <c r="B83" s="195">
        <f t="shared" ref="B83:B146" si="16">IF(K82&lt;0.01,0,B82-1)</f>
        <v>0</v>
      </c>
      <c r="C83" s="199">
        <f t="shared" ref="C83:C146" si="17">IF(K82&lt;0.01,0,C82+1)</f>
        <v>0</v>
      </c>
      <c r="D83" s="333">
        <f t="shared" si="9"/>
        <v>0</v>
      </c>
      <c r="E83" s="133">
        <f t="shared" ref="E83:E146" si="18">IF(K82&lt;0.01,0,K82*D83/12)</f>
        <v>0</v>
      </c>
      <c r="F83" s="133">
        <f t="shared" ref="F83:F146" si="19">IF(K82&lt;0.01,0,G83-E83)</f>
        <v>0</v>
      </c>
      <c r="G83" s="150">
        <f t="shared" si="14"/>
        <v>0</v>
      </c>
      <c r="H83" s="133">
        <f>IF(K82&lt;0.01,0,IF(Adm!$R$3=Adm!$R$6,0,IF(Adm!$S$10=Adm!$S$13,K82*Adm!$X$6,IF(Adm!$S$10=Adm!$S$11,K82*Adm!$X$3,IF(Adm!$S$10=Adm!$S$12,K82*Adm!$Y$3)))))</f>
        <v>0</v>
      </c>
      <c r="I83" s="133">
        <f>IF(K82&lt;0.01,0,E83*Adm!$N$7)</f>
        <v>0</v>
      </c>
      <c r="J83" s="133">
        <f t="shared" ref="J83:J146" si="20">G83+H83+I83</f>
        <v>0</v>
      </c>
      <c r="K83" s="133">
        <f t="shared" ref="K83:K146" si="21">IF(K82&lt;0.01,0,K82-F83-L83)</f>
        <v>0</v>
      </c>
      <c r="L83" s="361"/>
      <c r="V83" s="571">
        <f t="shared" ref="V83:V146" si="22">IF(V82=12,1,V82+1)</f>
        <v>6</v>
      </c>
      <c r="W83" s="846">
        <f>IF(Adm!$AF$3=Adm!$AF$6,0,IF(V83=1,Adm!$AN$2,0))</f>
        <v>0</v>
      </c>
      <c r="Y83" s="338">
        <f>IF(AND($L$14=$AB$10,Adm!$AF$3=Adm!$AF$6,L82&gt;0),PMT(Cal!$F$86/12,B82,-K82),0)</f>
        <v>0</v>
      </c>
      <c r="AB83" s="650">
        <f t="shared" si="12"/>
        <v>0</v>
      </c>
      <c r="AC83" s="639">
        <f t="shared" si="13"/>
        <v>0</v>
      </c>
      <c r="AD83" s="639">
        <f>IF(AND($AD$12=1,$AB$12=2),PMT(Adm!$AH$7/12,B82,-K82),0)</f>
        <v>0</v>
      </c>
      <c r="AE83" s="639">
        <f t="shared" si="11"/>
        <v>0</v>
      </c>
      <c r="AF83" s="636">
        <f t="shared" ref="AF83:AF146" si="23">IF(AND($AD$12=2,L82&lt;0.01),0,IF($AD$12=2,(K82*AG83)+E83,0))</f>
        <v>0</v>
      </c>
      <c r="AG83" s="647" t="e">
        <f>Captura!AG180</f>
        <v>#N/A</v>
      </c>
    </row>
    <row r="84" spans="1:33">
      <c r="A84" s="151">
        <f t="shared" ca="1" si="15"/>
        <v>6</v>
      </c>
      <c r="B84" s="195">
        <f t="shared" si="16"/>
        <v>0</v>
      </c>
      <c r="C84" s="199">
        <f t="shared" si="17"/>
        <v>0</v>
      </c>
      <c r="D84" s="333">
        <f t="shared" ref="D84:D147" si="24">IF(K83&lt;0.01,0,D83)</f>
        <v>0</v>
      </c>
      <c r="E84" s="133">
        <f t="shared" si="18"/>
        <v>0</v>
      </c>
      <c r="F84" s="133">
        <f t="shared" si="19"/>
        <v>0</v>
      </c>
      <c r="G84" s="150">
        <f t="shared" si="14"/>
        <v>0</v>
      </c>
      <c r="H84" s="133">
        <f>IF(K83&lt;0.01,0,IF(Adm!$R$3=Adm!$R$6,0,IF(Adm!$S$10=Adm!$S$13,K83*Adm!$X$6,IF(Adm!$S$10=Adm!$S$11,K83*Adm!$X$3,IF(Adm!$S$10=Adm!$S$12,K83*Adm!$Y$3)))))</f>
        <v>0</v>
      </c>
      <c r="I84" s="133">
        <f>IF(K83&lt;0.01,0,E84*Adm!$N$7)</f>
        <v>0</v>
      </c>
      <c r="J84" s="133">
        <f t="shared" si="20"/>
        <v>0</v>
      </c>
      <c r="K84" s="133">
        <f t="shared" si="21"/>
        <v>0</v>
      </c>
      <c r="L84" s="361"/>
      <c r="V84" s="571">
        <f t="shared" si="22"/>
        <v>7</v>
      </c>
      <c r="W84" s="846">
        <f>IF(Adm!$AF$3=Adm!$AF$6,0,IF(V84=1,Adm!$AN$2,0))</f>
        <v>0</v>
      </c>
      <c r="Y84" s="338">
        <f>IF(AND($L$14=$AB$10,Adm!$AF$3=Adm!$AF$6,L83&gt;0),PMT(Cal!$F$86/12,B83,-K83),0)</f>
        <v>0</v>
      </c>
      <c r="AB84" s="650">
        <f t="shared" si="12"/>
        <v>0</v>
      </c>
      <c r="AC84" s="639">
        <f t="shared" si="13"/>
        <v>0</v>
      </c>
      <c r="AD84" s="639">
        <f>IF(AND($AD$12=1,$AB$12=2),PMT(Adm!$AH$7/12,B83,-K83),0)</f>
        <v>0</v>
      </c>
      <c r="AE84" s="639">
        <f t="shared" ref="AE84:AE147" si="25">IF(AND(AF84&gt;0.01,$AB$12=2),AF84,0)</f>
        <v>0</v>
      </c>
      <c r="AF84" s="636">
        <f t="shared" si="23"/>
        <v>0</v>
      </c>
      <c r="AG84" s="647" t="e">
        <f>Captura!AG181</f>
        <v>#N/A</v>
      </c>
    </row>
    <row r="85" spans="1:33">
      <c r="A85" s="151">
        <f t="shared" ca="1" si="15"/>
        <v>7</v>
      </c>
      <c r="B85" s="195">
        <f t="shared" si="16"/>
        <v>0</v>
      </c>
      <c r="C85" s="199">
        <f t="shared" si="17"/>
        <v>0</v>
      </c>
      <c r="D85" s="333">
        <f t="shared" si="24"/>
        <v>0</v>
      </c>
      <c r="E85" s="133">
        <f t="shared" si="18"/>
        <v>0</v>
      </c>
      <c r="F85" s="133">
        <f t="shared" si="19"/>
        <v>0</v>
      </c>
      <c r="G85" s="150">
        <f t="shared" si="14"/>
        <v>0</v>
      </c>
      <c r="H85" s="133">
        <f>IF(K84&lt;0.01,0,IF(Adm!$R$3=Adm!$R$6,0,IF(Adm!$S$10=Adm!$S$13,K84*Adm!$X$6,IF(Adm!$S$10=Adm!$S$11,K84*Adm!$X$3,IF(Adm!$S$10=Adm!$S$12,K84*Adm!$Y$3)))))</f>
        <v>0</v>
      </c>
      <c r="I85" s="133">
        <f>IF(K84&lt;0.01,0,E85*Adm!$N$7)</f>
        <v>0</v>
      </c>
      <c r="J85" s="133">
        <f t="shared" si="20"/>
        <v>0</v>
      </c>
      <c r="K85" s="133">
        <f t="shared" si="21"/>
        <v>0</v>
      </c>
      <c r="L85" s="361"/>
      <c r="V85" s="571">
        <f t="shared" si="22"/>
        <v>8</v>
      </c>
      <c r="W85" s="846">
        <f>IF(Adm!$AF$3=Adm!$AF$6,0,IF(V85=1,Adm!$AN$2,0))</f>
        <v>0</v>
      </c>
      <c r="Y85" s="338">
        <f>IF(AND($L$14=$AB$10,Adm!$AF$3=Adm!$AF$6,L84&gt;0),PMT(Cal!$F$86/12,B84,-K84),0)</f>
        <v>0</v>
      </c>
      <c r="AB85" s="650">
        <f t="shared" ref="AB85:AB148" si="26">IF(AC85&gt;1,AC85,IF(AE85&gt;1,AE85,0))</f>
        <v>0</v>
      </c>
      <c r="AC85" s="639">
        <f t="shared" ref="AC85:AC148" si="27">IF(AND($AD$12=1,L84&gt;0.1),AD85,0)</f>
        <v>0</v>
      </c>
      <c r="AD85" s="639">
        <f>IF(AND($AD$12=1,$AB$12=2),PMT(Adm!$AH$7/12,B84,-K84),0)</f>
        <v>0</v>
      </c>
      <c r="AE85" s="639">
        <f t="shared" si="25"/>
        <v>0</v>
      </c>
      <c r="AF85" s="636">
        <f t="shared" si="23"/>
        <v>0</v>
      </c>
      <c r="AG85" s="647" t="e">
        <f>Captura!AG182</f>
        <v>#N/A</v>
      </c>
    </row>
    <row r="86" spans="1:33">
      <c r="A86" s="151">
        <f t="shared" ca="1" si="15"/>
        <v>8</v>
      </c>
      <c r="B86" s="195">
        <f t="shared" si="16"/>
        <v>0</v>
      </c>
      <c r="C86" s="199">
        <f t="shared" si="17"/>
        <v>0</v>
      </c>
      <c r="D86" s="333">
        <f t="shared" si="24"/>
        <v>0</v>
      </c>
      <c r="E86" s="133">
        <f t="shared" si="18"/>
        <v>0</v>
      </c>
      <c r="F86" s="133">
        <f t="shared" si="19"/>
        <v>0</v>
      </c>
      <c r="G86" s="150">
        <f t="shared" si="14"/>
        <v>0</v>
      </c>
      <c r="H86" s="133">
        <f>IF(K85&lt;0.01,0,IF(Adm!$R$3=Adm!$R$6,0,IF(Adm!$S$10=Adm!$S$13,K85*Adm!$X$6,IF(Adm!$S$10=Adm!$S$11,K85*Adm!$X$3,IF(Adm!$S$10=Adm!$S$12,K85*Adm!$Y$3)))))</f>
        <v>0</v>
      </c>
      <c r="I86" s="133">
        <f>IF(K85&lt;0.01,0,E86*Adm!$N$7)</f>
        <v>0</v>
      </c>
      <c r="J86" s="133">
        <f t="shared" si="20"/>
        <v>0</v>
      </c>
      <c r="K86" s="133">
        <f t="shared" si="21"/>
        <v>0</v>
      </c>
      <c r="L86" s="361"/>
      <c r="V86" s="571">
        <f t="shared" si="22"/>
        <v>9</v>
      </c>
      <c r="W86" s="846">
        <f>IF(Adm!$AF$3=Adm!$AF$6,0,IF(V86=1,Adm!$AN$2,0))</f>
        <v>0</v>
      </c>
      <c r="Y86" s="338">
        <f>IF(AND($L$14=$AB$10,Adm!$AF$3=Adm!$AF$6,L85&gt;0),PMT(Cal!$F$86/12,B85,-K85),0)</f>
        <v>0</v>
      </c>
      <c r="AB86" s="650">
        <f t="shared" si="26"/>
        <v>0</v>
      </c>
      <c r="AC86" s="639">
        <f t="shared" si="27"/>
        <v>0</v>
      </c>
      <c r="AD86" s="639">
        <f>IF(AND($AD$12=1,$AB$12=2),PMT(Adm!$AH$7/12,B85,-K85),0)</f>
        <v>0</v>
      </c>
      <c r="AE86" s="639">
        <f t="shared" si="25"/>
        <v>0</v>
      </c>
      <c r="AF86" s="636">
        <f t="shared" si="23"/>
        <v>0</v>
      </c>
      <c r="AG86" s="647" t="e">
        <f>Captura!AG183</f>
        <v>#N/A</v>
      </c>
    </row>
    <row r="87" spans="1:33">
      <c r="A87" s="151">
        <f t="shared" ca="1" si="15"/>
        <v>9</v>
      </c>
      <c r="B87" s="195">
        <f t="shared" si="16"/>
        <v>0</v>
      </c>
      <c r="C87" s="199">
        <f t="shared" si="17"/>
        <v>0</v>
      </c>
      <c r="D87" s="333">
        <f t="shared" si="24"/>
        <v>0</v>
      </c>
      <c r="E87" s="133">
        <f t="shared" si="18"/>
        <v>0</v>
      </c>
      <c r="F87" s="133">
        <f t="shared" si="19"/>
        <v>0</v>
      </c>
      <c r="G87" s="150">
        <f t="shared" si="14"/>
        <v>0</v>
      </c>
      <c r="H87" s="133">
        <f>IF(K86&lt;0.01,0,IF(Adm!$R$3=Adm!$R$6,0,IF(Adm!$S$10=Adm!$S$13,K86*Adm!$X$6,IF(Adm!$S$10=Adm!$S$11,K86*Adm!$X$3,IF(Adm!$S$10=Adm!$S$12,K86*Adm!$Y$3)))))</f>
        <v>0</v>
      </c>
      <c r="I87" s="133">
        <f>IF(K86&lt;0.01,0,E87*Adm!$N$7)</f>
        <v>0</v>
      </c>
      <c r="J87" s="133">
        <f t="shared" si="20"/>
        <v>0</v>
      </c>
      <c r="K87" s="133">
        <f t="shared" si="21"/>
        <v>0</v>
      </c>
      <c r="L87" s="361"/>
      <c r="V87" s="571">
        <f t="shared" si="22"/>
        <v>10</v>
      </c>
      <c r="W87" s="846">
        <f>IF(Adm!$AF$3=Adm!$AF$6,0,IF(V87=1,Adm!$AN$2,0))</f>
        <v>0</v>
      </c>
      <c r="Y87" s="338">
        <f>IF(AND($L$14=$AB$10,Adm!$AF$3=Adm!$AF$6,L86&gt;0),PMT(Cal!$F$86/12,B86,-K86),0)</f>
        <v>0</v>
      </c>
      <c r="AB87" s="650">
        <f t="shared" si="26"/>
        <v>0</v>
      </c>
      <c r="AC87" s="639">
        <f t="shared" si="27"/>
        <v>0</v>
      </c>
      <c r="AD87" s="639">
        <f>IF(AND($AD$12=1,$AB$12=2),PMT(Adm!$AH$7/12,B86,-K86),0)</f>
        <v>0</v>
      </c>
      <c r="AE87" s="639">
        <f t="shared" si="25"/>
        <v>0</v>
      </c>
      <c r="AF87" s="636">
        <f t="shared" si="23"/>
        <v>0</v>
      </c>
      <c r="AG87" s="647" t="e">
        <f>Captura!AG184</f>
        <v>#N/A</v>
      </c>
    </row>
    <row r="88" spans="1:33">
      <c r="A88" s="151">
        <f t="shared" ca="1" si="15"/>
        <v>10</v>
      </c>
      <c r="B88" s="195">
        <f t="shared" si="16"/>
        <v>0</v>
      </c>
      <c r="C88" s="199">
        <f t="shared" si="17"/>
        <v>0</v>
      </c>
      <c r="D88" s="333">
        <f t="shared" si="24"/>
        <v>0</v>
      </c>
      <c r="E88" s="133">
        <f t="shared" si="18"/>
        <v>0</v>
      </c>
      <c r="F88" s="133">
        <f t="shared" si="19"/>
        <v>0</v>
      </c>
      <c r="G88" s="150">
        <f t="shared" si="14"/>
        <v>0</v>
      </c>
      <c r="H88" s="133">
        <f>IF(K87&lt;0.01,0,IF(Adm!$R$3=Adm!$R$6,0,IF(Adm!$S$10=Adm!$S$13,K87*Adm!$X$6,IF(Adm!$S$10=Adm!$S$11,K87*Adm!$X$3,IF(Adm!$S$10=Adm!$S$12,K87*Adm!$Y$3)))))</f>
        <v>0</v>
      </c>
      <c r="I88" s="133">
        <f>IF(K87&lt;0.01,0,E88*Adm!$N$7)</f>
        <v>0</v>
      </c>
      <c r="J88" s="133">
        <f t="shared" si="20"/>
        <v>0</v>
      </c>
      <c r="K88" s="133">
        <f t="shared" si="21"/>
        <v>0</v>
      </c>
      <c r="L88" s="361"/>
      <c r="V88" s="571">
        <f t="shared" si="22"/>
        <v>11</v>
      </c>
      <c r="W88" s="846">
        <f>IF(Adm!$AF$3=Adm!$AF$6,0,IF(V88=1,Adm!$AN$2,0))</f>
        <v>0</v>
      </c>
      <c r="Y88" s="338">
        <f>IF(AND($L$14=$AB$10,Adm!$AF$3=Adm!$AF$6,L87&gt;0),PMT(Cal!$F$86/12,B87,-K87),0)</f>
        <v>0</v>
      </c>
      <c r="AB88" s="650">
        <f t="shared" si="26"/>
        <v>0</v>
      </c>
      <c r="AC88" s="639">
        <f t="shared" si="27"/>
        <v>0</v>
      </c>
      <c r="AD88" s="639">
        <f>IF(AND($AD$12=1,$AB$12=2),PMT(Adm!$AH$7/12,B87,-K87),0)</f>
        <v>0</v>
      </c>
      <c r="AE88" s="639">
        <f t="shared" si="25"/>
        <v>0</v>
      </c>
      <c r="AF88" s="636">
        <f t="shared" si="23"/>
        <v>0</v>
      </c>
      <c r="AG88" s="647" t="e">
        <f>Captura!AG185</f>
        <v>#N/A</v>
      </c>
    </row>
    <row r="89" spans="1:33">
      <c r="A89" s="151">
        <f t="shared" ca="1" si="15"/>
        <v>11</v>
      </c>
      <c r="B89" s="195">
        <f t="shared" si="16"/>
        <v>0</v>
      </c>
      <c r="C89" s="199">
        <f t="shared" si="17"/>
        <v>0</v>
      </c>
      <c r="D89" s="333">
        <f t="shared" si="24"/>
        <v>0</v>
      </c>
      <c r="E89" s="133">
        <f t="shared" si="18"/>
        <v>0</v>
      </c>
      <c r="F89" s="133">
        <f t="shared" si="19"/>
        <v>0</v>
      </c>
      <c r="G89" s="150">
        <f t="shared" si="14"/>
        <v>0</v>
      </c>
      <c r="H89" s="133">
        <f>IF(K88&lt;0.01,0,IF(Adm!$R$3=Adm!$R$6,0,IF(Adm!$S$10=Adm!$S$13,K88*Adm!$X$6,IF(Adm!$S$10=Adm!$S$11,K88*Adm!$X$3,IF(Adm!$S$10=Adm!$S$12,K88*Adm!$Y$3)))))</f>
        <v>0</v>
      </c>
      <c r="I89" s="133">
        <f>IF(K88&lt;0.01,0,E89*Adm!$N$7)</f>
        <v>0</v>
      </c>
      <c r="J89" s="133">
        <f t="shared" si="20"/>
        <v>0</v>
      </c>
      <c r="K89" s="133">
        <f t="shared" si="21"/>
        <v>0</v>
      </c>
      <c r="L89" s="361"/>
      <c r="V89" s="571">
        <f t="shared" si="22"/>
        <v>12</v>
      </c>
      <c r="W89" s="846">
        <f>IF(Adm!$AF$3=Adm!$AF$6,0,IF(V89=1,Adm!$AN$2,0))</f>
        <v>0</v>
      </c>
      <c r="Y89" s="338">
        <f>IF(AND($L$14=$AB$10,Adm!$AF$3=Adm!$AF$6,L88&gt;0),PMT(Cal!$F$86/12,B88,-K88),0)</f>
        <v>0</v>
      </c>
      <c r="AB89" s="650">
        <f t="shared" si="26"/>
        <v>0</v>
      </c>
      <c r="AC89" s="639">
        <f t="shared" si="27"/>
        <v>0</v>
      </c>
      <c r="AD89" s="639">
        <f>IF(AND($AD$12=1,$AB$12=2),PMT(Adm!$AH$7/12,B88,-K88),0)</f>
        <v>0</v>
      </c>
      <c r="AE89" s="639">
        <f t="shared" si="25"/>
        <v>0</v>
      </c>
      <c r="AF89" s="636">
        <f t="shared" si="23"/>
        <v>0</v>
      </c>
      <c r="AG89" s="647" t="e">
        <f>Captura!AG186</f>
        <v>#N/A</v>
      </c>
    </row>
    <row r="90" spans="1:33">
      <c r="A90" s="151">
        <f t="shared" ca="1" si="15"/>
        <v>12</v>
      </c>
      <c r="B90" s="195">
        <f t="shared" si="16"/>
        <v>0</v>
      </c>
      <c r="C90" s="199">
        <f t="shared" si="17"/>
        <v>0</v>
      </c>
      <c r="D90" s="333">
        <f t="shared" si="24"/>
        <v>0</v>
      </c>
      <c r="E90" s="133">
        <f t="shared" si="18"/>
        <v>0</v>
      </c>
      <c r="F90" s="133">
        <f t="shared" si="19"/>
        <v>0</v>
      </c>
      <c r="G90" s="150">
        <f t="shared" si="14"/>
        <v>0</v>
      </c>
      <c r="H90" s="133">
        <f>IF(K89&lt;0.01,0,IF(Adm!$R$3=Adm!$R$6,0,IF(Adm!$S$10=Adm!$S$13,K89*Adm!$X$6,IF(Adm!$S$10=Adm!$S$11,K89*Adm!$X$3,IF(Adm!$S$10=Adm!$S$12,K89*Adm!$Y$3)))))</f>
        <v>0</v>
      </c>
      <c r="I90" s="133">
        <f>IF(K89&lt;0.01,0,E90*Adm!$N$7)</f>
        <v>0</v>
      </c>
      <c r="J90" s="133">
        <f t="shared" si="20"/>
        <v>0</v>
      </c>
      <c r="K90" s="133">
        <f t="shared" si="21"/>
        <v>0</v>
      </c>
      <c r="L90" s="361"/>
      <c r="V90" s="571">
        <f t="shared" si="22"/>
        <v>1</v>
      </c>
      <c r="W90" s="846">
        <f>IF(Adm!$AF$3=Adm!$AF$6,0,IF(V90=1,Adm!$AN$2,0))</f>
        <v>0</v>
      </c>
      <c r="Y90" s="338">
        <f>IF(AND($L$14=$AB$10,Adm!$AF$3=Adm!$AF$6,L89&gt;0),PMT(Cal!$F$86/12,B89,-K89),0)</f>
        <v>0</v>
      </c>
      <c r="AB90" s="650">
        <f t="shared" si="26"/>
        <v>0</v>
      </c>
      <c r="AC90" s="639">
        <f t="shared" si="27"/>
        <v>0</v>
      </c>
      <c r="AD90" s="639">
        <f>IF(AND($AD$12=1,$AB$12=2),PMT(Adm!$AH$7/12,B89,-K89),0)</f>
        <v>0</v>
      </c>
      <c r="AE90" s="639">
        <f t="shared" si="25"/>
        <v>0</v>
      </c>
      <c r="AF90" s="636">
        <f t="shared" si="23"/>
        <v>0</v>
      </c>
      <c r="AG90" s="647" t="e">
        <f>Captura!AG187</f>
        <v>#N/A</v>
      </c>
    </row>
    <row r="91" spans="1:33">
      <c r="A91" s="151">
        <f t="shared" ca="1" si="15"/>
        <v>1</v>
      </c>
      <c r="B91" s="195">
        <f t="shared" si="16"/>
        <v>0</v>
      </c>
      <c r="C91" s="199">
        <f t="shared" si="17"/>
        <v>0</v>
      </c>
      <c r="D91" s="333">
        <f t="shared" si="24"/>
        <v>0</v>
      </c>
      <c r="E91" s="133">
        <f t="shared" si="18"/>
        <v>0</v>
      </c>
      <c r="F91" s="133">
        <f t="shared" si="19"/>
        <v>0</v>
      </c>
      <c r="G91" s="150">
        <f t="shared" si="14"/>
        <v>0</v>
      </c>
      <c r="H91" s="133">
        <f>IF(K90&lt;0.01,0,IF(Adm!$R$3=Adm!$R$6,0,IF(Adm!$S$10=Adm!$S$13,K90*Adm!$X$6,IF(Adm!$S$10=Adm!$S$11,K90*Adm!$X$3,IF(Adm!$S$10=Adm!$S$12,K90*Adm!$Y$3)))))</f>
        <v>0</v>
      </c>
      <c r="I91" s="133">
        <f>IF(K90&lt;0.01,0,E91*Adm!$N$7)</f>
        <v>0</v>
      </c>
      <c r="J91" s="133">
        <f t="shared" si="20"/>
        <v>0</v>
      </c>
      <c r="K91" s="133">
        <f t="shared" si="21"/>
        <v>0</v>
      </c>
      <c r="L91" s="361"/>
      <c r="V91" s="571">
        <f t="shared" si="22"/>
        <v>2</v>
      </c>
      <c r="W91" s="846">
        <f>IF(Adm!$AF$3=Adm!$AF$6,0,IF(V91=1,Adm!$AN$2,0))</f>
        <v>0</v>
      </c>
      <c r="Y91" s="338">
        <f>IF(AND($L$14=$AB$10,Adm!$AF$3=Adm!$AF$6,L90&gt;0),PMT(Cal!$F$86/12,B90,-K90),0)</f>
        <v>0</v>
      </c>
      <c r="AB91" s="650">
        <f t="shared" si="26"/>
        <v>0</v>
      </c>
      <c r="AC91" s="639">
        <f t="shared" si="27"/>
        <v>0</v>
      </c>
      <c r="AD91" s="639">
        <f>IF(AND($AD$12=1,$AB$12=2),PMT(Adm!$AH$7/12,B90,-K90),0)</f>
        <v>0</v>
      </c>
      <c r="AE91" s="639">
        <f t="shared" si="25"/>
        <v>0</v>
      </c>
      <c r="AF91" s="636">
        <f t="shared" si="23"/>
        <v>0</v>
      </c>
      <c r="AG91" s="647" t="e">
        <f>Captura!AG188</f>
        <v>#N/A</v>
      </c>
    </row>
    <row r="92" spans="1:33">
      <c r="A92" s="151">
        <f t="shared" ca="1" si="15"/>
        <v>2</v>
      </c>
      <c r="B92" s="195">
        <f t="shared" si="16"/>
        <v>0</v>
      </c>
      <c r="C92" s="199">
        <f t="shared" si="17"/>
        <v>0</v>
      </c>
      <c r="D92" s="333">
        <f t="shared" si="24"/>
        <v>0</v>
      </c>
      <c r="E92" s="133">
        <f t="shared" si="18"/>
        <v>0</v>
      </c>
      <c r="F92" s="133">
        <f t="shared" si="19"/>
        <v>0</v>
      </c>
      <c r="G92" s="150">
        <f t="shared" si="14"/>
        <v>0</v>
      </c>
      <c r="H92" s="133">
        <f>IF(K91&lt;0.01,0,IF(Adm!$R$3=Adm!$R$6,0,IF(Adm!$S$10=Adm!$S$13,K91*Adm!$X$6,IF(Adm!$S$10=Adm!$S$11,K91*Adm!$X$3,IF(Adm!$S$10=Adm!$S$12,K91*Adm!$Y$3)))))</f>
        <v>0</v>
      </c>
      <c r="I92" s="133">
        <f>IF(K91&lt;0.01,0,E92*Adm!$N$7)</f>
        <v>0</v>
      </c>
      <c r="J92" s="133">
        <f t="shared" si="20"/>
        <v>0</v>
      </c>
      <c r="K92" s="133">
        <f t="shared" si="21"/>
        <v>0</v>
      </c>
      <c r="L92" s="361"/>
      <c r="V92" s="571">
        <f t="shared" si="22"/>
        <v>3</v>
      </c>
      <c r="W92" s="846">
        <f>IF(Adm!$AF$3=Adm!$AF$6,0,IF(V92=1,Adm!$AN$2,0))</f>
        <v>0</v>
      </c>
      <c r="Y92" s="338">
        <f>IF(AND($L$14=$AB$10,Adm!$AF$3=Adm!$AF$6,L91&gt;0),PMT(Cal!$F$86/12,B91,-K91),0)</f>
        <v>0</v>
      </c>
      <c r="AB92" s="650">
        <f t="shared" si="26"/>
        <v>0</v>
      </c>
      <c r="AC92" s="639">
        <f t="shared" si="27"/>
        <v>0</v>
      </c>
      <c r="AD92" s="639">
        <f>IF(AND($AD$12=1,$AB$12=2),PMT(Adm!$AH$7/12,B91,-K91),0)</f>
        <v>0</v>
      </c>
      <c r="AE92" s="639">
        <f t="shared" si="25"/>
        <v>0</v>
      </c>
      <c r="AF92" s="636">
        <f t="shared" si="23"/>
        <v>0</v>
      </c>
      <c r="AG92" s="647" t="e">
        <f>Captura!AG189</f>
        <v>#N/A</v>
      </c>
    </row>
    <row r="93" spans="1:33">
      <c r="A93" s="151">
        <f t="shared" ca="1" si="15"/>
        <v>3</v>
      </c>
      <c r="B93" s="195">
        <f t="shared" si="16"/>
        <v>0</v>
      </c>
      <c r="C93" s="199">
        <f t="shared" si="17"/>
        <v>0</v>
      </c>
      <c r="D93" s="333">
        <f t="shared" si="24"/>
        <v>0</v>
      </c>
      <c r="E93" s="133">
        <f t="shared" si="18"/>
        <v>0</v>
      </c>
      <c r="F93" s="133">
        <f t="shared" si="19"/>
        <v>0</v>
      </c>
      <c r="G93" s="150">
        <f t="shared" si="14"/>
        <v>0</v>
      </c>
      <c r="H93" s="133">
        <f>IF(K92&lt;0.01,0,IF(Adm!$R$3=Adm!$R$6,0,IF(Adm!$S$10=Adm!$S$13,K92*Adm!$X$6,IF(Adm!$S$10=Adm!$S$11,K92*Adm!$X$3,IF(Adm!$S$10=Adm!$S$12,K92*Adm!$Y$3)))))</f>
        <v>0</v>
      </c>
      <c r="I93" s="133">
        <f>IF(K92&lt;0.01,0,E93*Adm!$N$7)</f>
        <v>0</v>
      </c>
      <c r="J93" s="133">
        <f t="shared" si="20"/>
        <v>0</v>
      </c>
      <c r="K93" s="133">
        <f t="shared" si="21"/>
        <v>0</v>
      </c>
      <c r="L93" s="361"/>
      <c r="V93" s="571">
        <f t="shared" si="22"/>
        <v>4</v>
      </c>
      <c r="W93" s="846">
        <f>IF(Adm!$AF$3=Adm!$AF$6,0,IF(V93=1,Adm!$AN$2,0))</f>
        <v>0</v>
      </c>
      <c r="Y93" s="338">
        <f>IF(AND($L$14=$AB$10,Adm!$AF$3=Adm!$AF$6,L92&gt;0),PMT(Cal!$F$86/12,B92,-K92),0)</f>
        <v>0</v>
      </c>
      <c r="AB93" s="650">
        <f t="shared" si="26"/>
        <v>0</v>
      </c>
      <c r="AC93" s="639">
        <f t="shared" si="27"/>
        <v>0</v>
      </c>
      <c r="AD93" s="639">
        <f>IF(AND($AD$12=1,$AB$12=2),PMT(Adm!$AH$7/12,B92,-K92),0)</f>
        <v>0</v>
      </c>
      <c r="AE93" s="639">
        <f t="shared" si="25"/>
        <v>0</v>
      </c>
      <c r="AF93" s="636">
        <f t="shared" si="23"/>
        <v>0</v>
      </c>
      <c r="AG93" s="647" t="e">
        <f>Captura!AG190</f>
        <v>#N/A</v>
      </c>
    </row>
    <row r="94" spans="1:33">
      <c r="A94" s="151">
        <f t="shared" ca="1" si="15"/>
        <v>4</v>
      </c>
      <c r="B94" s="195">
        <f t="shared" si="16"/>
        <v>0</v>
      </c>
      <c r="C94" s="199">
        <f t="shared" si="17"/>
        <v>0</v>
      </c>
      <c r="D94" s="333">
        <f t="shared" si="24"/>
        <v>0</v>
      </c>
      <c r="E94" s="133">
        <f t="shared" si="18"/>
        <v>0</v>
      </c>
      <c r="F94" s="133">
        <f t="shared" si="19"/>
        <v>0</v>
      </c>
      <c r="G94" s="150">
        <f t="shared" si="14"/>
        <v>0</v>
      </c>
      <c r="H94" s="133">
        <f>IF(K93&lt;0.01,0,IF(Adm!$R$3=Adm!$R$6,0,IF(Adm!$S$10=Adm!$S$13,K93*Adm!$X$6,IF(Adm!$S$10=Adm!$S$11,K93*Adm!$X$3,IF(Adm!$S$10=Adm!$S$12,K93*Adm!$Y$3)))))</f>
        <v>0</v>
      </c>
      <c r="I94" s="133">
        <f>IF(K93&lt;0.01,0,E94*Adm!$N$7)</f>
        <v>0</v>
      </c>
      <c r="J94" s="133">
        <f t="shared" si="20"/>
        <v>0</v>
      </c>
      <c r="K94" s="133">
        <f t="shared" si="21"/>
        <v>0</v>
      </c>
      <c r="L94" s="361"/>
      <c r="V94" s="571">
        <f t="shared" si="22"/>
        <v>5</v>
      </c>
      <c r="W94" s="846">
        <f>IF(Adm!$AF$3=Adm!$AF$6,0,IF(V94=1,Adm!$AN$2,0))</f>
        <v>0</v>
      </c>
      <c r="Y94" s="338">
        <f>IF(AND($L$14=$AB$10,Adm!$AF$3=Adm!$AF$6,L93&gt;0),PMT(Cal!$F$86/12,B93,-K93),0)</f>
        <v>0</v>
      </c>
      <c r="AB94" s="650">
        <f t="shared" si="26"/>
        <v>0</v>
      </c>
      <c r="AC94" s="639">
        <f t="shared" si="27"/>
        <v>0</v>
      </c>
      <c r="AD94" s="639">
        <f>IF(AND($AD$12=1,$AB$12=2),PMT(Adm!$AH$7/12,B93,-K93),0)</f>
        <v>0</v>
      </c>
      <c r="AE94" s="639">
        <f t="shared" si="25"/>
        <v>0</v>
      </c>
      <c r="AF94" s="636">
        <f t="shared" si="23"/>
        <v>0</v>
      </c>
      <c r="AG94" s="647" t="e">
        <f>Captura!AG191</f>
        <v>#N/A</v>
      </c>
    </row>
    <row r="95" spans="1:33">
      <c r="A95" s="151">
        <f t="shared" ca="1" si="15"/>
        <v>5</v>
      </c>
      <c r="B95" s="195">
        <f t="shared" si="16"/>
        <v>0</v>
      </c>
      <c r="C95" s="199">
        <f t="shared" si="17"/>
        <v>0</v>
      </c>
      <c r="D95" s="333">
        <f t="shared" si="24"/>
        <v>0</v>
      </c>
      <c r="E95" s="133">
        <f t="shared" si="18"/>
        <v>0</v>
      </c>
      <c r="F95" s="133">
        <f t="shared" si="19"/>
        <v>0</v>
      </c>
      <c r="G95" s="150">
        <f t="shared" ref="G95:G158" si="28">IF(K94&lt;0.1,0,MIN(K94+E95,IF(AB95&gt;0,AB95,G94*(1+W95))))</f>
        <v>0</v>
      </c>
      <c r="H95" s="133">
        <f>IF(K94&lt;0.01,0,IF(Adm!$R$3=Adm!$R$6,0,IF(Adm!$S$10=Adm!$S$13,K94*Adm!$X$6,IF(Adm!$S$10=Adm!$S$11,K94*Adm!$X$3,IF(Adm!$S$10=Adm!$S$12,K94*Adm!$Y$3)))))</f>
        <v>0</v>
      </c>
      <c r="I95" s="133">
        <f>IF(K94&lt;0.01,0,E95*Adm!$N$7)</f>
        <v>0</v>
      </c>
      <c r="J95" s="133">
        <f t="shared" si="20"/>
        <v>0</v>
      </c>
      <c r="K95" s="133">
        <f t="shared" si="21"/>
        <v>0</v>
      </c>
      <c r="L95" s="361"/>
      <c r="V95" s="571">
        <f t="shared" si="22"/>
        <v>6</v>
      </c>
      <c r="W95" s="846">
        <f>IF(Adm!$AF$3=Adm!$AF$6,0,IF(V95=1,Adm!$AN$2,0))</f>
        <v>0</v>
      </c>
      <c r="Y95" s="338">
        <f>IF(AND($L$14=$AB$10,Adm!$AF$3=Adm!$AF$6,L94&gt;0),PMT(Cal!$F$86/12,B94,-K94),0)</f>
        <v>0</v>
      </c>
      <c r="AB95" s="650">
        <f t="shared" si="26"/>
        <v>0</v>
      </c>
      <c r="AC95" s="639">
        <f t="shared" si="27"/>
        <v>0</v>
      </c>
      <c r="AD95" s="639">
        <f>IF(AND($AD$12=1,$AB$12=2),PMT(Adm!$AH$7/12,B94,-K94),0)</f>
        <v>0</v>
      </c>
      <c r="AE95" s="639">
        <f t="shared" si="25"/>
        <v>0</v>
      </c>
      <c r="AF95" s="636">
        <f t="shared" si="23"/>
        <v>0</v>
      </c>
      <c r="AG95" s="647" t="e">
        <f>Captura!AG192</f>
        <v>#N/A</v>
      </c>
    </row>
    <row r="96" spans="1:33">
      <c r="A96" s="151">
        <f t="shared" ca="1" si="15"/>
        <v>6</v>
      </c>
      <c r="B96" s="195">
        <f t="shared" si="16"/>
        <v>0</v>
      </c>
      <c r="C96" s="199">
        <f t="shared" si="17"/>
        <v>0</v>
      </c>
      <c r="D96" s="333">
        <f t="shared" si="24"/>
        <v>0</v>
      </c>
      <c r="E96" s="133">
        <f t="shared" si="18"/>
        <v>0</v>
      </c>
      <c r="F96" s="133">
        <f t="shared" si="19"/>
        <v>0</v>
      </c>
      <c r="G96" s="150">
        <f t="shared" si="28"/>
        <v>0</v>
      </c>
      <c r="H96" s="133">
        <f>IF(K95&lt;0.01,0,IF(Adm!$R$3=Adm!$R$6,0,IF(Adm!$S$10=Adm!$S$13,K95*Adm!$X$6,IF(Adm!$S$10=Adm!$S$11,K95*Adm!$X$3,IF(Adm!$S$10=Adm!$S$12,K95*Adm!$Y$3)))))</f>
        <v>0</v>
      </c>
      <c r="I96" s="133">
        <f>IF(K95&lt;0.01,0,E96*Adm!$N$7)</f>
        <v>0</v>
      </c>
      <c r="J96" s="133">
        <f t="shared" si="20"/>
        <v>0</v>
      </c>
      <c r="K96" s="133">
        <f t="shared" si="21"/>
        <v>0</v>
      </c>
      <c r="L96" s="361"/>
      <c r="V96" s="571">
        <f t="shared" si="22"/>
        <v>7</v>
      </c>
      <c r="W96" s="846">
        <f>IF(Adm!$AF$3=Adm!$AF$6,0,IF(V96=1,Adm!$AN$2,0))</f>
        <v>0</v>
      </c>
      <c r="Y96" s="338">
        <f>IF(AND($L$14=$AB$10,Adm!$AF$3=Adm!$AF$6,L95&gt;0),PMT(Cal!$F$86/12,B95,-K95),0)</f>
        <v>0</v>
      </c>
      <c r="AB96" s="650">
        <f t="shared" si="26"/>
        <v>0</v>
      </c>
      <c r="AC96" s="639">
        <f t="shared" si="27"/>
        <v>0</v>
      </c>
      <c r="AD96" s="639">
        <f>IF(AND($AD$12=1,$AB$12=2),PMT(Adm!$AH$7/12,B95,-K95),0)</f>
        <v>0</v>
      </c>
      <c r="AE96" s="639">
        <f t="shared" si="25"/>
        <v>0</v>
      </c>
      <c r="AF96" s="636">
        <f t="shared" si="23"/>
        <v>0</v>
      </c>
      <c r="AG96" s="647" t="e">
        <f>Captura!AG193</f>
        <v>#N/A</v>
      </c>
    </row>
    <row r="97" spans="1:33">
      <c r="A97" s="151">
        <f t="shared" ca="1" si="15"/>
        <v>7</v>
      </c>
      <c r="B97" s="195">
        <f t="shared" si="16"/>
        <v>0</v>
      </c>
      <c r="C97" s="199">
        <f t="shared" si="17"/>
        <v>0</v>
      </c>
      <c r="D97" s="333">
        <f t="shared" si="24"/>
        <v>0</v>
      </c>
      <c r="E97" s="133">
        <f t="shared" si="18"/>
        <v>0</v>
      </c>
      <c r="F97" s="133">
        <f t="shared" si="19"/>
        <v>0</v>
      </c>
      <c r="G97" s="150">
        <f t="shared" si="28"/>
        <v>0</v>
      </c>
      <c r="H97" s="133">
        <f>IF(K96&lt;0.01,0,IF(Adm!$R$3=Adm!$R$6,0,IF(Adm!$S$10=Adm!$S$13,K96*Adm!$X$6,IF(Adm!$S$10=Adm!$S$11,K96*Adm!$X$3,IF(Adm!$S$10=Adm!$S$12,K96*Adm!$Y$3)))))</f>
        <v>0</v>
      </c>
      <c r="I97" s="133">
        <f>IF(K96&lt;0.01,0,E97*Adm!$N$7)</f>
        <v>0</v>
      </c>
      <c r="J97" s="133">
        <f t="shared" si="20"/>
        <v>0</v>
      </c>
      <c r="K97" s="133">
        <f t="shared" si="21"/>
        <v>0</v>
      </c>
      <c r="L97" s="361"/>
      <c r="V97" s="571">
        <f t="shared" si="22"/>
        <v>8</v>
      </c>
      <c r="W97" s="846">
        <f>IF(Adm!$AF$3=Adm!$AF$6,0,IF(V97=1,Adm!$AN$2,0))</f>
        <v>0</v>
      </c>
      <c r="Y97" s="338">
        <f>IF(AND($L$14=$AB$10,Adm!$AF$3=Adm!$AF$6,L96&gt;0),PMT(Cal!$F$86/12,B96,-K96),0)</f>
        <v>0</v>
      </c>
      <c r="AB97" s="650">
        <f t="shared" si="26"/>
        <v>0</v>
      </c>
      <c r="AC97" s="639">
        <f t="shared" si="27"/>
        <v>0</v>
      </c>
      <c r="AD97" s="639">
        <f>IF(AND($AD$12=1,$AB$12=2),PMT(Adm!$AH$7/12,B96,-K96),0)</f>
        <v>0</v>
      </c>
      <c r="AE97" s="639">
        <f t="shared" si="25"/>
        <v>0</v>
      </c>
      <c r="AF97" s="636">
        <f t="shared" si="23"/>
        <v>0</v>
      </c>
      <c r="AG97" s="647" t="e">
        <f>Captura!AG194</f>
        <v>#N/A</v>
      </c>
    </row>
    <row r="98" spans="1:33">
      <c r="A98" s="151">
        <f t="shared" ca="1" si="15"/>
        <v>8</v>
      </c>
      <c r="B98" s="195">
        <f t="shared" si="16"/>
        <v>0</v>
      </c>
      <c r="C98" s="199">
        <f t="shared" si="17"/>
        <v>0</v>
      </c>
      <c r="D98" s="333">
        <f t="shared" si="24"/>
        <v>0</v>
      </c>
      <c r="E98" s="133">
        <f t="shared" si="18"/>
        <v>0</v>
      </c>
      <c r="F98" s="133">
        <f t="shared" si="19"/>
        <v>0</v>
      </c>
      <c r="G98" s="150">
        <f t="shared" si="28"/>
        <v>0</v>
      </c>
      <c r="H98" s="133">
        <f>IF(K97&lt;0.01,0,IF(Adm!$R$3=Adm!$R$6,0,IF(Adm!$S$10=Adm!$S$13,K97*Adm!$X$6,IF(Adm!$S$10=Adm!$S$11,K97*Adm!$X$3,IF(Adm!$S$10=Adm!$S$12,K97*Adm!$Y$3)))))</f>
        <v>0</v>
      </c>
      <c r="I98" s="133">
        <f>IF(K97&lt;0.01,0,E98*Adm!$N$7)</f>
        <v>0</v>
      </c>
      <c r="J98" s="133">
        <f t="shared" si="20"/>
        <v>0</v>
      </c>
      <c r="K98" s="133">
        <f t="shared" si="21"/>
        <v>0</v>
      </c>
      <c r="L98" s="361"/>
      <c r="V98" s="571">
        <f t="shared" si="22"/>
        <v>9</v>
      </c>
      <c r="W98" s="846">
        <f>IF(Adm!$AF$3=Adm!$AF$6,0,IF(V98=1,Adm!$AN$2,0))</f>
        <v>0</v>
      </c>
      <c r="Y98" s="338">
        <f>IF(AND($L$14=$AB$10,Adm!$AF$3=Adm!$AF$6,L97&gt;0),PMT(Cal!$F$86/12,B97,-K97),0)</f>
        <v>0</v>
      </c>
      <c r="AB98" s="650">
        <f t="shared" si="26"/>
        <v>0</v>
      </c>
      <c r="AC98" s="639">
        <f t="shared" si="27"/>
        <v>0</v>
      </c>
      <c r="AD98" s="639">
        <f>IF(AND($AD$12=1,$AB$12=2),PMT(Adm!$AH$7/12,B97,-K97),0)</f>
        <v>0</v>
      </c>
      <c r="AE98" s="639">
        <f t="shared" si="25"/>
        <v>0</v>
      </c>
      <c r="AF98" s="636">
        <f t="shared" si="23"/>
        <v>0</v>
      </c>
      <c r="AG98" s="647" t="e">
        <f>Captura!AG195</f>
        <v>#N/A</v>
      </c>
    </row>
    <row r="99" spans="1:33">
      <c r="A99" s="151">
        <f t="shared" ca="1" si="15"/>
        <v>9</v>
      </c>
      <c r="B99" s="195">
        <f t="shared" si="16"/>
        <v>0</v>
      </c>
      <c r="C99" s="199">
        <f t="shared" si="17"/>
        <v>0</v>
      </c>
      <c r="D99" s="333">
        <f t="shared" si="24"/>
        <v>0</v>
      </c>
      <c r="E99" s="133">
        <f t="shared" si="18"/>
        <v>0</v>
      </c>
      <c r="F99" s="133">
        <f t="shared" si="19"/>
        <v>0</v>
      </c>
      <c r="G99" s="150">
        <f t="shared" si="28"/>
        <v>0</v>
      </c>
      <c r="H99" s="133">
        <f>IF(K98&lt;0.01,0,IF(Adm!$R$3=Adm!$R$6,0,IF(Adm!$S$10=Adm!$S$13,K98*Adm!$X$6,IF(Adm!$S$10=Adm!$S$11,K98*Adm!$X$3,IF(Adm!$S$10=Adm!$S$12,K98*Adm!$Y$3)))))</f>
        <v>0</v>
      </c>
      <c r="I99" s="133">
        <f>IF(K98&lt;0.01,0,E99*Adm!$N$7)</f>
        <v>0</v>
      </c>
      <c r="J99" s="133">
        <f t="shared" si="20"/>
        <v>0</v>
      </c>
      <c r="K99" s="133">
        <f t="shared" si="21"/>
        <v>0</v>
      </c>
      <c r="L99" s="361"/>
      <c r="V99" s="571">
        <f t="shared" si="22"/>
        <v>10</v>
      </c>
      <c r="W99" s="846">
        <f>IF(Adm!$AF$3=Adm!$AF$6,0,IF(V99=1,Adm!$AN$2,0))</f>
        <v>0</v>
      </c>
      <c r="Y99" s="338">
        <f>IF(AND($L$14=$AB$10,Adm!$AF$3=Adm!$AF$6,L98&gt;0),PMT(Cal!$F$86/12,B98,-K98),0)</f>
        <v>0</v>
      </c>
      <c r="AB99" s="650">
        <f t="shared" si="26"/>
        <v>0</v>
      </c>
      <c r="AC99" s="639">
        <f t="shared" si="27"/>
        <v>0</v>
      </c>
      <c r="AD99" s="639">
        <f>IF(AND($AD$12=1,$AB$12=2),PMT(Adm!$AH$7/12,B98,-K98),0)</f>
        <v>0</v>
      </c>
      <c r="AE99" s="639">
        <f t="shared" si="25"/>
        <v>0</v>
      </c>
      <c r="AF99" s="636">
        <f t="shared" si="23"/>
        <v>0</v>
      </c>
      <c r="AG99" s="647" t="e">
        <f>Captura!AG196</f>
        <v>#N/A</v>
      </c>
    </row>
    <row r="100" spans="1:33">
      <c r="A100" s="151">
        <f t="shared" ca="1" si="15"/>
        <v>10</v>
      </c>
      <c r="B100" s="195">
        <f t="shared" si="16"/>
        <v>0</v>
      </c>
      <c r="C100" s="199">
        <f t="shared" si="17"/>
        <v>0</v>
      </c>
      <c r="D100" s="333">
        <f t="shared" si="24"/>
        <v>0</v>
      </c>
      <c r="E100" s="133">
        <f t="shared" si="18"/>
        <v>0</v>
      </c>
      <c r="F100" s="133">
        <f t="shared" si="19"/>
        <v>0</v>
      </c>
      <c r="G100" s="150">
        <f t="shared" si="28"/>
        <v>0</v>
      </c>
      <c r="H100" s="133">
        <f>IF(K99&lt;0.01,0,IF(Adm!$R$3=Adm!$R$6,0,IF(Adm!$S$10=Adm!$S$13,K99*Adm!$X$6,IF(Adm!$S$10=Adm!$S$11,K99*Adm!$X$3,IF(Adm!$S$10=Adm!$S$12,K99*Adm!$Y$3)))))</f>
        <v>0</v>
      </c>
      <c r="I100" s="133">
        <f>IF(K99&lt;0.01,0,E100*Adm!$N$7)</f>
        <v>0</v>
      </c>
      <c r="J100" s="133">
        <f t="shared" si="20"/>
        <v>0</v>
      </c>
      <c r="K100" s="133">
        <f t="shared" si="21"/>
        <v>0</v>
      </c>
      <c r="L100" s="361"/>
      <c r="V100" s="571">
        <f t="shared" si="22"/>
        <v>11</v>
      </c>
      <c r="W100" s="846">
        <f>IF(Adm!$AF$3=Adm!$AF$6,0,IF(V100=1,Adm!$AN$2,0))</f>
        <v>0</v>
      </c>
      <c r="Y100" s="338">
        <f>IF(AND($L$14=$AB$10,Adm!$AF$3=Adm!$AF$6,L99&gt;0),PMT(Cal!$F$86/12,B99,-K99),0)</f>
        <v>0</v>
      </c>
      <c r="AB100" s="650">
        <f t="shared" si="26"/>
        <v>0</v>
      </c>
      <c r="AC100" s="639">
        <f t="shared" si="27"/>
        <v>0</v>
      </c>
      <c r="AD100" s="639">
        <f>IF(AND($AD$12=1,$AB$12=2),PMT(Adm!$AH$7/12,B99,-K99),0)</f>
        <v>0</v>
      </c>
      <c r="AE100" s="639">
        <f t="shared" si="25"/>
        <v>0</v>
      </c>
      <c r="AF100" s="636">
        <f t="shared" si="23"/>
        <v>0</v>
      </c>
      <c r="AG100" s="647" t="e">
        <f>Captura!AG197</f>
        <v>#N/A</v>
      </c>
    </row>
    <row r="101" spans="1:33">
      <c r="A101" s="151">
        <f t="shared" ca="1" si="15"/>
        <v>11</v>
      </c>
      <c r="B101" s="195">
        <f t="shared" si="16"/>
        <v>0</v>
      </c>
      <c r="C101" s="199">
        <f t="shared" si="17"/>
        <v>0</v>
      </c>
      <c r="D101" s="333">
        <f t="shared" si="24"/>
        <v>0</v>
      </c>
      <c r="E101" s="133">
        <f t="shared" si="18"/>
        <v>0</v>
      </c>
      <c r="F101" s="133">
        <f t="shared" si="19"/>
        <v>0</v>
      </c>
      <c r="G101" s="150">
        <f t="shared" si="28"/>
        <v>0</v>
      </c>
      <c r="H101" s="133">
        <f>IF(K100&lt;0.01,0,IF(Adm!$R$3=Adm!$R$6,0,IF(Adm!$S$10=Adm!$S$13,K100*Adm!$X$6,IF(Adm!$S$10=Adm!$S$11,K100*Adm!$X$3,IF(Adm!$S$10=Adm!$S$12,K100*Adm!$Y$3)))))</f>
        <v>0</v>
      </c>
      <c r="I101" s="133">
        <f>IF(K100&lt;0.01,0,E101*Adm!$N$7)</f>
        <v>0</v>
      </c>
      <c r="J101" s="133">
        <f t="shared" si="20"/>
        <v>0</v>
      </c>
      <c r="K101" s="133">
        <f t="shared" si="21"/>
        <v>0</v>
      </c>
      <c r="L101" s="361"/>
      <c r="V101" s="571">
        <f t="shared" si="22"/>
        <v>12</v>
      </c>
      <c r="W101" s="846">
        <f>IF(Adm!$AF$3=Adm!$AF$6,0,IF(V101=1,Adm!$AN$2,0))</f>
        <v>0</v>
      </c>
      <c r="Y101" s="338">
        <f>IF(AND($L$14=$AB$10,Adm!$AF$3=Adm!$AF$6,L100&gt;0),PMT(Cal!$F$86/12,B100,-K100),0)</f>
        <v>0</v>
      </c>
      <c r="AB101" s="650">
        <f t="shared" si="26"/>
        <v>0</v>
      </c>
      <c r="AC101" s="639">
        <f t="shared" si="27"/>
        <v>0</v>
      </c>
      <c r="AD101" s="639">
        <f>IF(AND($AD$12=1,$AB$12=2),PMT(Adm!$AH$7/12,B100,-K100),0)</f>
        <v>0</v>
      </c>
      <c r="AE101" s="639">
        <f t="shared" si="25"/>
        <v>0</v>
      </c>
      <c r="AF101" s="636">
        <f t="shared" si="23"/>
        <v>0</v>
      </c>
      <c r="AG101" s="647" t="e">
        <f>Captura!AG198</f>
        <v>#N/A</v>
      </c>
    </row>
    <row r="102" spans="1:33">
      <c r="A102" s="151">
        <f t="shared" ca="1" si="15"/>
        <v>12</v>
      </c>
      <c r="B102" s="195">
        <f t="shared" si="16"/>
        <v>0</v>
      </c>
      <c r="C102" s="199">
        <f t="shared" si="17"/>
        <v>0</v>
      </c>
      <c r="D102" s="333">
        <f t="shared" si="24"/>
        <v>0</v>
      </c>
      <c r="E102" s="133">
        <f t="shared" si="18"/>
        <v>0</v>
      </c>
      <c r="F102" s="133">
        <f t="shared" si="19"/>
        <v>0</v>
      </c>
      <c r="G102" s="150">
        <f t="shared" si="28"/>
        <v>0</v>
      </c>
      <c r="H102" s="133">
        <f>IF(K101&lt;0.01,0,IF(Adm!$R$3=Adm!$R$6,0,IF(Adm!$S$10=Adm!$S$13,K101*Adm!$X$6,IF(Adm!$S$10=Adm!$S$11,K101*Adm!$X$3,IF(Adm!$S$10=Adm!$S$12,K101*Adm!$Y$3)))))</f>
        <v>0</v>
      </c>
      <c r="I102" s="133">
        <f>IF(K101&lt;0.01,0,E102*Adm!$N$7)</f>
        <v>0</v>
      </c>
      <c r="J102" s="133">
        <f t="shared" si="20"/>
        <v>0</v>
      </c>
      <c r="K102" s="133">
        <f t="shared" si="21"/>
        <v>0</v>
      </c>
      <c r="L102" s="361"/>
      <c r="V102" s="571">
        <f t="shared" si="22"/>
        <v>1</v>
      </c>
      <c r="W102" s="846">
        <f>IF(Adm!$AF$3=Adm!$AF$6,0,IF(V102=1,Adm!$AN$2,0))</f>
        <v>0</v>
      </c>
      <c r="Y102" s="338">
        <f>IF(AND($L$14=$AB$10,Adm!$AF$3=Adm!$AF$6,L101&gt;0),PMT(Cal!$F$86/12,B101,-K101),0)</f>
        <v>0</v>
      </c>
      <c r="AB102" s="650">
        <f t="shared" si="26"/>
        <v>0</v>
      </c>
      <c r="AC102" s="639">
        <f t="shared" si="27"/>
        <v>0</v>
      </c>
      <c r="AD102" s="639">
        <f>IF(AND($AD$12=1,$AB$12=2),PMT(Adm!$AH$7/12,B101,-K101),0)</f>
        <v>0</v>
      </c>
      <c r="AE102" s="639">
        <f t="shared" si="25"/>
        <v>0</v>
      </c>
      <c r="AF102" s="636">
        <f t="shared" si="23"/>
        <v>0</v>
      </c>
      <c r="AG102" s="647" t="e">
        <f>Captura!AG199</f>
        <v>#N/A</v>
      </c>
    </row>
    <row r="103" spans="1:33">
      <c r="A103" s="151">
        <f t="shared" ca="1" si="15"/>
        <v>1</v>
      </c>
      <c r="B103" s="195">
        <f t="shared" si="16"/>
        <v>0</v>
      </c>
      <c r="C103" s="199">
        <f t="shared" si="17"/>
        <v>0</v>
      </c>
      <c r="D103" s="333">
        <f t="shared" si="24"/>
        <v>0</v>
      </c>
      <c r="E103" s="133">
        <f t="shared" si="18"/>
        <v>0</v>
      </c>
      <c r="F103" s="133">
        <f t="shared" si="19"/>
        <v>0</v>
      </c>
      <c r="G103" s="150">
        <f t="shared" si="28"/>
        <v>0</v>
      </c>
      <c r="H103" s="133">
        <f>IF(K102&lt;0.01,0,IF(Adm!$R$3=Adm!$R$6,0,IF(Adm!$S$10=Adm!$S$13,K102*Adm!$X$6,IF(Adm!$S$10=Adm!$S$11,K102*Adm!$X$3,IF(Adm!$S$10=Adm!$S$12,K102*Adm!$Y$3)))))</f>
        <v>0</v>
      </c>
      <c r="I103" s="133">
        <f>IF(K102&lt;0.01,0,E103*Adm!$N$7)</f>
        <v>0</v>
      </c>
      <c r="J103" s="133">
        <f t="shared" si="20"/>
        <v>0</v>
      </c>
      <c r="K103" s="133">
        <f t="shared" si="21"/>
        <v>0</v>
      </c>
      <c r="L103" s="361"/>
      <c r="V103" s="571">
        <f t="shared" si="22"/>
        <v>2</v>
      </c>
      <c r="W103" s="846">
        <f>IF(Adm!$AF$3=Adm!$AF$6,0,IF(V103=1,Adm!$AN$2,0))</f>
        <v>0</v>
      </c>
      <c r="Y103" s="338">
        <f>IF(AND($L$14=$AB$10,Adm!$AF$3=Adm!$AF$6,L102&gt;0),PMT(Cal!$F$86/12,B102,-K102),0)</f>
        <v>0</v>
      </c>
      <c r="AB103" s="650">
        <f t="shared" si="26"/>
        <v>0</v>
      </c>
      <c r="AC103" s="639">
        <f t="shared" si="27"/>
        <v>0</v>
      </c>
      <c r="AD103" s="639">
        <f>IF(AND($AD$12=1,$AB$12=2),PMT(Adm!$AH$7/12,B102,-K102),0)</f>
        <v>0</v>
      </c>
      <c r="AE103" s="639">
        <f t="shared" si="25"/>
        <v>0</v>
      </c>
      <c r="AF103" s="636">
        <f t="shared" si="23"/>
        <v>0</v>
      </c>
      <c r="AG103" s="647" t="e">
        <f>Captura!AG200</f>
        <v>#N/A</v>
      </c>
    </row>
    <row r="104" spans="1:33">
      <c r="A104" s="151">
        <f t="shared" ca="1" si="15"/>
        <v>2</v>
      </c>
      <c r="B104" s="195">
        <f t="shared" si="16"/>
        <v>0</v>
      </c>
      <c r="C104" s="199">
        <f t="shared" si="17"/>
        <v>0</v>
      </c>
      <c r="D104" s="333">
        <f t="shared" si="24"/>
        <v>0</v>
      </c>
      <c r="E104" s="133">
        <f t="shared" si="18"/>
        <v>0</v>
      </c>
      <c r="F104" s="133">
        <f t="shared" si="19"/>
        <v>0</v>
      </c>
      <c r="G104" s="150">
        <f t="shared" si="28"/>
        <v>0</v>
      </c>
      <c r="H104" s="133">
        <f>IF(K103&lt;0.01,0,IF(Adm!$R$3=Adm!$R$6,0,IF(Adm!$S$10=Adm!$S$13,K103*Adm!$X$6,IF(Adm!$S$10=Adm!$S$11,K103*Adm!$X$3,IF(Adm!$S$10=Adm!$S$12,K103*Adm!$Y$3)))))</f>
        <v>0</v>
      </c>
      <c r="I104" s="133">
        <f>IF(K103&lt;0.01,0,E104*Adm!$N$7)</f>
        <v>0</v>
      </c>
      <c r="J104" s="133">
        <f t="shared" si="20"/>
        <v>0</v>
      </c>
      <c r="K104" s="133">
        <f t="shared" si="21"/>
        <v>0</v>
      </c>
      <c r="L104" s="361"/>
      <c r="V104" s="571">
        <f t="shared" si="22"/>
        <v>3</v>
      </c>
      <c r="W104" s="846">
        <f>IF(Adm!$AF$3=Adm!$AF$6,0,IF(V104=1,Adm!$AN$2,0))</f>
        <v>0</v>
      </c>
      <c r="Y104" s="338">
        <f>IF(AND($L$14=$AB$10,Adm!$AF$3=Adm!$AF$6,L103&gt;0),PMT(Cal!$F$86/12,B103,-K103),0)</f>
        <v>0</v>
      </c>
      <c r="AB104" s="650">
        <f t="shared" si="26"/>
        <v>0</v>
      </c>
      <c r="AC104" s="639">
        <f t="shared" si="27"/>
        <v>0</v>
      </c>
      <c r="AD104" s="639">
        <f>IF(AND($AD$12=1,$AB$12=2),PMT(Adm!$AH$7/12,B103,-K103),0)</f>
        <v>0</v>
      </c>
      <c r="AE104" s="639">
        <f t="shared" si="25"/>
        <v>0</v>
      </c>
      <c r="AF104" s="636">
        <f t="shared" si="23"/>
        <v>0</v>
      </c>
      <c r="AG104" s="647" t="e">
        <f>Captura!AG201</f>
        <v>#N/A</v>
      </c>
    </row>
    <row r="105" spans="1:33">
      <c r="A105" s="151">
        <f t="shared" ca="1" si="15"/>
        <v>3</v>
      </c>
      <c r="B105" s="195">
        <f t="shared" si="16"/>
        <v>0</v>
      </c>
      <c r="C105" s="199">
        <f t="shared" si="17"/>
        <v>0</v>
      </c>
      <c r="D105" s="333">
        <f t="shared" si="24"/>
        <v>0</v>
      </c>
      <c r="E105" s="133">
        <f t="shared" si="18"/>
        <v>0</v>
      </c>
      <c r="F105" s="133">
        <f t="shared" si="19"/>
        <v>0</v>
      </c>
      <c r="G105" s="150">
        <f t="shared" si="28"/>
        <v>0</v>
      </c>
      <c r="H105" s="133">
        <f>IF(K104&lt;0.01,0,IF(Adm!$R$3=Adm!$R$6,0,IF(Adm!$S$10=Adm!$S$13,K104*Adm!$X$6,IF(Adm!$S$10=Adm!$S$11,K104*Adm!$X$3,IF(Adm!$S$10=Adm!$S$12,K104*Adm!$Y$3)))))</f>
        <v>0</v>
      </c>
      <c r="I105" s="133">
        <f>IF(K104&lt;0.01,0,E105*Adm!$N$7)</f>
        <v>0</v>
      </c>
      <c r="J105" s="133">
        <f t="shared" si="20"/>
        <v>0</v>
      </c>
      <c r="K105" s="133">
        <f t="shared" si="21"/>
        <v>0</v>
      </c>
      <c r="L105" s="361"/>
      <c r="V105" s="571">
        <f t="shared" si="22"/>
        <v>4</v>
      </c>
      <c r="W105" s="846">
        <f>IF(Adm!$AF$3=Adm!$AF$6,0,IF(V105=1,Adm!$AN$2,0))</f>
        <v>0</v>
      </c>
      <c r="Y105" s="338">
        <f>IF(AND($L$14=$AB$10,Adm!$AF$3=Adm!$AF$6,L104&gt;0),PMT(Cal!$F$86/12,B104,-K104),0)</f>
        <v>0</v>
      </c>
      <c r="AB105" s="650">
        <f t="shared" si="26"/>
        <v>0</v>
      </c>
      <c r="AC105" s="639">
        <f t="shared" si="27"/>
        <v>0</v>
      </c>
      <c r="AD105" s="639">
        <f>IF(AND($AD$12=1,$AB$12=2),PMT(Adm!$AH$7/12,B104,-K104),0)</f>
        <v>0</v>
      </c>
      <c r="AE105" s="639">
        <f t="shared" si="25"/>
        <v>0</v>
      </c>
      <c r="AF105" s="636">
        <f t="shared" si="23"/>
        <v>0</v>
      </c>
      <c r="AG105" s="647" t="e">
        <f>Captura!AG202</f>
        <v>#N/A</v>
      </c>
    </row>
    <row r="106" spans="1:33">
      <c r="A106" s="151">
        <f t="shared" ca="1" si="15"/>
        <v>4</v>
      </c>
      <c r="B106" s="195">
        <f t="shared" si="16"/>
        <v>0</v>
      </c>
      <c r="C106" s="199">
        <f t="shared" si="17"/>
        <v>0</v>
      </c>
      <c r="D106" s="333">
        <f t="shared" si="24"/>
        <v>0</v>
      </c>
      <c r="E106" s="133">
        <f t="shared" si="18"/>
        <v>0</v>
      </c>
      <c r="F106" s="133">
        <f t="shared" si="19"/>
        <v>0</v>
      </c>
      <c r="G106" s="150">
        <f t="shared" si="28"/>
        <v>0</v>
      </c>
      <c r="H106" s="133">
        <f>IF(K105&lt;0.01,0,IF(Adm!$R$3=Adm!$R$6,0,IF(Adm!$S$10=Adm!$S$13,K105*Adm!$X$6,IF(Adm!$S$10=Adm!$S$11,K105*Adm!$X$3,IF(Adm!$S$10=Adm!$S$12,K105*Adm!$Y$3)))))</f>
        <v>0</v>
      </c>
      <c r="I106" s="133">
        <f>IF(K105&lt;0.01,0,E106*Adm!$N$7)</f>
        <v>0</v>
      </c>
      <c r="J106" s="133">
        <f t="shared" si="20"/>
        <v>0</v>
      </c>
      <c r="K106" s="133">
        <f t="shared" si="21"/>
        <v>0</v>
      </c>
      <c r="L106" s="361"/>
      <c r="V106" s="571">
        <f t="shared" si="22"/>
        <v>5</v>
      </c>
      <c r="W106" s="846">
        <f>IF(Adm!$AF$3=Adm!$AF$6,0,IF(V106=1,Adm!$AN$2,0))</f>
        <v>0</v>
      </c>
      <c r="Y106" s="338">
        <f>IF(AND($L$14=$AB$10,Adm!$AF$3=Adm!$AF$6,L105&gt;0),PMT(Cal!$F$86/12,B105,-K105),0)</f>
        <v>0</v>
      </c>
      <c r="AB106" s="650">
        <f t="shared" si="26"/>
        <v>0</v>
      </c>
      <c r="AC106" s="639">
        <f t="shared" si="27"/>
        <v>0</v>
      </c>
      <c r="AD106" s="639">
        <f>IF(AND($AD$12=1,$AB$12=2),PMT(Adm!$AH$7/12,B105,-K105),0)</f>
        <v>0</v>
      </c>
      <c r="AE106" s="639">
        <f t="shared" si="25"/>
        <v>0</v>
      </c>
      <c r="AF106" s="636">
        <f t="shared" si="23"/>
        <v>0</v>
      </c>
      <c r="AG106" s="647" t="e">
        <f>Captura!AG203</f>
        <v>#N/A</v>
      </c>
    </row>
    <row r="107" spans="1:33">
      <c r="A107" s="151">
        <f t="shared" ca="1" si="15"/>
        <v>5</v>
      </c>
      <c r="B107" s="195">
        <f t="shared" si="16"/>
        <v>0</v>
      </c>
      <c r="C107" s="199">
        <f t="shared" si="17"/>
        <v>0</v>
      </c>
      <c r="D107" s="333">
        <f t="shared" si="24"/>
        <v>0</v>
      </c>
      <c r="E107" s="133">
        <f t="shared" si="18"/>
        <v>0</v>
      </c>
      <c r="F107" s="133">
        <f t="shared" si="19"/>
        <v>0</v>
      </c>
      <c r="G107" s="150">
        <f t="shared" si="28"/>
        <v>0</v>
      </c>
      <c r="H107" s="133">
        <f>IF(K106&lt;0.01,0,IF(Adm!$R$3=Adm!$R$6,0,IF(Adm!$S$10=Adm!$S$13,K106*Adm!$X$6,IF(Adm!$S$10=Adm!$S$11,K106*Adm!$X$3,IF(Adm!$S$10=Adm!$S$12,K106*Adm!$Y$3)))))</f>
        <v>0</v>
      </c>
      <c r="I107" s="133">
        <f>IF(K106&lt;0.01,0,E107*Adm!$N$7)</f>
        <v>0</v>
      </c>
      <c r="J107" s="133">
        <f t="shared" si="20"/>
        <v>0</v>
      </c>
      <c r="K107" s="133">
        <f t="shared" si="21"/>
        <v>0</v>
      </c>
      <c r="L107" s="361"/>
      <c r="V107" s="571">
        <f t="shared" si="22"/>
        <v>6</v>
      </c>
      <c r="W107" s="846">
        <f>IF(Adm!$AF$3=Adm!$AF$6,0,IF(V107=1,Adm!$AN$2,0))</f>
        <v>0</v>
      </c>
      <c r="Y107" s="338">
        <f>IF(AND($L$14=$AB$10,Adm!$AF$3=Adm!$AF$6,L106&gt;0),PMT(Cal!$F$86/12,B106,-K106),0)</f>
        <v>0</v>
      </c>
      <c r="AB107" s="650">
        <f t="shared" si="26"/>
        <v>0</v>
      </c>
      <c r="AC107" s="639">
        <f t="shared" si="27"/>
        <v>0</v>
      </c>
      <c r="AD107" s="639">
        <f>IF(AND($AD$12=1,$AB$12=2),PMT(Adm!$AH$7/12,B106,-K106),0)</f>
        <v>0</v>
      </c>
      <c r="AE107" s="639">
        <f t="shared" si="25"/>
        <v>0</v>
      </c>
      <c r="AF107" s="636">
        <f t="shared" si="23"/>
        <v>0</v>
      </c>
      <c r="AG107" s="647" t="e">
        <f>Captura!AG204</f>
        <v>#N/A</v>
      </c>
    </row>
    <row r="108" spans="1:33">
      <c r="A108" s="151">
        <f t="shared" ca="1" si="15"/>
        <v>6</v>
      </c>
      <c r="B108" s="195">
        <f t="shared" si="16"/>
        <v>0</v>
      </c>
      <c r="C108" s="199">
        <f t="shared" si="17"/>
        <v>0</v>
      </c>
      <c r="D108" s="333">
        <f t="shared" si="24"/>
        <v>0</v>
      </c>
      <c r="E108" s="133">
        <f t="shared" si="18"/>
        <v>0</v>
      </c>
      <c r="F108" s="133">
        <f t="shared" si="19"/>
        <v>0</v>
      </c>
      <c r="G108" s="150">
        <f t="shared" si="28"/>
        <v>0</v>
      </c>
      <c r="H108" s="133">
        <f>IF(K107&lt;0.01,0,IF(Adm!$R$3=Adm!$R$6,0,IF(Adm!$S$10=Adm!$S$13,K107*Adm!$X$6,IF(Adm!$S$10=Adm!$S$11,K107*Adm!$X$3,IF(Adm!$S$10=Adm!$S$12,K107*Adm!$Y$3)))))</f>
        <v>0</v>
      </c>
      <c r="I108" s="133">
        <f>IF(K107&lt;0.01,0,E108*Adm!$N$7)</f>
        <v>0</v>
      </c>
      <c r="J108" s="133">
        <f t="shared" si="20"/>
        <v>0</v>
      </c>
      <c r="K108" s="133">
        <f t="shared" si="21"/>
        <v>0</v>
      </c>
      <c r="L108" s="361"/>
      <c r="V108" s="571">
        <f t="shared" si="22"/>
        <v>7</v>
      </c>
      <c r="W108" s="846">
        <f>IF(Adm!$AF$3=Adm!$AF$6,0,IF(V108=1,Adm!$AN$2,0))</f>
        <v>0</v>
      </c>
      <c r="Y108" s="338">
        <f>IF(AND($L$14=$AB$10,Adm!$AF$3=Adm!$AF$6,L107&gt;0),PMT(Cal!$F$86/12,B107,-K107),0)</f>
        <v>0</v>
      </c>
      <c r="AB108" s="650">
        <f t="shared" si="26"/>
        <v>0</v>
      </c>
      <c r="AC108" s="639">
        <f t="shared" si="27"/>
        <v>0</v>
      </c>
      <c r="AD108" s="639">
        <f>IF(AND($AD$12=1,$AB$12=2),PMT(Adm!$AH$7/12,B107,-K107),0)</f>
        <v>0</v>
      </c>
      <c r="AE108" s="639">
        <f t="shared" si="25"/>
        <v>0</v>
      </c>
      <c r="AF108" s="636">
        <f t="shared" si="23"/>
        <v>0</v>
      </c>
      <c r="AG108" s="647" t="e">
        <f>Captura!AG205</f>
        <v>#N/A</v>
      </c>
    </row>
    <row r="109" spans="1:33">
      <c r="A109" s="151">
        <f t="shared" ca="1" si="15"/>
        <v>7</v>
      </c>
      <c r="B109" s="195">
        <f t="shared" si="16"/>
        <v>0</v>
      </c>
      <c r="C109" s="199">
        <f t="shared" si="17"/>
        <v>0</v>
      </c>
      <c r="D109" s="333">
        <f t="shared" si="24"/>
        <v>0</v>
      </c>
      <c r="E109" s="133">
        <f t="shared" si="18"/>
        <v>0</v>
      </c>
      <c r="F109" s="133">
        <f t="shared" si="19"/>
        <v>0</v>
      </c>
      <c r="G109" s="150">
        <f t="shared" si="28"/>
        <v>0</v>
      </c>
      <c r="H109" s="133">
        <f>IF(K108&lt;0.01,0,IF(Adm!$R$3=Adm!$R$6,0,IF(Adm!$S$10=Adm!$S$13,K108*Adm!$X$6,IF(Adm!$S$10=Adm!$S$11,K108*Adm!$X$3,IF(Adm!$S$10=Adm!$S$12,K108*Adm!$Y$3)))))</f>
        <v>0</v>
      </c>
      <c r="I109" s="133">
        <f>IF(K108&lt;0.01,0,E109*Adm!$N$7)</f>
        <v>0</v>
      </c>
      <c r="J109" s="133">
        <f t="shared" si="20"/>
        <v>0</v>
      </c>
      <c r="K109" s="133">
        <f t="shared" si="21"/>
        <v>0</v>
      </c>
      <c r="L109" s="361"/>
      <c r="V109" s="571">
        <f t="shared" si="22"/>
        <v>8</v>
      </c>
      <c r="W109" s="846">
        <f>IF(Adm!$AF$3=Adm!$AF$6,0,IF(V109=1,Adm!$AN$2,0))</f>
        <v>0</v>
      </c>
      <c r="Y109" s="338">
        <f>IF(AND($L$14=$AB$10,Adm!$AF$3=Adm!$AF$6,L108&gt;0),PMT(Cal!$F$86/12,B108,-K108),0)</f>
        <v>0</v>
      </c>
      <c r="AB109" s="650">
        <f t="shared" si="26"/>
        <v>0</v>
      </c>
      <c r="AC109" s="639">
        <f t="shared" si="27"/>
        <v>0</v>
      </c>
      <c r="AD109" s="639">
        <f>IF(AND($AD$12=1,$AB$12=2),PMT(Adm!$AH$7/12,B108,-K108),0)</f>
        <v>0</v>
      </c>
      <c r="AE109" s="639">
        <f t="shared" si="25"/>
        <v>0</v>
      </c>
      <c r="AF109" s="636">
        <f t="shared" si="23"/>
        <v>0</v>
      </c>
      <c r="AG109" s="647" t="e">
        <f>Captura!AG206</f>
        <v>#N/A</v>
      </c>
    </row>
    <row r="110" spans="1:33">
      <c r="A110" s="151">
        <f t="shared" ca="1" si="15"/>
        <v>8</v>
      </c>
      <c r="B110" s="195">
        <f t="shared" si="16"/>
        <v>0</v>
      </c>
      <c r="C110" s="199">
        <f t="shared" si="17"/>
        <v>0</v>
      </c>
      <c r="D110" s="333">
        <f t="shared" si="24"/>
        <v>0</v>
      </c>
      <c r="E110" s="133">
        <f t="shared" si="18"/>
        <v>0</v>
      </c>
      <c r="F110" s="133">
        <f t="shared" si="19"/>
        <v>0</v>
      </c>
      <c r="G110" s="150">
        <f t="shared" si="28"/>
        <v>0</v>
      </c>
      <c r="H110" s="133">
        <f>IF(K109&lt;0.01,0,IF(Adm!$R$3=Adm!$R$6,0,IF(Adm!$S$10=Adm!$S$13,K109*Adm!$X$6,IF(Adm!$S$10=Adm!$S$11,K109*Adm!$X$3,IF(Adm!$S$10=Adm!$S$12,K109*Adm!$Y$3)))))</f>
        <v>0</v>
      </c>
      <c r="I110" s="133">
        <f>IF(K109&lt;0.01,0,E110*Adm!$N$7)</f>
        <v>0</v>
      </c>
      <c r="J110" s="133">
        <f t="shared" si="20"/>
        <v>0</v>
      </c>
      <c r="K110" s="133">
        <f t="shared" si="21"/>
        <v>0</v>
      </c>
      <c r="L110" s="361"/>
      <c r="V110" s="571">
        <f t="shared" si="22"/>
        <v>9</v>
      </c>
      <c r="W110" s="846">
        <f>IF(Adm!$AF$3=Adm!$AF$6,0,IF(V110=1,Adm!$AN$2,0))</f>
        <v>0</v>
      </c>
      <c r="Y110" s="338">
        <f>IF(AND($L$14=$AB$10,Adm!$AF$3=Adm!$AF$6,L109&gt;0),PMT(Cal!$F$86/12,B109,-K109),0)</f>
        <v>0</v>
      </c>
      <c r="AB110" s="650">
        <f t="shared" si="26"/>
        <v>0</v>
      </c>
      <c r="AC110" s="639">
        <f t="shared" si="27"/>
        <v>0</v>
      </c>
      <c r="AD110" s="639">
        <f>IF(AND($AD$12=1,$AB$12=2),PMT(Adm!$AH$7/12,B109,-K109),0)</f>
        <v>0</v>
      </c>
      <c r="AE110" s="639">
        <f t="shared" si="25"/>
        <v>0</v>
      </c>
      <c r="AF110" s="636">
        <f t="shared" si="23"/>
        <v>0</v>
      </c>
      <c r="AG110" s="647" t="e">
        <f>Captura!AG207</f>
        <v>#N/A</v>
      </c>
    </row>
    <row r="111" spans="1:33">
      <c r="A111" s="151">
        <f t="shared" ca="1" si="15"/>
        <v>9</v>
      </c>
      <c r="B111" s="195">
        <f t="shared" si="16"/>
        <v>0</v>
      </c>
      <c r="C111" s="199">
        <f t="shared" si="17"/>
        <v>0</v>
      </c>
      <c r="D111" s="333">
        <f t="shared" si="24"/>
        <v>0</v>
      </c>
      <c r="E111" s="133">
        <f t="shared" si="18"/>
        <v>0</v>
      </c>
      <c r="F111" s="133">
        <f t="shared" si="19"/>
        <v>0</v>
      </c>
      <c r="G111" s="150">
        <f t="shared" si="28"/>
        <v>0</v>
      </c>
      <c r="H111" s="133">
        <f>IF(K110&lt;0.01,0,IF(Adm!$R$3=Adm!$R$6,0,IF(Adm!$S$10=Adm!$S$13,K110*Adm!$X$6,IF(Adm!$S$10=Adm!$S$11,K110*Adm!$X$3,IF(Adm!$S$10=Adm!$S$12,K110*Adm!$Y$3)))))</f>
        <v>0</v>
      </c>
      <c r="I111" s="133">
        <f>IF(K110&lt;0.01,0,E111*Adm!$N$7)</f>
        <v>0</v>
      </c>
      <c r="J111" s="133">
        <f t="shared" si="20"/>
        <v>0</v>
      </c>
      <c r="K111" s="133">
        <f t="shared" si="21"/>
        <v>0</v>
      </c>
      <c r="L111" s="361"/>
      <c r="V111" s="571">
        <f t="shared" si="22"/>
        <v>10</v>
      </c>
      <c r="W111" s="846">
        <f>IF(Adm!$AF$3=Adm!$AF$6,0,IF(V111=1,Adm!$AN$2,0))</f>
        <v>0</v>
      </c>
      <c r="Y111" s="338">
        <f>IF(AND($L$14=$AB$10,Adm!$AF$3=Adm!$AF$6,L110&gt;0),PMT(Cal!$F$86/12,B110,-K110),0)</f>
        <v>0</v>
      </c>
      <c r="AB111" s="650">
        <f t="shared" si="26"/>
        <v>0</v>
      </c>
      <c r="AC111" s="639">
        <f t="shared" si="27"/>
        <v>0</v>
      </c>
      <c r="AD111" s="639">
        <f>IF(AND($AD$12=1,$AB$12=2),PMT(Adm!$AH$7/12,B110,-K110),0)</f>
        <v>0</v>
      </c>
      <c r="AE111" s="639">
        <f t="shared" si="25"/>
        <v>0</v>
      </c>
      <c r="AF111" s="636">
        <f t="shared" si="23"/>
        <v>0</v>
      </c>
      <c r="AG111" s="647" t="e">
        <f>Captura!AG208</f>
        <v>#N/A</v>
      </c>
    </row>
    <row r="112" spans="1:33">
      <c r="A112" s="151">
        <f t="shared" ca="1" si="15"/>
        <v>10</v>
      </c>
      <c r="B112" s="195">
        <f t="shared" si="16"/>
        <v>0</v>
      </c>
      <c r="C112" s="199">
        <f t="shared" si="17"/>
        <v>0</v>
      </c>
      <c r="D112" s="333">
        <f t="shared" si="24"/>
        <v>0</v>
      </c>
      <c r="E112" s="133">
        <f t="shared" si="18"/>
        <v>0</v>
      </c>
      <c r="F112" s="133">
        <f t="shared" si="19"/>
        <v>0</v>
      </c>
      <c r="G112" s="150">
        <f t="shared" si="28"/>
        <v>0</v>
      </c>
      <c r="H112" s="133">
        <f>IF(K111&lt;0.01,0,IF(Adm!$R$3=Adm!$R$6,0,IF(Adm!$S$10=Adm!$S$13,K111*Adm!$X$6,IF(Adm!$S$10=Adm!$S$11,K111*Adm!$X$3,IF(Adm!$S$10=Adm!$S$12,K111*Adm!$Y$3)))))</f>
        <v>0</v>
      </c>
      <c r="I112" s="133">
        <f>IF(K111&lt;0.01,0,E112*Adm!$N$7)</f>
        <v>0</v>
      </c>
      <c r="J112" s="133">
        <f t="shared" si="20"/>
        <v>0</v>
      </c>
      <c r="K112" s="133">
        <f t="shared" si="21"/>
        <v>0</v>
      </c>
      <c r="L112" s="361"/>
      <c r="V112" s="571">
        <f t="shared" si="22"/>
        <v>11</v>
      </c>
      <c r="W112" s="846">
        <f>IF(Adm!$AF$3=Adm!$AF$6,0,IF(V112=1,Adm!$AN$2,0))</f>
        <v>0</v>
      </c>
      <c r="Y112" s="338">
        <f>IF(AND($L$14=$AB$10,Adm!$AF$3=Adm!$AF$6,L111&gt;0),PMT(Cal!$F$86/12,B111,-K111),0)</f>
        <v>0</v>
      </c>
      <c r="AB112" s="650">
        <f t="shared" si="26"/>
        <v>0</v>
      </c>
      <c r="AC112" s="639">
        <f t="shared" si="27"/>
        <v>0</v>
      </c>
      <c r="AD112" s="639">
        <f>IF(AND($AD$12=1,$AB$12=2),PMT(Adm!$AH$7/12,B111,-K111),0)</f>
        <v>0</v>
      </c>
      <c r="AE112" s="639">
        <f t="shared" si="25"/>
        <v>0</v>
      </c>
      <c r="AF112" s="636">
        <f t="shared" si="23"/>
        <v>0</v>
      </c>
      <c r="AG112" s="647" t="e">
        <f>Captura!AG209</f>
        <v>#N/A</v>
      </c>
    </row>
    <row r="113" spans="1:33">
      <c r="A113" s="151">
        <f t="shared" ca="1" si="15"/>
        <v>11</v>
      </c>
      <c r="B113" s="195">
        <f t="shared" si="16"/>
        <v>0</v>
      </c>
      <c r="C113" s="199">
        <f t="shared" si="17"/>
        <v>0</v>
      </c>
      <c r="D113" s="333">
        <f t="shared" si="24"/>
        <v>0</v>
      </c>
      <c r="E113" s="133">
        <f t="shared" si="18"/>
        <v>0</v>
      </c>
      <c r="F113" s="133">
        <f t="shared" si="19"/>
        <v>0</v>
      </c>
      <c r="G113" s="150">
        <f t="shared" si="28"/>
        <v>0</v>
      </c>
      <c r="H113" s="133">
        <f>IF(K112&lt;0.01,0,IF(Adm!$R$3=Adm!$R$6,0,IF(Adm!$S$10=Adm!$S$13,K112*Adm!$X$6,IF(Adm!$S$10=Adm!$S$11,K112*Adm!$X$3,IF(Adm!$S$10=Adm!$S$12,K112*Adm!$Y$3)))))</f>
        <v>0</v>
      </c>
      <c r="I113" s="133">
        <f>IF(K112&lt;0.01,0,E113*Adm!$N$7)</f>
        <v>0</v>
      </c>
      <c r="J113" s="133">
        <f t="shared" si="20"/>
        <v>0</v>
      </c>
      <c r="K113" s="133">
        <f t="shared" si="21"/>
        <v>0</v>
      </c>
      <c r="L113" s="361"/>
      <c r="V113" s="571">
        <f t="shared" si="22"/>
        <v>12</v>
      </c>
      <c r="W113" s="846">
        <f>IF(Adm!$AF$3=Adm!$AF$6,0,IF(V113=1,Adm!$AN$2,0))</f>
        <v>0</v>
      </c>
      <c r="Y113" s="338">
        <f>IF(AND($L$14=$AB$10,Adm!$AF$3=Adm!$AF$6,L112&gt;0),PMT(Cal!$F$86/12,B112,-K112),0)</f>
        <v>0</v>
      </c>
      <c r="AB113" s="650">
        <f t="shared" si="26"/>
        <v>0</v>
      </c>
      <c r="AC113" s="639">
        <f t="shared" si="27"/>
        <v>0</v>
      </c>
      <c r="AD113" s="639">
        <f>IF(AND($AD$12=1,$AB$12=2),PMT(Adm!$AH$7/12,B112,-K112),0)</f>
        <v>0</v>
      </c>
      <c r="AE113" s="639">
        <f t="shared" si="25"/>
        <v>0</v>
      </c>
      <c r="AF113" s="636">
        <f t="shared" si="23"/>
        <v>0</v>
      </c>
      <c r="AG113" s="647" t="e">
        <f>Captura!AG210</f>
        <v>#N/A</v>
      </c>
    </row>
    <row r="114" spans="1:33">
      <c r="A114" s="151">
        <f t="shared" ca="1" si="15"/>
        <v>12</v>
      </c>
      <c r="B114" s="195">
        <f t="shared" si="16"/>
        <v>0</v>
      </c>
      <c r="C114" s="199">
        <f t="shared" si="17"/>
        <v>0</v>
      </c>
      <c r="D114" s="333">
        <f t="shared" si="24"/>
        <v>0</v>
      </c>
      <c r="E114" s="133">
        <f t="shared" si="18"/>
        <v>0</v>
      </c>
      <c r="F114" s="133">
        <f t="shared" si="19"/>
        <v>0</v>
      </c>
      <c r="G114" s="150">
        <f t="shared" si="28"/>
        <v>0</v>
      </c>
      <c r="H114" s="133">
        <f>IF(K113&lt;0.01,0,IF(Adm!$R$3=Adm!$R$6,0,IF(Adm!$S$10=Adm!$S$13,K113*Adm!$X$6,IF(Adm!$S$10=Adm!$S$11,K113*Adm!$X$3,IF(Adm!$S$10=Adm!$S$12,K113*Adm!$Y$3)))))</f>
        <v>0</v>
      </c>
      <c r="I114" s="133">
        <f>IF(K113&lt;0.01,0,E114*Adm!$N$7)</f>
        <v>0</v>
      </c>
      <c r="J114" s="133">
        <f t="shared" si="20"/>
        <v>0</v>
      </c>
      <c r="K114" s="133">
        <f t="shared" si="21"/>
        <v>0</v>
      </c>
      <c r="L114" s="361"/>
      <c r="V114" s="571">
        <f t="shared" si="22"/>
        <v>1</v>
      </c>
      <c r="W114" s="846">
        <f>IF(Adm!$AF$3=Adm!$AF$6,0,IF(V114=1,Adm!$AN$2,0))</f>
        <v>0</v>
      </c>
      <c r="Y114" s="338">
        <f>IF(AND($L$14=$AB$10,Adm!$AF$3=Adm!$AF$6,L113&gt;0),PMT(Cal!$F$86/12,B113,-K113),0)</f>
        <v>0</v>
      </c>
      <c r="AB114" s="650">
        <f t="shared" si="26"/>
        <v>0</v>
      </c>
      <c r="AC114" s="639">
        <f t="shared" si="27"/>
        <v>0</v>
      </c>
      <c r="AD114" s="639">
        <f>IF(AND($AD$12=1,$AB$12=2),PMT(Adm!$AH$7/12,B113,-K113),0)</f>
        <v>0</v>
      </c>
      <c r="AE114" s="639">
        <f t="shared" si="25"/>
        <v>0</v>
      </c>
      <c r="AF114" s="636">
        <f t="shared" si="23"/>
        <v>0</v>
      </c>
      <c r="AG114" s="647" t="e">
        <f>Captura!AG211</f>
        <v>#N/A</v>
      </c>
    </row>
    <row r="115" spans="1:33">
      <c r="A115" s="151">
        <f t="shared" ca="1" si="15"/>
        <v>1</v>
      </c>
      <c r="B115" s="195">
        <f t="shared" si="16"/>
        <v>0</v>
      </c>
      <c r="C115" s="199">
        <f t="shared" si="17"/>
        <v>0</v>
      </c>
      <c r="D115" s="333">
        <f t="shared" si="24"/>
        <v>0</v>
      </c>
      <c r="E115" s="133">
        <f t="shared" si="18"/>
        <v>0</v>
      </c>
      <c r="F115" s="133">
        <f t="shared" si="19"/>
        <v>0</v>
      </c>
      <c r="G115" s="150">
        <f t="shared" si="28"/>
        <v>0</v>
      </c>
      <c r="H115" s="133">
        <f>IF(K114&lt;0.01,0,IF(Adm!$R$3=Adm!$R$6,0,IF(Adm!$S$10=Adm!$S$13,K114*Adm!$X$6,IF(Adm!$S$10=Adm!$S$11,K114*Adm!$X$3,IF(Adm!$S$10=Adm!$S$12,K114*Adm!$Y$3)))))</f>
        <v>0</v>
      </c>
      <c r="I115" s="133">
        <f>IF(K114&lt;0.01,0,E115*Adm!$N$7)</f>
        <v>0</v>
      </c>
      <c r="J115" s="133">
        <f t="shared" si="20"/>
        <v>0</v>
      </c>
      <c r="K115" s="133">
        <f t="shared" si="21"/>
        <v>0</v>
      </c>
      <c r="L115" s="361"/>
      <c r="V115" s="571">
        <f t="shared" si="22"/>
        <v>2</v>
      </c>
      <c r="W115" s="846">
        <f>IF(Adm!$AF$3=Adm!$AF$6,0,IF(V115=1,Adm!$AN$2,0))</f>
        <v>0</v>
      </c>
      <c r="Y115" s="338">
        <f>IF(AND($L$14=$AB$10,Adm!$AF$3=Adm!$AF$6,L114&gt;0),PMT(Cal!$F$86/12,B114,-K114),0)</f>
        <v>0</v>
      </c>
      <c r="AB115" s="650">
        <f t="shared" si="26"/>
        <v>0</v>
      </c>
      <c r="AC115" s="639">
        <f t="shared" si="27"/>
        <v>0</v>
      </c>
      <c r="AD115" s="639">
        <f>IF(AND($AD$12=1,$AB$12=2),PMT(Adm!$AH$7/12,B114,-K114),0)</f>
        <v>0</v>
      </c>
      <c r="AE115" s="639">
        <f t="shared" si="25"/>
        <v>0</v>
      </c>
      <c r="AF115" s="636">
        <f t="shared" si="23"/>
        <v>0</v>
      </c>
      <c r="AG115" s="647" t="e">
        <f>Captura!AG212</f>
        <v>#N/A</v>
      </c>
    </row>
    <row r="116" spans="1:33">
      <c r="A116" s="151">
        <f t="shared" ca="1" si="15"/>
        <v>2</v>
      </c>
      <c r="B116" s="195">
        <f t="shared" si="16"/>
        <v>0</v>
      </c>
      <c r="C116" s="199">
        <f t="shared" si="17"/>
        <v>0</v>
      </c>
      <c r="D116" s="333">
        <f t="shared" si="24"/>
        <v>0</v>
      </c>
      <c r="E116" s="133">
        <f t="shared" si="18"/>
        <v>0</v>
      </c>
      <c r="F116" s="133">
        <f t="shared" si="19"/>
        <v>0</v>
      </c>
      <c r="G116" s="150">
        <f t="shared" si="28"/>
        <v>0</v>
      </c>
      <c r="H116" s="133">
        <f>IF(K115&lt;0.01,0,IF(Adm!$R$3=Adm!$R$6,0,IF(Adm!$S$10=Adm!$S$13,K115*Adm!$X$6,IF(Adm!$S$10=Adm!$S$11,K115*Adm!$X$3,IF(Adm!$S$10=Adm!$S$12,K115*Adm!$Y$3)))))</f>
        <v>0</v>
      </c>
      <c r="I116" s="133">
        <f>IF(K115&lt;0.01,0,E116*Adm!$N$7)</f>
        <v>0</v>
      </c>
      <c r="J116" s="133">
        <f t="shared" si="20"/>
        <v>0</v>
      </c>
      <c r="K116" s="133">
        <f t="shared" si="21"/>
        <v>0</v>
      </c>
      <c r="L116" s="361"/>
      <c r="V116" s="571">
        <f t="shared" si="22"/>
        <v>3</v>
      </c>
      <c r="W116" s="846">
        <f>IF(Adm!$AF$3=Adm!$AF$6,0,IF(V116=1,Adm!$AN$2,0))</f>
        <v>0</v>
      </c>
      <c r="Y116" s="338">
        <f>IF(AND($L$14=$AB$10,Adm!$AF$3=Adm!$AF$6,L115&gt;0),PMT(Cal!$F$86/12,B115,-K115),0)</f>
        <v>0</v>
      </c>
      <c r="AB116" s="650">
        <f t="shared" si="26"/>
        <v>0</v>
      </c>
      <c r="AC116" s="639">
        <f t="shared" si="27"/>
        <v>0</v>
      </c>
      <c r="AD116" s="639">
        <f>IF(AND($AD$12=1,$AB$12=2),PMT(Adm!$AH$7/12,B115,-K115),0)</f>
        <v>0</v>
      </c>
      <c r="AE116" s="639">
        <f t="shared" si="25"/>
        <v>0</v>
      </c>
      <c r="AF116" s="636">
        <f t="shared" si="23"/>
        <v>0</v>
      </c>
      <c r="AG116" s="647" t="e">
        <f>Captura!AG213</f>
        <v>#N/A</v>
      </c>
    </row>
    <row r="117" spans="1:33">
      <c r="A117" s="151">
        <f t="shared" ca="1" si="15"/>
        <v>3</v>
      </c>
      <c r="B117" s="195">
        <f t="shared" si="16"/>
        <v>0</v>
      </c>
      <c r="C117" s="199">
        <f t="shared" si="17"/>
        <v>0</v>
      </c>
      <c r="D117" s="333">
        <f t="shared" si="24"/>
        <v>0</v>
      </c>
      <c r="E117" s="133">
        <f t="shared" si="18"/>
        <v>0</v>
      </c>
      <c r="F117" s="133">
        <f t="shared" si="19"/>
        <v>0</v>
      </c>
      <c r="G117" s="150">
        <f t="shared" si="28"/>
        <v>0</v>
      </c>
      <c r="H117" s="133">
        <f>IF(K116&lt;0.01,0,IF(Adm!$R$3=Adm!$R$6,0,IF(Adm!$S$10=Adm!$S$13,K116*Adm!$X$6,IF(Adm!$S$10=Adm!$S$11,K116*Adm!$X$3,IF(Adm!$S$10=Adm!$S$12,K116*Adm!$Y$3)))))</f>
        <v>0</v>
      </c>
      <c r="I117" s="133">
        <f>IF(K116&lt;0.01,0,E117*Adm!$N$7)</f>
        <v>0</v>
      </c>
      <c r="J117" s="133">
        <f t="shared" si="20"/>
        <v>0</v>
      </c>
      <c r="K117" s="133">
        <f t="shared" si="21"/>
        <v>0</v>
      </c>
      <c r="L117" s="361"/>
      <c r="V117" s="571">
        <f t="shared" si="22"/>
        <v>4</v>
      </c>
      <c r="W117" s="846">
        <f>IF(Adm!$AF$3=Adm!$AF$6,0,IF(V117=1,Adm!$AN$2,0))</f>
        <v>0</v>
      </c>
      <c r="Y117" s="338">
        <f>IF(AND($L$14=$AB$10,Adm!$AF$3=Adm!$AF$6,L116&gt;0),PMT(Cal!$F$86/12,B116,-K116),0)</f>
        <v>0</v>
      </c>
      <c r="AB117" s="650">
        <f t="shared" si="26"/>
        <v>0</v>
      </c>
      <c r="AC117" s="639">
        <f t="shared" si="27"/>
        <v>0</v>
      </c>
      <c r="AD117" s="639">
        <f>IF(AND($AD$12=1,$AB$12=2),PMT(Adm!$AH$7/12,B116,-K116),0)</f>
        <v>0</v>
      </c>
      <c r="AE117" s="639">
        <f t="shared" si="25"/>
        <v>0</v>
      </c>
      <c r="AF117" s="636">
        <f t="shared" si="23"/>
        <v>0</v>
      </c>
      <c r="AG117" s="647" t="e">
        <f>Captura!AG214</f>
        <v>#N/A</v>
      </c>
    </row>
    <row r="118" spans="1:33">
      <c r="A118" s="151">
        <f t="shared" ca="1" si="15"/>
        <v>4</v>
      </c>
      <c r="B118" s="195">
        <f t="shared" si="16"/>
        <v>0</v>
      </c>
      <c r="C118" s="199">
        <f t="shared" si="17"/>
        <v>0</v>
      </c>
      <c r="D118" s="333">
        <f t="shared" si="24"/>
        <v>0</v>
      </c>
      <c r="E118" s="133">
        <f t="shared" si="18"/>
        <v>0</v>
      </c>
      <c r="F118" s="133">
        <f t="shared" si="19"/>
        <v>0</v>
      </c>
      <c r="G118" s="150">
        <f t="shared" si="28"/>
        <v>0</v>
      </c>
      <c r="H118" s="133">
        <f>IF(K117&lt;0.01,0,IF(Adm!$R$3=Adm!$R$6,0,IF(Adm!$S$10=Adm!$S$13,K117*Adm!$X$6,IF(Adm!$S$10=Adm!$S$11,K117*Adm!$X$3,IF(Adm!$S$10=Adm!$S$12,K117*Adm!$Y$3)))))</f>
        <v>0</v>
      </c>
      <c r="I118" s="133">
        <f>IF(K117&lt;0.01,0,E118*Adm!$N$7)</f>
        <v>0</v>
      </c>
      <c r="J118" s="133">
        <f t="shared" si="20"/>
        <v>0</v>
      </c>
      <c r="K118" s="133">
        <f t="shared" si="21"/>
        <v>0</v>
      </c>
      <c r="L118" s="361"/>
      <c r="V118" s="571">
        <f t="shared" si="22"/>
        <v>5</v>
      </c>
      <c r="W118" s="846">
        <f>IF(Adm!$AF$3=Adm!$AF$6,0,IF(V118=1,Adm!$AN$2,0))</f>
        <v>0</v>
      </c>
      <c r="Y118" s="338">
        <f>IF(AND($L$14=$AB$10,Adm!$AF$3=Adm!$AF$6,L117&gt;0),PMT(Cal!$F$86/12,B117,-K117),0)</f>
        <v>0</v>
      </c>
      <c r="AB118" s="650">
        <f t="shared" si="26"/>
        <v>0</v>
      </c>
      <c r="AC118" s="639">
        <f t="shared" si="27"/>
        <v>0</v>
      </c>
      <c r="AD118" s="639">
        <f>IF(AND($AD$12=1,$AB$12=2),PMT(Adm!$AH$7/12,B117,-K117),0)</f>
        <v>0</v>
      </c>
      <c r="AE118" s="639">
        <f t="shared" si="25"/>
        <v>0</v>
      </c>
      <c r="AF118" s="636">
        <f t="shared" si="23"/>
        <v>0</v>
      </c>
      <c r="AG118" s="647" t="e">
        <f>Captura!AG215</f>
        <v>#N/A</v>
      </c>
    </row>
    <row r="119" spans="1:33">
      <c r="A119" s="151">
        <f t="shared" ca="1" si="15"/>
        <v>5</v>
      </c>
      <c r="B119" s="195">
        <f t="shared" si="16"/>
        <v>0</v>
      </c>
      <c r="C119" s="199">
        <f t="shared" si="17"/>
        <v>0</v>
      </c>
      <c r="D119" s="333">
        <f t="shared" si="24"/>
        <v>0</v>
      </c>
      <c r="E119" s="133">
        <f t="shared" si="18"/>
        <v>0</v>
      </c>
      <c r="F119" s="133">
        <f t="shared" si="19"/>
        <v>0</v>
      </c>
      <c r="G119" s="150">
        <f t="shared" si="28"/>
        <v>0</v>
      </c>
      <c r="H119" s="133">
        <f>IF(K118&lt;0.01,0,IF(Adm!$R$3=Adm!$R$6,0,IF(Adm!$S$10=Adm!$S$13,K118*Adm!$X$6,IF(Adm!$S$10=Adm!$S$11,K118*Adm!$X$3,IF(Adm!$S$10=Adm!$S$12,K118*Adm!$Y$3)))))</f>
        <v>0</v>
      </c>
      <c r="I119" s="133">
        <f>IF(K118&lt;0.01,0,E119*Adm!$N$7)</f>
        <v>0</v>
      </c>
      <c r="J119" s="133">
        <f t="shared" si="20"/>
        <v>0</v>
      </c>
      <c r="K119" s="133">
        <f t="shared" si="21"/>
        <v>0</v>
      </c>
      <c r="L119" s="361"/>
      <c r="V119" s="571">
        <f t="shared" si="22"/>
        <v>6</v>
      </c>
      <c r="W119" s="846">
        <f>IF(Adm!$AF$3=Adm!$AF$6,0,IF(V119=1,Adm!$AN$2,0))</f>
        <v>0</v>
      </c>
      <c r="Y119" s="338">
        <f>IF(AND($L$14=$AB$10,Adm!$AF$3=Adm!$AF$6,L118&gt;0),PMT(Cal!$F$86/12,B118,-K118),0)</f>
        <v>0</v>
      </c>
      <c r="AB119" s="650">
        <f t="shared" si="26"/>
        <v>0</v>
      </c>
      <c r="AC119" s="639">
        <f t="shared" si="27"/>
        <v>0</v>
      </c>
      <c r="AD119" s="639">
        <f>IF(AND($AD$12=1,$AB$12=2),PMT(Adm!$AH$7/12,B118,-K118),0)</f>
        <v>0</v>
      </c>
      <c r="AE119" s="639">
        <f t="shared" si="25"/>
        <v>0</v>
      </c>
      <c r="AF119" s="636">
        <f t="shared" si="23"/>
        <v>0</v>
      </c>
      <c r="AG119" s="647" t="e">
        <f>Captura!AG216</f>
        <v>#N/A</v>
      </c>
    </row>
    <row r="120" spans="1:33">
      <c r="A120" s="151">
        <f t="shared" ca="1" si="15"/>
        <v>6</v>
      </c>
      <c r="B120" s="195">
        <f t="shared" si="16"/>
        <v>0</v>
      </c>
      <c r="C120" s="199">
        <f t="shared" si="17"/>
        <v>0</v>
      </c>
      <c r="D120" s="333">
        <f t="shared" si="24"/>
        <v>0</v>
      </c>
      <c r="E120" s="133">
        <f t="shared" si="18"/>
        <v>0</v>
      </c>
      <c r="F120" s="133">
        <f t="shared" si="19"/>
        <v>0</v>
      </c>
      <c r="G120" s="150">
        <f t="shared" si="28"/>
        <v>0</v>
      </c>
      <c r="H120" s="133">
        <f>IF(K119&lt;0.01,0,IF(Adm!$R$3=Adm!$R$6,0,IF(Adm!$S$10=Adm!$S$13,K119*Adm!$X$6,IF(Adm!$S$10=Adm!$S$11,K119*Adm!$X$3,IF(Adm!$S$10=Adm!$S$12,K119*Adm!$Y$3)))))</f>
        <v>0</v>
      </c>
      <c r="I120" s="133">
        <f>IF(K119&lt;0.01,0,E120*Adm!$N$7)</f>
        <v>0</v>
      </c>
      <c r="J120" s="133">
        <f t="shared" si="20"/>
        <v>0</v>
      </c>
      <c r="K120" s="133">
        <f t="shared" si="21"/>
        <v>0</v>
      </c>
      <c r="L120" s="361"/>
      <c r="V120" s="571">
        <f t="shared" si="22"/>
        <v>7</v>
      </c>
      <c r="W120" s="846">
        <f>IF(Adm!$AF$3=Adm!$AF$6,0,IF(V120=1,Adm!$AN$2,0))</f>
        <v>0</v>
      </c>
      <c r="Y120" s="338">
        <f>IF(AND($L$14=$AB$10,Adm!$AF$3=Adm!$AF$6,L119&gt;0),PMT(Cal!$F$86/12,B119,-K119),0)</f>
        <v>0</v>
      </c>
      <c r="AB120" s="650">
        <f t="shared" si="26"/>
        <v>0</v>
      </c>
      <c r="AC120" s="639">
        <f t="shared" si="27"/>
        <v>0</v>
      </c>
      <c r="AD120" s="639">
        <f>IF(AND($AD$12=1,$AB$12=2),PMT(Adm!$AH$7/12,B119,-K119),0)</f>
        <v>0</v>
      </c>
      <c r="AE120" s="639">
        <f t="shared" si="25"/>
        <v>0</v>
      </c>
      <c r="AF120" s="636">
        <f t="shared" si="23"/>
        <v>0</v>
      </c>
      <c r="AG120" s="647" t="e">
        <f>Captura!AG217</f>
        <v>#N/A</v>
      </c>
    </row>
    <row r="121" spans="1:33">
      <c r="A121" s="151">
        <f t="shared" ca="1" si="15"/>
        <v>7</v>
      </c>
      <c r="B121" s="195">
        <f t="shared" si="16"/>
        <v>0</v>
      </c>
      <c r="C121" s="199">
        <f t="shared" si="17"/>
        <v>0</v>
      </c>
      <c r="D121" s="333">
        <f t="shared" si="24"/>
        <v>0</v>
      </c>
      <c r="E121" s="133">
        <f t="shared" si="18"/>
        <v>0</v>
      </c>
      <c r="F121" s="133">
        <f t="shared" si="19"/>
        <v>0</v>
      </c>
      <c r="G121" s="150">
        <f t="shared" si="28"/>
        <v>0</v>
      </c>
      <c r="H121" s="133">
        <f>IF(K120&lt;0.01,0,IF(Adm!$R$3=Adm!$R$6,0,IF(Adm!$S$10=Adm!$S$13,K120*Adm!$X$6,IF(Adm!$S$10=Adm!$S$11,K120*Adm!$X$3,IF(Adm!$S$10=Adm!$S$12,K120*Adm!$Y$3)))))</f>
        <v>0</v>
      </c>
      <c r="I121" s="133">
        <f>IF(K120&lt;0.01,0,E121*Adm!$N$7)</f>
        <v>0</v>
      </c>
      <c r="J121" s="133">
        <f t="shared" si="20"/>
        <v>0</v>
      </c>
      <c r="K121" s="133">
        <f t="shared" si="21"/>
        <v>0</v>
      </c>
      <c r="L121" s="361"/>
      <c r="V121" s="571">
        <f t="shared" si="22"/>
        <v>8</v>
      </c>
      <c r="W121" s="846">
        <f>IF(Adm!$AF$3=Adm!$AF$6,0,IF(V121=1,Adm!$AN$2,0))</f>
        <v>0</v>
      </c>
      <c r="Y121" s="338">
        <f>IF(AND($L$14=$AB$10,Adm!$AF$3=Adm!$AF$6,L120&gt;0),PMT(Cal!$F$86/12,B120,-K120),0)</f>
        <v>0</v>
      </c>
      <c r="AB121" s="650">
        <f t="shared" si="26"/>
        <v>0</v>
      </c>
      <c r="AC121" s="639">
        <f t="shared" si="27"/>
        <v>0</v>
      </c>
      <c r="AD121" s="639">
        <f>IF(AND($AD$12=1,$AB$12=2),PMT(Adm!$AH$7/12,B120,-K120),0)</f>
        <v>0</v>
      </c>
      <c r="AE121" s="639">
        <f t="shared" si="25"/>
        <v>0</v>
      </c>
      <c r="AF121" s="636">
        <f t="shared" si="23"/>
        <v>0</v>
      </c>
      <c r="AG121" s="647" t="e">
        <f>Captura!AG218</f>
        <v>#N/A</v>
      </c>
    </row>
    <row r="122" spans="1:33">
      <c r="A122" s="151">
        <f t="shared" ca="1" si="15"/>
        <v>8</v>
      </c>
      <c r="B122" s="195">
        <f t="shared" si="16"/>
        <v>0</v>
      </c>
      <c r="C122" s="199">
        <f t="shared" si="17"/>
        <v>0</v>
      </c>
      <c r="D122" s="333">
        <f t="shared" si="24"/>
        <v>0</v>
      </c>
      <c r="E122" s="133">
        <f t="shared" si="18"/>
        <v>0</v>
      </c>
      <c r="F122" s="133">
        <f t="shared" si="19"/>
        <v>0</v>
      </c>
      <c r="G122" s="150">
        <f t="shared" si="28"/>
        <v>0</v>
      </c>
      <c r="H122" s="133">
        <f>IF(K121&lt;0.01,0,IF(Adm!$R$3=Adm!$R$6,0,IF(Adm!$S$10=Adm!$S$13,K121*Adm!$X$6,IF(Adm!$S$10=Adm!$S$11,K121*Adm!$X$3,IF(Adm!$S$10=Adm!$S$12,K121*Adm!$Y$3)))))</f>
        <v>0</v>
      </c>
      <c r="I122" s="133">
        <f>IF(K121&lt;0.01,0,E122*Adm!$N$7)</f>
        <v>0</v>
      </c>
      <c r="J122" s="133">
        <f t="shared" si="20"/>
        <v>0</v>
      </c>
      <c r="K122" s="133">
        <f t="shared" si="21"/>
        <v>0</v>
      </c>
      <c r="L122" s="361"/>
      <c r="V122" s="571">
        <f t="shared" si="22"/>
        <v>9</v>
      </c>
      <c r="W122" s="846">
        <f>IF(Adm!$AF$3=Adm!$AF$6,0,IF(V122=1,Adm!$AN$2,0))</f>
        <v>0</v>
      </c>
      <c r="Y122" s="338">
        <f>IF(AND($L$14=$AB$10,Adm!$AF$3=Adm!$AF$6,L121&gt;0),PMT(Cal!$F$86/12,B121,-K121),0)</f>
        <v>0</v>
      </c>
      <c r="AB122" s="650">
        <f t="shared" si="26"/>
        <v>0</v>
      </c>
      <c r="AC122" s="639">
        <f t="shared" si="27"/>
        <v>0</v>
      </c>
      <c r="AD122" s="639">
        <f>IF(AND($AD$12=1,$AB$12=2),PMT(Adm!$AH$7/12,B121,-K121),0)</f>
        <v>0</v>
      </c>
      <c r="AE122" s="639">
        <f t="shared" si="25"/>
        <v>0</v>
      </c>
      <c r="AF122" s="636">
        <f t="shared" si="23"/>
        <v>0</v>
      </c>
      <c r="AG122" s="647" t="e">
        <f>Captura!AG219</f>
        <v>#N/A</v>
      </c>
    </row>
    <row r="123" spans="1:33">
      <c r="A123" s="151">
        <f t="shared" ca="1" si="15"/>
        <v>9</v>
      </c>
      <c r="B123" s="195">
        <f t="shared" si="16"/>
        <v>0</v>
      </c>
      <c r="C123" s="199">
        <f t="shared" si="17"/>
        <v>0</v>
      </c>
      <c r="D123" s="333">
        <f t="shared" si="24"/>
        <v>0</v>
      </c>
      <c r="E123" s="133">
        <f t="shared" si="18"/>
        <v>0</v>
      </c>
      <c r="F123" s="133">
        <f t="shared" si="19"/>
        <v>0</v>
      </c>
      <c r="G123" s="150">
        <f t="shared" si="28"/>
        <v>0</v>
      </c>
      <c r="H123" s="133">
        <f>IF(K122&lt;0.01,0,IF(Adm!$R$3=Adm!$R$6,0,IF(Adm!$S$10=Adm!$S$13,K122*Adm!$X$6,IF(Adm!$S$10=Adm!$S$11,K122*Adm!$X$3,IF(Adm!$S$10=Adm!$S$12,K122*Adm!$Y$3)))))</f>
        <v>0</v>
      </c>
      <c r="I123" s="133">
        <f>IF(K122&lt;0.01,0,E123*Adm!$N$7)</f>
        <v>0</v>
      </c>
      <c r="J123" s="133">
        <f t="shared" si="20"/>
        <v>0</v>
      </c>
      <c r="K123" s="133">
        <f t="shared" si="21"/>
        <v>0</v>
      </c>
      <c r="L123" s="361"/>
      <c r="V123" s="571">
        <f t="shared" si="22"/>
        <v>10</v>
      </c>
      <c r="W123" s="846">
        <f>IF(Adm!$AF$3=Adm!$AF$6,0,IF(V123=1,Adm!$AN$2,0))</f>
        <v>0</v>
      </c>
      <c r="Y123" s="338">
        <f>IF(AND($L$14=$AB$10,Adm!$AF$3=Adm!$AF$6,L122&gt;0),PMT(Cal!$F$86/12,B122,-K122),0)</f>
        <v>0</v>
      </c>
      <c r="AB123" s="650">
        <f t="shared" si="26"/>
        <v>0</v>
      </c>
      <c r="AC123" s="639">
        <f t="shared" si="27"/>
        <v>0</v>
      </c>
      <c r="AD123" s="639">
        <f>IF(AND($AD$12=1,$AB$12=2),PMT(Adm!$AH$7/12,B122,-K122),0)</f>
        <v>0</v>
      </c>
      <c r="AE123" s="639">
        <f t="shared" si="25"/>
        <v>0</v>
      </c>
      <c r="AF123" s="636">
        <f t="shared" si="23"/>
        <v>0</v>
      </c>
      <c r="AG123" s="647" t="e">
        <f>Captura!AG220</f>
        <v>#N/A</v>
      </c>
    </row>
    <row r="124" spans="1:33">
      <c r="A124" s="151">
        <f t="shared" ca="1" si="15"/>
        <v>10</v>
      </c>
      <c r="B124" s="195">
        <f t="shared" si="16"/>
        <v>0</v>
      </c>
      <c r="C124" s="199">
        <f t="shared" si="17"/>
        <v>0</v>
      </c>
      <c r="D124" s="333">
        <f t="shared" si="24"/>
        <v>0</v>
      </c>
      <c r="E124" s="133">
        <f t="shared" si="18"/>
        <v>0</v>
      </c>
      <c r="F124" s="133">
        <f t="shared" si="19"/>
        <v>0</v>
      </c>
      <c r="G124" s="150">
        <f t="shared" si="28"/>
        <v>0</v>
      </c>
      <c r="H124" s="133">
        <f>IF(K123&lt;0.01,0,IF(Adm!$R$3=Adm!$R$6,0,IF(Adm!$S$10=Adm!$S$13,K123*Adm!$X$6,IF(Adm!$S$10=Adm!$S$11,K123*Adm!$X$3,IF(Adm!$S$10=Adm!$S$12,K123*Adm!$Y$3)))))</f>
        <v>0</v>
      </c>
      <c r="I124" s="133">
        <f>IF(K123&lt;0.01,0,E124*Adm!$N$7)</f>
        <v>0</v>
      </c>
      <c r="J124" s="133">
        <f t="shared" si="20"/>
        <v>0</v>
      </c>
      <c r="K124" s="133">
        <f t="shared" si="21"/>
        <v>0</v>
      </c>
      <c r="L124" s="361"/>
      <c r="V124" s="571">
        <f t="shared" si="22"/>
        <v>11</v>
      </c>
      <c r="W124" s="846">
        <f>IF(Adm!$AF$3=Adm!$AF$6,0,IF(V124=1,Adm!$AN$2,0))</f>
        <v>0</v>
      </c>
      <c r="Y124" s="338">
        <f>IF(AND($L$14=$AB$10,Adm!$AF$3=Adm!$AF$6,L123&gt;0),PMT(Cal!$F$86/12,B123,-K123),0)</f>
        <v>0</v>
      </c>
      <c r="AB124" s="650">
        <f t="shared" si="26"/>
        <v>0</v>
      </c>
      <c r="AC124" s="639">
        <f t="shared" si="27"/>
        <v>0</v>
      </c>
      <c r="AD124" s="639">
        <f>IF(AND($AD$12=1,$AB$12=2),PMT(Adm!$AH$7/12,B123,-K123),0)</f>
        <v>0</v>
      </c>
      <c r="AE124" s="639">
        <f t="shared" si="25"/>
        <v>0</v>
      </c>
      <c r="AF124" s="636">
        <f t="shared" si="23"/>
        <v>0</v>
      </c>
      <c r="AG124" s="647" t="e">
        <f>Captura!AG221</f>
        <v>#N/A</v>
      </c>
    </row>
    <row r="125" spans="1:33">
      <c r="A125" s="151">
        <f t="shared" ca="1" si="15"/>
        <v>11</v>
      </c>
      <c r="B125" s="195">
        <f t="shared" si="16"/>
        <v>0</v>
      </c>
      <c r="C125" s="199">
        <f t="shared" si="17"/>
        <v>0</v>
      </c>
      <c r="D125" s="333">
        <f t="shared" si="24"/>
        <v>0</v>
      </c>
      <c r="E125" s="133">
        <f t="shared" si="18"/>
        <v>0</v>
      </c>
      <c r="F125" s="133">
        <f t="shared" si="19"/>
        <v>0</v>
      </c>
      <c r="G125" s="150">
        <f t="shared" si="28"/>
        <v>0</v>
      </c>
      <c r="H125" s="133">
        <f>IF(K124&lt;0.01,0,IF(Adm!$R$3=Adm!$R$6,0,IF(Adm!$S$10=Adm!$S$13,K124*Adm!$X$6,IF(Adm!$S$10=Adm!$S$11,K124*Adm!$X$3,IF(Adm!$S$10=Adm!$S$12,K124*Adm!$Y$3)))))</f>
        <v>0</v>
      </c>
      <c r="I125" s="133">
        <f>IF(K124&lt;0.01,0,E125*Adm!$N$7)</f>
        <v>0</v>
      </c>
      <c r="J125" s="133">
        <f t="shared" si="20"/>
        <v>0</v>
      </c>
      <c r="K125" s="133">
        <f t="shared" si="21"/>
        <v>0</v>
      </c>
      <c r="L125" s="361"/>
      <c r="V125" s="571">
        <f t="shared" si="22"/>
        <v>12</v>
      </c>
      <c r="W125" s="846">
        <f>IF(Adm!$AF$3=Adm!$AF$6,0,IF(V125=1,Adm!$AN$2,0))</f>
        <v>0</v>
      </c>
      <c r="Y125" s="338">
        <f>IF(AND($L$14=$AB$10,Adm!$AF$3=Adm!$AF$6,L124&gt;0),PMT(Cal!$F$86/12,B124,-K124),0)</f>
        <v>0</v>
      </c>
      <c r="AB125" s="650">
        <f t="shared" si="26"/>
        <v>0</v>
      </c>
      <c r="AC125" s="639">
        <f t="shared" si="27"/>
        <v>0</v>
      </c>
      <c r="AD125" s="639">
        <f>IF(AND($AD$12=1,$AB$12=2),PMT(Adm!$AH$7/12,B124,-K124),0)</f>
        <v>0</v>
      </c>
      <c r="AE125" s="639">
        <f t="shared" si="25"/>
        <v>0</v>
      </c>
      <c r="AF125" s="636">
        <f t="shared" si="23"/>
        <v>0</v>
      </c>
      <c r="AG125" s="647" t="e">
        <f>Captura!AG222</f>
        <v>#N/A</v>
      </c>
    </row>
    <row r="126" spans="1:33">
      <c r="A126" s="151">
        <f t="shared" ca="1" si="15"/>
        <v>12</v>
      </c>
      <c r="B126" s="195">
        <f t="shared" si="16"/>
        <v>0</v>
      </c>
      <c r="C126" s="199">
        <f t="shared" si="17"/>
        <v>0</v>
      </c>
      <c r="D126" s="333">
        <f t="shared" si="24"/>
        <v>0</v>
      </c>
      <c r="E126" s="133">
        <f t="shared" si="18"/>
        <v>0</v>
      </c>
      <c r="F126" s="133">
        <f t="shared" si="19"/>
        <v>0</v>
      </c>
      <c r="G126" s="150">
        <f t="shared" si="28"/>
        <v>0</v>
      </c>
      <c r="H126" s="133">
        <f>IF(K125&lt;0.01,0,IF(Adm!$R$3=Adm!$R$6,0,IF(Adm!$S$10=Adm!$S$13,K125*Adm!$X$6,IF(Adm!$S$10=Adm!$S$11,K125*Adm!$X$3,IF(Adm!$S$10=Adm!$S$12,K125*Adm!$Y$3)))))</f>
        <v>0</v>
      </c>
      <c r="I126" s="133">
        <f>IF(K125&lt;0.01,0,E126*Adm!$N$7)</f>
        <v>0</v>
      </c>
      <c r="J126" s="133">
        <f t="shared" si="20"/>
        <v>0</v>
      </c>
      <c r="K126" s="133">
        <f t="shared" si="21"/>
        <v>0</v>
      </c>
      <c r="L126" s="361"/>
      <c r="V126" s="571">
        <f t="shared" si="22"/>
        <v>1</v>
      </c>
      <c r="W126" s="846">
        <f>IF(Adm!$AF$3=Adm!$AF$6,0,IF(V126=1,Adm!$AN$2,0))</f>
        <v>0</v>
      </c>
      <c r="Y126" s="338">
        <f>IF(AND($L$14=$AB$10,Adm!$AF$3=Adm!$AF$6,L125&gt;0),PMT(Cal!$F$86/12,B125,-K125),0)</f>
        <v>0</v>
      </c>
      <c r="AB126" s="650">
        <f t="shared" si="26"/>
        <v>0</v>
      </c>
      <c r="AC126" s="639">
        <f t="shared" si="27"/>
        <v>0</v>
      </c>
      <c r="AD126" s="639">
        <f>IF(AND($AD$12=1,$AB$12=2),PMT(Adm!$AH$7/12,B125,-K125),0)</f>
        <v>0</v>
      </c>
      <c r="AE126" s="639">
        <f t="shared" si="25"/>
        <v>0</v>
      </c>
      <c r="AF126" s="636">
        <f t="shared" si="23"/>
        <v>0</v>
      </c>
      <c r="AG126" s="647" t="e">
        <f>Captura!AG223</f>
        <v>#N/A</v>
      </c>
    </row>
    <row r="127" spans="1:33">
      <c r="A127" s="151">
        <f t="shared" ca="1" si="15"/>
        <v>1</v>
      </c>
      <c r="B127" s="195">
        <f t="shared" si="16"/>
        <v>0</v>
      </c>
      <c r="C127" s="199">
        <f t="shared" si="17"/>
        <v>0</v>
      </c>
      <c r="D127" s="333">
        <f t="shared" si="24"/>
        <v>0</v>
      </c>
      <c r="E127" s="133">
        <f t="shared" si="18"/>
        <v>0</v>
      </c>
      <c r="F127" s="133">
        <f t="shared" si="19"/>
        <v>0</v>
      </c>
      <c r="G127" s="150">
        <f t="shared" si="28"/>
        <v>0</v>
      </c>
      <c r="H127" s="133">
        <f>IF(K126&lt;0.01,0,IF(Adm!$R$3=Adm!$R$6,0,IF(Adm!$S$10=Adm!$S$13,K126*Adm!$X$6,IF(Adm!$S$10=Adm!$S$11,K126*Adm!$X$3,IF(Adm!$S$10=Adm!$S$12,K126*Adm!$Y$3)))))</f>
        <v>0</v>
      </c>
      <c r="I127" s="133">
        <f>IF(K126&lt;0.01,0,E127*Adm!$N$7)</f>
        <v>0</v>
      </c>
      <c r="J127" s="133">
        <f t="shared" si="20"/>
        <v>0</v>
      </c>
      <c r="K127" s="133">
        <f t="shared" si="21"/>
        <v>0</v>
      </c>
      <c r="L127" s="361"/>
      <c r="V127" s="571">
        <f t="shared" si="22"/>
        <v>2</v>
      </c>
      <c r="W127" s="846">
        <f>IF(Adm!$AF$3=Adm!$AF$6,0,IF(V127=1,Adm!$AN$2,0))</f>
        <v>0</v>
      </c>
      <c r="Y127" s="338">
        <f>IF(AND($L$14=$AB$10,Adm!$AF$3=Adm!$AF$6,L126&gt;0),PMT(Cal!$F$86/12,B126,-K126),0)</f>
        <v>0</v>
      </c>
      <c r="AB127" s="650">
        <f t="shared" si="26"/>
        <v>0</v>
      </c>
      <c r="AC127" s="639">
        <f t="shared" si="27"/>
        <v>0</v>
      </c>
      <c r="AD127" s="639">
        <f>IF(AND($AD$12=1,$AB$12=2),PMT(Adm!$AH$7/12,B126,-K126),0)</f>
        <v>0</v>
      </c>
      <c r="AE127" s="639">
        <f t="shared" si="25"/>
        <v>0</v>
      </c>
      <c r="AF127" s="636">
        <f t="shared" si="23"/>
        <v>0</v>
      </c>
      <c r="AG127" s="647" t="e">
        <f>Captura!AG224</f>
        <v>#N/A</v>
      </c>
    </row>
    <row r="128" spans="1:33">
      <c r="A128" s="151">
        <f t="shared" ca="1" si="15"/>
        <v>2</v>
      </c>
      <c r="B128" s="195">
        <f t="shared" si="16"/>
        <v>0</v>
      </c>
      <c r="C128" s="199">
        <f t="shared" si="17"/>
        <v>0</v>
      </c>
      <c r="D128" s="333">
        <f t="shared" si="24"/>
        <v>0</v>
      </c>
      <c r="E128" s="133">
        <f t="shared" si="18"/>
        <v>0</v>
      </c>
      <c r="F128" s="133">
        <f t="shared" si="19"/>
        <v>0</v>
      </c>
      <c r="G128" s="150">
        <f t="shared" si="28"/>
        <v>0</v>
      </c>
      <c r="H128" s="133">
        <f>IF(K127&lt;0.01,0,IF(Adm!$R$3=Adm!$R$6,0,IF(Adm!$S$10=Adm!$S$13,K127*Adm!$X$6,IF(Adm!$S$10=Adm!$S$11,K127*Adm!$X$3,IF(Adm!$S$10=Adm!$S$12,K127*Adm!$Y$3)))))</f>
        <v>0</v>
      </c>
      <c r="I128" s="133">
        <f>IF(K127&lt;0.01,0,E128*Adm!$N$7)</f>
        <v>0</v>
      </c>
      <c r="J128" s="133">
        <f t="shared" si="20"/>
        <v>0</v>
      </c>
      <c r="K128" s="133">
        <f t="shared" si="21"/>
        <v>0</v>
      </c>
      <c r="L128" s="361"/>
      <c r="V128" s="571">
        <f t="shared" si="22"/>
        <v>3</v>
      </c>
      <c r="W128" s="846">
        <f>IF(Adm!$AF$3=Adm!$AF$6,0,IF(V128=1,Adm!$AN$2,0))</f>
        <v>0</v>
      </c>
      <c r="Y128" s="338">
        <f>IF(AND($L$14=$AB$10,Adm!$AF$3=Adm!$AF$6,L127&gt;0),PMT(Cal!$F$86/12,B127,-K127),0)</f>
        <v>0</v>
      </c>
      <c r="AB128" s="650">
        <f t="shared" si="26"/>
        <v>0</v>
      </c>
      <c r="AC128" s="639">
        <f t="shared" si="27"/>
        <v>0</v>
      </c>
      <c r="AD128" s="639">
        <f>IF(AND($AD$12=1,$AB$12=2),PMT(Adm!$AH$7/12,B127,-K127),0)</f>
        <v>0</v>
      </c>
      <c r="AE128" s="639">
        <f t="shared" si="25"/>
        <v>0</v>
      </c>
      <c r="AF128" s="636">
        <f t="shared" si="23"/>
        <v>0</v>
      </c>
      <c r="AG128" s="647" t="e">
        <f>Captura!AG225</f>
        <v>#N/A</v>
      </c>
    </row>
    <row r="129" spans="1:33">
      <c r="A129" s="151">
        <f t="shared" ca="1" si="15"/>
        <v>3</v>
      </c>
      <c r="B129" s="195">
        <f t="shared" si="16"/>
        <v>0</v>
      </c>
      <c r="C129" s="199">
        <f t="shared" si="17"/>
        <v>0</v>
      </c>
      <c r="D129" s="333">
        <f t="shared" si="24"/>
        <v>0</v>
      </c>
      <c r="E129" s="133">
        <f t="shared" si="18"/>
        <v>0</v>
      </c>
      <c r="F129" s="133">
        <f t="shared" si="19"/>
        <v>0</v>
      </c>
      <c r="G129" s="150">
        <f t="shared" si="28"/>
        <v>0</v>
      </c>
      <c r="H129" s="133">
        <f>IF(K128&lt;0.01,0,IF(Adm!$R$3=Adm!$R$6,0,IF(Adm!$S$10=Adm!$S$13,K128*Adm!$X$6,IF(Adm!$S$10=Adm!$S$11,K128*Adm!$X$3,IF(Adm!$S$10=Adm!$S$12,K128*Adm!$Y$3)))))</f>
        <v>0</v>
      </c>
      <c r="I129" s="133">
        <f>IF(K128&lt;0.01,0,E129*Adm!$N$7)</f>
        <v>0</v>
      </c>
      <c r="J129" s="133">
        <f t="shared" si="20"/>
        <v>0</v>
      </c>
      <c r="K129" s="133">
        <f t="shared" si="21"/>
        <v>0</v>
      </c>
      <c r="L129" s="361"/>
      <c r="V129" s="571">
        <f t="shared" si="22"/>
        <v>4</v>
      </c>
      <c r="W129" s="846">
        <f>IF(Adm!$AF$3=Adm!$AF$6,0,IF(V129=1,Adm!$AN$2,0))</f>
        <v>0</v>
      </c>
      <c r="Y129" s="338">
        <f>IF(AND($L$14=$AB$10,Adm!$AF$3=Adm!$AF$6,L128&gt;0),PMT(Cal!$F$86/12,B128,-K128),0)</f>
        <v>0</v>
      </c>
      <c r="AB129" s="650">
        <f t="shared" si="26"/>
        <v>0</v>
      </c>
      <c r="AC129" s="639">
        <f t="shared" si="27"/>
        <v>0</v>
      </c>
      <c r="AD129" s="639">
        <f>IF(AND($AD$12=1,$AB$12=2),PMT(Adm!$AH$7/12,B128,-K128),0)</f>
        <v>0</v>
      </c>
      <c r="AE129" s="639">
        <f t="shared" si="25"/>
        <v>0</v>
      </c>
      <c r="AF129" s="636">
        <f t="shared" si="23"/>
        <v>0</v>
      </c>
      <c r="AG129" s="647" t="e">
        <f>Captura!AG226</f>
        <v>#N/A</v>
      </c>
    </row>
    <row r="130" spans="1:33">
      <c r="A130" s="151">
        <f t="shared" ca="1" si="15"/>
        <v>4</v>
      </c>
      <c r="B130" s="195">
        <f t="shared" si="16"/>
        <v>0</v>
      </c>
      <c r="C130" s="199">
        <f t="shared" si="17"/>
        <v>0</v>
      </c>
      <c r="D130" s="333">
        <f t="shared" si="24"/>
        <v>0</v>
      </c>
      <c r="E130" s="133">
        <f t="shared" si="18"/>
        <v>0</v>
      </c>
      <c r="F130" s="133">
        <f t="shared" si="19"/>
        <v>0</v>
      </c>
      <c r="G130" s="150">
        <f t="shared" si="28"/>
        <v>0</v>
      </c>
      <c r="H130" s="133">
        <f>IF(K129&lt;0.01,0,IF(Adm!$R$3=Adm!$R$6,0,IF(Adm!$S$10=Adm!$S$13,K129*Adm!$X$6,IF(Adm!$S$10=Adm!$S$11,K129*Adm!$X$3,IF(Adm!$S$10=Adm!$S$12,K129*Adm!$Y$3)))))</f>
        <v>0</v>
      </c>
      <c r="I130" s="133">
        <f>IF(K129&lt;0.01,0,E130*Adm!$N$7)</f>
        <v>0</v>
      </c>
      <c r="J130" s="133">
        <f t="shared" si="20"/>
        <v>0</v>
      </c>
      <c r="K130" s="133">
        <f t="shared" si="21"/>
        <v>0</v>
      </c>
      <c r="L130" s="361"/>
      <c r="V130" s="571">
        <f t="shared" si="22"/>
        <v>5</v>
      </c>
      <c r="W130" s="846">
        <f>IF(Adm!$AF$3=Adm!$AF$6,0,IF(V130=1,Adm!$AN$2,0))</f>
        <v>0</v>
      </c>
      <c r="Y130" s="338">
        <f>IF(AND($L$14=$AB$10,Adm!$AF$3=Adm!$AF$6,L129&gt;0),PMT(Cal!$F$86/12,B129,-K129),0)</f>
        <v>0</v>
      </c>
      <c r="AB130" s="650">
        <f t="shared" si="26"/>
        <v>0</v>
      </c>
      <c r="AC130" s="639">
        <f t="shared" si="27"/>
        <v>0</v>
      </c>
      <c r="AD130" s="639">
        <f>IF(AND($AD$12=1,$AB$12=2),PMT(Adm!$AH$7/12,B129,-K129),0)</f>
        <v>0</v>
      </c>
      <c r="AE130" s="639">
        <f t="shared" si="25"/>
        <v>0</v>
      </c>
      <c r="AF130" s="636">
        <f t="shared" si="23"/>
        <v>0</v>
      </c>
      <c r="AG130" s="647" t="e">
        <f>Captura!AG227</f>
        <v>#N/A</v>
      </c>
    </row>
    <row r="131" spans="1:33">
      <c r="A131" s="151">
        <f t="shared" ca="1" si="15"/>
        <v>5</v>
      </c>
      <c r="B131" s="195">
        <f t="shared" si="16"/>
        <v>0</v>
      </c>
      <c r="C131" s="199">
        <f t="shared" si="17"/>
        <v>0</v>
      </c>
      <c r="D131" s="333">
        <f t="shared" si="24"/>
        <v>0</v>
      </c>
      <c r="E131" s="133">
        <f t="shared" si="18"/>
        <v>0</v>
      </c>
      <c r="F131" s="133">
        <f t="shared" si="19"/>
        <v>0</v>
      </c>
      <c r="G131" s="150">
        <f t="shared" si="28"/>
        <v>0</v>
      </c>
      <c r="H131" s="133">
        <f>IF(K130&lt;0.01,0,IF(Adm!$R$3=Adm!$R$6,0,IF(Adm!$S$10=Adm!$S$13,K130*Adm!$X$6,IF(Adm!$S$10=Adm!$S$11,K130*Adm!$X$3,IF(Adm!$S$10=Adm!$S$12,K130*Adm!$Y$3)))))</f>
        <v>0</v>
      </c>
      <c r="I131" s="133">
        <f>IF(K130&lt;0.01,0,E131*Adm!$N$7)</f>
        <v>0</v>
      </c>
      <c r="J131" s="133">
        <f t="shared" si="20"/>
        <v>0</v>
      </c>
      <c r="K131" s="133">
        <f t="shared" si="21"/>
        <v>0</v>
      </c>
      <c r="L131" s="361"/>
      <c r="V131" s="571">
        <f t="shared" si="22"/>
        <v>6</v>
      </c>
      <c r="W131" s="846">
        <f>IF(Adm!$AF$3=Adm!$AF$6,0,IF(V131=1,Adm!$AN$2,0))</f>
        <v>0</v>
      </c>
      <c r="Y131" s="338">
        <f>IF(AND($L$14=$AB$10,Adm!$AF$3=Adm!$AF$6,L130&gt;0),PMT(Cal!$F$86/12,B130,-K130),0)</f>
        <v>0</v>
      </c>
      <c r="AB131" s="650">
        <f t="shared" si="26"/>
        <v>0</v>
      </c>
      <c r="AC131" s="639">
        <f t="shared" si="27"/>
        <v>0</v>
      </c>
      <c r="AD131" s="639">
        <f>IF(AND($AD$12=1,$AB$12=2),PMT(Adm!$AH$7/12,B130,-K130),0)</f>
        <v>0</v>
      </c>
      <c r="AE131" s="639">
        <f t="shared" si="25"/>
        <v>0</v>
      </c>
      <c r="AF131" s="636">
        <f t="shared" si="23"/>
        <v>0</v>
      </c>
      <c r="AG131" s="647" t="e">
        <f>Captura!AG228</f>
        <v>#N/A</v>
      </c>
    </row>
    <row r="132" spans="1:33">
      <c r="A132" s="151">
        <f t="shared" ca="1" si="15"/>
        <v>6</v>
      </c>
      <c r="B132" s="195">
        <f t="shared" si="16"/>
        <v>0</v>
      </c>
      <c r="C132" s="199">
        <f t="shared" si="17"/>
        <v>0</v>
      </c>
      <c r="D132" s="333">
        <f t="shared" si="24"/>
        <v>0</v>
      </c>
      <c r="E132" s="133">
        <f t="shared" si="18"/>
        <v>0</v>
      </c>
      <c r="F132" s="133">
        <f t="shared" si="19"/>
        <v>0</v>
      </c>
      <c r="G132" s="150">
        <f t="shared" si="28"/>
        <v>0</v>
      </c>
      <c r="H132" s="133">
        <f>IF(K131&lt;0.01,0,IF(Adm!$R$3=Adm!$R$6,0,IF(Adm!$S$10=Adm!$S$13,K131*Adm!$X$6,IF(Adm!$S$10=Adm!$S$11,K131*Adm!$X$3,IF(Adm!$S$10=Adm!$S$12,K131*Adm!$Y$3)))))</f>
        <v>0</v>
      </c>
      <c r="I132" s="133">
        <f>IF(K131&lt;0.01,0,E132*Adm!$N$7)</f>
        <v>0</v>
      </c>
      <c r="J132" s="133">
        <f t="shared" si="20"/>
        <v>0</v>
      </c>
      <c r="K132" s="133">
        <f t="shared" si="21"/>
        <v>0</v>
      </c>
      <c r="L132" s="361"/>
      <c r="V132" s="571">
        <f t="shared" si="22"/>
        <v>7</v>
      </c>
      <c r="W132" s="846">
        <f>IF(Adm!$AF$3=Adm!$AF$6,0,IF(V132=1,Adm!$AN$2,0))</f>
        <v>0</v>
      </c>
      <c r="Y132" s="338">
        <f>IF(AND($L$14=$AB$10,Adm!$AF$3=Adm!$AF$6,L131&gt;0),PMT(Cal!$F$86/12,B131,-K131),0)</f>
        <v>0</v>
      </c>
      <c r="AB132" s="650">
        <f t="shared" si="26"/>
        <v>0</v>
      </c>
      <c r="AC132" s="639">
        <f t="shared" si="27"/>
        <v>0</v>
      </c>
      <c r="AD132" s="639">
        <f>IF(AND($AD$12=1,$AB$12=2),PMT(Adm!$AH$7/12,B131,-K131),0)</f>
        <v>0</v>
      </c>
      <c r="AE132" s="639">
        <f t="shared" si="25"/>
        <v>0</v>
      </c>
      <c r="AF132" s="636">
        <f t="shared" si="23"/>
        <v>0</v>
      </c>
      <c r="AG132" s="647" t="e">
        <f>Captura!AG229</f>
        <v>#N/A</v>
      </c>
    </row>
    <row r="133" spans="1:33">
      <c r="A133" s="151">
        <f t="shared" ca="1" si="15"/>
        <v>7</v>
      </c>
      <c r="B133" s="195">
        <f t="shared" si="16"/>
        <v>0</v>
      </c>
      <c r="C133" s="199">
        <f t="shared" si="17"/>
        <v>0</v>
      </c>
      <c r="D133" s="333">
        <f t="shared" si="24"/>
        <v>0</v>
      </c>
      <c r="E133" s="133">
        <f t="shared" si="18"/>
        <v>0</v>
      </c>
      <c r="F133" s="133">
        <f t="shared" si="19"/>
        <v>0</v>
      </c>
      <c r="G133" s="150">
        <f t="shared" si="28"/>
        <v>0</v>
      </c>
      <c r="H133" s="133">
        <f>IF(K132&lt;0.01,0,IF(Adm!$R$3=Adm!$R$6,0,IF(Adm!$S$10=Adm!$S$13,K132*Adm!$X$6,IF(Adm!$S$10=Adm!$S$11,K132*Adm!$X$3,IF(Adm!$S$10=Adm!$S$12,K132*Adm!$Y$3)))))</f>
        <v>0</v>
      </c>
      <c r="I133" s="133">
        <f>IF(K132&lt;0.01,0,E133*Adm!$N$7)</f>
        <v>0</v>
      </c>
      <c r="J133" s="133">
        <f t="shared" si="20"/>
        <v>0</v>
      </c>
      <c r="K133" s="133">
        <f t="shared" si="21"/>
        <v>0</v>
      </c>
      <c r="L133" s="361"/>
      <c r="V133" s="571">
        <f t="shared" si="22"/>
        <v>8</v>
      </c>
      <c r="W133" s="846">
        <f>IF(Adm!$AF$3=Adm!$AF$6,0,IF(V133=1,Adm!$AN$2,0))</f>
        <v>0</v>
      </c>
      <c r="Y133" s="338">
        <f>IF(AND($L$14=$AB$10,Adm!$AF$3=Adm!$AF$6,L132&gt;0),PMT(Cal!$F$86/12,B132,-K132),0)</f>
        <v>0</v>
      </c>
      <c r="AB133" s="650">
        <f t="shared" si="26"/>
        <v>0</v>
      </c>
      <c r="AC133" s="639">
        <f t="shared" si="27"/>
        <v>0</v>
      </c>
      <c r="AD133" s="639">
        <f>IF(AND($AD$12=1,$AB$12=2),PMT(Adm!$AH$7/12,B132,-K132),0)</f>
        <v>0</v>
      </c>
      <c r="AE133" s="639">
        <f t="shared" si="25"/>
        <v>0</v>
      </c>
      <c r="AF133" s="636">
        <f t="shared" si="23"/>
        <v>0</v>
      </c>
      <c r="AG133" s="647" t="e">
        <f>Captura!AG230</f>
        <v>#N/A</v>
      </c>
    </row>
    <row r="134" spans="1:33">
      <c r="A134" s="151">
        <f t="shared" ca="1" si="15"/>
        <v>8</v>
      </c>
      <c r="B134" s="195">
        <f t="shared" si="16"/>
        <v>0</v>
      </c>
      <c r="C134" s="199">
        <f t="shared" si="17"/>
        <v>0</v>
      </c>
      <c r="D134" s="333">
        <f t="shared" si="24"/>
        <v>0</v>
      </c>
      <c r="E134" s="133">
        <f t="shared" si="18"/>
        <v>0</v>
      </c>
      <c r="F134" s="133">
        <f t="shared" si="19"/>
        <v>0</v>
      </c>
      <c r="G134" s="150">
        <f t="shared" si="28"/>
        <v>0</v>
      </c>
      <c r="H134" s="133">
        <f>IF(K133&lt;0.01,0,IF(Adm!$R$3=Adm!$R$6,0,IF(Adm!$S$10=Adm!$S$13,K133*Adm!$X$6,IF(Adm!$S$10=Adm!$S$11,K133*Adm!$X$3,IF(Adm!$S$10=Adm!$S$12,K133*Adm!$Y$3)))))</f>
        <v>0</v>
      </c>
      <c r="I134" s="133">
        <f>IF(K133&lt;0.01,0,E134*Adm!$N$7)</f>
        <v>0</v>
      </c>
      <c r="J134" s="133">
        <f t="shared" si="20"/>
        <v>0</v>
      </c>
      <c r="K134" s="133">
        <f t="shared" si="21"/>
        <v>0</v>
      </c>
      <c r="L134" s="361"/>
      <c r="V134" s="571">
        <f t="shared" si="22"/>
        <v>9</v>
      </c>
      <c r="W134" s="846">
        <f>IF(Adm!$AF$3=Adm!$AF$6,0,IF(V134=1,Adm!$AN$2,0))</f>
        <v>0</v>
      </c>
      <c r="Y134" s="338">
        <f>IF(AND($L$14=$AB$10,Adm!$AF$3=Adm!$AF$6,L133&gt;0),PMT(Cal!$F$86/12,B133,-K133),0)</f>
        <v>0</v>
      </c>
      <c r="AB134" s="650">
        <f t="shared" si="26"/>
        <v>0</v>
      </c>
      <c r="AC134" s="639">
        <f t="shared" si="27"/>
        <v>0</v>
      </c>
      <c r="AD134" s="639">
        <f>IF(AND($AD$12=1,$AB$12=2),PMT(Adm!$AH$7/12,B133,-K133),0)</f>
        <v>0</v>
      </c>
      <c r="AE134" s="639">
        <f t="shared" si="25"/>
        <v>0</v>
      </c>
      <c r="AF134" s="636">
        <f t="shared" si="23"/>
        <v>0</v>
      </c>
      <c r="AG134" s="647" t="e">
        <f>Captura!AG231</f>
        <v>#N/A</v>
      </c>
    </row>
    <row r="135" spans="1:33">
      <c r="A135" s="151">
        <f t="shared" ca="1" si="15"/>
        <v>9</v>
      </c>
      <c r="B135" s="195">
        <f t="shared" si="16"/>
        <v>0</v>
      </c>
      <c r="C135" s="199">
        <f t="shared" si="17"/>
        <v>0</v>
      </c>
      <c r="D135" s="333">
        <f t="shared" si="24"/>
        <v>0</v>
      </c>
      <c r="E135" s="133">
        <f t="shared" si="18"/>
        <v>0</v>
      </c>
      <c r="F135" s="133">
        <f t="shared" si="19"/>
        <v>0</v>
      </c>
      <c r="G135" s="150">
        <f t="shared" si="28"/>
        <v>0</v>
      </c>
      <c r="H135" s="133">
        <f>IF(K134&lt;0.01,0,IF(Adm!$R$3=Adm!$R$6,0,IF(Adm!$S$10=Adm!$S$13,K134*Adm!$X$6,IF(Adm!$S$10=Adm!$S$11,K134*Adm!$X$3,IF(Adm!$S$10=Adm!$S$12,K134*Adm!$Y$3)))))</f>
        <v>0</v>
      </c>
      <c r="I135" s="133">
        <f>IF(K134&lt;0.01,0,E135*Adm!$N$7)</f>
        <v>0</v>
      </c>
      <c r="J135" s="133">
        <f t="shared" si="20"/>
        <v>0</v>
      </c>
      <c r="K135" s="133">
        <f t="shared" si="21"/>
        <v>0</v>
      </c>
      <c r="L135" s="361"/>
      <c r="V135" s="571">
        <f t="shared" si="22"/>
        <v>10</v>
      </c>
      <c r="W135" s="846">
        <f>IF(Adm!$AF$3=Adm!$AF$6,0,IF(V135=1,Adm!$AN$2,0))</f>
        <v>0</v>
      </c>
      <c r="Y135" s="338">
        <f>IF(AND($L$14=$AB$10,Adm!$AF$3=Adm!$AF$6,L134&gt;0),PMT(Cal!$F$86/12,B134,-K134),0)</f>
        <v>0</v>
      </c>
      <c r="AB135" s="650">
        <f t="shared" si="26"/>
        <v>0</v>
      </c>
      <c r="AC135" s="639">
        <f t="shared" si="27"/>
        <v>0</v>
      </c>
      <c r="AD135" s="639">
        <f>IF(AND($AD$12=1,$AB$12=2),PMT(Adm!$AH$7/12,B134,-K134),0)</f>
        <v>0</v>
      </c>
      <c r="AE135" s="639">
        <f t="shared" si="25"/>
        <v>0</v>
      </c>
      <c r="AF135" s="636">
        <f t="shared" si="23"/>
        <v>0</v>
      </c>
      <c r="AG135" s="647" t="e">
        <f>Captura!AG232</f>
        <v>#N/A</v>
      </c>
    </row>
    <row r="136" spans="1:33">
      <c r="A136" s="151">
        <f t="shared" ca="1" si="15"/>
        <v>10</v>
      </c>
      <c r="B136" s="195">
        <f t="shared" si="16"/>
        <v>0</v>
      </c>
      <c r="C136" s="199">
        <f t="shared" si="17"/>
        <v>0</v>
      </c>
      <c r="D136" s="333">
        <f t="shared" si="24"/>
        <v>0</v>
      </c>
      <c r="E136" s="133">
        <f t="shared" si="18"/>
        <v>0</v>
      </c>
      <c r="F136" s="133">
        <f t="shared" si="19"/>
        <v>0</v>
      </c>
      <c r="G136" s="150">
        <f t="shared" si="28"/>
        <v>0</v>
      </c>
      <c r="H136" s="133">
        <f>IF(K135&lt;0.01,0,IF(Adm!$R$3=Adm!$R$6,0,IF(Adm!$S$10=Adm!$S$13,K135*Adm!$X$6,IF(Adm!$S$10=Adm!$S$11,K135*Adm!$X$3,IF(Adm!$S$10=Adm!$S$12,K135*Adm!$Y$3)))))</f>
        <v>0</v>
      </c>
      <c r="I136" s="133">
        <f>IF(K135&lt;0.01,0,E136*Adm!$N$7)</f>
        <v>0</v>
      </c>
      <c r="J136" s="133">
        <f t="shared" si="20"/>
        <v>0</v>
      </c>
      <c r="K136" s="133">
        <f t="shared" si="21"/>
        <v>0</v>
      </c>
      <c r="L136" s="361"/>
      <c r="V136" s="571">
        <f t="shared" si="22"/>
        <v>11</v>
      </c>
      <c r="W136" s="846">
        <f>IF(Adm!$AF$3=Adm!$AF$6,0,IF(V136=1,Adm!$AN$2,0))</f>
        <v>0</v>
      </c>
      <c r="Y136" s="338">
        <f>IF(AND($L$14=$AB$10,Adm!$AF$3=Adm!$AF$6,L135&gt;0),PMT(Cal!$F$86/12,B135,-K135),0)</f>
        <v>0</v>
      </c>
      <c r="AB136" s="650">
        <f t="shared" si="26"/>
        <v>0</v>
      </c>
      <c r="AC136" s="639">
        <f t="shared" si="27"/>
        <v>0</v>
      </c>
      <c r="AD136" s="639">
        <f>IF(AND($AD$12=1,$AB$12=2),PMT(Adm!$AH$7/12,B135,-K135),0)</f>
        <v>0</v>
      </c>
      <c r="AE136" s="639">
        <f t="shared" si="25"/>
        <v>0</v>
      </c>
      <c r="AF136" s="636">
        <f t="shared" si="23"/>
        <v>0</v>
      </c>
      <c r="AG136" s="647" t="e">
        <f>Captura!AG233</f>
        <v>#N/A</v>
      </c>
    </row>
    <row r="137" spans="1:33">
      <c r="A137" s="151">
        <f t="shared" ca="1" si="15"/>
        <v>11</v>
      </c>
      <c r="B137" s="195">
        <f t="shared" si="16"/>
        <v>0</v>
      </c>
      <c r="C137" s="199">
        <f t="shared" si="17"/>
        <v>0</v>
      </c>
      <c r="D137" s="333">
        <f t="shared" si="24"/>
        <v>0</v>
      </c>
      <c r="E137" s="133">
        <f t="shared" si="18"/>
        <v>0</v>
      </c>
      <c r="F137" s="133">
        <f t="shared" si="19"/>
        <v>0</v>
      </c>
      <c r="G137" s="150">
        <f t="shared" si="28"/>
        <v>0</v>
      </c>
      <c r="H137" s="133">
        <f>IF(K136&lt;0.01,0,IF(Adm!$R$3=Adm!$R$6,0,IF(Adm!$S$10=Adm!$S$13,K136*Adm!$X$6,IF(Adm!$S$10=Adm!$S$11,K136*Adm!$X$3,IF(Adm!$S$10=Adm!$S$12,K136*Adm!$Y$3)))))</f>
        <v>0</v>
      </c>
      <c r="I137" s="133">
        <f>IF(K136&lt;0.01,0,E137*Adm!$N$7)</f>
        <v>0</v>
      </c>
      <c r="J137" s="133">
        <f t="shared" si="20"/>
        <v>0</v>
      </c>
      <c r="K137" s="133">
        <f t="shared" si="21"/>
        <v>0</v>
      </c>
      <c r="L137" s="361"/>
      <c r="V137" s="571">
        <f t="shared" si="22"/>
        <v>12</v>
      </c>
      <c r="W137" s="846">
        <f>IF(Adm!$AF$3=Adm!$AF$6,0,IF(V137=1,Adm!$AN$2,0))</f>
        <v>0</v>
      </c>
      <c r="Y137" s="338">
        <f>IF(AND($L$14=$AB$10,Adm!$AF$3=Adm!$AF$6,L136&gt;0),PMT(Cal!$F$86/12,B136,-K136),0)</f>
        <v>0</v>
      </c>
      <c r="AB137" s="650">
        <f t="shared" si="26"/>
        <v>0</v>
      </c>
      <c r="AC137" s="639">
        <f t="shared" si="27"/>
        <v>0</v>
      </c>
      <c r="AD137" s="639">
        <f>IF(AND($AD$12=1,$AB$12=2),PMT(Adm!$AH$7/12,B136,-K136),0)</f>
        <v>0</v>
      </c>
      <c r="AE137" s="639">
        <f t="shared" si="25"/>
        <v>0</v>
      </c>
      <c r="AF137" s="636">
        <f t="shared" si="23"/>
        <v>0</v>
      </c>
      <c r="AG137" s="647" t="e">
        <f>Captura!AG234</f>
        <v>#N/A</v>
      </c>
    </row>
    <row r="138" spans="1:33">
      <c r="A138" s="151">
        <f t="shared" ca="1" si="15"/>
        <v>12</v>
      </c>
      <c r="B138" s="195">
        <f t="shared" si="16"/>
        <v>0</v>
      </c>
      <c r="C138" s="199">
        <f t="shared" si="17"/>
        <v>0</v>
      </c>
      <c r="D138" s="333">
        <f t="shared" si="24"/>
        <v>0</v>
      </c>
      <c r="E138" s="133">
        <f t="shared" si="18"/>
        <v>0</v>
      </c>
      <c r="F138" s="133">
        <f t="shared" si="19"/>
        <v>0</v>
      </c>
      <c r="G138" s="150">
        <f t="shared" si="28"/>
        <v>0</v>
      </c>
      <c r="H138" s="133">
        <f>IF(K137&lt;0.01,0,IF(Adm!$R$3=Adm!$R$6,0,IF(Adm!$S$10=Adm!$S$13,K137*Adm!$X$6,IF(Adm!$S$10=Adm!$S$11,K137*Adm!$X$3,IF(Adm!$S$10=Adm!$S$12,K137*Adm!$Y$3)))))</f>
        <v>0</v>
      </c>
      <c r="I138" s="133">
        <f>IF(K137&lt;0.01,0,E138*Adm!$N$7)</f>
        <v>0</v>
      </c>
      <c r="J138" s="133">
        <f t="shared" si="20"/>
        <v>0</v>
      </c>
      <c r="K138" s="133">
        <f t="shared" si="21"/>
        <v>0</v>
      </c>
      <c r="L138" s="361"/>
      <c r="V138" s="571">
        <f t="shared" si="22"/>
        <v>1</v>
      </c>
      <c r="W138" s="846">
        <f>IF(Adm!$AF$3=Adm!$AF$6,0,IF(V138=1,Adm!$AN$2,0))</f>
        <v>0</v>
      </c>
      <c r="Y138" s="338">
        <f>IF(AND($L$14=$AB$10,Adm!$AF$3=Adm!$AF$6,L137&gt;0),PMT(Cal!$F$86/12,B137,-K137),0)</f>
        <v>0</v>
      </c>
      <c r="AB138" s="650">
        <f t="shared" si="26"/>
        <v>0</v>
      </c>
      <c r="AC138" s="639">
        <f t="shared" si="27"/>
        <v>0</v>
      </c>
      <c r="AD138" s="639">
        <f>IF(AND($AD$12=1,$AB$12=2),PMT(Adm!$AH$7/12,B137,-K137),0)</f>
        <v>0</v>
      </c>
      <c r="AE138" s="639">
        <f t="shared" si="25"/>
        <v>0</v>
      </c>
      <c r="AF138" s="636">
        <f t="shared" si="23"/>
        <v>0</v>
      </c>
      <c r="AG138" s="647" t="e">
        <f>Captura!AG235</f>
        <v>#N/A</v>
      </c>
    </row>
    <row r="139" spans="1:33">
      <c r="A139" s="151">
        <f t="shared" ca="1" si="15"/>
        <v>1</v>
      </c>
      <c r="B139" s="195">
        <f t="shared" si="16"/>
        <v>0</v>
      </c>
      <c r="C139" s="199">
        <f t="shared" si="17"/>
        <v>0</v>
      </c>
      <c r="D139" s="333">
        <f t="shared" si="24"/>
        <v>0</v>
      </c>
      <c r="E139" s="133">
        <f t="shared" si="18"/>
        <v>0</v>
      </c>
      <c r="F139" s="133">
        <f t="shared" si="19"/>
        <v>0</v>
      </c>
      <c r="G139" s="150">
        <f t="shared" si="28"/>
        <v>0</v>
      </c>
      <c r="H139" s="133">
        <f>IF(K138&lt;0.01,0,IF(Adm!$R$3=Adm!$R$6,0,IF(Adm!$S$10=Adm!$S$13,K138*Adm!$X$6,IF(Adm!$S$10=Adm!$S$11,K138*Adm!$X$3,IF(Adm!$S$10=Adm!$S$12,K138*Adm!$Y$3)))))</f>
        <v>0</v>
      </c>
      <c r="I139" s="133">
        <f>IF(K138&lt;0.01,0,E139*Adm!$N$7)</f>
        <v>0</v>
      </c>
      <c r="J139" s="133">
        <f t="shared" si="20"/>
        <v>0</v>
      </c>
      <c r="K139" s="133">
        <f t="shared" si="21"/>
        <v>0</v>
      </c>
      <c r="L139" s="361"/>
      <c r="V139" s="571">
        <f t="shared" si="22"/>
        <v>2</v>
      </c>
      <c r="W139" s="846">
        <f>IF(Adm!$AF$3=Adm!$AF$6,0,IF(V139=1,Adm!$AN$2,0))</f>
        <v>0</v>
      </c>
      <c r="Y139" s="338">
        <f>IF(AND($L$14=$AB$10,Adm!$AF$3=Adm!$AF$6,L138&gt;0),PMT(Cal!$F$86/12,B138,-K138),0)</f>
        <v>0</v>
      </c>
      <c r="AB139" s="650">
        <f t="shared" si="26"/>
        <v>0</v>
      </c>
      <c r="AC139" s="639">
        <f t="shared" si="27"/>
        <v>0</v>
      </c>
      <c r="AD139" s="639">
        <f>IF(AND($AD$12=1,$AB$12=2),PMT(Adm!$AH$7/12,B138,-K138),0)</f>
        <v>0</v>
      </c>
      <c r="AE139" s="639">
        <f t="shared" si="25"/>
        <v>0</v>
      </c>
      <c r="AF139" s="636">
        <f t="shared" si="23"/>
        <v>0</v>
      </c>
      <c r="AG139" s="647" t="e">
        <f>Captura!AG236</f>
        <v>#N/A</v>
      </c>
    </row>
    <row r="140" spans="1:33">
      <c r="A140" s="151">
        <f t="shared" ca="1" si="15"/>
        <v>2</v>
      </c>
      <c r="B140" s="195">
        <f t="shared" si="16"/>
        <v>0</v>
      </c>
      <c r="C140" s="199">
        <f t="shared" si="17"/>
        <v>0</v>
      </c>
      <c r="D140" s="333">
        <f t="shared" si="24"/>
        <v>0</v>
      </c>
      <c r="E140" s="133">
        <f t="shared" si="18"/>
        <v>0</v>
      </c>
      <c r="F140" s="133">
        <f t="shared" si="19"/>
        <v>0</v>
      </c>
      <c r="G140" s="150">
        <f t="shared" si="28"/>
        <v>0</v>
      </c>
      <c r="H140" s="133">
        <f>IF(K139&lt;0.01,0,IF(Adm!$R$3=Adm!$R$6,0,IF(Adm!$S$10=Adm!$S$13,K139*Adm!$X$6,IF(Adm!$S$10=Adm!$S$11,K139*Adm!$X$3,IF(Adm!$S$10=Adm!$S$12,K139*Adm!$Y$3)))))</f>
        <v>0</v>
      </c>
      <c r="I140" s="133">
        <f>IF(K139&lt;0.01,0,E140*Adm!$N$7)</f>
        <v>0</v>
      </c>
      <c r="J140" s="133">
        <f t="shared" si="20"/>
        <v>0</v>
      </c>
      <c r="K140" s="133">
        <f t="shared" si="21"/>
        <v>0</v>
      </c>
      <c r="L140" s="361"/>
      <c r="V140" s="571">
        <f t="shared" si="22"/>
        <v>3</v>
      </c>
      <c r="W140" s="846">
        <f>IF(Adm!$AF$3=Adm!$AF$6,0,IF(V140=1,Adm!$AN$2,0))</f>
        <v>0</v>
      </c>
      <c r="Y140" s="338">
        <f>IF(AND($L$14=$AB$10,Adm!$AF$3=Adm!$AF$6,L139&gt;0),PMT(Cal!$F$86/12,B139,-K139),0)</f>
        <v>0</v>
      </c>
      <c r="AB140" s="650">
        <f t="shared" si="26"/>
        <v>0</v>
      </c>
      <c r="AC140" s="639">
        <f t="shared" si="27"/>
        <v>0</v>
      </c>
      <c r="AD140" s="639">
        <f>IF(AND($AD$12=1,$AB$12=2),PMT(Adm!$AH$7/12,B139,-K139),0)</f>
        <v>0</v>
      </c>
      <c r="AE140" s="639">
        <f t="shared" si="25"/>
        <v>0</v>
      </c>
      <c r="AF140" s="636">
        <f t="shared" si="23"/>
        <v>0</v>
      </c>
      <c r="AG140" s="647" t="e">
        <f>Captura!AG237</f>
        <v>#N/A</v>
      </c>
    </row>
    <row r="141" spans="1:33">
      <c r="A141" s="151">
        <f t="shared" ca="1" si="15"/>
        <v>3</v>
      </c>
      <c r="B141" s="195">
        <f t="shared" si="16"/>
        <v>0</v>
      </c>
      <c r="C141" s="199">
        <f t="shared" si="17"/>
        <v>0</v>
      </c>
      <c r="D141" s="333">
        <f t="shared" si="24"/>
        <v>0</v>
      </c>
      <c r="E141" s="133">
        <f t="shared" si="18"/>
        <v>0</v>
      </c>
      <c r="F141" s="133">
        <f t="shared" si="19"/>
        <v>0</v>
      </c>
      <c r="G141" s="150">
        <f t="shared" si="28"/>
        <v>0</v>
      </c>
      <c r="H141" s="133">
        <f>IF(K140&lt;0.01,0,IF(Adm!$R$3=Adm!$R$6,0,IF(Adm!$S$10=Adm!$S$13,K140*Adm!$X$6,IF(Adm!$S$10=Adm!$S$11,K140*Adm!$X$3,IF(Adm!$S$10=Adm!$S$12,K140*Adm!$Y$3)))))</f>
        <v>0</v>
      </c>
      <c r="I141" s="133">
        <f>IF(K140&lt;0.01,0,E141*Adm!$N$7)</f>
        <v>0</v>
      </c>
      <c r="J141" s="133">
        <f t="shared" si="20"/>
        <v>0</v>
      </c>
      <c r="K141" s="133">
        <f t="shared" si="21"/>
        <v>0</v>
      </c>
      <c r="L141" s="361"/>
      <c r="V141" s="571">
        <f t="shared" si="22"/>
        <v>4</v>
      </c>
      <c r="W141" s="846">
        <f>IF(Adm!$AF$3=Adm!$AF$6,0,IF(V141=1,Adm!$AN$2,0))</f>
        <v>0</v>
      </c>
      <c r="Y141" s="338">
        <f>IF(AND($L$14=$AB$10,Adm!$AF$3=Adm!$AF$6,L140&gt;0),PMT(Cal!$F$86/12,B140,-K140),0)</f>
        <v>0</v>
      </c>
      <c r="AB141" s="650">
        <f t="shared" si="26"/>
        <v>0</v>
      </c>
      <c r="AC141" s="639">
        <f t="shared" si="27"/>
        <v>0</v>
      </c>
      <c r="AD141" s="639">
        <f>IF(AND($AD$12=1,$AB$12=2),PMT(Adm!$AH$7/12,B140,-K140),0)</f>
        <v>0</v>
      </c>
      <c r="AE141" s="639">
        <f t="shared" si="25"/>
        <v>0</v>
      </c>
      <c r="AF141" s="636">
        <f t="shared" si="23"/>
        <v>0</v>
      </c>
      <c r="AG141" s="647" t="e">
        <f>Captura!AG238</f>
        <v>#N/A</v>
      </c>
    </row>
    <row r="142" spans="1:33">
      <c r="A142" s="151">
        <f t="shared" ca="1" si="15"/>
        <v>4</v>
      </c>
      <c r="B142" s="195">
        <f t="shared" si="16"/>
        <v>0</v>
      </c>
      <c r="C142" s="199">
        <f t="shared" si="17"/>
        <v>0</v>
      </c>
      <c r="D142" s="333">
        <f t="shared" si="24"/>
        <v>0</v>
      </c>
      <c r="E142" s="133">
        <f t="shared" si="18"/>
        <v>0</v>
      </c>
      <c r="F142" s="133">
        <f t="shared" si="19"/>
        <v>0</v>
      </c>
      <c r="G142" s="150">
        <f t="shared" si="28"/>
        <v>0</v>
      </c>
      <c r="H142" s="133">
        <f>IF(K141&lt;0.01,0,IF(Adm!$R$3=Adm!$R$6,0,IF(Adm!$S$10=Adm!$S$13,K141*Adm!$X$6,IF(Adm!$S$10=Adm!$S$11,K141*Adm!$X$3,IF(Adm!$S$10=Adm!$S$12,K141*Adm!$Y$3)))))</f>
        <v>0</v>
      </c>
      <c r="I142" s="133">
        <f>IF(K141&lt;0.01,0,E142*Adm!$N$7)</f>
        <v>0</v>
      </c>
      <c r="J142" s="133">
        <f t="shared" si="20"/>
        <v>0</v>
      </c>
      <c r="K142" s="133">
        <f t="shared" si="21"/>
        <v>0</v>
      </c>
      <c r="L142" s="361"/>
      <c r="V142" s="571">
        <f t="shared" si="22"/>
        <v>5</v>
      </c>
      <c r="W142" s="846">
        <f>IF(Adm!$AF$3=Adm!$AF$6,0,IF(V142=1,Adm!$AN$2,0))</f>
        <v>0</v>
      </c>
      <c r="Y142" s="338">
        <f>IF(AND($L$14=$AB$10,Adm!$AF$3=Adm!$AF$6,L141&gt;0),PMT(Cal!$F$86/12,B141,-K141),0)</f>
        <v>0</v>
      </c>
      <c r="AB142" s="650">
        <f t="shared" si="26"/>
        <v>0</v>
      </c>
      <c r="AC142" s="639">
        <f t="shared" si="27"/>
        <v>0</v>
      </c>
      <c r="AD142" s="639">
        <f>IF(AND($AD$12=1,$AB$12=2),PMT(Adm!$AH$7/12,B141,-K141),0)</f>
        <v>0</v>
      </c>
      <c r="AE142" s="639">
        <f t="shared" si="25"/>
        <v>0</v>
      </c>
      <c r="AF142" s="636">
        <f t="shared" si="23"/>
        <v>0</v>
      </c>
      <c r="AG142" s="647" t="e">
        <f>Captura!AG239</f>
        <v>#N/A</v>
      </c>
    </row>
    <row r="143" spans="1:33">
      <c r="A143" s="151">
        <f t="shared" ca="1" si="15"/>
        <v>5</v>
      </c>
      <c r="B143" s="195">
        <f t="shared" si="16"/>
        <v>0</v>
      </c>
      <c r="C143" s="199">
        <f t="shared" si="17"/>
        <v>0</v>
      </c>
      <c r="D143" s="333">
        <f t="shared" si="24"/>
        <v>0</v>
      </c>
      <c r="E143" s="133">
        <f t="shared" si="18"/>
        <v>0</v>
      </c>
      <c r="F143" s="133">
        <f t="shared" si="19"/>
        <v>0</v>
      </c>
      <c r="G143" s="150">
        <f t="shared" si="28"/>
        <v>0</v>
      </c>
      <c r="H143" s="133">
        <f>IF(K142&lt;0.01,0,IF(Adm!$R$3=Adm!$R$6,0,IF(Adm!$S$10=Adm!$S$13,K142*Adm!$X$6,IF(Adm!$S$10=Adm!$S$11,K142*Adm!$X$3,IF(Adm!$S$10=Adm!$S$12,K142*Adm!$Y$3)))))</f>
        <v>0</v>
      </c>
      <c r="I143" s="133">
        <f>IF(K142&lt;0.01,0,E143*Adm!$N$7)</f>
        <v>0</v>
      </c>
      <c r="J143" s="133">
        <f t="shared" si="20"/>
        <v>0</v>
      </c>
      <c r="K143" s="133">
        <f t="shared" si="21"/>
        <v>0</v>
      </c>
      <c r="L143" s="361"/>
      <c r="V143" s="571">
        <f t="shared" si="22"/>
        <v>6</v>
      </c>
      <c r="W143" s="846">
        <f>IF(Adm!$AF$3=Adm!$AF$6,0,IF(V143=1,Adm!$AN$2,0))</f>
        <v>0</v>
      </c>
      <c r="Y143" s="338">
        <f>IF(AND($L$14=$AB$10,Adm!$AF$3=Adm!$AF$6,L142&gt;0),PMT(Cal!$F$86/12,B142,-K142),0)</f>
        <v>0</v>
      </c>
      <c r="AB143" s="650">
        <f t="shared" si="26"/>
        <v>0</v>
      </c>
      <c r="AC143" s="639">
        <f t="shared" si="27"/>
        <v>0</v>
      </c>
      <c r="AD143" s="639">
        <f>IF(AND($AD$12=1,$AB$12=2),PMT(Adm!$AH$7/12,B142,-K142),0)</f>
        <v>0</v>
      </c>
      <c r="AE143" s="639">
        <f t="shared" si="25"/>
        <v>0</v>
      </c>
      <c r="AF143" s="636">
        <f t="shared" si="23"/>
        <v>0</v>
      </c>
      <c r="AG143" s="647" t="e">
        <f>Captura!AG240</f>
        <v>#N/A</v>
      </c>
    </row>
    <row r="144" spans="1:33">
      <c r="A144" s="151">
        <f t="shared" ca="1" si="15"/>
        <v>6</v>
      </c>
      <c r="B144" s="195">
        <f t="shared" si="16"/>
        <v>0</v>
      </c>
      <c r="C144" s="199">
        <f t="shared" si="17"/>
        <v>0</v>
      </c>
      <c r="D144" s="333">
        <f t="shared" si="24"/>
        <v>0</v>
      </c>
      <c r="E144" s="133">
        <f t="shared" si="18"/>
        <v>0</v>
      </c>
      <c r="F144" s="133">
        <f t="shared" si="19"/>
        <v>0</v>
      </c>
      <c r="G144" s="150">
        <f t="shared" si="28"/>
        <v>0</v>
      </c>
      <c r="H144" s="133">
        <f>IF(K143&lt;0.01,0,IF(Adm!$R$3=Adm!$R$6,0,IF(Adm!$S$10=Adm!$S$13,K143*Adm!$X$6,IF(Adm!$S$10=Adm!$S$11,K143*Adm!$X$3,IF(Adm!$S$10=Adm!$S$12,K143*Adm!$Y$3)))))</f>
        <v>0</v>
      </c>
      <c r="I144" s="133">
        <f>IF(K143&lt;0.01,0,E144*Adm!$N$7)</f>
        <v>0</v>
      </c>
      <c r="J144" s="133">
        <f t="shared" si="20"/>
        <v>0</v>
      </c>
      <c r="K144" s="133">
        <f t="shared" si="21"/>
        <v>0</v>
      </c>
      <c r="L144" s="361"/>
      <c r="V144" s="571">
        <f t="shared" si="22"/>
        <v>7</v>
      </c>
      <c r="W144" s="846">
        <f>IF(Adm!$AF$3=Adm!$AF$6,0,IF(V144=1,Adm!$AN$2,0))</f>
        <v>0</v>
      </c>
      <c r="Y144" s="338">
        <f>IF(AND($L$14=$AB$10,Adm!$AF$3=Adm!$AF$6,L143&gt;0),PMT(Cal!$F$86/12,B143,-K143),0)</f>
        <v>0</v>
      </c>
      <c r="AB144" s="650">
        <f t="shared" si="26"/>
        <v>0</v>
      </c>
      <c r="AC144" s="639">
        <f t="shared" si="27"/>
        <v>0</v>
      </c>
      <c r="AD144" s="639">
        <f>IF(AND($AD$12=1,$AB$12=2),PMT(Adm!$AH$7/12,B143,-K143),0)</f>
        <v>0</v>
      </c>
      <c r="AE144" s="639">
        <f t="shared" si="25"/>
        <v>0</v>
      </c>
      <c r="AF144" s="636">
        <f t="shared" si="23"/>
        <v>0</v>
      </c>
      <c r="AG144" s="647" t="e">
        <f>Captura!AG241</f>
        <v>#N/A</v>
      </c>
    </row>
    <row r="145" spans="1:33">
      <c r="A145" s="151">
        <f t="shared" ca="1" si="15"/>
        <v>7</v>
      </c>
      <c r="B145" s="195">
        <f t="shared" si="16"/>
        <v>0</v>
      </c>
      <c r="C145" s="199">
        <f t="shared" si="17"/>
        <v>0</v>
      </c>
      <c r="D145" s="333">
        <f t="shared" si="24"/>
        <v>0</v>
      </c>
      <c r="E145" s="133">
        <f t="shared" si="18"/>
        <v>0</v>
      </c>
      <c r="F145" s="133">
        <f t="shared" si="19"/>
        <v>0</v>
      </c>
      <c r="G145" s="150">
        <f t="shared" si="28"/>
        <v>0</v>
      </c>
      <c r="H145" s="133">
        <f>IF(K144&lt;0.01,0,IF(Adm!$R$3=Adm!$R$6,0,IF(Adm!$S$10=Adm!$S$13,K144*Adm!$X$6,IF(Adm!$S$10=Adm!$S$11,K144*Adm!$X$3,IF(Adm!$S$10=Adm!$S$12,K144*Adm!$Y$3)))))</f>
        <v>0</v>
      </c>
      <c r="I145" s="133">
        <f>IF(K144&lt;0.01,0,E145*Adm!$N$7)</f>
        <v>0</v>
      </c>
      <c r="J145" s="133">
        <f t="shared" si="20"/>
        <v>0</v>
      </c>
      <c r="K145" s="133">
        <f t="shared" si="21"/>
        <v>0</v>
      </c>
      <c r="L145" s="361"/>
      <c r="V145" s="571">
        <f t="shared" si="22"/>
        <v>8</v>
      </c>
      <c r="W145" s="846">
        <f>IF(Adm!$AF$3=Adm!$AF$6,0,IF(V145=1,Adm!$AN$2,0))</f>
        <v>0</v>
      </c>
      <c r="Y145" s="338">
        <f>IF(AND($L$14=$AB$10,Adm!$AF$3=Adm!$AF$6,L144&gt;0),PMT(Cal!$F$86/12,B144,-K144),0)</f>
        <v>0</v>
      </c>
      <c r="AB145" s="650">
        <f t="shared" si="26"/>
        <v>0</v>
      </c>
      <c r="AC145" s="639">
        <f t="shared" si="27"/>
        <v>0</v>
      </c>
      <c r="AD145" s="639">
        <f>IF(AND($AD$12=1,$AB$12=2),PMT(Adm!$AH$7/12,B144,-K144),0)</f>
        <v>0</v>
      </c>
      <c r="AE145" s="639">
        <f t="shared" si="25"/>
        <v>0</v>
      </c>
      <c r="AF145" s="636">
        <f t="shared" si="23"/>
        <v>0</v>
      </c>
      <c r="AG145" s="647" t="e">
        <f>Captura!AG242</f>
        <v>#N/A</v>
      </c>
    </row>
    <row r="146" spans="1:33">
      <c r="A146" s="151">
        <f t="shared" ref="A146:A209" ca="1" si="29">IF(A145=12,1,A145+1)</f>
        <v>8</v>
      </c>
      <c r="B146" s="195">
        <f t="shared" si="16"/>
        <v>0</v>
      </c>
      <c r="C146" s="199">
        <f t="shared" si="17"/>
        <v>0</v>
      </c>
      <c r="D146" s="333">
        <f t="shared" si="24"/>
        <v>0</v>
      </c>
      <c r="E146" s="133">
        <f t="shared" si="18"/>
        <v>0</v>
      </c>
      <c r="F146" s="133">
        <f t="shared" si="19"/>
        <v>0</v>
      </c>
      <c r="G146" s="150">
        <f t="shared" si="28"/>
        <v>0</v>
      </c>
      <c r="H146" s="133">
        <f>IF(K145&lt;0.01,0,IF(Adm!$R$3=Adm!$R$6,0,IF(Adm!$S$10=Adm!$S$13,K145*Adm!$X$6,IF(Adm!$S$10=Adm!$S$11,K145*Adm!$X$3,IF(Adm!$S$10=Adm!$S$12,K145*Adm!$Y$3)))))</f>
        <v>0</v>
      </c>
      <c r="I146" s="133">
        <f>IF(K145&lt;0.01,0,E146*Adm!$N$7)</f>
        <v>0</v>
      </c>
      <c r="J146" s="133">
        <f t="shared" si="20"/>
        <v>0</v>
      </c>
      <c r="K146" s="133">
        <f t="shared" si="21"/>
        <v>0</v>
      </c>
      <c r="L146" s="361"/>
      <c r="V146" s="571">
        <f t="shared" si="22"/>
        <v>9</v>
      </c>
      <c r="W146" s="846">
        <f>IF(Adm!$AF$3=Adm!$AF$6,0,IF(V146=1,Adm!$AN$2,0))</f>
        <v>0</v>
      </c>
      <c r="Y146" s="338">
        <f>IF(AND($L$14=$AB$10,Adm!$AF$3=Adm!$AF$6,L145&gt;0),PMT(Cal!$F$86/12,B145,-K145),0)</f>
        <v>0</v>
      </c>
      <c r="AB146" s="650">
        <f t="shared" si="26"/>
        <v>0</v>
      </c>
      <c r="AC146" s="639">
        <f t="shared" si="27"/>
        <v>0</v>
      </c>
      <c r="AD146" s="639">
        <f>IF(AND($AD$12=1,$AB$12=2),PMT(Adm!$AH$7/12,B145,-K145),0)</f>
        <v>0</v>
      </c>
      <c r="AE146" s="639">
        <f t="shared" si="25"/>
        <v>0</v>
      </c>
      <c r="AF146" s="636">
        <f t="shared" si="23"/>
        <v>0</v>
      </c>
      <c r="AG146" s="647" t="e">
        <f>Captura!AG243</f>
        <v>#N/A</v>
      </c>
    </row>
    <row r="147" spans="1:33">
      <c r="A147" s="151">
        <f t="shared" ca="1" si="29"/>
        <v>9</v>
      </c>
      <c r="B147" s="195">
        <f t="shared" ref="B147:B210" si="30">IF(K146&lt;0.01,0,B146-1)</f>
        <v>0</v>
      </c>
      <c r="C147" s="199">
        <f t="shared" ref="C147:C210" si="31">IF(K146&lt;0.01,0,C146+1)</f>
        <v>0</v>
      </c>
      <c r="D147" s="333">
        <f t="shared" si="24"/>
        <v>0</v>
      </c>
      <c r="E147" s="133">
        <f t="shared" ref="E147:E210" si="32">IF(K146&lt;0.01,0,K146*D147/12)</f>
        <v>0</v>
      </c>
      <c r="F147" s="133">
        <f t="shared" ref="F147:F210" si="33">IF(K146&lt;0.01,0,G147-E147)</f>
        <v>0</v>
      </c>
      <c r="G147" s="150">
        <f t="shared" si="28"/>
        <v>0</v>
      </c>
      <c r="H147" s="133">
        <f>IF(K146&lt;0.01,0,IF(Adm!$R$3=Adm!$R$6,0,IF(Adm!$S$10=Adm!$S$13,K146*Adm!$X$6,IF(Adm!$S$10=Adm!$S$11,K146*Adm!$X$3,IF(Adm!$S$10=Adm!$S$12,K146*Adm!$Y$3)))))</f>
        <v>0</v>
      </c>
      <c r="I147" s="133">
        <f>IF(K146&lt;0.01,0,E147*Adm!$N$7)</f>
        <v>0</v>
      </c>
      <c r="J147" s="133">
        <f t="shared" ref="J147:J210" si="34">G147+H147+I147</f>
        <v>0</v>
      </c>
      <c r="K147" s="133">
        <f t="shared" ref="K147:K210" si="35">IF(K146&lt;0.01,0,K146-F147-L147)</f>
        <v>0</v>
      </c>
      <c r="L147" s="361"/>
      <c r="V147" s="571">
        <f t="shared" ref="V147:V210" si="36">IF(V146=12,1,V146+1)</f>
        <v>10</v>
      </c>
      <c r="W147" s="846">
        <f>IF(Adm!$AF$3=Adm!$AF$6,0,IF(V147=1,Adm!$AN$2,0))</f>
        <v>0</v>
      </c>
      <c r="Y147" s="338">
        <f>IF(AND($L$14=$AB$10,Adm!$AF$3=Adm!$AF$6,L146&gt;0),PMT(Cal!$F$86/12,B146,-K146),0)</f>
        <v>0</v>
      </c>
      <c r="AB147" s="650">
        <f t="shared" si="26"/>
        <v>0</v>
      </c>
      <c r="AC147" s="639">
        <f t="shared" si="27"/>
        <v>0</v>
      </c>
      <c r="AD147" s="639">
        <f>IF(AND($AD$12=1,$AB$12=2),PMT(Adm!$AH$7/12,B146,-K146),0)</f>
        <v>0</v>
      </c>
      <c r="AE147" s="639">
        <f t="shared" si="25"/>
        <v>0</v>
      </c>
      <c r="AF147" s="636">
        <f t="shared" ref="AF147:AF210" si="37">IF(AND($AD$12=2,L146&lt;0.01),0,IF($AD$12=2,(K146*AG147)+E147,0))</f>
        <v>0</v>
      </c>
      <c r="AG147" s="647" t="e">
        <f>Captura!AG244</f>
        <v>#N/A</v>
      </c>
    </row>
    <row r="148" spans="1:33">
      <c r="A148" s="151">
        <f t="shared" ca="1" si="29"/>
        <v>10</v>
      </c>
      <c r="B148" s="195">
        <f t="shared" si="30"/>
        <v>0</v>
      </c>
      <c r="C148" s="199">
        <f t="shared" si="31"/>
        <v>0</v>
      </c>
      <c r="D148" s="333">
        <f t="shared" ref="D148:D211" si="38">IF(K147&lt;0.01,0,D147)</f>
        <v>0</v>
      </c>
      <c r="E148" s="133">
        <f t="shared" si="32"/>
        <v>0</v>
      </c>
      <c r="F148" s="133">
        <f t="shared" si="33"/>
        <v>0</v>
      </c>
      <c r="G148" s="150">
        <f t="shared" si="28"/>
        <v>0</v>
      </c>
      <c r="H148" s="133">
        <f>IF(K147&lt;0.01,0,IF(Adm!$R$3=Adm!$R$6,0,IF(Adm!$S$10=Adm!$S$13,K147*Adm!$X$6,IF(Adm!$S$10=Adm!$S$11,K147*Adm!$X$3,IF(Adm!$S$10=Adm!$S$12,K147*Adm!$Y$3)))))</f>
        <v>0</v>
      </c>
      <c r="I148" s="133">
        <f>IF(K147&lt;0.01,0,E148*Adm!$N$7)</f>
        <v>0</v>
      </c>
      <c r="J148" s="133">
        <f t="shared" si="34"/>
        <v>0</v>
      </c>
      <c r="K148" s="133">
        <f t="shared" si="35"/>
        <v>0</v>
      </c>
      <c r="L148" s="361"/>
      <c r="V148" s="571">
        <f t="shared" si="36"/>
        <v>11</v>
      </c>
      <c r="W148" s="846">
        <f>IF(Adm!$AF$3=Adm!$AF$6,0,IF(V148=1,Adm!$AN$2,0))</f>
        <v>0</v>
      </c>
      <c r="Y148" s="338">
        <f>IF(AND($L$14=$AB$10,Adm!$AF$3=Adm!$AF$6,L147&gt;0),PMT(Cal!$F$86/12,B147,-K147),0)</f>
        <v>0</v>
      </c>
      <c r="AB148" s="650">
        <f t="shared" si="26"/>
        <v>0</v>
      </c>
      <c r="AC148" s="639">
        <f t="shared" si="27"/>
        <v>0</v>
      </c>
      <c r="AD148" s="639">
        <f>IF(AND($AD$12=1,$AB$12=2),PMT(Adm!$AH$7/12,B147,-K147),0)</f>
        <v>0</v>
      </c>
      <c r="AE148" s="639">
        <f t="shared" ref="AE148:AE211" si="39">IF(AND(AF148&gt;0.01,$AB$12=2),AF148,0)</f>
        <v>0</v>
      </c>
      <c r="AF148" s="636">
        <f t="shared" si="37"/>
        <v>0</v>
      </c>
      <c r="AG148" s="647" t="e">
        <f>Captura!AG245</f>
        <v>#N/A</v>
      </c>
    </row>
    <row r="149" spans="1:33">
      <c r="A149" s="151">
        <f t="shared" ca="1" si="29"/>
        <v>11</v>
      </c>
      <c r="B149" s="195">
        <f t="shared" si="30"/>
        <v>0</v>
      </c>
      <c r="C149" s="199">
        <f t="shared" si="31"/>
        <v>0</v>
      </c>
      <c r="D149" s="333">
        <f t="shared" si="38"/>
        <v>0</v>
      </c>
      <c r="E149" s="133">
        <f t="shared" si="32"/>
        <v>0</v>
      </c>
      <c r="F149" s="133">
        <f t="shared" si="33"/>
        <v>0</v>
      </c>
      <c r="G149" s="150">
        <f t="shared" si="28"/>
        <v>0</v>
      </c>
      <c r="H149" s="133">
        <f>IF(K148&lt;0.01,0,IF(Adm!$R$3=Adm!$R$6,0,IF(Adm!$S$10=Adm!$S$13,K148*Adm!$X$6,IF(Adm!$S$10=Adm!$S$11,K148*Adm!$X$3,IF(Adm!$S$10=Adm!$S$12,K148*Adm!$Y$3)))))</f>
        <v>0</v>
      </c>
      <c r="I149" s="133">
        <f>IF(K148&lt;0.01,0,E149*Adm!$N$7)</f>
        <v>0</v>
      </c>
      <c r="J149" s="133">
        <f t="shared" si="34"/>
        <v>0</v>
      </c>
      <c r="K149" s="133">
        <f t="shared" si="35"/>
        <v>0</v>
      </c>
      <c r="L149" s="361"/>
      <c r="V149" s="571">
        <f t="shared" si="36"/>
        <v>12</v>
      </c>
      <c r="W149" s="846">
        <f>IF(Adm!$AF$3=Adm!$AF$6,0,IF(V149=1,Adm!$AN$2,0))</f>
        <v>0</v>
      </c>
      <c r="Y149" s="338">
        <f>IF(AND($L$14=$AB$10,Adm!$AF$3=Adm!$AF$6,L148&gt;0),PMT(Cal!$F$86/12,B148,-K148),0)</f>
        <v>0</v>
      </c>
      <c r="AB149" s="650">
        <f t="shared" ref="AB149:AB212" si="40">IF(AC149&gt;1,AC149,IF(AE149&gt;1,AE149,0))</f>
        <v>0</v>
      </c>
      <c r="AC149" s="639">
        <f t="shared" ref="AC149:AC212" si="41">IF(AND($AD$12=1,L148&gt;0.1),AD149,0)</f>
        <v>0</v>
      </c>
      <c r="AD149" s="639">
        <f>IF(AND($AD$12=1,$AB$12=2),PMT(Adm!$AH$7/12,B148,-K148),0)</f>
        <v>0</v>
      </c>
      <c r="AE149" s="639">
        <f t="shared" si="39"/>
        <v>0</v>
      </c>
      <c r="AF149" s="636">
        <f t="shared" si="37"/>
        <v>0</v>
      </c>
      <c r="AG149" s="647" t="e">
        <f>Captura!AG246</f>
        <v>#N/A</v>
      </c>
    </row>
    <row r="150" spans="1:33">
      <c r="A150" s="151">
        <f t="shared" ca="1" si="29"/>
        <v>12</v>
      </c>
      <c r="B150" s="195">
        <f t="shared" si="30"/>
        <v>0</v>
      </c>
      <c r="C150" s="199">
        <f t="shared" si="31"/>
        <v>0</v>
      </c>
      <c r="D150" s="333">
        <f t="shared" si="38"/>
        <v>0</v>
      </c>
      <c r="E150" s="133">
        <f t="shared" si="32"/>
        <v>0</v>
      </c>
      <c r="F150" s="133">
        <f t="shared" si="33"/>
        <v>0</v>
      </c>
      <c r="G150" s="150">
        <f t="shared" si="28"/>
        <v>0</v>
      </c>
      <c r="H150" s="133">
        <f>IF(K149&lt;0.01,0,IF(Adm!$R$3=Adm!$R$6,0,IF(Adm!$S$10=Adm!$S$13,K149*Adm!$X$6,IF(Adm!$S$10=Adm!$S$11,K149*Adm!$X$3,IF(Adm!$S$10=Adm!$S$12,K149*Adm!$Y$3)))))</f>
        <v>0</v>
      </c>
      <c r="I150" s="133">
        <f>IF(K149&lt;0.01,0,E150*Adm!$N$7)</f>
        <v>0</v>
      </c>
      <c r="J150" s="133">
        <f t="shared" si="34"/>
        <v>0</v>
      </c>
      <c r="K150" s="133">
        <f t="shared" si="35"/>
        <v>0</v>
      </c>
      <c r="L150" s="361"/>
      <c r="V150" s="571">
        <f t="shared" si="36"/>
        <v>1</v>
      </c>
      <c r="W150" s="846">
        <f>IF(Adm!$AF$3=Adm!$AF$6,0,IF(V150=1,Adm!$AN$2,0))</f>
        <v>0</v>
      </c>
      <c r="Y150" s="338">
        <f>IF(AND($L$14=$AB$10,Adm!$AF$3=Adm!$AF$6,L149&gt;0),PMT(Cal!$F$86/12,B149,-K149),0)</f>
        <v>0</v>
      </c>
      <c r="AB150" s="650">
        <f t="shared" si="40"/>
        <v>0</v>
      </c>
      <c r="AC150" s="639">
        <f t="shared" si="41"/>
        <v>0</v>
      </c>
      <c r="AD150" s="639">
        <f>IF(AND($AD$12=1,$AB$12=2),PMT(Adm!$AH$7/12,B149,-K149),0)</f>
        <v>0</v>
      </c>
      <c r="AE150" s="639">
        <f t="shared" si="39"/>
        <v>0</v>
      </c>
      <c r="AF150" s="636">
        <f t="shared" si="37"/>
        <v>0</v>
      </c>
      <c r="AG150" s="647" t="e">
        <f>Captura!AG247</f>
        <v>#N/A</v>
      </c>
    </row>
    <row r="151" spans="1:33">
      <c r="A151" s="151">
        <f t="shared" ca="1" si="29"/>
        <v>1</v>
      </c>
      <c r="B151" s="195">
        <f t="shared" si="30"/>
        <v>0</v>
      </c>
      <c r="C151" s="199">
        <f t="shared" si="31"/>
        <v>0</v>
      </c>
      <c r="D151" s="333">
        <f t="shared" si="38"/>
        <v>0</v>
      </c>
      <c r="E151" s="133">
        <f t="shared" si="32"/>
        <v>0</v>
      </c>
      <c r="F151" s="133">
        <f t="shared" si="33"/>
        <v>0</v>
      </c>
      <c r="G151" s="150">
        <f t="shared" si="28"/>
        <v>0</v>
      </c>
      <c r="H151" s="133">
        <f>IF(K150&lt;0.01,0,IF(Adm!$R$3=Adm!$R$6,0,IF(Adm!$S$10=Adm!$S$13,K150*Adm!$X$6,IF(Adm!$S$10=Adm!$S$11,K150*Adm!$X$3,IF(Adm!$S$10=Adm!$S$12,K150*Adm!$Y$3)))))</f>
        <v>0</v>
      </c>
      <c r="I151" s="133">
        <f>IF(K150&lt;0.01,0,E151*Adm!$N$7)</f>
        <v>0</v>
      </c>
      <c r="J151" s="133">
        <f t="shared" si="34"/>
        <v>0</v>
      </c>
      <c r="K151" s="133">
        <f t="shared" si="35"/>
        <v>0</v>
      </c>
      <c r="L151" s="361"/>
      <c r="V151" s="571">
        <f t="shared" si="36"/>
        <v>2</v>
      </c>
      <c r="W151" s="846">
        <f>IF(Adm!$AF$3=Adm!$AF$6,0,IF(V151=1,Adm!$AN$2,0))</f>
        <v>0</v>
      </c>
      <c r="Y151" s="338">
        <f>IF(AND($L$14=$AB$10,Adm!$AF$3=Adm!$AF$6,L150&gt;0),PMT(Cal!$F$86/12,B150,-K150),0)</f>
        <v>0</v>
      </c>
      <c r="AB151" s="650">
        <f t="shared" si="40"/>
        <v>0</v>
      </c>
      <c r="AC151" s="639">
        <f t="shared" si="41"/>
        <v>0</v>
      </c>
      <c r="AD151" s="639">
        <f>IF(AND($AD$12=1,$AB$12=2),PMT(Adm!$AH$7/12,B150,-K150),0)</f>
        <v>0</v>
      </c>
      <c r="AE151" s="639">
        <f t="shared" si="39"/>
        <v>0</v>
      </c>
      <c r="AF151" s="636">
        <f t="shared" si="37"/>
        <v>0</v>
      </c>
      <c r="AG151" s="647" t="e">
        <f>Captura!AG248</f>
        <v>#N/A</v>
      </c>
    </row>
    <row r="152" spans="1:33">
      <c r="A152" s="151">
        <f t="shared" ca="1" si="29"/>
        <v>2</v>
      </c>
      <c r="B152" s="195">
        <f t="shared" si="30"/>
        <v>0</v>
      </c>
      <c r="C152" s="199">
        <f t="shared" si="31"/>
        <v>0</v>
      </c>
      <c r="D152" s="333">
        <f t="shared" si="38"/>
        <v>0</v>
      </c>
      <c r="E152" s="133">
        <f t="shared" si="32"/>
        <v>0</v>
      </c>
      <c r="F152" s="133">
        <f t="shared" si="33"/>
        <v>0</v>
      </c>
      <c r="G152" s="150">
        <f t="shared" si="28"/>
        <v>0</v>
      </c>
      <c r="H152" s="133">
        <f>IF(K151&lt;0.01,0,IF(Adm!$R$3=Adm!$R$6,0,IF(Adm!$S$10=Adm!$S$13,K151*Adm!$X$6,IF(Adm!$S$10=Adm!$S$11,K151*Adm!$X$3,IF(Adm!$S$10=Adm!$S$12,K151*Adm!$Y$3)))))</f>
        <v>0</v>
      </c>
      <c r="I152" s="133">
        <f>IF(K151&lt;0.01,0,E152*Adm!$N$7)</f>
        <v>0</v>
      </c>
      <c r="J152" s="133">
        <f t="shared" si="34"/>
        <v>0</v>
      </c>
      <c r="K152" s="133">
        <f t="shared" si="35"/>
        <v>0</v>
      </c>
      <c r="L152" s="361"/>
      <c r="V152" s="571">
        <f t="shared" si="36"/>
        <v>3</v>
      </c>
      <c r="W152" s="846">
        <f>IF(Adm!$AF$3=Adm!$AF$6,0,IF(V152=1,Adm!$AN$2,0))</f>
        <v>0</v>
      </c>
      <c r="Y152" s="338">
        <f>IF(AND($L$14=$AB$10,Adm!$AF$3=Adm!$AF$6,L151&gt;0),PMT(Cal!$F$86/12,B151,-K151),0)</f>
        <v>0</v>
      </c>
      <c r="AB152" s="650">
        <f t="shared" si="40"/>
        <v>0</v>
      </c>
      <c r="AC152" s="639">
        <f t="shared" si="41"/>
        <v>0</v>
      </c>
      <c r="AD152" s="639">
        <f>IF(AND($AD$12=1,$AB$12=2),PMT(Adm!$AH$7/12,B151,-K151),0)</f>
        <v>0</v>
      </c>
      <c r="AE152" s="639">
        <f t="shared" si="39"/>
        <v>0</v>
      </c>
      <c r="AF152" s="636">
        <f t="shared" si="37"/>
        <v>0</v>
      </c>
      <c r="AG152" s="647" t="e">
        <f>Captura!AG249</f>
        <v>#N/A</v>
      </c>
    </row>
    <row r="153" spans="1:33">
      <c r="A153" s="151">
        <f t="shared" ca="1" si="29"/>
        <v>3</v>
      </c>
      <c r="B153" s="195">
        <f t="shared" si="30"/>
        <v>0</v>
      </c>
      <c r="C153" s="199">
        <f t="shared" si="31"/>
        <v>0</v>
      </c>
      <c r="D153" s="333">
        <f t="shared" si="38"/>
        <v>0</v>
      </c>
      <c r="E153" s="133">
        <f t="shared" si="32"/>
        <v>0</v>
      </c>
      <c r="F153" s="133">
        <f t="shared" si="33"/>
        <v>0</v>
      </c>
      <c r="G153" s="150">
        <f t="shared" si="28"/>
        <v>0</v>
      </c>
      <c r="H153" s="133">
        <f>IF(K152&lt;0.01,0,IF(Adm!$R$3=Adm!$R$6,0,IF(Adm!$S$10=Adm!$S$13,K152*Adm!$X$6,IF(Adm!$S$10=Adm!$S$11,K152*Adm!$X$3,IF(Adm!$S$10=Adm!$S$12,K152*Adm!$Y$3)))))</f>
        <v>0</v>
      </c>
      <c r="I153" s="133">
        <f>IF(K152&lt;0.01,0,E153*Adm!$N$7)</f>
        <v>0</v>
      </c>
      <c r="J153" s="133">
        <f t="shared" si="34"/>
        <v>0</v>
      </c>
      <c r="K153" s="133">
        <f t="shared" si="35"/>
        <v>0</v>
      </c>
      <c r="L153" s="361"/>
      <c r="V153" s="571">
        <f t="shared" si="36"/>
        <v>4</v>
      </c>
      <c r="W153" s="846">
        <f>IF(Adm!$AF$3=Adm!$AF$6,0,IF(V153=1,Adm!$AN$2,0))</f>
        <v>0</v>
      </c>
      <c r="Y153" s="338">
        <f>IF(AND($L$14=$AB$10,Adm!$AF$3=Adm!$AF$6,L152&gt;0),PMT(Cal!$F$86/12,B152,-K152),0)</f>
        <v>0</v>
      </c>
      <c r="AB153" s="650">
        <f t="shared" si="40"/>
        <v>0</v>
      </c>
      <c r="AC153" s="639">
        <f t="shared" si="41"/>
        <v>0</v>
      </c>
      <c r="AD153" s="639">
        <f>IF(AND($AD$12=1,$AB$12=2),PMT(Adm!$AH$7/12,B152,-K152),0)</f>
        <v>0</v>
      </c>
      <c r="AE153" s="639">
        <f t="shared" si="39"/>
        <v>0</v>
      </c>
      <c r="AF153" s="636">
        <f t="shared" si="37"/>
        <v>0</v>
      </c>
      <c r="AG153" s="647" t="e">
        <f>Captura!AG250</f>
        <v>#N/A</v>
      </c>
    </row>
    <row r="154" spans="1:33">
      <c r="A154" s="151">
        <f t="shared" ca="1" si="29"/>
        <v>4</v>
      </c>
      <c r="B154" s="195">
        <f t="shared" si="30"/>
        <v>0</v>
      </c>
      <c r="C154" s="199">
        <f t="shared" si="31"/>
        <v>0</v>
      </c>
      <c r="D154" s="333">
        <f t="shared" si="38"/>
        <v>0</v>
      </c>
      <c r="E154" s="133">
        <f t="shared" si="32"/>
        <v>0</v>
      </c>
      <c r="F154" s="133">
        <f t="shared" si="33"/>
        <v>0</v>
      </c>
      <c r="G154" s="150">
        <f t="shared" si="28"/>
        <v>0</v>
      </c>
      <c r="H154" s="133">
        <f>IF(K153&lt;0.01,0,IF(Adm!$R$3=Adm!$R$6,0,IF(Adm!$S$10=Adm!$S$13,K153*Adm!$X$6,IF(Adm!$S$10=Adm!$S$11,K153*Adm!$X$3,IF(Adm!$S$10=Adm!$S$12,K153*Adm!$Y$3)))))</f>
        <v>0</v>
      </c>
      <c r="I154" s="133">
        <f>IF(K153&lt;0.01,0,E154*Adm!$N$7)</f>
        <v>0</v>
      </c>
      <c r="J154" s="133">
        <f t="shared" si="34"/>
        <v>0</v>
      </c>
      <c r="K154" s="133">
        <f t="shared" si="35"/>
        <v>0</v>
      </c>
      <c r="L154" s="361"/>
      <c r="V154" s="571">
        <f t="shared" si="36"/>
        <v>5</v>
      </c>
      <c r="W154" s="846">
        <f>IF(Adm!$AF$3=Adm!$AF$6,0,IF(V154=1,Adm!$AN$2,0))</f>
        <v>0</v>
      </c>
      <c r="Y154" s="338">
        <f>IF(AND($L$14=$AB$10,Adm!$AF$3=Adm!$AF$6,L153&gt;0),PMT(Cal!$F$86/12,B153,-K153),0)</f>
        <v>0</v>
      </c>
      <c r="AB154" s="650">
        <f t="shared" si="40"/>
        <v>0</v>
      </c>
      <c r="AC154" s="639">
        <f t="shared" si="41"/>
        <v>0</v>
      </c>
      <c r="AD154" s="639">
        <f>IF(AND($AD$12=1,$AB$12=2),PMT(Adm!$AH$7/12,B153,-K153),0)</f>
        <v>0</v>
      </c>
      <c r="AE154" s="639">
        <f t="shared" si="39"/>
        <v>0</v>
      </c>
      <c r="AF154" s="636">
        <f t="shared" si="37"/>
        <v>0</v>
      </c>
      <c r="AG154" s="647" t="e">
        <f>Captura!AG251</f>
        <v>#N/A</v>
      </c>
    </row>
    <row r="155" spans="1:33">
      <c r="A155" s="151">
        <f t="shared" ca="1" si="29"/>
        <v>5</v>
      </c>
      <c r="B155" s="195">
        <f t="shared" si="30"/>
        <v>0</v>
      </c>
      <c r="C155" s="199">
        <f t="shared" si="31"/>
        <v>0</v>
      </c>
      <c r="D155" s="333">
        <f t="shared" si="38"/>
        <v>0</v>
      </c>
      <c r="E155" s="133">
        <f t="shared" si="32"/>
        <v>0</v>
      </c>
      <c r="F155" s="133">
        <f t="shared" si="33"/>
        <v>0</v>
      </c>
      <c r="G155" s="150">
        <f t="shared" si="28"/>
        <v>0</v>
      </c>
      <c r="H155" s="133">
        <f>IF(K154&lt;0.01,0,IF(Adm!$R$3=Adm!$R$6,0,IF(Adm!$S$10=Adm!$S$13,K154*Adm!$X$6,IF(Adm!$S$10=Adm!$S$11,K154*Adm!$X$3,IF(Adm!$S$10=Adm!$S$12,K154*Adm!$Y$3)))))</f>
        <v>0</v>
      </c>
      <c r="I155" s="133">
        <f>IF(K154&lt;0.01,0,E155*Adm!$N$7)</f>
        <v>0</v>
      </c>
      <c r="J155" s="133">
        <f t="shared" si="34"/>
        <v>0</v>
      </c>
      <c r="K155" s="133">
        <f t="shared" si="35"/>
        <v>0</v>
      </c>
      <c r="L155" s="361"/>
      <c r="V155" s="571">
        <f t="shared" si="36"/>
        <v>6</v>
      </c>
      <c r="W155" s="846">
        <f>IF(Adm!$AF$3=Adm!$AF$6,0,IF(V155=1,Adm!$AN$2,0))</f>
        <v>0</v>
      </c>
      <c r="Y155" s="338">
        <f>IF(AND($L$14=$AB$10,Adm!$AF$3=Adm!$AF$6,L154&gt;0),PMT(Cal!$F$86/12,B154,-K154),0)</f>
        <v>0</v>
      </c>
      <c r="AB155" s="650">
        <f t="shared" si="40"/>
        <v>0</v>
      </c>
      <c r="AC155" s="639">
        <f t="shared" si="41"/>
        <v>0</v>
      </c>
      <c r="AD155" s="639">
        <f>IF(AND($AD$12=1,$AB$12=2),PMT(Adm!$AH$7/12,B154,-K154),0)</f>
        <v>0</v>
      </c>
      <c r="AE155" s="639">
        <f t="shared" si="39"/>
        <v>0</v>
      </c>
      <c r="AF155" s="636">
        <f t="shared" si="37"/>
        <v>0</v>
      </c>
      <c r="AG155" s="647" t="e">
        <f>Captura!AG252</f>
        <v>#N/A</v>
      </c>
    </row>
    <row r="156" spans="1:33">
      <c r="A156" s="151">
        <f t="shared" ca="1" si="29"/>
        <v>6</v>
      </c>
      <c r="B156" s="195">
        <f t="shared" si="30"/>
        <v>0</v>
      </c>
      <c r="C156" s="199">
        <f t="shared" si="31"/>
        <v>0</v>
      </c>
      <c r="D156" s="333">
        <f t="shared" si="38"/>
        <v>0</v>
      </c>
      <c r="E156" s="133">
        <f t="shared" si="32"/>
        <v>0</v>
      </c>
      <c r="F156" s="133">
        <f t="shared" si="33"/>
        <v>0</v>
      </c>
      <c r="G156" s="150">
        <f t="shared" si="28"/>
        <v>0</v>
      </c>
      <c r="H156" s="133">
        <f>IF(K155&lt;0.01,0,IF(Adm!$R$3=Adm!$R$6,0,IF(Adm!$S$10=Adm!$S$13,K155*Adm!$X$6,IF(Adm!$S$10=Adm!$S$11,K155*Adm!$X$3,IF(Adm!$S$10=Adm!$S$12,K155*Adm!$Y$3)))))</f>
        <v>0</v>
      </c>
      <c r="I156" s="133">
        <f>IF(K155&lt;0.01,0,E156*Adm!$N$7)</f>
        <v>0</v>
      </c>
      <c r="J156" s="133">
        <f t="shared" si="34"/>
        <v>0</v>
      </c>
      <c r="K156" s="133">
        <f t="shared" si="35"/>
        <v>0</v>
      </c>
      <c r="L156" s="361"/>
      <c r="V156" s="571">
        <f t="shared" si="36"/>
        <v>7</v>
      </c>
      <c r="W156" s="846">
        <f>IF(Adm!$AF$3=Adm!$AF$6,0,IF(V156=1,Adm!$AN$2,0))</f>
        <v>0</v>
      </c>
      <c r="Y156" s="338">
        <f>IF(AND($L$14=$AB$10,Adm!$AF$3=Adm!$AF$6,L155&gt;0),PMT(Cal!$F$86/12,B155,-K155),0)</f>
        <v>0</v>
      </c>
      <c r="AB156" s="650">
        <f t="shared" si="40"/>
        <v>0</v>
      </c>
      <c r="AC156" s="639">
        <f t="shared" si="41"/>
        <v>0</v>
      </c>
      <c r="AD156" s="639">
        <f>IF(AND($AD$12=1,$AB$12=2),PMT(Adm!$AH$7/12,B155,-K155),0)</f>
        <v>0</v>
      </c>
      <c r="AE156" s="639">
        <f t="shared" si="39"/>
        <v>0</v>
      </c>
      <c r="AF156" s="636">
        <f t="shared" si="37"/>
        <v>0</v>
      </c>
      <c r="AG156" s="647" t="e">
        <f>Captura!AG253</f>
        <v>#N/A</v>
      </c>
    </row>
    <row r="157" spans="1:33">
      <c r="A157" s="151">
        <f t="shared" ca="1" si="29"/>
        <v>7</v>
      </c>
      <c r="B157" s="195">
        <f t="shared" si="30"/>
        <v>0</v>
      </c>
      <c r="C157" s="199">
        <f t="shared" si="31"/>
        <v>0</v>
      </c>
      <c r="D157" s="333">
        <f t="shared" si="38"/>
        <v>0</v>
      </c>
      <c r="E157" s="133">
        <f t="shared" si="32"/>
        <v>0</v>
      </c>
      <c r="F157" s="133">
        <f t="shared" si="33"/>
        <v>0</v>
      </c>
      <c r="G157" s="150">
        <f t="shared" si="28"/>
        <v>0</v>
      </c>
      <c r="H157" s="133">
        <f>IF(K156&lt;0.01,0,IF(Adm!$R$3=Adm!$R$6,0,IF(Adm!$S$10=Adm!$S$13,K156*Adm!$X$6,IF(Adm!$S$10=Adm!$S$11,K156*Adm!$X$3,IF(Adm!$S$10=Adm!$S$12,K156*Adm!$Y$3)))))</f>
        <v>0</v>
      </c>
      <c r="I157" s="133">
        <f>IF(K156&lt;0.01,0,E157*Adm!$N$7)</f>
        <v>0</v>
      </c>
      <c r="J157" s="133">
        <f t="shared" si="34"/>
        <v>0</v>
      </c>
      <c r="K157" s="133">
        <f t="shared" si="35"/>
        <v>0</v>
      </c>
      <c r="L157" s="361"/>
      <c r="V157" s="571">
        <f t="shared" si="36"/>
        <v>8</v>
      </c>
      <c r="W157" s="846">
        <f>IF(Adm!$AF$3=Adm!$AF$6,0,IF(V157=1,Adm!$AN$2,0))</f>
        <v>0</v>
      </c>
      <c r="Y157" s="338">
        <f>IF(AND($L$14=$AB$10,Adm!$AF$3=Adm!$AF$6,L156&gt;0),PMT(Cal!$F$86/12,B156,-K156),0)</f>
        <v>0</v>
      </c>
      <c r="AB157" s="650">
        <f t="shared" si="40"/>
        <v>0</v>
      </c>
      <c r="AC157" s="639">
        <f t="shared" si="41"/>
        <v>0</v>
      </c>
      <c r="AD157" s="639">
        <f>IF(AND($AD$12=1,$AB$12=2),PMT(Adm!$AH$7/12,B156,-K156),0)</f>
        <v>0</v>
      </c>
      <c r="AE157" s="639">
        <f t="shared" si="39"/>
        <v>0</v>
      </c>
      <c r="AF157" s="636">
        <f t="shared" si="37"/>
        <v>0</v>
      </c>
      <c r="AG157" s="647" t="e">
        <f>Captura!AG254</f>
        <v>#N/A</v>
      </c>
    </row>
    <row r="158" spans="1:33">
      <c r="A158" s="151">
        <f t="shared" ca="1" si="29"/>
        <v>8</v>
      </c>
      <c r="B158" s="195">
        <f t="shared" si="30"/>
        <v>0</v>
      </c>
      <c r="C158" s="199">
        <f t="shared" si="31"/>
        <v>0</v>
      </c>
      <c r="D158" s="333">
        <f t="shared" si="38"/>
        <v>0</v>
      </c>
      <c r="E158" s="133">
        <f t="shared" si="32"/>
        <v>0</v>
      </c>
      <c r="F158" s="133">
        <f t="shared" si="33"/>
        <v>0</v>
      </c>
      <c r="G158" s="150">
        <f t="shared" si="28"/>
        <v>0</v>
      </c>
      <c r="H158" s="133">
        <f>IF(K157&lt;0.01,0,IF(Adm!$R$3=Adm!$R$6,0,IF(Adm!$S$10=Adm!$S$13,K157*Adm!$X$6,IF(Adm!$S$10=Adm!$S$11,K157*Adm!$X$3,IF(Adm!$S$10=Adm!$S$12,K157*Adm!$Y$3)))))</f>
        <v>0</v>
      </c>
      <c r="I158" s="133">
        <f>IF(K157&lt;0.01,0,E158*Adm!$N$7)</f>
        <v>0</v>
      </c>
      <c r="J158" s="133">
        <f t="shared" si="34"/>
        <v>0</v>
      </c>
      <c r="K158" s="133">
        <f t="shared" si="35"/>
        <v>0</v>
      </c>
      <c r="L158" s="361"/>
      <c r="V158" s="571">
        <f t="shared" si="36"/>
        <v>9</v>
      </c>
      <c r="W158" s="846">
        <f>IF(Adm!$AF$3=Adm!$AF$6,0,IF(V158=1,Adm!$AN$2,0))</f>
        <v>0</v>
      </c>
      <c r="Y158" s="338">
        <f>IF(AND($L$14=$AB$10,Adm!$AF$3=Adm!$AF$6,L157&gt;0),PMT(Cal!$F$86/12,B157,-K157),0)</f>
        <v>0</v>
      </c>
      <c r="AB158" s="650">
        <f t="shared" si="40"/>
        <v>0</v>
      </c>
      <c r="AC158" s="639">
        <f t="shared" si="41"/>
        <v>0</v>
      </c>
      <c r="AD158" s="639">
        <f>IF(AND($AD$12=1,$AB$12=2),PMT(Adm!$AH$7/12,B157,-K157),0)</f>
        <v>0</v>
      </c>
      <c r="AE158" s="639">
        <f t="shared" si="39"/>
        <v>0</v>
      </c>
      <c r="AF158" s="636">
        <f t="shared" si="37"/>
        <v>0</v>
      </c>
      <c r="AG158" s="647" t="e">
        <f>Captura!AG255</f>
        <v>#N/A</v>
      </c>
    </row>
    <row r="159" spans="1:33">
      <c r="A159" s="151">
        <f t="shared" ca="1" si="29"/>
        <v>9</v>
      </c>
      <c r="B159" s="195">
        <f t="shared" si="30"/>
        <v>0</v>
      </c>
      <c r="C159" s="199">
        <f t="shared" si="31"/>
        <v>0</v>
      </c>
      <c r="D159" s="333">
        <f t="shared" si="38"/>
        <v>0</v>
      </c>
      <c r="E159" s="133">
        <f t="shared" si="32"/>
        <v>0</v>
      </c>
      <c r="F159" s="133">
        <f t="shared" si="33"/>
        <v>0</v>
      </c>
      <c r="G159" s="150">
        <f t="shared" ref="G159:G222" si="42">IF(K158&lt;0.1,0,MIN(K158+E159,IF(AB159&gt;0,AB159,G158*(1+W159))))</f>
        <v>0</v>
      </c>
      <c r="H159" s="133">
        <f>IF(K158&lt;0.01,0,IF(Adm!$R$3=Adm!$R$6,0,IF(Adm!$S$10=Adm!$S$13,K158*Adm!$X$6,IF(Adm!$S$10=Adm!$S$11,K158*Adm!$X$3,IF(Adm!$S$10=Adm!$S$12,K158*Adm!$Y$3)))))</f>
        <v>0</v>
      </c>
      <c r="I159" s="133">
        <f>IF(K158&lt;0.01,0,E159*Adm!$N$7)</f>
        <v>0</v>
      </c>
      <c r="J159" s="133">
        <f t="shared" si="34"/>
        <v>0</v>
      </c>
      <c r="K159" s="133">
        <f t="shared" si="35"/>
        <v>0</v>
      </c>
      <c r="L159" s="361"/>
      <c r="V159" s="571">
        <f t="shared" si="36"/>
        <v>10</v>
      </c>
      <c r="W159" s="846">
        <f>IF(Adm!$AF$3=Adm!$AF$6,0,IF(V159=1,Adm!$AN$2,0))</f>
        <v>0</v>
      </c>
      <c r="Y159" s="338">
        <f>IF(AND($L$14=$AB$10,Adm!$AF$3=Adm!$AF$6,L158&gt;0),PMT(Cal!$F$86/12,B158,-K158),0)</f>
        <v>0</v>
      </c>
      <c r="AB159" s="650">
        <f t="shared" si="40"/>
        <v>0</v>
      </c>
      <c r="AC159" s="639">
        <f t="shared" si="41"/>
        <v>0</v>
      </c>
      <c r="AD159" s="639">
        <f>IF(AND($AD$12=1,$AB$12=2),PMT(Adm!$AH$7/12,B158,-K158),0)</f>
        <v>0</v>
      </c>
      <c r="AE159" s="639">
        <f t="shared" si="39"/>
        <v>0</v>
      </c>
      <c r="AF159" s="636">
        <f t="shared" si="37"/>
        <v>0</v>
      </c>
      <c r="AG159" s="647" t="e">
        <f>Captura!AG256</f>
        <v>#N/A</v>
      </c>
    </row>
    <row r="160" spans="1:33">
      <c r="A160" s="151">
        <f t="shared" ca="1" si="29"/>
        <v>10</v>
      </c>
      <c r="B160" s="195">
        <f t="shared" si="30"/>
        <v>0</v>
      </c>
      <c r="C160" s="199">
        <f t="shared" si="31"/>
        <v>0</v>
      </c>
      <c r="D160" s="333">
        <f t="shared" si="38"/>
        <v>0</v>
      </c>
      <c r="E160" s="133">
        <f t="shared" si="32"/>
        <v>0</v>
      </c>
      <c r="F160" s="133">
        <f t="shared" si="33"/>
        <v>0</v>
      </c>
      <c r="G160" s="150">
        <f t="shared" si="42"/>
        <v>0</v>
      </c>
      <c r="H160" s="133">
        <f>IF(K159&lt;0.01,0,IF(Adm!$R$3=Adm!$R$6,0,IF(Adm!$S$10=Adm!$S$13,K159*Adm!$X$6,IF(Adm!$S$10=Adm!$S$11,K159*Adm!$X$3,IF(Adm!$S$10=Adm!$S$12,K159*Adm!$Y$3)))))</f>
        <v>0</v>
      </c>
      <c r="I160" s="133">
        <f>IF(K159&lt;0.01,0,E160*Adm!$N$7)</f>
        <v>0</v>
      </c>
      <c r="J160" s="133">
        <f t="shared" si="34"/>
        <v>0</v>
      </c>
      <c r="K160" s="133">
        <f t="shared" si="35"/>
        <v>0</v>
      </c>
      <c r="L160" s="361"/>
      <c r="V160" s="571">
        <f t="shared" si="36"/>
        <v>11</v>
      </c>
      <c r="W160" s="846">
        <f>IF(Adm!$AF$3=Adm!$AF$6,0,IF(V160=1,Adm!$AN$2,0))</f>
        <v>0</v>
      </c>
      <c r="Y160" s="338">
        <f>IF(AND($L$14=$AB$10,Adm!$AF$3=Adm!$AF$6,L159&gt;0),PMT(Cal!$F$86/12,B159,-K159),0)</f>
        <v>0</v>
      </c>
      <c r="AB160" s="650">
        <f t="shared" si="40"/>
        <v>0</v>
      </c>
      <c r="AC160" s="639">
        <f t="shared" si="41"/>
        <v>0</v>
      </c>
      <c r="AD160" s="639">
        <f>IF(AND($AD$12=1,$AB$12=2),PMT(Adm!$AH$7/12,B159,-K159),0)</f>
        <v>0</v>
      </c>
      <c r="AE160" s="639">
        <f t="shared" si="39"/>
        <v>0</v>
      </c>
      <c r="AF160" s="636">
        <f t="shared" si="37"/>
        <v>0</v>
      </c>
      <c r="AG160" s="647" t="e">
        <f>Captura!AG257</f>
        <v>#N/A</v>
      </c>
    </row>
    <row r="161" spans="1:33">
      <c r="A161" s="151">
        <f t="shared" ca="1" si="29"/>
        <v>11</v>
      </c>
      <c r="B161" s="195">
        <f t="shared" si="30"/>
        <v>0</v>
      </c>
      <c r="C161" s="199">
        <f t="shared" si="31"/>
        <v>0</v>
      </c>
      <c r="D161" s="333">
        <f t="shared" si="38"/>
        <v>0</v>
      </c>
      <c r="E161" s="133">
        <f t="shared" si="32"/>
        <v>0</v>
      </c>
      <c r="F161" s="133">
        <f t="shared" si="33"/>
        <v>0</v>
      </c>
      <c r="G161" s="150">
        <f t="shared" si="42"/>
        <v>0</v>
      </c>
      <c r="H161" s="133">
        <f>IF(K160&lt;0.01,0,IF(Adm!$R$3=Adm!$R$6,0,IF(Adm!$S$10=Adm!$S$13,K160*Adm!$X$6,IF(Adm!$S$10=Adm!$S$11,K160*Adm!$X$3,IF(Adm!$S$10=Adm!$S$12,K160*Adm!$Y$3)))))</f>
        <v>0</v>
      </c>
      <c r="I161" s="133">
        <f>IF(K160&lt;0.01,0,E161*Adm!$N$7)</f>
        <v>0</v>
      </c>
      <c r="J161" s="133">
        <f t="shared" si="34"/>
        <v>0</v>
      </c>
      <c r="K161" s="133">
        <f t="shared" si="35"/>
        <v>0</v>
      </c>
      <c r="L161" s="361"/>
      <c r="V161" s="571">
        <f t="shared" si="36"/>
        <v>12</v>
      </c>
      <c r="W161" s="846">
        <f>IF(Adm!$AF$3=Adm!$AF$6,0,IF(V161=1,Adm!$AN$2,0))</f>
        <v>0</v>
      </c>
      <c r="Y161" s="338">
        <f>IF(AND($L$14=$AB$10,Adm!$AF$3=Adm!$AF$6,L160&gt;0),PMT(Cal!$F$86/12,B160,-K160),0)</f>
        <v>0</v>
      </c>
      <c r="AB161" s="650">
        <f t="shared" si="40"/>
        <v>0</v>
      </c>
      <c r="AC161" s="639">
        <f t="shared" si="41"/>
        <v>0</v>
      </c>
      <c r="AD161" s="639">
        <f>IF(AND($AD$12=1,$AB$12=2),PMT(Adm!$AH$7/12,B160,-K160),0)</f>
        <v>0</v>
      </c>
      <c r="AE161" s="639">
        <f t="shared" si="39"/>
        <v>0</v>
      </c>
      <c r="AF161" s="636">
        <f t="shared" si="37"/>
        <v>0</v>
      </c>
      <c r="AG161" s="647" t="e">
        <f>Captura!AG258</f>
        <v>#N/A</v>
      </c>
    </row>
    <row r="162" spans="1:33">
      <c r="A162" s="151">
        <f t="shared" ca="1" si="29"/>
        <v>12</v>
      </c>
      <c r="B162" s="195">
        <f t="shared" si="30"/>
        <v>0</v>
      </c>
      <c r="C162" s="199">
        <f t="shared" si="31"/>
        <v>0</v>
      </c>
      <c r="D162" s="333">
        <f t="shared" si="38"/>
        <v>0</v>
      </c>
      <c r="E162" s="133">
        <f t="shared" si="32"/>
        <v>0</v>
      </c>
      <c r="F162" s="133">
        <f t="shared" si="33"/>
        <v>0</v>
      </c>
      <c r="G162" s="150">
        <f t="shared" si="42"/>
        <v>0</v>
      </c>
      <c r="H162" s="133">
        <f>IF(K161&lt;0.01,0,IF(Adm!$R$3=Adm!$R$6,0,IF(Adm!$S$10=Adm!$S$13,K161*Adm!$X$6,IF(Adm!$S$10=Adm!$S$11,K161*Adm!$X$3,IF(Adm!$S$10=Adm!$S$12,K161*Adm!$Y$3)))))</f>
        <v>0</v>
      </c>
      <c r="I162" s="133">
        <f>IF(K161&lt;0.01,0,E162*Adm!$N$7)</f>
        <v>0</v>
      </c>
      <c r="J162" s="133">
        <f t="shared" si="34"/>
        <v>0</v>
      </c>
      <c r="K162" s="133">
        <f t="shared" si="35"/>
        <v>0</v>
      </c>
      <c r="L162" s="361"/>
      <c r="V162" s="571">
        <f t="shared" si="36"/>
        <v>1</v>
      </c>
      <c r="W162" s="846">
        <f>IF(Adm!$AF$3=Adm!$AF$6,0,IF(V162=1,Adm!$AN$2,0))</f>
        <v>0</v>
      </c>
      <c r="Y162" s="338">
        <f>IF(AND($L$14=$AB$10,Adm!$AF$3=Adm!$AF$6,L161&gt;0),PMT(Cal!$F$86/12,B161,-K161),0)</f>
        <v>0</v>
      </c>
      <c r="AB162" s="650">
        <f t="shared" si="40"/>
        <v>0</v>
      </c>
      <c r="AC162" s="639">
        <f t="shared" si="41"/>
        <v>0</v>
      </c>
      <c r="AD162" s="639">
        <f>IF(AND($AD$12=1,$AB$12=2),PMT(Adm!$AH$7/12,B161,-K161),0)</f>
        <v>0</v>
      </c>
      <c r="AE162" s="639">
        <f t="shared" si="39"/>
        <v>0</v>
      </c>
      <c r="AF162" s="636">
        <f t="shared" si="37"/>
        <v>0</v>
      </c>
      <c r="AG162" s="647" t="e">
        <f>Captura!AG259</f>
        <v>#N/A</v>
      </c>
    </row>
    <row r="163" spans="1:33">
      <c r="A163" s="151">
        <f t="shared" ca="1" si="29"/>
        <v>1</v>
      </c>
      <c r="B163" s="195">
        <f t="shared" si="30"/>
        <v>0</v>
      </c>
      <c r="C163" s="199">
        <f t="shared" si="31"/>
        <v>0</v>
      </c>
      <c r="D163" s="333">
        <f t="shared" si="38"/>
        <v>0</v>
      </c>
      <c r="E163" s="133">
        <f t="shared" si="32"/>
        <v>0</v>
      </c>
      <c r="F163" s="133">
        <f t="shared" si="33"/>
        <v>0</v>
      </c>
      <c r="G163" s="150">
        <f t="shared" si="42"/>
        <v>0</v>
      </c>
      <c r="H163" s="133">
        <f>IF(K162&lt;0.01,0,IF(Adm!$R$3=Adm!$R$6,0,IF(Adm!$S$10=Adm!$S$13,K162*Adm!$X$6,IF(Adm!$S$10=Adm!$S$11,K162*Adm!$X$3,IF(Adm!$S$10=Adm!$S$12,K162*Adm!$Y$3)))))</f>
        <v>0</v>
      </c>
      <c r="I163" s="133">
        <f>IF(K162&lt;0.01,0,E163*Adm!$N$7)</f>
        <v>0</v>
      </c>
      <c r="J163" s="133">
        <f t="shared" si="34"/>
        <v>0</v>
      </c>
      <c r="K163" s="133">
        <f t="shared" si="35"/>
        <v>0</v>
      </c>
      <c r="L163" s="361"/>
      <c r="V163" s="571">
        <f t="shared" si="36"/>
        <v>2</v>
      </c>
      <c r="W163" s="846">
        <f>IF(Adm!$AF$3=Adm!$AF$6,0,IF(V163=1,Adm!$AN$2,0))</f>
        <v>0</v>
      </c>
      <c r="Y163" s="338">
        <f>IF(AND($L$14=$AB$10,Adm!$AF$3=Adm!$AF$6,L162&gt;0),PMT(Cal!$F$86/12,B162,-K162),0)</f>
        <v>0</v>
      </c>
      <c r="AB163" s="650">
        <f t="shared" si="40"/>
        <v>0</v>
      </c>
      <c r="AC163" s="639">
        <f t="shared" si="41"/>
        <v>0</v>
      </c>
      <c r="AD163" s="639">
        <f>IF(AND($AD$12=1,$AB$12=2),PMT(Adm!$AH$7/12,B162,-K162),0)</f>
        <v>0</v>
      </c>
      <c r="AE163" s="639">
        <f t="shared" si="39"/>
        <v>0</v>
      </c>
      <c r="AF163" s="636">
        <f t="shared" si="37"/>
        <v>0</v>
      </c>
      <c r="AG163" s="647" t="e">
        <f>Captura!AG260</f>
        <v>#N/A</v>
      </c>
    </row>
    <row r="164" spans="1:33">
      <c r="A164" s="151">
        <f t="shared" ca="1" si="29"/>
        <v>2</v>
      </c>
      <c r="B164" s="195">
        <f t="shared" si="30"/>
        <v>0</v>
      </c>
      <c r="C164" s="199">
        <f t="shared" si="31"/>
        <v>0</v>
      </c>
      <c r="D164" s="333">
        <f t="shared" si="38"/>
        <v>0</v>
      </c>
      <c r="E164" s="133">
        <f t="shared" si="32"/>
        <v>0</v>
      </c>
      <c r="F164" s="133">
        <f t="shared" si="33"/>
        <v>0</v>
      </c>
      <c r="G164" s="150">
        <f t="shared" si="42"/>
        <v>0</v>
      </c>
      <c r="H164" s="133">
        <f>IF(K163&lt;0.01,0,IF(Adm!$R$3=Adm!$R$6,0,IF(Adm!$S$10=Adm!$S$13,K163*Adm!$X$6,IF(Adm!$S$10=Adm!$S$11,K163*Adm!$X$3,IF(Adm!$S$10=Adm!$S$12,K163*Adm!$Y$3)))))</f>
        <v>0</v>
      </c>
      <c r="I164" s="133">
        <f>IF(K163&lt;0.01,0,E164*Adm!$N$7)</f>
        <v>0</v>
      </c>
      <c r="J164" s="133">
        <f t="shared" si="34"/>
        <v>0</v>
      </c>
      <c r="K164" s="133">
        <f t="shared" si="35"/>
        <v>0</v>
      </c>
      <c r="L164" s="361"/>
      <c r="V164" s="571">
        <f t="shared" si="36"/>
        <v>3</v>
      </c>
      <c r="W164" s="846">
        <f>IF(Adm!$AF$3=Adm!$AF$6,0,IF(V164=1,Adm!$AN$2,0))</f>
        <v>0</v>
      </c>
      <c r="Y164" s="338">
        <f>IF(AND($L$14=$AB$10,Adm!$AF$3=Adm!$AF$6,L163&gt;0),PMT(Cal!$F$86/12,B163,-K163),0)</f>
        <v>0</v>
      </c>
      <c r="AB164" s="650">
        <f t="shared" si="40"/>
        <v>0</v>
      </c>
      <c r="AC164" s="639">
        <f t="shared" si="41"/>
        <v>0</v>
      </c>
      <c r="AD164" s="639">
        <f>IF(AND($AD$12=1,$AB$12=2),PMT(Adm!$AH$7/12,B163,-K163),0)</f>
        <v>0</v>
      </c>
      <c r="AE164" s="639">
        <f t="shared" si="39"/>
        <v>0</v>
      </c>
      <c r="AF164" s="636">
        <f t="shared" si="37"/>
        <v>0</v>
      </c>
      <c r="AG164" s="647" t="e">
        <f>Captura!AG261</f>
        <v>#N/A</v>
      </c>
    </row>
    <row r="165" spans="1:33">
      <c r="A165" s="151">
        <f t="shared" ca="1" si="29"/>
        <v>3</v>
      </c>
      <c r="B165" s="195">
        <f t="shared" si="30"/>
        <v>0</v>
      </c>
      <c r="C165" s="199">
        <f t="shared" si="31"/>
        <v>0</v>
      </c>
      <c r="D165" s="333">
        <f t="shared" si="38"/>
        <v>0</v>
      </c>
      <c r="E165" s="133">
        <f t="shared" si="32"/>
        <v>0</v>
      </c>
      <c r="F165" s="133">
        <f t="shared" si="33"/>
        <v>0</v>
      </c>
      <c r="G165" s="150">
        <f t="shared" si="42"/>
        <v>0</v>
      </c>
      <c r="H165" s="133">
        <f>IF(K164&lt;0.01,0,IF(Adm!$R$3=Adm!$R$6,0,IF(Adm!$S$10=Adm!$S$13,K164*Adm!$X$6,IF(Adm!$S$10=Adm!$S$11,K164*Adm!$X$3,IF(Adm!$S$10=Adm!$S$12,K164*Adm!$Y$3)))))</f>
        <v>0</v>
      </c>
      <c r="I165" s="133">
        <f>IF(K164&lt;0.01,0,E165*Adm!$N$7)</f>
        <v>0</v>
      </c>
      <c r="J165" s="133">
        <f t="shared" si="34"/>
        <v>0</v>
      </c>
      <c r="K165" s="133">
        <f t="shared" si="35"/>
        <v>0</v>
      </c>
      <c r="L165" s="361"/>
      <c r="V165" s="571">
        <f t="shared" si="36"/>
        <v>4</v>
      </c>
      <c r="W165" s="846">
        <f>IF(Adm!$AF$3=Adm!$AF$6,0,IF(V165=1,Adm!$AN$2,0))</f>
        <v>0</v>
      </c>
      <c r="Y165" s="338">
        <f>IF(AND($L$14=$AB$10,Adm!$AF$3=Adm!$AF$6,L164&gt;0),PMT(Cal!$F$86/12,B164,-K164),0)</f>
        <v>0</v>
      </c>
      <c r="AB165" s="650">
        <f t="shared" si="40"/>
        <v>0</v>
      </c>
      <c r="AC165" s="639">
        <f t="shared" si="41"/>
        <v>0</v>
      </c>
      <c r="AD165" s="639">
        <f>IF(AND($AD$12=1,$AB$12=2),PMT(Adm!$AH$7/12,B164,-K164),0)</f>
        <v>0</v>
      </c>
      <c r="AE165" s="639">
        <f t="shared" si="39"/>
        <v>0</v>
      </c>
      <c r="AF165" s="636">
        <f t="shared" si="37"/>
        <v>0</v>
      </c>
      <c r="AG165" s="647" t="e">
        <f>Captura!AG262</f>
        <v>#N/A</v>
      </c>
    </row>
    <row r="166" spans="1:33">
      <c r="A166" s="151">
        <f t="shared" ca="1" si="29"/>
        <v>4</v>
      </c>
      <c r="B166" s="195">
        <f t="shared" si="30"/>
        <v>0</v>
      </c>
      <c r="C166" s="199">
        <f t="shared" si="31"/>
        <v>0</v>
      </c>
      <c r="D166" s="333">
        <f t="shared" si="38"/>
        <v>0</v>
      </c>
      <c r="E166" s="133">
        <f t="shared" si="32"/>
        <v>0</v>
      </c>
      <c r="F166" s="133">
        <f t="shared" si="33"/>
        <v>0</v>
      </c>
      <c r="G166" s="150">
        <f t="shared" si="42"/>
        <v>0</v>
      </c>
      <c r="H166" s="133">
        <f>IF(K165&lt;0.01,0,IF(Adm!$R$3=Adm!$R$6,0,IF(Adm!$S$10=Adm!$S$13,K165*Adm!$X$6,IF(Adm!$S$10=Adm!$S$11,K165*Adm!$X$3,IF(Adm!$S$10=Adm!$S$12,K165*Adm!$Y$3)))))</f>
        <v>0</v>
      </c>
      <c r="I166" s="133">
        <f>IF(K165&lt;0.01,0,E166*Adm!$N$7)</f>
        <v>0</v>
      </c>
      <c r="J166" s="133">
        <f t="shared" si="34"/>
        <v>0</v>
      </c>
      <c r="K166" s="133">
        <f t="shared" si="35"/>
        <v>0</v>
      </c>
      <c r="L166" s="361"/>
      <c r="V166" s="571">
        <f t="shared" si="36"/>
        <v>5</v>
      </c>
      <c r="W166" s="846">
        <f>IF(Adm!$AF$3=Adm!$AF$6,0,IF(V166=1,Adm!$AN$2,0))</f>
        <v>0</v>
      </c>
      <c r="Y166" s="338">
        <f>IF(AND($L$14=$AB$10,Adm!$AF$3=Adm!$AF$6,L165&gt;0),PMT(Cal!$F$86/12,B165,-K165),0)</f>
        <v>0</v>
      </c>
      <c r="AB166" s="650">
        <f t="shared" si="40"/>
        <v>0</v>
      </c>
      <c r="AC166" s="639">
        <f t="shared" si="41"/>
        <v>0</v>
      </c>
      <c r="AD166" s="639">
        <f>IF(AND($AD$12=1,$AB$12=2),PMT(Adm!$AH$7/12,B165,-K165),0)</f>
        <v>0</v>
      </c>
      <c r="AE166" s="639">
        <f t="shared" si="39"/>
        <v>0</v>
      </c>
      <c r="AF166" s="636">
        <f t="shared" si="37"/>
        <v>0</v>
      </c>
      <c r="AG166" s="647" t="e">
        <f>Captura!AG263</f>
        <v>#N/A</v>
      </c>
    </row>
    <row r="167" spans="1:33">
      <c r="A167" s="151">
        <f t="shared" ca="1" si="29"/>
        <v>5</v>
      </c>
      <c r="B167" s="195">
        <f t="shared" si="30"/>
        <v>0</v>
      </c>
      <c r="C167" s="199">
        <f t="shared" si="31"/>
        <v>0</v>
      </c>
      <c r="D167" s="333">
        <f t="shared" si="38"/>
        <v>0</v>
      </c>
      <c r="E167" s="133">
        <f t="shared" si="32"/>
        <v>0</v>
      </c>
      <c r="F167" s="133">
        <f t="shared" si="33"/>
        <v>0</v>
      </c>
      <c r="G167" s="150">
        <f t="shared" si="42"/>
        <v>0</v>
      </c>
      <c r="H167" s="133">
        <f>IF(K166&lt;0.01,0,IF(Adm!$R$3=Adm!$R$6,0,IF(Adm!$S$10=Adm!$S$13,K166*Adm!$X$6,IF(Adm!$S$10=Adm!$S$11,K166*Adm!$X$3,IF(Adm!$S$10=Adm!$S$12,K166*Adm!$Y$3)))))</f>
        <v>0</v>
      </c>
      <c r="I167" s="133">
        <f>IF(K166&lt;0.01,0,E167*Adm!$N$7)</f>
        <v>0</v>
      </c>
      <c r="J167" s="133">
        <f t="shared" si="34"/>
        <v>0</v>
      </c>
      <c r="K167" s="133">
        <f t="shared" si="35"/>
        <v>0</v>
      </c>
      <c r="L167" s="361"/>
      <c r="V167" s="571">
        <f t="shared" si="36"/>
        <v>6</v>
      </c>
      <c r="W167" s="846">
        <f>IF(Adm!$AF$3=Adm!$AF$6,0,IF(V167=1,Adm!$AN$2,0))</f>
        <v>0</v>
      </c>
      <c r="Y167" s="338">
        <f>IF(AND($L$14=$AB$10,Adm!$AF$3=Adm!$AF$6,L166&gt;0),PMT(Cal!$F$86/12,B166,-K166),0)</f>
        <v>0</v>
      </c>
      <c r="AB167" s="650">
        <f t="shared" si="40"/>
        <v>0</v>
      </c>
      <c r="AC167" s="639">
        <f t="shared" si="41"/>
        <v>0</v>
      </c>
      <c r="AD167" s="639">
        <f>IF(AND($AD$12=1,$AB$12=2),PMT(Adm!$AH$7/12,B166,-K166),0)</f>
        <v>0</v>
      </c>
      <c r="AE167" s="639">
        <f t="shared" si="39"/>
        <v>0</v>
      </c>
      <c r="AF167" s="636">
        <f t="shared" si="37"/>
        <v>0</v>
      </c>
      <c r="AG167" s="647" t="e">
        <f>Captura!AG264</f>
        <v>#N/A</v>
      </c>
    </row>
    <row r="168" spans="1:33">
      <c r="A168" s="151">
        <f t="shared" ca="1" si="29"/>
        <v>6</v>
      </c>
      <c r="B168" s="195">
        <f t="shared" si="30"/>
        <v>0</v>
      </c>
      <c r="C168" s="199">
        <f t="shared" si="31"/>
        <v>0</v>
      </c>
      <c r="D168" s="333">
        <f t="shared" si="38"/>
        <v>0</v>
      </c>
      <c r="E168" s="133">
        <f t="shared" si="32"/>
        <v>0</v>
      </c>
      <c r="F168" s="133">
        <f t="shared" si="33"/>
        <v>0</v>
      </c>
      <c r="G168" s="150">
        <f t="shared" si="42"/>
        <v>0</v>
      </c>
      <c r="H168" s="133">
        <f>IF(K167&lt;0.01,0,IF(Adm!$R$3=Adm!$R$6,0,IF(Adm!$S$10=Adm!$S$13,K167*Adm!$X$6,IF(Adm!$S$10=Adm!$S$11,K167*Adm!$X$3,IF(Adm!$S$10=Adm!$S$12,K167*Adm!$Y$3)))))</f>
        <v>0</v>
      </c>
      <c r="I168" s="133">
        <f>IF(K167&lt;0.01,0,E168*Adm!$N$7)</f>
        <v>0</v>
      </c>
      <c r="J168" s="133">
        <f t="shared" si="34"/>
        <v>0</v>
      </c>
      <c r="K168" s="133">
        <f t="shared" si="35"/>
        <v>0</v>
      </c>
      <c r="L168" s="361"/>
      <c r="V168" s="571">
        <f t="shared" si="36"/>
        <v>7</v>
      </c>
      <c r="W168" s="846">
        <f>IF(Adm!$AF$3=Adm!$AF$6,0,IF(V168=1,Adm!$AN$2,0))</f>
        <v>0</v>
      </c>
      <c r="Y168" s="338">
        <f>IF(AND($L$14=$AB$10,Adm!$AF$3=Adm!$AF$6,L167&gt;0),PMT(Cal!$F$86/12,B167,-K167),0)</f>
        <v>0</v>
      </c>
      <c r="AB168" s="650">
        <f t="shared" si="40"/>
        <v>0</v>
      </c>
      <c r="AC168" s="639">
        <f t="shared" si="41"/>
        <v>0</v>
      </c>
      <c r="AD168" s="639">
        <f>IF(AND($AD$12=1,$AB$12=2),PMT(Adm!$AH$7/12,B167,-K167),0)</f>
        <v>0</v>
      </c>
      <c r="AE168" s="639">
        <f t="shared" si="39"/>
        <v>0</v>
      </c>
      <c r="AF168" s="636">
        <f t="shared" si="37"/>
        <v>0</v>
      </c>
      <c r="AG168" s="647" t="e">
        <f>Captura!AG265</f>
        <v>#N/A</v>
      </c>
    </row>
    <row r="169" spans="1:33">
      <c r="A169" s="151">
        <f t="shared" ca="1" si="29"/>
        <v>7</v>
      </c>
      <c r="B169" s="195">
        <f t="shared" si="30"/>
        <v>0</v>
      </c>
      <c r="C169" s="199">
        <f t="shared" si="31"/>
        <v>0</v>
      </c>
      <c r="D169" s="333">
        <f t="shared" si="38"/>
        <v>0</v>
      </c>
      <c r="E169" s="133">
        <f t="shared" si="32"/>
        <v>0</v>
      </c>
      <c r="F169" s="133">
        <f t="shared" si="33"/>
        <v>0</v>
      </c>
      <c r="G169" s="150">
        <f t="shared" si="42"/>
        <v>0</v>
      </c>
      <c r="H169" s="133">
        <f>IF(K168&lt;0.01,0,IF(Adm!$R$3=Adm!$R$6,0,IF(Adm!$S$10=Adm!$S$13,K168*Adm!$X$6,IF(Adm!$S$10=Adm!$S$11,K168*Adm!$X$3,IF(Adm!$S$10=Adm!$S$12,K168*Adm!$Y$3)))))</f>
        <v>0</v>
      </c>
      <c r="I169" s="133">
        <f>IF(K168&lt;0.01,0,E169*Adm!$N$7)</f>
        <v>0</v>
      </c>
      <c r="J169" s="133">
        <f t="shared" si="34"/>
        <v>0</v>
      </c>
      <c r="K169" s="133">
        <f t="shared" si="35"/>
        <v>0</v>
      </c>
      <c r="L169" s="361"/>
      <c r="V169" s="571">
        <f t="shared" si="36"/>
        <v>8</v>
      </c>
      <c r="W169" s="846">
        <f>IF(Adm!$AF$3=Adm!$AF$6,0,IF(V169=1,Adm!$AN$2,0))</f>
        <v>0</v>
      </c>
      <c r="Y169" s="338">
        <f>IF(AND($L$14=$AB$10,Adm!$AF$3=Adm!$AF$6,L168&gt;0),PMT(Cal!$F$86/12,B168,-K168),0)</f>
        <v>0</v>
      </c>
      <c r="AB169" s="650">
        <f t="shared" si="40"/>
        <v>0</v>
      </c>
      <c r="AC169" s="639">
        <f t="shared" si="41"/>
        <v>0</v>
      </c>
      <c r="AD169" s="639">
        <f>IF(AND($AD$12=1,$AB$12=2),PMT(Adm!$AH$7/12,B168,-K168),0)</f>
        <v>0</v>
      </c>
      <c r="AE169" s="639">
        <f t="shared" si="39"/>
        <v>0</v>
      </c>
      <c r="AF169" s="636">
        <f t="shared" si="37"/>
        <v>0</v>
      </c>
      <c r="AG169" s="647" t="e">
        <f>Captura!AG266</f>
        <v>#N/A</v>
      </c>
    </row>
    <row r="170" spans="1:33">
      <c r="A170" s="151">
        <f t="shared" ca="1" si="29"/>
        <v>8</v>
      </c>
      <c r="B170" s="195">
        <f t="shared" si="30"/>
        <v>0</v>
      </c>
      <c r="C170" s="199">
        <f t="shared" si="31"/>
        <v>0</v>
      </c>
      <c r="D170" s="333">
        <f t="shared" si="38"/>
        <v>0</v>
      </c>
      <c r="E170" s="133">
        <f t="shared" si="32"/>
        <v>0</v>
      </c>
      <c r="F170" s="133">
        <f t="shared" si="33"/>
        <v>0</v>
      </c>
      <c r="G170" s="150">
        <f t="shared" si="42"/>
        <v>0</v>
      </c>
      <c r="H170" s="133">
        <f>IF(K169&lt;0.01,0,IF(Adm!$R$3=Adm!$R$6,0,IF(Adm!$S$10=Adm!$S$13,K169*Adm!$X$6,IF(Adm!$S$10=Adm!$S$11,K169*Adm!$X$3,IF(Adm!$S$10=Adm!$S$12,K169*Adm!$Y$3)))))</f>
        <v>0</v>
      </c>
      <c r="I170" s="133">
        <f>IF(K169&lt;0.01,0,E170*Adm!$N$7)</f>
        <v>0</v>
      </c>
      <c r="J170" s="133">
        <f t="shared" si="34"/>
        <v>0</v>
      </c>
      <c r="K170" s="133">
        <f t="shared" si="35"/>
        <v>0</v>
      </c>
      <c r="L170" s="361"/>
      <c r="V170" s="571">
        <f t="shared" si="36"/>
        <v>9</v>
      </c>
      <c r="W170" s="846">
        <f>IF(Adm!$AF$3=Adm!$AF$6,0,IF(V170=1,Adm!$AN$2,0))</f>
        <v>0</v>
      </c>
      <c r="Y170" s="338">
        <f>IF(AND($L$14=$AB$10,Adm!$AF$3=Adm!$AF$6,L169&gt;0),PMT(Cal!$F$86/12,B169,-K169),0)</f>
        <v>0</v>
      </c>
      <c r="AB170" s="650">
        <f t="shared" si="40"/>
        <v>0</v>
      </c>
      <c r="AC170" s="639">
        <f t="shared" si="41"/>
        <v>0</v>
      </c>
      <c r="AD170" s="639">
        <f>IF(AND($AD$12=1,$AB$12=2),PMT(Adm!$AH$7/12,B169,-K169),0)</f>
        <v>0</v>
      </c>
      <c r="AE170" s="639">
        <f t="shared" si="39"/>
        <v>0</v>
      </c>
      <c r="AF170" s="636">
        <f t="shared" si="37"/>
        <v>0</v>
      </c>
      <c r="AG170" s="647" t="e">
        <f>Captura!AG267</f>
        <v>#N/A</v>
      </c>
    </row>
    <row r="171" spans="1:33">
      <c r="A171" s="151">
        <f t="shared" ca="1" si="29"/>
        <v>9</v>
      </c>
      <c r="B171" s="195">
        <f t="shared" si="30"/>
        <v>0</v>
      </c>
      <c r="C171" s="199">
        <f t="shared" si="31"/>
        <v>0</v>
      </c>
      <c r="D171" s="333">
        <f t="shared" si="38"/>
        <v>0</v>
      </c>
      <c r="E171" s="133">
        <f t="shared" si="32"/>
        <v>0</v>
      </c>
      <c r="F171" s="133">
        <f t="shared" si="33"/>
        <v>0</v>
      </c>
      <c r="G171" s="150">
        <f t="shared" si="42"/>
        <v>0</v>
      </c>
      <c r="H171" s="133">
        <f>IF(K170&lt;0.01,0,IF(Adm!$R$3=Adm!$R$6,0,IF(Adm!$S$10=Adm!$S$13,K170*Adm!$X$6,IF(Adm!$S$10=Adm!$S$11,K170*Adm!$X$3,IF(Adm!$S$10=Adm!$S$12,K170*Adm!$Y$3)))))</f>
        <v>0</v>
      </c>
      <c r="I171" s="133">
        <f>IF(K170&lt;0.01,0,E171*Adm!$N$7)</f>
        <v>0</v>
      </c>
      <c r="J171" s="133">
        <f t="shared" si="34"/>
        <v>0</v>
      </c>
      <c r="K171" s="133">
        <f t="shared" si="35"/>
        <v>0</v>
      </c>
      <c r="L171" s="361"/>
      <c r="V171" s="571">
        <f t="shared" si="36"/>
        <v>10</v>
      </c>
      <c r="W171" s="846">
        <f>IF(Adm!$AF$3=Adm!$AF$6,0,IF(V171=1,Adm!$AN$2,0))</f>
        <v>0</v>
      </c>
      <c r="Y171" s="338">
        <f>IF(AND($L$14=$AB$10,Adm!$AF$3=Adm!$AF$6,L170&gt;0),PMT(Cal!$F$86/12,B170,-K170),0)</f>
        <v>0</v>
      </c>
      <c r="AB171" s="650">
        <f t="shared" si="40"/>
        <v>0</v>
      </c>
      <c r="AC171" s="639">
        <f t="shared" si="41"/>
        <v>0</v>
      </c>
      <c r="AD171" s="639">
        <f>IF(AND($AD$12=1,$AB$12=2),PMT(Adm!$AH$7/12,B170,-K170),0)</f>
        <v>0</v>
      </c>
      <c r="AE171" s="639">
        <f t="shared" si="39"/>
        <v>0</v>
      </c>
      <c r="AF171" s="636">
        <f t="shared" si="37"/>
        <v>0</v>
      </c>
      <c r="AG171" s="647" t="e">
        <f>Captura!AG268</f>
        <v>#N/A</v>
      </c>
    </row>
    <row r="172" spans="1:33">
      <c r="A172" s="151">
        <f t="shared" ca="1" si="29"/>
        <v>10</v>
      </c>
      <c r="B172" s="195">
        <f t="shared" si="30"/>
        <v>0</v>
      </c>
      <c r="C172" s="199">
        <f t="shared" si="31"/>
        <v>0</v>
      </c>
      <c r="D172" s="333">
        <f t="shared" si="38"/>
        <v>0</v>
      </c>
      <c r="E172" s="133">
        <f t="shared" si="32"/>
        <v>0</v>
      </c>
      <c r="F172" s="133">
        <f t="shared" si="33"/>
        <v>0</v>
      </c>
      <c r="G172" s="150">
        <f t="shared" si="42"/>
        <v>0</v>
      </c>
      <c r="H172" s="133">
        <f>IF(K171&lt;0.01,0,IF(Adm!$R$3=Adm!$R$6,0,IF(Adm!$S$10=Adm!$S$13,K171*Adm!$X$6,IF(Adm!$S$10=Adm!$S$11,K171*Adm!$X$3,IF(Adm!$S$10=Adm!$S$12,K171*Adm!$Y$3)))))</f>
        <v>0</v>
      </c>
      <c r="I172" s="133">
        <f>IF(K171&lt;0.01,0,E172*Adm!$N$7)</f>
        <v>0</v>
      </c>
      <c r="J172" s="133">
        <f t="shared" si="34"/>
        <v>0</v>
      </c>
      <c r="K172" s="133">
        <f t="shared" si="35"/>
        <v>0</v>
      </c>
      <c r="L172" s="361"/>
      <c r="V172" s="571">
        <f t="shared" si="36"/>
        <v>11</v>
      </c>
      <c r="W172" s="846">
        <f>IF(Adm!$AF$3=Adm!$AF$6,0,IF(V172=1,Adm!$AN$2,0))</f>
        <v>0</v>
      </c>
      <c r="Y172" s="338">
        <f>IF(AND($L$14=$AB$10,Adm!$AF$3=Adm!$AF$6,L171&gt;0),PMT(Cal!$F$86/12,B171,-K171),0)</f>
        <v>0</v>
      </c>
      <c r="AB172" s="650">
        <f t="shared" si="40"/>
        <v>0</v>
      </c>
      <c r="AC172" s="639">
        <f t="shared" si="41"/>
        <v>0</v>
      </c>
      <c r="AD172" s="639">
        <f>IF(AND($AD$12=1,$AB$12=2),PMT(Adm!$AH$7/12,B171,-K171),0)</f>
        <v>0</v>
      </c>
      <c r="AE172" s="639">
        <f t="shared" si="39"/>
        <v>0</v>
      </c>
      <c r="AF172" s="636">
        <f t="shared" si="37"/>
        <v>0</v>
      </c>
      <c r="AG172" s="647" t="e">
        <f>Captura!AG269</f>
        <v>#N/A</v>
      </c>
    </row>
    <row r="173" spans="1:33">
      <c r="A173" s="151">
        <f t="shared" ca="1" si="29"/>
        <v>11</v>
      </c>
      <c r="B173" s="195">
        <f t="shared" si="30"/>
        <v>0</v>
      </c>
      <c r="C173" s="199">
        <f t="shared" si="31"/>
        <v>0</v>
      </c>
      <c r="D173" s="333">
        <f t="shared" si="38"/>
        <v>0</v>
      </c>
      <c r="E173" s="133">
        <f t="shared" si="32"/>
        <v>0</v>
      </c>
      <c r="F173" s="133">
        <f t="shared" si="33"/>
        <v>0</v>
      </c>
      <c r="G173" s="150">
        <f t="shared" si="42"/>
        <v>0</v>
      </c>
      <c r="H173" s="133">
        <f>IF(K172&lt;0.01,0,IF(Adm!$R$3=Adm!$R$6,0,IF(Adm!$S$10=Adm!$S$13,K172*Adm!$X$6,IF(Adm!$S$10=Adm!$S$11,K172*Adm!$X$3,IF(Adm!$S$10=Adm!$S$12,K172*Adm!$Y$3)))))</f>
        <v>0</v>
      </c>
      <c r="I173" s="133">
        <f>IF(K172&lt;0.01,0,E173*Adm!$N$7)</f>
        <v>0</v>
      </c>
      <c r="J173" s="133">
        <f t="shared" si="34"/>
        <v>0</v>
      </c>
      <c r="K173" s="133">
        <f t="shared" si="35"/>
        <v>0</v>
      </c>
      <c r="L173" s="361"/>
      <c r="V173" s="571">
        <f t="shared" si="36"/>
        <v>12</v>
      </c>
      <c r="W173" s="846">
        <f>IF(Adm!$AF$3=Adm!$AF$6,0,IF(V173=1,Adm!$AN$2,0))</f>
        <v>0</v>
      </c>
      <c r="Y173" s="338">
        <f>IF(AND($L$14=$AB$10,Adm!$AF$3=Adm!$AF$6,L172&gt;0),PMT(Cal!$F$86/12,B172,-K172),0)</f>
        <v>0</v>
      </c>
      <c r="AB173" s="650">
        <f t="shared" si="40"/>
        <v>0</v>
      </c>
      <c r="AC173" s="639">
        <f t="shared" si="41"/>
        <v>0</v>
      </c>
      <c r="AD173" s="639">
        <f>IF(AND($AD$12=1,$AB$12=2),PMT(Adm!$AH$7/12,B172,-K172),0)</f>
        <v>0</v>
      </c>
      <c r="AE173" s="639">
        <f t="shared" si="39"/>
        <v>0</v>
      </c>
      <c r="AF173" s="636">
        <f t="shared" si="37"/>
        <v>0</v>
      </c>
      <c r="AG173" s="647" t="e">
        <f>Captura!AG270</f>
        <v>#N/A</v>
      </c>
    </row>
    <row r="174" spans="1:33">
      <c r="A174" s="151">
        <f t="shared" ca="1" si="29"/>
        <v>12</v>
      </c>
      <c r="B174" s="195">
        <f t="shared" si="30"/>
        <v>0</v>
      </c>
      <c r="C174" s="199">
        <f t="shared" si="31"/>
        <v>0</v>
      </c>
      <c r="D174" s="333">
        <f t="shared" si="38"/>
        <v>0</v>
      </c>
      <c r="E174" s="133">
        <f t="shared" si="32"/>
        <v>0</v>
      </c>
      <c r="F174" s="133">
        <f t="shared" si="33"/>
        <v>0</v>
      </c>
      <c r="G174" s="150">
        <f t="shared" si="42"/>
        <v>0</v>
      </c>
      <c r="H174" s="133">
        <f>IF(K173&lt;0.01,0,IF(Adm!$R$3=Adm!$R$6,0,IF(Adm!$S$10=Adm!$S$13,K173*Adm!$X$6,IF(Adm!$S$10=Adm!$S$11,K173*Adm!$X$3,IF(Adm!$S$10=Adm!$S$12,K173*Adm!$Y$3)))))</f>
        <v>0</v>
      </c>
      <c r="I174" s="133">
        <f>IF(K173&lt;0.01,0,E174*Adm!$N$7)</f>
        <v>0</v>
      </c>
      <c r="J174" s="133">
        <f t="shared" si="34"/>
        <v>0</v>
      </c>
      <c r="K174" s="133">
        <f t="shared" si="35"/>
        <v>0</v>
      </c>
      <c r="L174" s="361"/>
      <c r="V174" s="571">
        <f t="shared" si="36"/>
        <v>1</v>
      </c>
      <c r="W174" s="846">
        <f>IF(Adm!$AF$3=Adm!$AF$6,0,IF(V174=1,Adm!$AN$2,0))</f>
        <v>0</v>
      </c>
      <c r="Y174" s="338">
        <f>IF(AND($L$14=$AB$10,Adm!$AF$3=Adm!$AF$6,L173&gt;0),PMT(Cal!$F$86/12,B173,-K173),0)</f>
        <v>0</v>
      </c>
      <c r="AB174" s="650">
        <f t="shared" si="40"/>
        <v>0</v>
      </c>
      <c r="AC174" s="639">
        <f t="shared" si="41"/>
        <v>0</v>
      </c>
      <c r="AD174" s="639">
        <f>IF(AND($AD$12=1,$AB$12=2),PMT(Adm!$AH$7/12,B173,-K173),0)</f>
        <v>0</v>
      </c>
      <c r="AE174" s="639">
        <f t="shared" si="39"/>
        <v>0</v>
      </c>
      <c r="AF174" s="636">
        <f t="shared" si="37"/>
        <v>0</v>
      </c>
      <c r="AG174" s="647" t="e">
        <f>Captura!AG271</f>
        <v>#N/A</v>
      </c>
    </row>
    <row r="175" spans="1:33">
      <c r="A175" s="151">
        <f t="shared" ca="1" si="29"/>
        <v>1</v>
      </c>
      <c r="B175" s="195">
        <f t="shared" si="30"/>
        <v>0</v>
      </c>
      <c r="C175" s="199">
        <f t="shared" si="31"/>
        <v>0</v>
      </c>
      <c r="D175" s="333">
        <f t="shared" si="38"/>
        <v>0</v>
      </c>
      <c r="E175" s="133">
        <f t="shared" si="32"/>
        <v>0</v>
      </c>
      <c r="F175" s="133">
        <f t="shared" si="33"/>
        <v>0</v>
      </c>
      <c r="G175" s="150">
        <f t="shared" si="42"/>
        <v>0</v>
      </c>
      <c r="H175" s="133">
        <f>IF(K174&lt;0.01,0,IF(Adm!$R$3=Adm!$R$6,0,IF(Adm!$S$10=Adm!$S$13,K174*Adm!$X$6,IF(Adm!$S$10=Adm!$S$11,K174*Adm!$X$3,IF(Adm!$S$10=Adm!$S$12,K174*Adm!$Y$3)))))</f>
        <v>0</v>
      </c>
      <c r="I175" s="133">
        <f>IF(K174&lt;0.01,0,E175*Adm!$N$7)</f>
        <v>0</v>
      </c>
      <c r="J175" s="133">
        <f t="shared" si="34"/>
        <v>0</v>
      </c>
      <c r="K175" s="133">
        <f t="shared" si="35"/>
        <v>0</v>
      </c>
      <c r="L175" s="361"/>
      <c r="V175" s="571">
        <f t="shared" si="36"/>
        <v>2</v>
      </c>
      <c r="W175" s="846">
        <f>IF(Adm!$AF$3=Adm!$AF$6,0,IF(V175=1,Adm!$AN$2,0))</f>
        <v>0</v>
      </c>
      <c r="Y175" s="338">
        <f>IF(AND($L$14=$AB$10,Adm!$AF$3=Adm!$AF$6,L174&gt;0),PMT(Cal!$F$86/12,B174,-K174),0)</f>
        <v>0</v>
      </c>
      <c r="AB175" s="650">
        <f t="shared" si="40"/>
        <v>0</v>
      </c>
      <c r="AC175" s="639">
        <f t="shared" si="41"/>
        <v>0</v>
      </c>
      <c r="AD175" s="639">
        <f>IF(AND($AD$12=1,$AB$12=2),PMT(Adm!$AH$7/12,B174,-K174),0)</f>
        <v>0</v>
      </c>
      <c r="AE175" s="639">
        <f t="shared" si="39"/>
        <v>0</v>
      </c>
      <c r="AF175" s="636">
        <f t="shared" si="37"/>
        <v>0</v>
      </c>
      <c r="AG175" s="647" t="e">
        <f>Captura!AG272</f>
        <v>#N/A</v>
      </c>
    </row>
    <row r="176" spans="1:33">
      <c r="A176" s="151">
        <f t="shared" ca="1" si="29"/>
        <v>2</v>
      </c>
      <c r="B176" s="195">
        <f t="shared" si="30"/>
        <v>0</v>
      </c>
      <c r="C176" s="199">
        <f t="shared" si="31"/>
        <v>0</v>
      </c>
      <c r="D176" s="333">
        <f t="shared" si="38"/>
        <v>0</v>
      </c>
      <c r="E176" s="133">
        <f t="shared" si="32"/>
        <v>0</v>
      </c>
      <c r="F176" s="133">
        <f t="shared" si="33"/>
        <v>0</v>
      </c>
      <c r="G176" s="150">
        <f t="shared" si="42"/>
        <v>0</v>
      </c>
      <c r="H176" s="133">
        <f>IF(K175&lt;0.01,0,IF(Adm!$R$3=Adm!$R$6,0,IF(Adm!$S$10=Adm!$S$13,K175*Adm!$X$6,IF(Adm!$S$10=Adm!$S$11,K175*Adm!$X$3,IF(Adm!$S$10=Adm!$S$12,K175*Adm!$Y$3)))))</f>
        <v>0</v>
      </c>
      <c r="I176" s="133">
        <f>IF(K175&lt;0.01,0,E176*Adm!$N$7)</f>
        <v>0</v>
      </c>
      <c r="J176" s="133">
        <f t="shared" si="34"/>
        <v>0</v>
      </c>
      <c r="K176" s="133">
        <f t="shared" si="35"/>
        <v>0</v>
      </c>
      <c r="L176" s="361"/>
      <c r="V176" s="571">
        <f t="shared" si="36"/>
        <v>3</v>
      </c>
      <c r="W176" s="846">
        <f>IF(Adm!$AF$3=Adm!$AF$6,0,IF(V176=1,Adm!$AN$2,0))</f>
        <v>0</v>
      </c>
      <c r="Y176" s="338">
        <f>IF(AND($L$14=$AB$10,Adm!$AF$3=Adm!$AF$6,L175&gt;0),PMT(Cal!$F$86/12,B175,-K175),0)</f>
        <v>0</v>
      </c>
      <c r="AB176" s="650">
        <f t="shared" si="40"/>
        <v>0</v>
      </c>
      <c r="AC176" s="639">
        <f t="shared" si="41"/>
        <v>0</v>
      </c>
      <c r="AD176" s="639">
        <f>IF(AND($AD$12=1,$AB$12=2),PMT(Adm!$AH$7/12,B175,-K175),0)</f>
        <v>0</v>
      </c>
      <c r="AE176" s="639">
        <f t="shared" si="39"/>
        <v>0</v>
      </c>
      <c r="AF176" s="636">
        <f t="shared" si="37"/>
        <v>0</v>
      </c>
      <c r="AG176" s="647" t="e">
        <f>Captura!AG273</f>
        <v>#N/A</v>
      </c>
    </row>
    <row r="177" spans="1:33">
      <c r="A177" s="151">
        <f t="shared" ca="1" si="29"/>
        <v>3</v>
      </c>
      <c r="B177" s="195">
        <f t="shared" si="30"/>
        <v>0</v>
      </c>
      <c r="C177" s="199">
        <f t="shared" si="31"/>
        <v>0</v>
      </c>
      <c r="D177" s="333">
        <f t="shared" si="38"/>
        <v>0</v>
      </c>
      <c r="E177" s="133">
        <f t="shared" si="32"/>
        <v>0</v>
      </c>
      <c r="F177" s="133">
        <f t="shared" si="33"/>
        <v>0</v>
      </c>
      <c r="G177" s="150">
        <f t="shared" si="42"/>
        <v>0</v>
      </c>
      <c r="H177" s="133">
        <f>IF(K176&lt;0.01,0,IF(Adm!$R$3=Adm!$R$6,0,IF(Adm!$S$10=Adm!$S$13,K176*Adm!$X$6,IF(Adm!$S$10=Adm!$S$11,K176*Adm!$X$3,IF(Adm!$S$10=Adm!$S$12,K176*Adm!$Y$3)))))</f>
        <v>0</v>
      </c>
      <c r="I177" s="133">
        <f>IF(K176&lt;0.01,0,E177*Adm!$N$7)</f>
        <v>0</v>
      </c>
      <c r="J177" s="133">
        <f t="shared" si="34"/>
        <v>0</v>
      </c>
      <c r="K177" s="133">
        <f t="shared" si="35"/>
        <v>0</v>
      </c>
      <c r="L177" s="361"/>
      <c r="V177" s="571">
        <f t="shared" si="36"/>
        <v>4</v>
      </c>
      <c r="W177" s="846">
        <f>IF(Adm!$AF$3=Adm!$AF$6,0,IF(V177=1,Adm!$AN$2,0))</f>
        <v>0</v>
      </c>
      <c r="Y177" s="338">
        <f>IF(AND($L$14=$AB$10,Adm!$AF$3=Adm!$AF$6,L176&gt;0),PMT(Cal!$F$86/12,B176,-K176),0)</f>
        <v>0</v>
      </c>
      <c r="AB177" s="650">
        <f t="shared" si="40"/>
        <v>0</v>
      </c>
      <c r="AC177" s="639">
        <f t="shared" si="41"/>
        <v>0</v>
      </c>
      <c r="AD177" s="639">
        <f>IF(AND($AD$12=1,$AB$12=2),PMT(Adm!$AH$7/12,B176,-K176),0)</f>
        <v>0</v>
      </c>
      <c r="AE177" s="639">
        <f t="shared" si="39"/>
        <v>0</v>
      </c>
      <c r="AF177" s="636">
        <f t="shared" si="37"/>
        <v>0</v>
      </c>
      <c r="AG177" s="647" t="e">
        <f>Captura!AG274</f>
        <v>#N/A</v>
      </c>
    </row>
    <row r="178" spans="1:33">
      <c r="A178" s="151">
        <f t="shared" ca="1" si="29"/>
        <v>4</v>
      </c>
      <c r="B178" s="195">
        <f t="shared" si="30"/>
        <v>0</v>
      </c>
      <c r="C178" s="199">
        <f t="shared" si="31"/>
        <v>0</v>
      </c>
      <c r="D178" s="333">
        <f t="shared" si="38"/>
        <v>0</v>
      </c>
      <c r="E178" s="133">
        <f t="shared" si="32"/>
        <v>0</v>
      </c>
      <c r="F178" s="133">
        <f t="shared" si="33"/>
        <v>0</v>
      </c>
      <c r="G178" s="150">
        <f t="shared" si="42"/>
        <v>0</v>
      </c>
      <c r="H178" s="133">
        <f>IF(K177&lt;0.01,0,IF(Adm!$R$3=Adm!$R$6,0,IF(Adm!$S$10=Adm!$S$13,K177*Adm!$X$6,IF(Adm!$S$10=Adm!$S$11,K177*Adm!$X$3,IF(Adm!$S$10=Adm!$S$12,K177*Adm!$Y$3)))))</f>
        <v>0</v>
      </c>
      <c r="I178" s="133">
        <f>IF(K177&lt;0.01,0,E178*Adm!$N$7)</f>
        <v>0</v>
      </c>
      <c r="J178" s="133">
        <f t="shared" si="34"/>
        <v>0</v>
      </c>
      <c r="K178" s="133">
        <f t="shared" si="35"/>
        <v>0</v>
      </c>
      <c r="L178" s="361"/>
      <c r="V178" s="571">
        <f t="shared" si="36"/>
        <v>5</v>
      </c>
      <c r="W178" s="846">
        <f>IF(Adm!$AF$3=Adm!$AF$6,0,IF(V178=1,Adm!$AN$2,0))</f>
        <v>0</v>
      </c>
      <c r="Y178" s="338">
        <f>IF(AND($L$14=$AB$10,Adm!$AF$3=Adm!$AF$6,L177&gt;0),PMT(Cal!$F$86/12,B177,-K177),0)</f>
        <v>0</v>
      </c>
      <c r="AB178" s="650">
        <f t="shared" si="40"/>
        <v>0</v>
      </c>
      <c r="AC178" s="639">
        <f t="shared" si="41"/>
        <v>0</v>
      </c>
      <c r="AD178" s="639">
        <f>IF(AND($AD$12=1,$AB$12=2),PMT(Adm!$AH$7/12,B177,-K177),0)</f>
        <v>0</v>
      </c>
      <c r="AE178" s="639">
        <f t="shared" si="39"/>
        <v>0</v>
      </c>
      <c r="AF178" s="636">
        <f t="shared" si="37"/>
        <v>0</v>
      </c>
      <c r="AG178" s="647" t="e">
        <f>Captura!AG275</f>
        <v>#N/A</v>
      </c>
    </row>
    <row r="179" spans="1:33">
      <c r="A179" s="151">
        <f t="shared" ca="1" si="29"/>
        <v>5</v>
      </c>
      <c r="B179" s="195">
        <f t="shared" si="30"/>
        <v>0</v>
      </c>
      <c r="C179" s="199">
        <f t="shared" si="31"/>
        <v>0</v>
      </c>
      <c r="D179" s="333">
        <f t="shared" si="38"/>
        <v>0</v>
      </c>
      <c r="E179" s="133">
        <f t="shared" si="32"/>
        <v>0</v>
      </c>
      <c r="F179" s="133">
        <f t="shared" si="33"/>
        <v>0</v>
      </c>
      <c r="G179" s="150">
        <f t="shared" si="42"/>
        <v>0</v>
      </c>
      <c r="H179" s="133">
        <f>IF(K178&lt;0.01,0,IF(Adm!$R$3=Adm!$R$6,0,IF(Adm!$S$10=Adm!$S$13,K178*Adm!$X$6,IF(Adm!$S$10=Adm!$S$11,K178*Adm!$X$3,IF(Adm!$S$10=Adm!$S$12,K178*Adm!$Y$3)))))</f>
        <v>0</v>
      </c>
      <c r="I179" s="133">
        <f>IF(K178&lt;0.01,0,E179*Adm!$N$7)</f>
        <v>0</v>
      </c>
      <c r="J179" s="133">
        <f t="shared" si="34"/>
        <v>0</v>
      </c>
      <c r="K179" s="133">
        <f t="shared" si="35"/>
        <v>0</v>
      </c>
      <c r="L179" s="361"/>
      <c r="V179" s="571">
        <f t="shared" si="36"/>
        <v>6</v>
      </c>
      <c r="W179" s="846">
        <f>IF(Adm!$AF$3=Adm!$AF$6,0,IF(V179=1,Adm!$AN$2,0))</f>
        <v>0</v>
      </c>
      <c r="Y179" s="338">
        <f>IF(AND($L$14=$AB$10,Adm!$AF$3=Adm!$AF$6,L178&gt;0),PMT(Cal!$F$86/12,B178,-K178),0)</f>
        <v>0</v>
      </c>
      <c r="AB179" s="650">
        <f t="shared" si="40"/>
        <v>0</v>
      </c>
      <c r="AC179" s="639">
        <f t="shared" si="41"/>
        <v>0</v>
      </c>
      <c r="AD179" s="639">
        <f>IF(AND($AD$12=1,$AB$12=2),PMT(Adm!$AH$7/12,B178,-K178),0)</f>
        <v>0</v>
      </c>
      <c r="AE179" s="639">
        <f t="shared" si="39"/>
        <v>0</v>
      </c>
      <c r="AF179" s="636">
        <f t="shared" si="37"/>
        <v>0</v>
      </c>
      <c r="AG179" s="647" t="e">
        <f>Captura!AG276</f>
        <v>#N/A</v>
      </c>
    </row>
    <row r="180" spans="1:33">
      <c r="A180" s="151">
        <f t="shared" ca="1" si="29"/>
        <v>6</v>
      </c>
      <c r="B180" s="195">
        <f t="shared" si="30"/>
        <v>0</v>
      </c>
      <c r="C180" s="199">
        <f t="shared" si="31"/>
        <v>0</v>
      </c>
      <c r="D180" s="333">
        <f t="shared" si="38"/>
        <v>0</v>
      </c>
      <c r="E180" s="133">
        <f t="shared" si="32"/>
        <v>0</v>
      </c>
      <c r="F180" s="133">
        <f t="shared" si="33"/>
        <v>0</v>
      </c>
      <c r="G180" s="150">
        <f t="shared" si="42"/>
        <v>0</v>
      </c>
      <c r="H180" s="133">
        <f>IF(K179&lt;0.01,0,IF(Adm!$R$3=Adm!$R$6,0,IF(Adm!$S$10=Adm!$S$13,K179*Adm!$X$6,IF(Adm!$S$10=Adm!$S$11,K179*Adm!$X$3,IF(Adm!$S$10=Adm!$S$12,K179*Adm!$Y$3)))))</f>
        <v>0</v>
      </c>
      <c r="I180" s="133">
        <f>IF(K179&lt;0.01,0,E180*Adm!$N$7)</f>
        <v>0</v>
      </c>
      <c r="J180" s="133">
        <f t="shared" si="34"/>
        <v>0</v>
      </c>
      <c r="K180" s="133">
        <f t="shared" si="35"/>
        <v>0</v>
      </c>
      <c r="L180" s="361"/>
      <c r="V180" s="571">
        <f t="shared" si="36"/>
        <v>7</v>
      </c>
      <c r="W180" s="846">
        <f>IF(Adm!$AF$3=Adm!$AF$6,0,IF(V180=1,Adm!$AN$2,0))</f>
        <v>0</v>
      </c>
      <c r="Y180" s="338">
        <f>IF(AND($L$14=$AB$10,Adm!$AF$3=Adm!$AF$6,L179&gt;0),PMT(Cal!$F$86/12,B179,-K179),0)</f>
        <v>0</v>
      </c>
      <c r="AB180" s="650">
        <f t="shared" si="40"/>
        <v>0</v>
      </c>
      <c r="AC180" s="639">
        <f t="shared" si="41"/>
        <v>0</v>
      </c>
      <c r="AD180" s="639">
        <f>IF(AND($AD$12=1,$AB$12=2),PMT(Adm!$AH$7/12,B179,-K179),0)</f>
        <v>0</v>
      </c>
      <c r="AE180" s="639">
        <f t="shared" si="39"/>
        <v>0</v>
      </c>
      <c r="AF180" s="636">
        <f t="shared" si="37"/>
        <v>0</v>
      </c>
      <c r="AG180" s="647" t="e">
        <f>Captura!AG277</f>
        <v>#N/A</v>
      </c>
    </row>
    <row r="181" spans="1:33">
      <c r="A181" s="151">
        <f t="shared" ca="1" si="29"/>
        <v>7</v>
      </c>
      <c r="B181" s="195">
        <f t="shared" si="30"/>
        <v>0</v>
      </c>
      <c r="C181" s="199">
        <f t="shared" si="31"/>
        <v>0</v>
      </c>
      <c r="D181" s="333">
        <f t="shared" si="38"/>
        <v>0</v>
      </c>
      <c r="E181" s="133">
        <f t="shared" si="32"/>
        <v>0</v>
      </c>
      <c r="F181" s="133">
        <f t="shared" si="33"/>
        <v>0</v>
      </c>
      <c r="G181" s="150">
        <f t="shared" si="42"/>
        <v>0</v>
      </c>
      <c r="H181" s="133">
        <f>IF(K180&lt;0.01,0,IF(Adm!$R$3=Adm!$R$6,0,IF(Adm!$S$10=Adm!$S$13,K180*Adm!$X$6,IF(Adm!$S$10=Adm!$S$11,K180*Adm!$X$3,IF(Adm!$S$10=Adm!$S$12,K180*Adm!$Y$3)))))</f>
        <v>0</v>
      </c>
      <c r="I181" s="133">
        <f>IF(K180&lt;0.01,0,E181*Adm!$N$7)</f>
        <v>0</v>
      </c>
      <c r="J181" s="133">
        <f t="shared" si="34"/>
        <v>0</v>
      </c>
      <c r="K181" s="133">
        <f t="shared" si="35"/>
        <v>0</v>
      </c>
      <c r="L181" s="361"/>
      <c r="V181" s="571">
        <f t="shared" si="36"/>
        <v>8</v>
      </c>
      <c r="W181" s="846">
        <f>IF(Adm!$AF$3=Adm!$AF$6,0,IF(V181=1,Adm!$AN$2,0))</f>
        <v>0</v>
      </c>
      <c r="Y181" s="338">
        <f>IF(AND($L$14=$AB$10,Adm!$AF$3=Adm!$AF$6,L180&gt;0),PMT(Cal!$F$86/12,B180,-K180),0)</f>
        <v>0</v>
      </c>
      <c r="AB181" s="650">
        <f t="shared" si="40"/>
        <v>0</v>
      </c>
      <c r="AC181" s="639">
        <f t="shared" si="41"/>
        <v>0</v>
      </c>
      <c r="AD181" s="639">
        <f>IF(AND($AD$12=1,$AB$12=2),PMT(Adm!$AH$7/12,B180,-K180),0)</f>
        <v>0</v>
      </c>
      <c r="AE181" s="639">
        <f t="shared" si="39"/>
        <v>0</v>
      </c>
      <c r="AF181" s="636">
        <f t="shared" si="37"/>
        <v>0</v>
      </c>
      <c r="AG181" s="647" t="e">
        <f>Captura!AG278</f>
        <v>#N/A</v>
      </c>
    </row>
    <row r="182" spans="1:33">
      <c r="A182" s="151">
        <f t="shared" ca="1" si="29"/>
        <v>8</v>
      </c>
      <c r="B182" s="195">
        <f t="shared" si="30"/>
        <v>0</v>
      </c>
      <c r="C182" s="199">
        <f t="shared" si="31"/>
        <v>0</v>
      </c>
      <c r="D182" s="333">
        <f t="shared" si="38"/>
        <v>0</v>
      </c>
      <c r="E182" s="133">
        <f t="shared" si="32"/>
        <v>0</v>
      </c>
      <c r="F182" s="133">
        <f t="shared" si="33"/>
        <v>0</v>
      </c>
      <c r="G182" s="150">
        <f t="shared" si="42"/>
        <v>0</v>
      </c>
      <c r="H182" s="133">
        <f>IF(K181&lt;0.01,0,IF(Adm!$R$3=Adm!$R$6,0,IF(Adm!$S$10=Adm!$S$13,K181*Adm!$X$6,IF(Adm!$S$10=Adm!$S$11,K181*Adm!$X$3,IF(Adm!$S$10=Adm!$S$12,K181*Adm!$Y$3)))))</f>
        <v>0</v>
      </c>
      <c r="I182" s="133">
        <f>IF(K181&lt;0.01,0,E182*Adm!$N$7)</f>
        <v>0</v>
      </c>
      <c r="J182" s="133">
        <f t="shared" si="34"/>
        <v>0</v>
      </c>
      <c r="K182" s="133">
        <f t="shared" si="35"/>
        <v>0</v>
      </c>
      <c r="L182" s="361"/>
      <c r="V182" s="571">
        <f t="shared" si="36"/>
        <v>9</v>
      </c>
      <c r="W182" s="846">
        <f>IF(Adm!$AF$3=Adm!$AF$6,0,IF(V182=1,Adm!$AN$2,0))</f>
        <v>0</v>
      </c>
      <c r="Y182" s="338">
        <f>IF(AND($L$14=$AB$10,Adm!$AF$3=Adm!$AF$6,L181&gt;0),PMT(Cal!$F$86/12,B181,-K181),0)</f>
        <v>0</v>
      </c>
      <c r="AB182" s="650">
        <f t="shared" si="40"/>
        <v>0</v>
      </c>
      <c r="AC182" s="639">
        <f t="shared" si="41"/>
        <v>0</v>
      </c>
      <c r="AD182" s="639">
        <f>IF(AND($AD$12=1,$AB$12=2),PMT(Adm!$AH$7/12,B181,-K181),0)</f>
        <v>0</v>
      </c>
      <c r="AE182" s="639">
        <f t="shared" si="39"/>
        <v>0</v>
      </c>
      <c r="AF182" s="636">
        <f t="shared" si="37"/>
        <v>0</v>
      </c>
      <c r="AG182" s="647" t="e">
        <f>Captura!AG279</f>
        <v>#N/A</v>
      </c>
    </row>
    <row r="183" spans="1:33">
      <c r="A183" s="151">
        <f t="shared" ca="1" si="29"/>
        <v>9</v>
      </c>
      <c r="B183" s="195">
        <f t="shared" si="30"/>
        <v>0</v>
      </c>
      <c r="C183" s="199">
        <f t="shared" si="31"/>
        <v>0</v>
      </c>
      <c r="D183" s="333">
        <f t="shared" si="38"/>
        <v>0</v>
      </c>
      <c r="E183" s="133">
        <f t="shared" si="32"/>
        <v>0</v>
      </c>
      <c r="F183" s="133">
        <f t="shared" si="33"/>
        <v>0</v>
      </c>
      <c r="G183" s="150">
        <f t="shared" si="42"/>
        <v>0</v>
      </c>
      <c r="H183" s="133">
        <f>IF(K182&lt;0.01,0,IF(Adm!$R$3=Adm!$R$6,0,IF(Adm!$S$10=Adm!$S$13,K182*Adm!$X$6,IF(Adm!$S$10=Adm!$S$11,K182*Adm!$X$3,IF(Adm!$S$10=Adm!$S$12,K182*Adm!$Y$3)))))</f>
        <v>0</v>
      </c>
      <c r="I183" s="133">
        <f>IF(K182&lt;0.01,0,E183*Adm!$N$7)</f>
        <v>0</v>
      </c>
      <c r="J183" s="133">
        <f t="shared" si="34"/>
        <v>0</v>
      </c>
      <c r="K183" s="133">
        <f t="shared" si="35"/>
        <v>0</v>
      </c>
      <c r="L183" s="361"/>
      <c r="V183" s="571">
        <f t="shared" si="36"/>
        <v>10</v>
      </c>
      <c r="W183" s="846">
        <f>IF(Adm!$AF$3=Adm!$AF$6,0,IF(V183=1,Adm!$AN$2,0))</f>
        <v>0</v>
      </c>
      <c r="Y183" s="338">
        <f>IF(AND($L$14=$AB$10,Adm!$AF$3=Adm!$AF$6,L182&gt;0),PMT(Cal!$F$86/12,B182,-K182),0)</f>
        <v>0</v>
      </c>
      <c r="AB183" s="650">
        <f t="shared" si="40"/>
        <v>0</v>
      </c>
      <c r="AC183" s="639">
        <f t="shared" si="41"/>
        <v>0</v>
      </c>
      <c r="AD183" s="639">
        <f>IF(AND($AD$12=1,$AB$12=2),PMT(Adm!$AH$7/12,B182,-K182),0)</f>
        <v>0</v>
      </c>
      <c r="AE183" s="639">
        <f t="shared" si="39"/>
        <v>0</v>
      </c>
      <c r="AF183" s="636">
        <f t="shared" si="37"/>
        <v>0</v>
      </c>
      <c r="AG183" s="647" t="e">
        <f>Captura!AG280</f>
        <v>#N/A</v>
      </c>
    </row>
    <row r="184" spans="1:33">
      <c r="A184" s="151">
        <f t="shared" ca="1" si="29"/>
        <v>10</v>
      </c>
      <c r="B184" s="195">
        <f t="shared" si="30"/>
        <v>0</v>
      </c>
      <c r="C184" s="199">
        <f t="shared" si="31"/>
        <v>0</v>
      </c>
      <c r="D184" s="333">
        <f t="shared" si="38"/>
        <v>0</v>
      </c>
      <c r="E184" s="133">
        <f t="shared" si="32"/>
        <v>0</v>
      </c>
      <c r="F184" s="133">
        <f t="shared" si="33"/>
        <v>0</v>
      </c>
      <c r="G184" s="150">
        <f t="shared" si="42"/>
        <v>0</v>
      </c>
      <c r="H184" s="133">
        <f>IF(K183&lt;0.01,0,IF(Adm!$R$3=Adm!$R$6,0,IF(Adm!$S$10=Adm!$S$13,K183*Adm!$X$6,IF(Adm!$S$10=Adm!$S$11,K183*Adm!$X$3,IF(Adm!$S$10=Adm!$S$12,K183*Adm!$Y$3)))))</f>
        <v>0</v>
      </c>
      <c r="I184" s="133">
        <f>IF(K183&lt;0.01,0,E184*Adm!$N$7)</f>
        <v>0</v>
      </c>
      <c r="J184" s="133">
        <f t="shared" si="34"/>
        <v>0</v>
      </c>
      <c r="K184" s="133">
        <f t="shared" si="35"/>
        <v>0</v>
      </c>
      <c r="L184" s="361"/>
      <c r="V184" s="571">
        <f t="shared" si="36"/>
        <v>11</v>
      </c>
      <c r="W184" s="846">
        <f>IF(Adm!$AF$3=Adm!$AF$6,0,IF(V184=1,Adm!$AN$2,0))</f>
        <v>0</v>
      </c>
      <c r="Y184" s="338">
        <f>IF(AND($L$14=$AB$10,Adm!$AF$3=Adm!$AF$6,L183&gt;0),PMT(Cal!$F$86/12,B183,-K183),0)</f>
        <v>0</v>
      </c>
      <c r="AB184" s="650">
        <f t="shared" si="40"/>
        <v>0</v>
      </c>
      <c r="AC184" s="639">
        <f t="shared" si="41"/>
        <v>0</v>
      </c>
      <c r="AD184" s="639">
        <f>IF(AND($AD$12=1,$AB$12=2),PMT(Adm!$AH$7/12,B183,-K183),0)</f>
        <v>0</v>
      </c>
      <c r="AE184" s="639">
        <f t="shared" si="39"/>
        <v>0</v>
      </c>
      <c r="AF184" s="636">
        <f t="shared" si="37"/>
        <v>0</v>
      </c>
      <c r="AG184" s="647" t="e">
        <f>Captura!AG281</f>
        <v>#N/A</v>
      </c>
    </row>
    <row r="185" spans="1:33">
      <c r="A185" s="151">
        <f t="shared" ca="1" si="29"/>
        <v>11</v>
      </c>
      <c r="B185" s="195">
        <f t="shared" si="30"/>
        <v>0</v>
      </c>
      <c r="C185" s="199">
        <f t="shared" si="31"/>
        <v>0</v>
      </c>
      <c r="D185" s="333">
        <f t="shared" si="38"/>
        <v>0</v>
      </c>
      <c r="E185" s="133">
        <f t="shared" si="32"/>
        <v>0</v>
      </c>
      <c r="F185" s="133">
        <f t="shared" si="33"/>
        <v>0</v>
      </c>
      <c r="G185" s="150">
        <f t="shared" si="42"/>
        <v>0</v>
      </c>
      <c r="H185" s="133">
        <f>IF(K184&lt;0.01,0,IF(Adm!$R$3=Adm!$R$6,0,IF(Adm!$S$10=Adm!$S$13,K184*Adm!$X$6,IF(Adm!$S$10=Adm!$S$11,K184*Adm!$X$3,IF(Adm!$S$10=Adm!$S$12,K184*Adm!$Y$3)))))</f>
        <v>0</v>
      </c>
      <c r="I185" s="133">
        <f>IF(K184&lt;0.01,0,E185*Adm!$N$7)</f>
        <v>0</v>
      </c>
      <c r="J185" s="133">
        <f t="shared" si="34"/>
        <v>0</v>
      </c>
      <c r="K185" s="133">
        <f t="shared" si="35"/>
        <v>0</v>
      </c>
      <c r="L185" s="361"/>
      <c r="V185" s="571">
        <f t="shared" si="36"/>
        <v>12</v>
      </c>
      <c r="W185" s="846">
        <f>IF(Adm!$AF$3=Adm!$AF$6,0,IF(V185=1,Adm!$AN$2,0))</f>
        <v>0</v>
      </c>
      <c r="Y185" s="338">
        <f>IF(AND($L$14=$AB$10,Adm!$AF$3=Adm!$AF$6,L184&gt;0),PMT(Cal!$F$86/12,B184,-K184),0)</f>
        <v>0</v>
      </c>
      <c r="AB185" s="650">
        <f t="shared" si="40"/>
        <v>0</v>
      </c>
      <c r="AC185" s="639">
        <f t="shared" si="41"/>
        <v>0</v>
      </c>
      <c r="AD185" s="639">
        <f>IF(AND($AD$12=1,$AB$12=2),PMT(Adm!$AH$7/12,B184,-K184),0)</f>
        <v>0</v>
      </c>
      <c r="AE185" s="639">
        <f t="shared" si="39"/>
        <v>0</v>
      </c>
      <c r="AF185" s="636">
        <f t="shared" si="37"/>
        <v>0</v>
      </c>
      <c r="AG185" s="647" t="e">
        <f>Captura!AG282</f>
        <v>#N/A</v>
      </c>
    </row>
    <row r="186" spans="1:33">
      <c r="A186" s="151">
        <f t="shared" ca="1" si="29"/>
        <v>12</v>
      </c>
      <c r="B186" s="195">
        <f t="shared" si="30"/>
        <v>0</v>
      </c>
      <c r="C186" s="199">
        <f t="shared" si="31"/>
        <v>0</v>
      </c>
      <c r="D186" s="333">
        <f t="shared" si="38"/>
        <v>0</v>
      </c>
      <c r="E186" s="133">
        <f t="shared" si="32"/>
        <v>0</v>
      </c>
      <c r="F186" s="133">
        <f t="shared" si="33"/>
        <v>0</v>
      </c>
      <c r="G186" s="150">
        <f t="shared" si="42"/>
        <v>0</v>
      </c>
      <c r="H186" s="133">
        <f>IF(K185&lt;0.01,0,IF(Adm!$R$3=Adm!$R$6,0,IF(Adm!$S$10=Adm!$S$13,K185*Adm!$X$6,IF(Adm!$S$10=Adm!$S$11,K185*Adm!$X$3,IF(Adm!$S$10=Adm!$S$12,K185*Adm!$Y$3)))))</f>
        <v>0</v>
      </c>
      <c r="I186" s="133">
        <f>IF(K185&lt;0.01,0,E186*Adm!$N$7)</f>
        <v>0</v>
      </c>
      <c r="J186" s="133">
        <f t="shared" si="34"/>
        <v>0</v>
      </c>
      <c r="K186" s="133">
        <f t="shared" si="35"/>
        <v>0</v>
      </c>
      <c r="L186" s="361"/>
      <c r="V186" s="571">
        <f t="shared" si="36"/>
        <v>1</v>
      </c>
      <c r="W186" s="846">
        <f>IF(Adm!$AF$3=Adm!$AF$6,0,IF(V186=1,Adm!$AN$2,0))</f>
        <v>0</v>
      </c>
      <c r="Y186" s="338">
        <f>IF(AND($L$14=$AB$10,Adm!$AF$3=Adm!$AF$6,L185&gt;0),PMT(Cal!$F$86/12,B185,-K185),0)</f>
        <v>0</v>
      </c>
      <c r="AB186" s="650">
        <f t="shared" si="40"/>
        <v>0</v>
      </c>
      <c r="AC186" s="639">
        <f t="shared" si="41"/>
        <v>0</v>
      </c>
      <c r="AD186" s="639">
        <f>IF(AND($AD$12=1,$AB$12=2),PMT(Adm!$AH$7/12,B185,-K185),0)</f>
        <v>0</v>
      </c>
      <c r="AE186" s="639">
        <f t="shared" si="39"/>
        <v>0</v>
      </c>
      <c r="AF186" s="636">
        <f t="shared" si="37"/>
        <v>0</v>
      </c>
      <c r="AG186" s="647" t="e">
        <f>Captura!AG283</f>
        <v>#N/A</v>
      </c>
    </row>
    <row r="187" spans="1:33">
      <c r="A187" s="151">
        <f t="shared" ca="1" si="29"/>
        <v>1</v>
      </c>
      <c r="B187" s="195">
        <f t="shared" si="30"/>
        <v>0</v>
      </c>
      <c r="C187" s="199">
        <f t="shared" si="31"/>
        <v>0</v>
      </c>
      <c r="D187" s="333">
        <f t="shared" si="38"/>
        <v>0</v>
      </c>
      <c r="E187" s="133">
        <f t="shared" si="32"/>
        <v>0</v>
      </c>
      <c r="F187" s="133">
        <f t="shared" si="33"/>
        <v>0</v>
      </c>
      <c r="G187" s="150">
        <f t="shared" si="42"/>
        <v>0</v>
      </c>
      <c r="H187" s="133">
        <f>IF(K186&lt;0.01,0,IF(Adm!$R$3=Adm!$R$6,0,IF(Adm!$S$10=Adm!$S$13,K186*Adm!$X$6,IF(Adm!$S$10=Adm!$S$11,K186*Adm!$X$3,IF(Adm!$S$10=Adm!$S$12,K186*Adm!$Y$3)))))</f>
        <v>0</v>
      </c>
      <c r="I187" s="133">
        <f>IF(K186&lt;0.01,0,E187*Adm!$N$7)</f>
        <v>0</v>
      </c>
      <c r="J187" s="133">
        <f t="shared" si="34"/>
        <v>0</v>
      </c>
      <c r="K187" s="133">
        <f t="shared" si="35"/>
        <v>0</v>
      </c>
      <c r="L187" s="361"/>
      <c r="V187" s="571">
        <f t="shared" si="36"/>
        <v>2</v>
      </c>
      <c r="W187" s="846">
        <f>IF(Adm!$AF$3=Adm!$AF$6,0,IF(V187=1,Adm!$AN$2,0))</f>
        <v>0</v>
      </c>
      <c r="Y187" s="338">
        <f>IF(AND($L$14=$AB$10,Adm!$AF$3=Adm!$AF$6,L186&gt;0),PMT(Cal!$F$86/12,B186,-K186),0)</f>
        <v>0</v>
      </c>
      <c r="AB187" s="650">
        <f t="shared" si="40"/>
        <v>0</v>
      </c>
      <c r="AC187" s="639">
        <f t="shared" si="41"/>
        <v>0</v>
      </c>
      <c r="AD187" s="639">
        <f>IF(AND($AD$12=1,$AB$12=2),PMT(Adm!$AH$7/12,B186,-K186),0)</f>
        <v>0</v>
      </c>
      <c r="AE187" s="639">
        <f t="shared" si="39"/>
        <v>0</v>
      </c>
      <c r="AF187" s="636">
        <f t="shared" si="37"/>
        <v>0</v>
      </c>
      <c r="AG187" s="647" t="e">
        <f>Captura!AG284</f>
        <v>#N/A</v>
      </c>
    </row>
    <row r="188" spans="1:33">
      <c r="A188" s="151">
        <f t="shared" ca="1" si="29"/>
        <v>2</v>
      </c>
      <c r="B188" s="195">
        <f t="shared" si="30"/>
        <v>0</v>
      </c>
      <c r="C188" s="199">
        <f t="shared" si="31"/>
        <v>0</v>
      </c>
      <c r="D188" s="333">
        <f t="shared" si="38"/>
        <v>0</v>
      </c>
      <c r="E188" s="133">
        <f t="shared" si="32"/>
        <v>0</v>
      </c>
      <c r="F188" s="133">
        <f t="shared" si="33"/>
        <v>0</v>
      </c>
      <c r="G188" s="150">
        <f t="shared" si="42"/>
        <v>0</v>
      </c>
      <c r="H188" s="133">
        <f>IF(K187&lt;0.01,0,IF(Adm!$R$3=Adm!$R$6,0,IF(Adm!$S$10=Adm!$S$13,K187*Adm!$X$6,IF(Adm!$S$10=Adm!$S$11,K187*Adm!$X$3,IF(Adm!$S$10=Adm!$S$12,K187*Adm!$Y$3)))))</f>
        <v>0</v>
      </c>
      <c r="I188" s="133">
        <f>IF(K187&lt;0.01,0,E188*Adm!$N$7)</f>
        <v>0</v>
      </c>
      <c r="J188" s="133">
        <f t="shared" si="34"/>
        <v>0</v>
      </c>
      <c r="K188" s="133">
        <f t="shared" si="35"/>
        <v>0</v>
      </c>
      <c r="L188" s="361"/>
      <c r="V188" s="571">
        <f t="shared" si="36"/>
        <v>3</v>
      </c>
      <c r="W188" s="846">
        <f>IF(Adm!$AF$3=Adm!$AF$6,0,IF(V188=1,Adm!$AN$2,0))</f>
        <v>0</v>
      </c>
      <c r="Y188" s="338">
        <f>IF(AND($L$14=$AB$10,Adm!$AF$3=Adm!$AF$6,L187&gt;0),PMT(Cal!$F$86/12,B187,-K187),0)</f>
        <v>0</v>
      </c>
      <c r="AB188" s="650">
        <f t="shared" si="40"/>
        <v>0</v>
      </c>
      <c r="AC188" s="639">
        <f t="shared" si="41"/>
        <v>0</v>
      </c>
      <c r="AD188" s="639">
        <f>IF(AND($AD$12=1,$AB$12=2),PMT(Adm!$AH$7/12,B187,-K187),0)</f>
        <v>0</v>
      </c>
      <c r="AE188" s="639">
        <f t="shared" si="39"/>
        <v>0</v>
      </c>
      <c r="AF188" s="636">
        <f t="shared" si="37"/>
        <v>0</v>
      </c>
      <c r="AG188" s="647" t="e">
        <f>Captura!AG285</f>
        <v>#N/A</v>
      </c>
    </row>
    <row r="189" spans="1:33">
      <c r="A189" s="151">
        <f t="shared" ca="1" si="29"/>
        <v>3</v>
      </c>
      <c r="B189" s="195">
        <f t="shared" si="30"/>
        <v>0</v>
      </c>
      <c r="C189" s="199">
        <f t="shared" si="31"/>
        <v>0</v>
      </c>
      <c r="D189" s="333">
        <f t="shared" si="38"/>
        <v>0</v>
      </c>
      <c r="E189" s="133">
        <f t="shared" si="32"/>
        <v>0</v>
      </c>
      <c r="F189" s="133">
        <f t="shared" si="33"/>
        <v>0</v>
      </c>
      <c r="G189" s="150">
        <f t="shared" si="42"/>
        <v>0</v>
      </c>
      <c r="H189" s="133">
        <f>IF(K188&lt;0.01,0,IF(Adm!$R$3=Adm!$R$6,0,IF(Adm!$S$10=Adm!$S$13,K188*Adm!$X$6,IF(Adm!$S$10=Adm!$S$11,K188*Adm!$X$3,IF(Adm!$S$10=Adm!$S$12,K188*Adm!$Y$3)))))</f>
        <v>0</v>
      </c>
      <c r="I189" s="133">
        <f>IF(K188&lt;0.01,0,E189*Adm!$N$7)</f>
        <v>0</v>
      </c>
      <c r="J189" s="133">
        <f t="shared" si="34"/>
        <v>0</v>
      </c>
      <c r="K189" s="133">
        <f t="shared" si="35"/>
        <v>0</v>
      </c>
      <c r="L189" s="361"/>
      <c r="V189" s="571">
        <f t="shared" si="36"/>
        <v>4</v>
      </c>
      <c r="W189" s="846">
        <f>IF(Adm!$AF$3=Adm!$AF$6,0,IF(V189=1,Adm!$AN$2,0))</f>
        <v>0</v>
      </c>
      <c r="Y189" s="338">
        <f>IF(AND($L$14=$AB$10,Adm!$AF$3=Adm!$AF$6,L188&gt;0),PMT(Cal!$F$86/12,B188,-K188),0)</f>
        <v>0</v>
      </c>
      <c r="AB189" s="650">
        <f t="shared" si="40"/>
        <v>0</v>
      </c>
      <c r="AC189" s="639">
        <f t="shared" si="41"/>
        <v>0</v>
      </c>
      <c r="AD189" s="639">
        <f>IF(AND($AD$12=1,$AB$12=2),PMT(Adm!$AH$7/12,B188,-K188),0)</f>
        <v>0</v>
      </c>
      <c r="AE189" s="639">
        <f t="shared" si="39"/>
        <v>0</v>
      </c>
      <c r="AF189" s="636">
        <f t="shared" si="37"/>
        <v>0</v>
      </c>
      <c r="AG189" s="647" t="e">
        <f>Captura!AG286</f>
        <v>#N/A</v>
      </c>
    </row>
    <row r="190" spans="1:33">
      <c r="A190" s="151">
        <f t="shared" ca="1" si="29"/>
        <v>4</v>
      </c>
      <c r="B190" s="195">
        <f t="shared" si="30"/>
        <v>0</v>
      </c>
      <c r="C190" s="199">
        <f t="shared" si="31"/>
        <v>0</v>
      </c>
      <c r="D190" s="333">
        <f t="shared" si="38"/>
        <v>0</v>
      </c>
      <c r="E190" s="133">
        <f t="shared" si="32"/>
        <v>0</v>
      </c>
      <c r="F190" s="133">
        <f t="shared" si="33"/>
        <v>0</v>
      </c>
      <c r="G190" s="150">
        <f t="shared" si="42"/>
        <v>0</v>
      </c>
      <c r="H190" s="133">
        <f>IF(K189&lt;0.01,0,IF(Adm!$R$3=Adm!$R$6,0,IF(Adm!$S$10=Adm!$S$13,K189*Adm!$X$6,IF(Adm!$S$10=Adm!$S$11,K189*Adm!$X$3,IF(Adm!$S$10=Adm!$S$12,K189*Adm!$Y$3)))))</f>
        <v>0</v>
      </c>
      <c r="I190" s="133">
        <f>IF(K189&lt;0.01,0,E190*Adm!$N$7)</f>
        <v>0</v>
      </c>
      <c r="J190" s="133">
        <f t="shared" si="34"/>
        <v>0</v>
      </c>
      <c r="K190" s="133">
        <f t="shared" si="35"/>
        <v>0</v>
      </c>
      <c r="L190" s="361"/>
      <c r="V190" s="571">
        <f t="shared" si="36"/>
        <v>5</v>
      </c>
      <c r="W190" s="846">
        <f>IF(Adm!$AF$3=Adm!$AF$6,0,IF(V190=1,Adm!$AN$2,0))</f>
        <v>0</v>
      </c>
      <c r="Y190" s="338">
        <f>IF(AND($L$14=$AB$10,Adm!$AF$3=Adm!$AF$6,L189&gt;0),PMT(Cal!$F$86/12,B189,-K189),0)</f>
        <v>0</v>
      </c>
      <c r="AB190" s="650">
        <f t="shared" si="40"/>
        <v>0</v>
      </c>
      <c r="AC190" s="639">
        <f t="shared" si="41"/>
        <v>0</v>
      </c>
      <c r="AD190" s="639">
        <f>IF(AND($AD$12=1,$AB$12=2),PMT(Adm!$AH$7/12,B189,-K189),0)</f>
        <v>0</v>
      </c>
      <c r="AE190" s="639">
        <f t="shared" si="39"/>
        <v>0</v>
      </c>
      <c r="AF190" s="636">
        <f t="shared" si="37"/>
        <v>0</v>
      </c>
      <c r="AG190" s="647" t="e">
        <f>Captura!AG287</f>
        <v>#N/A</v>
      </c>
    </row>
    <row r="191" spans="1:33">
      <c r="A191" s="151">
        <f t="shared" ca="1" si="29"/>
        <v>5</v>
      </c>
      <c r="B191" s="195">
        <f t="shared" si="30"/>
        <v>0</v>
      </c>
      <c r="C191" s="199">
        <f t="shared" si="31"/>
        <v>0</v>
      </c>
      <c r="D191" s="333">
        <f t="shared" si="38"/>
        <v>0</v>
      </c>
      <c r="E191" s="133">
        <f t="shared" si="32"/>
        <v>0</v>
      </c>
      <c r="F191" s="133">
        <f t="shared" si="33"/>
        <v>0</v>
      </c>
      <c r="G191" s="150">
        <f t="shared" si="42"/>
        <v>0</v>
      </c>
      <c r="H191" s="133">
        <f>IF(K190&lt;0.01,0,IF(Adm!$R$3=Adm!$R$6,0,IF(Adm!$S$10=Adm!$S$13,K190*Adm!$X$6,IF(Adm!$S$10=Adm!$S$11,K190*Adm!$X$3,IF(Adm!$S$10=Adm!$S$12,K190*Adm!$Y$3)))))</f>
        <v>0</v>
      </c>
      <c r="I191" s="133">
        <f>IF(K190&lt;0.01,0,E191*Adm!$N$7)</f>
        <v>0</v>
      </c>
      <c r="J191" s="133">
        <f t="shared" si="34"/>
        <v>0</v>
      </c>
      <c r="K191" s="133">
        <f t="shared" si="35"/>
        <v>0</v>
      </c>
      <c r="L191" s="361"/>
      <c r="V191" s="571">
        <f t="shared" si="36"/>
        <v>6</v>
      </c>
      <c r="W191" s="846">
        <f>IF(Adm!$AF$3=Adm!$AF$6,0,IF(V191=1,Adm!$AN$2,0))</f>
        <v>0</v>
      </c>
      <c r="Y191" s="338">
        <f>IF(AND($L$14=$AB$10,Adm!$AF$3=Adm!$AF$6,L190&gt;0),PMT(Cal!$F$86/12,B190,-K190),0)</f>
        <v>0</v>
      </c>
      <c r="AB191" s="650">
        <f t="shared" si="40"/>
        <v>0</v>
      </c>
      <c r="AC191" s="639">
        <f t="shared" si="41"/>
        <v>0</v>
      </c>
      <c r="AD191" s="639">
        <f>IF(AND($AD$12=1,$AB$12=2),PMT(Adm!$AH$7/12,B190,-K190),0)</f>
        <v>0</v>
      </c>
      <c r="AE191" s="639">
        <f t="shared" si="39"/>
        <v>0</v>
      </c>
      <c r="AF191" s="636">
        <f t="shared" si="37"/>
        <v>0</v>
      </c>
      <c r="AG191" s="647" t="e">
        <f>Captura!AG288</f>
        <v>#N/A</v>
      </c>
    </row>
    <row r="192" spans="1:33">
      <c r="A192" s="151">
        <f t="shared" ca="1" si="29"/>
        <v>6</v>
      </c>
      <c r="B192" s="195">
        <f t="shared" si="30"/>
        <v>0</v>
      </c>
      <c r="C192" s="199">
        <f t="shared" si="31"/>
        <v>0</v>
      </c>
      <c r="D192" s="333">
        <f t="shared" si="38"/>
        <v>0</v>
      </c>
      <c r="E192" s="133">
        <f t="shared" si="32"/>
        <v>0</v>
      </c>
      <c r="F192" s="133">
        <f t="shared" si="33"/>
        <v>0</v>
      </c>
      <c r="G192" s="150">
        <f t="shared" si="42"/>
        <v>0</v>
      </c>
      <c r="H192" s="133">
        <f>IF(K191&lt;0.01,0,IF(Adm!$R$3=Adm!$R$6,0,IF(Adm!$S$10=Adm!$S$13,K191*Adm!$X$6,IF(Adm!$S$10=Adm!$S$11,K191*Adm!$X$3,IF(Adm!$S$10=Adm!$S$12,K191*Adm!$Y$3)))))</f>
        <v>0</v>
      </c>
      <c r="I192" s="133">
        <f>IF(K191&lt;0.01,0,E192*Adm!$N$7)</f>
        <v>0</v>
      </c>
      <c r="J192" s="133">
        <f t="shared" si="34"/>
        <v>0</v>
      </c>
      <c r="K192" s="133">
        <f t="shared" si="35"/>
        <v>0</v>
      </c>
      <c r="L192" s="361"/>
      <c r="V192" s="571">
        <f t="shared" si="36"/>
        <v>7</v>
      </c>
      <c r="W192" s="846">
        <f>IF(Adm!$AF$3=Adm!$AF$6,0,IF(V192=1,Adm!$AN$2,0))</f>
        <v>0</v>
      </c>
      <c r="Y192" s="338">
        <f>IF(AND($L$14=$AB$10,Adm!$AF$3=Adm!$AF$6,L191&gt;0),PMT(Cal!$F$86/12,B191,-K191),0)</f>
        <v>0</v>
      </c>
      <c r="AB192" s="650">
        <f t="shared" si="40"/>
        <v>0</v>
      </c>
      <c r="AC192" s="639">
        <f t="shared" si="41"/>
        <v>0</v>
      </c>
      <c r="AD192" s="639">
        <f>IF(AND($AD$12=1,$AB$12=2),PMT(Adm!$AH$7/12,B191,-K191),0)</f>
        <v>0</v>
      </c>
      <c r="AE192" s="639">
        <f t="shared" si="39"/>
        <v>0</v>
      </c>
      <c r="AF192" s="636">
        <f t="shared" si="37"/>
        <v>0</v>
      </c>
      <c r="AG192" s="647" t="e">
        <f>Captura!AG289</f>
        <v>#N/A</v>
      </c>
    </row>
    <row r="193" spans="1:33">
      <c r="A193" s="151">
        <f t="shared" ca="1" si="29"/>
        <v>7</v>
      </c>
      <c r="B193" s="195">
        <f t="shared" si="30"/>
        <v>0</v>
      </c>
      <c r="C193" s="199">
        <f t="shared" si="31"/>
        <v>0</v>
      </c>
      <c r="D193" s="333">
        <f t="shared" si="38"/>
        <v>0</v>
      </c>
      <c r="E193" s="133">
        <f t="shared" si="32"/>
        <v>0</v>
      </c>
      <c r="F193" s="133">
        <f t="shared" si="33"/>
        <v>0</v>
      </c>
      <c r="G193" s="150">
        <f t="shared" si="42"/>
        <v>0</v>
      </c>
      <c r="H193" s="133">
        <f>IF(K192&lt;0.01,0,IF(Adm!$R$3=Adm!$R$6,0,IF(Adm!$S$10=Adm!$S$13,K192*Adm!$X$6,IF(Adm!$S$10=Adm!$S$11,K192*Adm!$X$3,IF(Adm!$S$10=Adm!$S$12,K192*Adm!$Y$3)))))</f>
        <v>0</v>
      </c>
      <c r="I193" s="133">
        <f>IF(K192&lt;0.01,0,E193*Adm!$N$7)</f>
        <v>0</v>
      </c>
      <c r="J193" s="133">
        <f t="shared" si="34"/>
        <v>0</v>
      </c>
      <c r="K193" s="133">
        <f t="shared" si="35"/>
        <v>0</v>
      </c>
      <c r="L193" s="361"/>
      <c r="V193" s="571">
        <f t="shared" si="36"/>
        <v>8</v>
      </c>
      <c r="W193" s="846">
        <f>IF(Adm!$AF$3=Adm!$AF$6,0,IF(V193=1,Adm!$AN$2,0))</f>
        <v>0</v>
      </c>
      <c r="Y193" s="338">
        <f>IF(AND($L$14=$AB$10,Adm!$AF$3=Adm!$AF$6,L192&gt;0),PMT(Cal!$F$86/12,B192,-K192),0)</f>
        <v>0</v>
      </c>
      <c r="AB193" s="650">
        <f t="shared" si="40"/>
        <v>0</v>
      </c>
      <c r="AC193" s="639">
        <f t="shared" si="41"/>
        <v>0</v>
      </c>
      <c r="AD193" s="639">
        <f>IF(AND($AD$12=1,$AB$12=2),PMT(Adm!$AH$7/12,B192,-K192),0)</f>
        <v>0</v>
      </c>
      <c r="AE193" s="639">
        <f t="shared" si="39"/>
        <v>0</v>
      </c>
      <c r="AF193" s="636">
        <f t="shared" si="37"/>
        <v>0</v>
      </c>
      <c r="AG193" s="647" t="e">
        <f>Captura!AG290</f>
        <v>#N/A</v>
      </c>
    </row>
    <row r="194" spans="1:33">
      <c r="A194" s="151">
        <f t="shared" ca="1" si="29"/>
        <v>8</v>
      </c>
      <c r="B194" s="195">
        <f t="shared" si="30"/>
        <v>0</v>
      </c>
      <c r="C194" s="199">
        <f t="shared" si="31"/>
        <v>0</v>
      </c>
      <c r="D194" s="333">
        <f t="shared" si="38"/>
        <v>0</v>
      </c>
      <c r="E194" s="133">
        <f t="shared" si="32"/>
        <v>0</v>
      </c>
      <c r="F194" s="133">
        <f t="shared" si="33"/>
        <v>0</v>
      </c>
      <c r="G194" s="150">
        <f t="shared" si="42"/>
        <v>0</v>
      </c>
      <c r="H194" s="133">
        <f>IF(K193&lt;0.01,0,IF(Adm!$R$3=Adm!$R$6,0,IF(Adm!$S$10=Adm!$S$13,K193*Adm!$X$6,IF(Adm!$S$10=Adm!$S$11,K193*Adm!$X$3,IF(Adm!$S$10=Adm!$S$12,K193*Adm!$Y$3)))))</f>
        <v>0</v>
      </c>
      <c r="I194" s="133">
        <f>IF(K193&lt;0.01,0,E194*Adm!$N$7)</f>
        <v>0</v>
      </c>
      <c r="J194" s="133">
        <f t="shared" si="34"/>
        <v>0</v>
      </c>
      <c r="K194" s="133">
        <f t="shared" si="35"/>
        <v>0</v>
      </c>
      <c r="L194" s="361"/>
      <c r="V194" s="571">
        <f t="shared" si="36"/>
        <v>9</v>
      </c>
      <c r="W194" s="846">
        <f>IF(Adm!$AF$3=Adm!$AF$6,0,IF(V194=1,Adm!$AN$2,0))</f>
        <v>0</v>
      </c>
      <c r="Y194" s="338">
        <f>IF(AND($L$14=$AB$10,Adm!$AF$3=Adm!$AF$6,L193&gt;0),PMT(Cal!$F$86/12,B193,-K193),0)</f>
        <v>0</v>
      </c>
      <c r="AB194" s="650">
        <f t="shared" si="40"/>
        <v>0</v>
      </c>
      <c r="AC194" s="639">
        <f t="shared" si="41"/>
        <v>0</v>
      </c>
      <c r="AD194" s="639">
        <f>IF(AND($AD$12=1,$AB$12=2),PMT(Adm!$AH$7/12,B193,-K193),0)</f>
        <v>0</v>
      </c>
      <c r="AE194" s="639">
        <f t="shared" si="39"/>
        <v>0</v>
      </c>
      <c r="AF194" s="636">
        <f t="shared" si="37"/>
        <v>0</v>
      </c>
      <c r="AG194" s="647" t="e">
        <f>Captura!AG291</f>
        <v>#N/A</v>
      </c>
    </row>
    <row r="195" spans="1:33">
      <c r="A195" s="151">
        <f t="shared" ca="1" si="29"/>
        <v>9</v>
      </c>
      <c r="B195" s="195">
        <f t="shared" si="30"/>
        <v>0</v>
      </c>
      <c r="C195" s="199">
        <f t="shared" si="31"/>
        <v>0</v>
      </c>
      <c r="D195" s="333">
        <f t="shared" si="38"/>
        <v>0</v>
      </c>
      <c r="E195" s="133">
        <f t="shared" si="32"/>
        <v>0</v>
      </c>
      <c r="F195" s="133">
        <f t="shared" si="33"/>
        <v>0</v>
      </c>
      <c r="G195" s="150">
        <f t="shared" si="42"/>
        <v>0</v>
      </c>
      <c r="H195" s="133">
        <f>IF(K194&lt;0.01,0,IF(Adm!$R$3=Adm!$R$6,0,IF(Adm!$S$10=Adm!$S$13,K194*Adm!$X$6,IF(Adm!$S$10=Adm!$S$11,K194*Adm!$X$3,IF(Adm!$S$10=Adm!$S$12,K194*Adm!$Y$3)))))</f>
        <v>0</v>
      </c>
      <c r="I195" s="133">
        <f>IF(K194&lt;0.01,0,E195*Adm!$N$7)</f>
        <v>0</v>
      </c>
      <c r="J195" s="133">
        <f t="shared" si="34"/>
        <v>0</v>
      </c>
      <c r="K195" s="133">
        <f t="shared" si="35"/>
        <v>0</v>
      </c>
      <c r="L195" s="361"/>
      <c r="V195" s="571">
        <f t="shared" si="36"/>
        <v>10</v>
      </c>
      <c r="W195" s="846">
        <f>IF(Adm!$AF$3=Adm!$AF$6,0,IF(V195=1,Adm!$AN$2,0))</f>
        <v>0</v>
      </c>
      <c r="Y195" s="338">
        <f>IF(AND($L$14=$AB$10,Adm!$AF$3=Adm!$AF$6,L194&gt;0),PMT(Cal!$F$86/12,B194,-K194),0)</f>
        <v>0</v>
      </c>
      <c r="AB195" s="650">
        <f t="shared" si="40"/>
        <v>0</v>
      </c>
      <c r="AC195" s="639">
        <f t="shared" si="41"/>
        <v>0</v>
      </c>
      <c r="AD195" s="639">
        <f>IF(AND($AD$12=1,$AB$12=2),PMT(Adm!$AH$7/12,B194,-K194),0)</f>
        <v>0</v>
      </c>
      <c r="AE195" s="639">
        <f t="shared" si="39"/>
        <v>0</v>
      </c>
      <c r="AF195" s="636">
        <f t="shared" si="37"/>
        <v>0</v>
      </c>
      <c r="AG195" s="647" t="e">
        <f>Captura!AG292</f>
        <v>#N/A</v>
      </c>
    </row>
    <row r="196" spans="1:33">
      <c r="A196" s="151">
        <f t="shared" ca="1" si="29"/>
        <v>10</v>
      </c>
      <c r="B196" s="195">
        <f t="shared" si="30"/>
        <v>0</v>
      </c>
      <c r="C196" s="199">
        <f t="shared" si="31"/>
        <v>0</v>
      </c>
      <c r="D196" s="333">
        <f t="shared" si="38"/>
        <v>0</v>
      </c>
      <c r="E196" s="133">
        <f t="shared" si="32"/>
        <v>0</v>
      </c>
      <c r="F196" s="133">
        <f t="shared" si="33"/>
        <v>0</v>
      </c>
      <c r="G196" s="150">
        <f t="shared" si="42"/>
        <v>0</v>
      </c>
      <c r="H196" s="133">
        <f>IF(K195&lt;0.01,0,IF(Adm!$R$3=Adm!$R$6,0,IF(Adm!$S$10=Adm!$S$13,K195*Adm!$X$6,IF(Adm!$S$10=Adm!$S$11,K195*Adm!$X$3,IF(Adm!$S$10=Adm!$S$12,K195*Adm!$Y$3)))))</f>
        <v>0</v>
      </c>
      <c r="I196" s="133">
        <f>IF(K195&lt;0.01,0,E196*Adm!$N$7)</f>
        <v>0</v>
      </c>
      <c r="J196" s="133">
        <f t="shared" si="34"/>
        <v>0</v>
      </c>
      <c r="K196" s="133">
        <f t="shared" si="35"/>
        <v>0</v>
      </c>
      <c r="L196" s="361"/>
      <c r="V196" s="571">
        <f t="shared" si="36"/>
        <v>11</v>
      </c>
      <c r="W196" s="846">
        <f>IF(Adm!$AF$3=Adm!$AF$6,0,IF(V196=1,Adm!$AN$2,0))</f>
        <v>0</v>
      </c>
      <c r="Y196" s="338">
        <f>IF(AND($L$14=$AB$10,Adm!$AF$3=Adm!$AF$6,L195&gt;0),PMT(Cal!$F$86/12,B195,-K195),0)</f>
        <v>0</v>
      </c>
      <c r="AB196" s="650">
        <f t="shared" si="40"/>
        <v>0</v>
      </c>
      <c r="AC196" s="639">
        <f t="shared" si="41"/>
        <v>0</v>
      </c>
      <c r="AD196" s="639">
        <f>IF(AND($AD$12=1,$AB$12=2),PMT(Adm!$AH$7/12,B195,-K195),0)</f>
        <v>0</v>
      </c>
      <c r="AE196" s="639">
        <f t="shared" si="39"/>
        <v>0</v>
      </c>
      <c r="AF196" s="636">
        <f t="shared" si="37"/>
        <v>0</v>
      </c>
      <c r="AG196" s="647" t="e">
        <f>Captura!AG293</f>
        <v>#N/A</v>
      </c>
    </row>
    <row r="197" spans="1:33">
      <c r="A197" s="151">
        <f t="shared" ca="1" si="29"/>
        <v>11</v>
      </c>
      <c r="B197" s="195">
        <f t="shared" si="30"/>
        <v>0</v>
      </c>
      <c r="C197" s="199">
        <f t="shared" si="31"/>
        <v>0</v>
      </c>
      <c r="D197" s="333">
        <f t="shared" si="38"/>
        <v>0</v>
      </c>
      <c r="E197" s="133">
        <f t="shared" si="32"/>
        <v>0</v>
      </c>
      <c r="F197" s="133">
        <f t="shared" si="33"/>
        <v>0</v>
      </c>
      <c r="G197" s="150">
        <f t="shared" si="42"/>
        <v>0</v>
      </c>
      <c r="H197" s="133">
        <f>IF(K196&lt;0.01,0,IF(Adm!$R$3=Adm!$R$6,0,IF(Adm!$S$10=Adm!$S$13,K196*Adm!$X$6,IF(Adm!$S$10=Adm!$S$11,K196*Adm!$X$3,IF(Adm!$S$10=Adm!$S$12,K196*Adm!$Y$3)))))</f>
        <v>0</v>
      </c>
      <c r="I197" s="133">
        <f>IF(K196&lt;0.01,0,E197*Adm!$N$7)</f>
        <v>0</v>
      </c>
      <c r="J197" s="133">
        <f t="shared" si="34"/>
        <v>0</v>
      </c>
      <c r="K197" s="133">
        <f t="shared" si="35"/>
        <v>0</v>
      </c>
      <c r="L197" s="361"/>
      <c r="V197" s="571">
        <f t="shared" si="36"/>
        <v>12</v>
      </c>
      <c r="W197" s="846">
        <f>IF(Adm!$AF$3=Adm!$AF$6,0,IF(V197=1,Adm!$AN$2,0))</f>
        <v>0</v>
      </c>
      <c r="Y197" s="338">
        <f>IF(AND($L$14=$AB$10,Adm!$AF$3=Adm!$AF$6,L196&gt;0),PMT(Cal!$F$86/12,B196,-K196),0)</f>
        <v>0</v>
      </c>
      <c r="AB197" s="650">
        <f t="shared" si="40"/>
        <v>0</v>
      </c>
      <c r="AC197" s="639">
        <f t="shared" si="41"/>
        <v>0</v>
      </c>
      <c r="AD197" s="639">
        <f>IF(AND($AD$12=1,$AB$12=2),PMT(Adm!$AH$7/12,B196,-K196),0)</f>
        <v>0</v>
      </c>
      <c r="AE197" s="639">
        <f t="shared" si="39"/>
        <v>0</v>
      </c>
      <c r="AF197" s="636">
        <f t="shared" si="37"/>
        <v>0</v>
      </c>
      <c r="AG197" s="647" t="e">
        <f>Captura!AG294</f>
        <v>#N/A</v>
      </c>
    </row>
    <row r="198" spans="1:33">
      <c r="A198" s="151">
        <f t="shared" ca="1" si="29"/>
        <v>12</v>
      </c>
      <c r="B198" s="195">
        <f t="shared" si="30"/>
        <v>0</v>
      </c>
      <c r="C198" s="199">
        <f t="shared" si="31"/>
        <v>0</v>
      </c>
      <c r="D198" s="333">
        <f t="shared" si="38"/>
        <v>0</v>
      </c>
      <c r="E198" s="133">
        <f t="shared" si="32"/>
        <v>0</v>
      </c>
      <c r="F198" s="133">
        <f t="shared" si="33"/>
        <v>0</v>
      </c>
      <c r="G198" s="150">
        <f t="shared" si="42"/>
        <v>0</v>
      </c>
      <c r="H198" s="133">
        <f>IF(K197&lt;0.01,0,IF(Adm!$R$3=Adm!$R$6,0,IF(Adm!$S$10=Adm!$S$13,K197*Adm!$X$6,IF(Adm!$S$10=Adm!$S$11,K197*Adm!$X$3,IF(Adm!$S$10=Adm!$S$12,K197*Adm!$Y$3)))))</f>
        <v>0</v>
      </c>
      <c r="I198" s="133">
        <f>IF(K197&lt;0.01,0,E198*Adm!$N$7)</f>
        <v>0</v>
      </c>
      <c r="J198" s="133">
        <f t="shared" si="34"/>
        <v>0</v>
      </c>
      <c r="K198" s="133">
        <f t="shared" si="35"/>
        <v>0</v>
      </c>
      <c r="L198" s="361"/>
      <c r="V198" s="571">
        <f t="shared" si="36"/>
        <v>1</v>
      </c>
      <c r="W198" s="846">
        <f>IF(Adm!$AF$3=Adm!$AF$6,0,IF(V198=1,Adm!$AN$2,0))</f>
        <v>0</v>
      </c>
      <c r="Y198" s="338">
        <f>IF(AND($L$14=$AB$10,Adm!$AF$3=Adm!$AF$6,L197&gt;0),PMT(Cal!$F$86/12,B197,-K197),0)</f>
        <v>0</v>
      </c>
      <c r="AB198" s="650">
        <f t="shared" si="40"/>
        <v>0</v>
      </c>
      <c r="AC198" s="639">
        <f t="shared" si="41"/>
        <v>0</v>
      </c>
      <c r="AD198" s="639">
        <f>IF(AND($AD$12=1,$AB$12=2),PMT(Adm!$AH$7/12,B197,-K197),0)</f>
        <v>0</v>
      </c>
      <c r="AE198" s="639">
        <f t="shared" si="39"/>
        <v>0</v>
      </c>
      <c r="AF198" s="636">
        <f t="shared" si="37"/>
        <v>0</v>
      </c>
      <c r="AG198" s="647" t="e">
        <f>Captura!AG295</f>
        <v>#N/A</v>
      </c>
    </row>
    <row r="199" spans="1:33">
      <c r="A199" s="151">
        <f t="shared" ca="1" si="29"/>
        <v>1</v>
      </c>
      <c r="B199" s="195">
        <f t="shared" si="30"/>
        <v>0</v>
      </c>
      <c r="C199" s="199">
        <f t="shared" si="31"/>
        <v>0</v>
      </c>
      <c r="D199" s="333">
        <f t="shared" si="38"/>
        <v>0</v>
      </c>
      <c r="E199" s="133">
        <f t="shared" si="32"/>
        <v>0</v>
      </c>
      <c r="F199" s="133">
        <f t="shared" si="33"/>
        <v>0</v>
      </c>
      <c r="G199" s="150">
        <f t="shared" si="42"/>
        <v>0</v>
      </c>
      <c r="H199" s="133">
        <f>IF(K198&lt;0.01,0,IF(Adm!$R$3=Adm!$R$6,0,IF(Adm!$S$10=Adm!$S$13,K198*Adm!$X$6,IF(Adm!$S$10=Adm!$S$11,K198*Adm!$X$3,IF(Adm!$S$10=Adm!$S$12,K198*Adm!$Y$3)))))</f>
        <v>0</v>
      </c>
      <c r="I199" s="133">
        <f>IF(K198&lt;0.01,0,E199*Adm!$N$7)</f>
        <v>0</v>
      </c>
      <c r="J199" s="133">
        <f t="shared" si="34"/>
        <v>0</v>
      </c>
      <c r="K199" s="133">
        <f t="shared" si="35"/>
        <v>0</v>
      </c>
      <c r="L199" s="361"/>
      <c r="V199" s="571">
        <f t="shared" si="36"/>
        <v>2</v>
      </c>
      <c r="W199" s="846">
        <f>IF(Adm!$AF$3=Adm!$AF$6,0,IF(V199=1,Adm!$AN$2,0))</f>
        <v>0</v>
      </c>
      <c r="Y199" s="338">
        <f>IF(AND($L$14=$AB$10,Adm!$AF$3=Adm!$AF$6,L198&gt;0),PMT(Cal!$F$86/12,B198,-K198),0)</f>
        <v>0</v>
      </c>
      <c r="AB199" s="650">
        <f t="shared" si="40"/>
        <v>0</v>
      </c>
      <c r="AC199" s="639">
        <f t="shared" si="41"/>
        <v>0</v>
      </c>
      <c r="AD199" s="639">
        <f>IF(AND($AD$12=1,$AB$12=2),PMT(Adm!$AH$7/12,B198,-K198),0)</f>
        <v>0</v>
      </c>
      <c r="AE199" s="639">
        <f t="shared" si="39"/>
        <v>0</v>
      </c>
      <c r="AF199" s="636">
        <f t="shared" si="37"/>
        <v>0</v>
      </c>
      <c r="AG199" s="647" t="e">
        <f>Captura!AG296</f>
        <v>#N/A</v>
      </c>
    </row>
    <row r="200" spans="1:33">
      <c r="A200" s="151">
        <f t="shared" ca="1" si="29"/>
        <v>2</v>
      </c>
      <c r="B200" s="195">
        <f t="shared" si="30"/>
        <v>0</v>
      </c>
      <c r="C200" s="199">
        <f t="shared" si="31"/>
        <v>0</v>
      </c>
      <c r="D200" s="333">
        <f t="shared" si="38"/>
        <v>0</v>
      </c>
      <c r="E200" s="133">
        <f t="shared" si="32"/>
        <v>0</v>
      </c>
      <c r="F200" s="133">
        <f t="shared" si="33"/>
        <v>0</v>
      </c>
      <c r="G200" s="150">
        <f t="shared" si="42"/>
        <v>0</v>
      </c>
      <c r="H200" s="133">
        <f>IF(K199&lt;0.01,0,IF(Adm!$R$3=Adm!$R$6,0,IF(Adm!$S$10=Adm!$S$13,K199*Adm!$X$6,IF(Adm!$S$10=Adm!$S$11,K199*Adm!$X$3,IF(Adm!$S$10=Adm!$S$12,K199*Adm!$Y$3)))))</f>
        <v>0</v>
      </c>
      <c r="I200" s="133">
        <f>IF(K199&lt;0.01,0,E200*Adm!$N$7)</f>
        <v>0</v>
      </c>
      <c r="J200" s="133">
        <f t="shared" si="34"/>
        <v>0</v>
      </c>
      <c r="K200" s="133">
        <f t="shared" si="35"/>
        <v>0</v>
      </c>
      <c r="L200" s="361"/>
      <c r="V200" s="571">
        <f t="shared" si="36"/>
        <v>3</v>
      </c>
      <c r="W200" s="846">
        <f>IF(Adm!$AF$3=Adm!$AF$6,0,IF(V200=1,Adm!$AN$2,0))</f>
        <v>0</v>
      </c>
      <c r="Y200" s="338">
        <f>IF(AND($L$14=$AB$10,Adm!$AF$3=Adm!$AF$6,L199&gt;0),PMT(Cal!$F$86/12,B199,-K199),0)</f>
        <v>0</v>
      </c>
      <c r="AB200" s="650">
        <f t="shared" si="40"/>
        <v>0</v>
      </c>
      <c r="AC200" s="639">
        <f t="shared" si="41"/>
        <v>0</v>
      </c>
      <c r="AD200" s="639">
        <f>IF(AND($AD$12=1,$AB$12=2),PMT(Adm!$AH$7/12,B199,-K199),0)</f>
        <v>0</v>
      </c>
      <c r="AE200" s="639">
        <f t="shared" si="39"/>
        <v>0</v>
      </c>
      <c r="AF200" s="636">
        <f t="shared" si="37"/>
        <v>0</v>
      </c>
      <c r="AG200" s="647" t="e">
        <f>Captura!AG297</f>
        <v>#N/A</v>
      </c>
    </row>
    <row r="201" spans="1:33">
      <c r="A201" s="151">
        <f t="shared" ca="1" si="29"/>
        <v>3</v>
      </c>
      <c r="B201" s="195">
        <f t="shared" si="30"/>
        <v>0</v>
      </c>
      <c r="C201" s="199">
        <f t="shared" si="31"/>
        <v>0</v>
      </c>
      <c r="D201" s="333">
        <f t="shared" si="38"/>
        <v>0</v>
      </c>
      <c r="E201" s="133">
        <f t="shared" si="32"/>
        <v>0</v>
      </c>
      <c r="F201" s="133">
        <f t="shared" si="33"/>
        <v>0</v>
      </c>
      <c r="G201" s="150">
        <f t="shared" si="42"/>
        <v>0</v>
      </c>
      <c r="H201" s="133">
        <f>IF(K200&lt;0.01,0,IF(Adm!$R$3=Adm!$R$6,0,IF(Adm!$S$10=Adm!$S$13,K200*Adm!$X$6,IF(Adm!$S$10=Adm!$S$11,K200*Adm!$X$3,IF(Adm!$S$10=Adm!$S$12,K200*Adm!$Y$3)))))</f>
        <v>0</v>
      </c>
      <c r="I201" s="133">
        <f>IF(K200&lt;0.01,0,E201*Adm!$N$7)</f>
        <v>0</v>
      </c>
      <c r="J201" s="133">
        <f t="shared" si="34"/>
        <v>0</v>
      </c>
      <c r="K201" s="133">
        <f t="shared" si="35"/>
        <v>0</v>
      </c>
      <c r="L201" s="361"/>
      <c r="V201" s="571">
        <f t="shared" si="36"/>
        <v>4</v>
      </c>
      <c r="W201" s="846">
        <f>IF(Adm!$AF$3=Adm!$AF$6,0,IF(V201=1,Adm!$AN$2,0))</f>
        <v>0</v>
      </c>
      <c r="Y201" s="338">
        <f>IF(AND($L$14=$AB$10,Adm!$AF$3=Adm!$AF$6,L200&gt;0),PMT(Cal!$F$86/12,B200,-K200),0)</f>
        <v>0</v>
      </c>
      <c r="AB201" s="650">
        <f t="shared" si="40"/>
        <v>0</v>
      </c>
      <c r="AC201" s="639">
        <f t="shared" si="41"/>
        <v>0</v>
      </c>
      <c r="AD201" s="639">
        <f>IF(AND($AD$12=1,$AB$12=2),PMT(Adm!$AH$7/12,B200,-K200),0)</f>
        <v>0</v>
      </c>
      <c r="AE201" s="639">
        <f t="shared" si="39"/>
        <v>0</v>
      </c>
      <c r="AF201" s="636">
        <f t="shared" si="37"/>
        <v>0</v>
      </c>
      <c r="AG201" s="647" t="e">
        <f>Captura!AG298</f>
        <v>#N/A</v>
      </c>
    </row>
    <row r="202" spans="1:33">
      <c r="A202" s="151">
        <f t="shared" ca="1" si="29"/>
        <v>4</v>
      </c>
      <c r="B202" s="195">
        <f t="shared" si="30"/>
        <v>0</v>
      </c>
      <c r="C202" s="199">
        <f t="shared" si="31"/>
        <v>0</v>
      </c>
      <c r="D202" s="333">
        <f t="shared" si="38"/>
        <v>0</v>
      </c>
      <c r="E202" s="133">
        <f t="shared" si="32"/>
        <v>0</v>
      </c>
      <c r="F202" s="133">
        <f t="shared" si="33"/>
        <v>0</v>
      </c>
      <c r="G202" s="150">
        <f t="shared" si="42"/>
        <v>0</v>
      </c>
      <c r="H202" s="133">
        <f>IF(K201&lt;0.01,0,IF(Adm!$R$3=Adm!$R$6,0,IF(Adm!$S$10=Adm!$S$13,K201*Adm!$X$6,IF(Adm!$S$10=Adm!$S$11,K201*Adm!$X$3,IF(Adm!$S$10=Adm!$S$12,K201*Adm!$Y$3)))))</f>
        <v>0</v>
      </c>
      <c r="I202" s="133">
        <f>IF(K201&lt;0.01,0,E202*Adm!$N$7)</f>
        <v>0</v>
      </c>
      <c r="J202" s="133">
        <f t="shared" si="34"/>
        <v>0</v>
      </c>
      <c r="K202" s="133">
        <f t="shared" si="35"/>
        <v>0</v>
      </c>
      <c r="L202" s="361"/>
      <c r="V202" s="571">
        <f t="shared" si="36"/>
        <v>5</v>
      </c>
      <c r="W202" s="846">
        <f>IF(Adm!$AF$3=Adm!$AF$6,0,IF(V202=1,Adm!$AN$2,0))</f>
        <v>0</v>
      </c>
      <c r="Y202" s="338">
        <f>IF(AND($L$14=$AB$10,Adm!$AF$3=Adm!$AF$6,L201&gt;0),PMT(Cal!$F$86/12,B201,-K201),0)</f>
        <v>0</v>
      </c>
      <c r="AB202" s="650">
        <f t="shared" si="40"/>
        <v>0</v>
      </c>
      <c r="AC202" s="639">
        <f t="shared" si="41"/>
        <v>0</v>
      </c>
      <c r="AD202" s="639">
        <f>IF(AND($AD$12=1,$AB$12=2),PMT(Adm!$AH$7/12,B201,-K201),0)</f>
        <v>0</v>
      </c>
      <c r="AE202" s="639">
        <f t="shared" si="39"/>
        <v>0</v>
      </c>
      <c r="AF202" s="636">
        <f t="shared" si="37"/>
        <v>0</v>
      </c>
      <c r="AG202" s="647" t="e">
        <f>Captura!AG299</f>
        <v>#N/A</v>
      </c>
    </row>
    <row r="203" spans="1:33">
      <c r="A203" s="151">
        <f t="shared" ca="1" si="29"/>
        <v>5</v>
      </c>
      <c r="B203" s="195">
        <f t="shared" si="30"/>
        <v>0</v>
      </c>
      <c r="C203" s="199">
        <f t="shared" si="31"/>
        <v>0</v>
      </c>
      <c r="D203" s="333">
        <f t="shared" si="38"/>
        <v>0</v>
      </c>
      <c r="E203" s="133">
        <f t="shared" si="32"/>
        <v>0</v>
      </c>
      <c r="F203" s="133">
        <f t="shared" si="33"/>
        <v>0</v>
      </c>
      <c r="G203" s="150">
        <f t="shared" si="42"/>
        <v>0</v>
      </c>
      <c r="H203" s="133">
        <f>IF(K202&lt;0.01,0,IF(Adm!$R$3=Adm!$R$6,0,IF(Adm!$S$10=Adm!$S$13,K202*Adm!$X$6,IF(Adm!$S$10=Adm!$S$11,K202*Adm!$X$3,IF(Adm!$S$10=Adm!$S$12,K202*Adm!$Y$3)))))</f>
        <v>0</v>
      </c>
      <c r="I203" s="133">
        <f>IF(K202&lt;0.01,0,E203*Adm!$N$7)</f>
        <v>0</v>
      </c>
      <c r="J203" s="133">
        <f t="shared" si="34"/>
        <v>0</v>
      </c>
      <c r="K203" s="133">
        <f t="shared" si="35"/>
        <v>0</v>
      </c>
      <c r="L203" s="361"/>
      <c r="V203" s="571">
        <f t="shared" si="36"/>
        <v>6</v>
      </c>
      <c r="W203" s="846">
        <f>IF(Adm!$AF$3=Adm!$AF$6,0,IF(V203=1,Adm!$AN$2,0))</f>
        <v>0</v>
      </c>
      <c r="Y203" s="338">
        <f>IF(AND($L$14=$AB$10,Adm!$AF$3=Adm!$AF$6,L202&gt;0),PMT(Cal!$F$86/12,B202,-K202),0)</f>
        <v>0</v>
      </c>
      <c r="AB203" s="650">
        <f t="shared" si="40"/>
        <v>0</v>
      </c>
      <c r="AC203" s="639">
        <f t="shared" si="41"/>
        <v>0</v>
      </c>
      <c r="AD203" s="639">
        <f>IF(AND($AD$12=1,$AB$12=2),PMT(Adm!$AH$7/12,B202,-K202),0)</f>
        <v>0</v>
      </c>
      <c r="AE203" s="639">
        <f t="shared" si="39"/>
        <v>0</v>
      </c>
      <c r="AF203" s="636">
        <f t="shared" si="37"/>
        <v>0</v>
      </c>
      <c r="AG203" s="647" t="e">
        <f>Captura!AG300</f>
        <v>#N/A</v>
      </c>
    </row>
    <row r="204" spans="1:33">
      <c r="A204" s="151">
        <f t="shared" ca="1" si="29"/>
        <v>6</v>
      </c>
      <c r="B204" s="195">
        <f t="shared" si="30"/>
        <v>0</v>
      </c>
      <c r="C204" s="199">
        <f t="shared" si="31"/>
        <v>0</v>
      </c>
      <c r="D204" s="333">
        <f t="shared" si="38"/>
        <v>0</v>
      </c>
      <c r="E204" s="133">
        <f t="shared" si="32"/>
        <v>0</v>
      </c>
      <c r="F204" s="133">
        <f t="shared" si="33"/>
        <v>0</v>
      </c>
      <c r="G204" s="150">
        <f t="shared" si="42"/>
        <v>0</v>
      </c>
      <c r="H204" s="133">
        <f>IF(K203&lt;0.01,0,IF(Adm!$R$3=Adm!$R$6,0,IF(Adm!$S$10=Adm!$S$13,K203*Adm!$X$6,IF(Adm!$S$10=Adm!$S$11,K203*Adm!$X$3,IF(Adm!$S$10=Adm!$S$12,K203*Adm!$Y$3)))))</f>
        <v>0</v>
      </c>
      <c r="I204" s="133">
        <f>IF(K203&lt;0.01,0,E204*Adm!$N$7)</f>
        <v>0</v>
      </c>
      <c r="J204" s="133">
        <f t="shared" si="34"/>
        <v>0</v>
      </c>
      <c r="K204" s="133">
        <f t="shared" si="35"/>
        <v>0</v>
      </c>
      <c r="L204" s="361"/>
      <c r="V204" s="571">
        <f t="shared" si="36"/>
        <v>7</v>
      </c>
      <c r="W204" s="846">
        <f>IF(Adm!$AF$3=Adm!$AF$6,0,IF(V204=1,Adm!$AN$2,0))</f>
        <v>0</v>
      </c>
      <c r="Y204" s="338">
        <f>IF(AND($L$14=$AB$10,Adm!$AF$3=Adm!$AF$6,L203&gt;0),PMT(Cal!$F$86/12,B203,-K203),0)</f>
        <v>0</v>
      </c>
      <c r="AB204" s="650">
        <f t="shared" si="40"/>
        <v>0</v>
      </c>
      <c r="AC204" s="639">
        <f t="shared" si="41"/>
        <v>0</v>
      </c>
      <c r="AD204" s="639">
        <f>IF(AND($AD$12=1,$AB$12=2),PMT(Adm!$AH$7/12,B203,-K203),0)</f>
        <v>0</v>
      </c>
      <c r="AE204" s="639">
        <f t="shared" si="39"/>
        <v>0</v>
      </c>
      <c r="AF204" s="636">
        <f t="shared" si="37"/>
        <v>0</v>
      </c>
      <c r="AG204" s="647" t="e">
        <f>Captura!AG301</f>
        <v>#N/A</v>
      </c>
    </row>
    <row r="205" spans="1:33">
      <c r="A205" s="151">
        <f t="shared" ca="1" si="29"/>
        <v>7</v>
      </c>
      <c r="B205" s="195">
        <f t="shared" si="30"/>
        <v>0</v>
      </c>
      <c r="C205" s="199">
        <f t="shared" si="31"/>
        <v>0</v>
      </c>
      <c r="D205" s="333">
        <f t="shared" si="38"/>
        <v>0</v>
      </c>
      <c r="E205" s="133">
        <f t="shared" si="32"/>
        <v>0</v>
      </c>
      <c r="F205" s="133">
        <f t="shared" si="33"/>
        <v>0</v>
      </c>
      <c r="G205" s="150">
        <f t="shared" si="42"/>
        <v>0</v>
      </c>
      <c r="H205" s="133">
        <f>IF(K204&lt;0.01,0,IF(Adm!$R$3=Adm!$R$6,0,IF(Adm!$S$10=Adm!$S$13,K204*Adm!$X$6,IF(Adm!$S$10=Adm!$S$11,K204*Adm!$X$3,IF(Adm!$S$10=Adm!$S$12,K204*Adm!$Y$3)))))</f>
        <v>0</v>
      </c>
      <c r="I205" s="133">
        <f>IF(K204&lt;0.01,0,E205*Adm!$N$7)</f>
        <v>0</v>
      </c>
      <c r="J205" s="133">
        <f t="shared" si="34"/>
        <v>0</v>
      </c>
      <c r="K205" s="133">
        <f t="shared" si="35"/>
        <v>0</v>
      </c>
      <c r="L205" s="361"/>
      <c r="V205" s="571">
        <f t="shared" si="36"/>
        <v>8</v>
      </c>
      <c r="W205" s="846">
        <f>IF(Adm!$AF$3=Adm!$AF$6,0,IF(V205=1,Adm!$AN$2,0))</f>
        <v>0</v>
      </c>
      <c r="Y205" s="338">
        <f>IF(AND($L$14=$AB$10,Adm!$AF$3=Adm!$AF$6,L204&gt;0),PMT(Cal!$F$86/12,B204,-K204),0)</f>
        <v>0</v>
      </c>
      <c r="AB205" s="650">
        <f t="shared" si="40"/>
        <v>0</v>
      </c>
      <c r="AC205" s="639">
        <f t="shared" si="41"/>
        <v>0</v>
      </c>
      <c r="AD205" s="639">
        <f>IF(AND($AD$12=1,$AB$12=2),PMT(Adm!$AH$7/12,B204,-K204),0)</f>
        <v>0</v>
      </c>
      <c r="AE205" s="639">
        <f t="shared" si="39"/>
        <v>0</v>
      </c>
      <c r="AF205" s="636">
        <f t="shared" si="37"/>
        <v>0</v>
      </c>
      <c r="AG205" s="647" t="e">
        <f>Captura!AG302</f>
        <v>#N/A</v>
      </c>
    </row>
    <row r="206" spans="1:33">
      <c r="A206" s="151">
        <f t="shared" ca="1" si="29"/>
        <v>8</v>
      </c>
      <c r="B206" s="195">
        <f t="shared" si="30"/>
        <v>0</v>
      </c>
      <c r="C206" s="199">
        <f t="shared" si="31"/>
        <v>0</v>
      </c>
      <c r="D206" s="333">
        <f t="shared" si="38"/>
        <v>0</v>
      </c>
      <c r="E206" s="133">
        <f t="shared" si="32"/>
        <v>0</v>
      </c>
      <c r="F206" s="133">
        <f t="shared" si="33"/>
        <v>0</v>
      </c>
      <c r="G206" s="150">
        <f t="shared" si="42"/>
        <v>0</v>
      </c>
      <c r="H206" s="133">
        <f>IF(K205&lt;0.01,0,IF(Adm!$R$3=Adm!$R$6,0,IF(Adm!$S$10=Adm!$S$13,K205*Adm!$X$6,IF(Adm!$S$10=Adm!$S$11,K205*Adm!$X$3,IF(Adm!$S$10=Adm!$S$12,K205*Adm!$Y$3)))))</f>
        <v>0</v>
      </c>
      <c r="I206" s="133">
        <f>IF(K205&lt;0.01,0,E206*Adm!$N$7)</f>
        <v>0</v>
      </c>
      <c r="J206" s="133">
        <f t="shared" si="34"/>
        <v>0</v>
      </c>
      <c r="K206" s="133">
        <f t="shared" si="35"/>
        <v>0</v>
      </c>
      <c r="L206" s="361"/>
      <c r="V206" s="571">
        <f t="shared" si="36"/>
        <v>9</v>
      </c>
      <c r="W206" s="846">
        <f>IF(Adm!$AF$3=Adm!$AF$6,0,IF(V206=1,Adm!$AN$2,0))</f>
        <v>0</v>
      </c>
      <c r="Y206" s="338">
        <f>IF(AND($L$14=$AB$10,Adm!$AF$3=Adm!$AF$6,L205&gt;0),PMT(Cal!$F$86/12,B205,-K205),0)</f>
        <v>0</v>
      </c>
      <c r="AB206" s="650">
        <f t="shared" si="40"/>
        <v>0</v>
      </c>
      <c r="AC206" s="639">
        <f t="shared" si="41"/>
        <v>0</v>
      </c>
      <c r="AD206" s="639">
        <f>IF(AND($AD$12=1,$AB$12=2),PMT(Adm!$AH$7/12,B205,-K205),0)</f>
        <v>0</v>
      </c>
      <c r="AE206" s="639">
        <f t="shared" si="39"/>
        <v>0</v>
      </c>
      <c r="AF206" s="636">
        <f t="shared" si="37"/>
        <v>0</v>
      </c>
      <c r="AG206" s="647" t="e">
        <f>Captura!AG303</f>
        <v>#N/A</v>
      </c>
    </row>
    <row r="207" spans="1:33">
      <c r="A207" s="151">
        <f t="shared" ca="1" si="29"/>
        <v>9</v>
      </c>
      <c r="B207" s="195">
        <f t="shared" si="30"/>
        <v>0</v>
      </c>
      <c r="C207" s="199">
        <f t="shared" si="31"/>
        <v>0</v>
      </c>
      <c r="D207" s="333">
        <f t="shared" si="38"/>
        <v>0</v>
      </c>
      <c r="E207" s="133">
        <f t="shared" si="32"/>
        <v>0</v>
      </c>
      <c r="F207" s="133">
        <f t="shared" si="33"/>
        <v>0</v>
      </c>
      <c r="G207" s="150">
        <f t="shared" si="42"/>
        <v>0</v>
      </c>
      <c r="H207" s="133">
        <f>IF(K206&lt;0.01,0,IF(Adm!$R$3=Adm!$R$6,0,IF(Adm!$S$10=Adm!$S$13,K206*Adm!$X$6,IF(Adm!$S$10=Adm!$S$11,K206*Adm!$X$3,IF(Adm!$S$10=Adm!$S$12,K206*Adm!$Y$3)))))</f>
        <v>0</v>
      </c>
      <c r="I207" s="133">
        <f>IF(K206&lt;0.01,0,E207*Adm!$N$7)</f>
        <v>0</v>
      </c>
      <c r="J207" s="133">
        <f t="shared" si="34"/>
        <v>0</v>
      </c>
      <c r="K207" s="133">
        <f t="shared" si="35"/>
        <v>0</v>
      </c>
      <c r="L207" s="361"/>
      <c r="V207" s="571">
        <f t="shared" si="36"/>
        <v>10</v>
      </c>
      <c r="W207" s="846">
        <f>IF(Adm!$AF$3=Adm!$AF$6,0,IF(V207=1,Adm!$AN$2,0))</f>
        <v>0</v>
      </c>
      <c r="Y207" s="338">
        <f>IF(AND($L$14=$AB$10,Adm!$AF$3=Adm!$AF$6,L206&gt;0),PMT(Cal!$F$86/12,B206,-K206),0)</f>
        <v>0</v>
      </c>
      <c r="AB207" s="650">
        <f t="shared" si="40"/>
        <v>0</v>
      </c>
      <c r="AC207" s="639">
        <f t="shared" si="41"/>
        <v>0</v>
      </c>
      <c r="AD207" s="639">
        <f>IF(AND($AD$12=1,$AB$12=2),PMT(Adm!$AH$7/12,B206,-K206),0)</f>
        <v>0</v>
      </c>
      <c r="AE207" s="639">
        <f t="shared" si="39"/>
        <v>0</v>
      </c>
      <c r="AF207" s="636">
        <f t="shared" si="37"/>
        <v>0</v>
      </c>
      <c r="AG207" s="647" t="e">
        <f>Captura!AG304</f>
        <v>#N/A</v>
      </c>
    </row>
    <row r="208" spans="1:33">
      <c r="A208" s="151">
        <f t="shared" ca="1" si="29"/>
        <v>10</v>
      </c>
      <c r="B208" s="195">
        <f t="shared" si="30"/>
        <v>0</v>
      </c>
      <c r="C208" s="199">
        <f t="shared" si="31"/>
        <v>0</v>
      </c>
      <c r="D208" s="333">
        <f t="shared" si="38"/>
        <v>0</v>
      </c>
      <c r="E208" s="133">
        <f t="shared" si="32"/>
        <v>0</v>
      </c>
      <c r="F208" s="133">
        <f t="shared" si="33"/>
        <v>0</v>
      </c>
      <c r="G208" s="150">
        <f t="shared" si="42"/>
        <v>0</v>
      </c>
      <c r="H208" s="133">
        <f>IF(K207&lt;0.01,0,IF(Adm!$R$3=Adm!$R$6,0,IF(Adm!$S$10=Adm!$S$13,K207*Adm!$X$6,IF(Adm!$S$10=Adm!$S$11,K207*Adm!$X$3,IF(Adm!$S$10=Adm!$S$12,K207*Adm!$Y$3)))))</f>
        <v>0</v>
      </c>
      <c r="I208" s="133">
        <f>IF(K207&lt;0.01,0,E208*Adm!$N$7)</f>
        <v>0</v>
      </c>
      <c r="J208" s="133">
        <f t="shared" si="34"/>
        <v>0</v>
      </c>
      <c r="K208" s="133">
        <f t="shared" si="35"/>
        <v>0</v>
      </c>
      <c r="L208" s="361"/>
      <c r="V208" s="571">
        <f t="shared" si="36"/>
        <v>11</v>
      </c>
      <c r="W208" s="846">
        <f>IF(Adm!$AF$3=Adm!$AF$6,0,IF(V208=1,Adm!$AN$2,0))</f>
        <v>0</v>
      </c>
      <c r="Y208" s="338">
        <f>IF(AND($L$14=$AB$10,Adm!$AF$3=Adm!$AF$6,L207&gt;0),PMT(Cal!$F$86/12,B207,-K207),0)</f>
        <v>0</v>
      </c>
      <c r="AB208" s="650">
        <f t="shared" si="40"/>
        <v>0</v>
      </c>
      <c r="AC208" s="639">
        <f t="shared" si="41"/>
        <v>0</v>
      </c>
      <c r="AD208" s="639">
        <f>IF(AND($AD$12=1,$AB$12=2),PMT(Adm!$AH$7/12,B207,-K207),0)</f>
        <v>0</v>
      </c>
      <c r="AE208" s="639">
        <f t="shared" si="39"/>
        <v>0</v>
      </c>
      <c r="AF208" s="636">
        <f t="shared" si="37"/>
        <v>0</v>
      </c>
      <c r="AG208" s="647" t="e">
        <f>Captura!AG305</f>
        <v>#N/A</v>
      </c>
    </row>
    <row r="209" spans="1:33">
      <c r="A209" s="151">
        <f t="shared" ca="1" si="29"/>
        <v>11</v>
      </c>
      <c r="B209" s="195">
        <f t="shared" si="30"/>
        <v>0</v>
      </c>
      <c r="C209" s="199">
        <f t="shared" si="31"/>
        <v>0</v>
      </c>
      <c r="D209" s="333">
        <f t="shared" si="38"/>
        <v>0</v>
      </c>
      <c r="E209" s="133">
        <f t="shared" si="32"/>
        <v>0</v>
      </c>
      <c r="F209" s="133">
        <f t="shared" si="33"/>
        <v>0</v>
      </c>
      <c r="G209" s="150">
        <f t="shared" si="42"/>
        <v>0</v>
      </c>
      <c r="H209" s="133">
        <f>IF(K208&lt;0.01,0,IF(Adm!$R$3=Adm!$R$6,0,IF(Adm!$S$10=Adm!$S$13,K208*Adm!$X$6,IF(Adm!$S$10=Adm!$S$11,K208*Adm!$X$3,IF(Adm!$S$10=Adm!$S$12,K208*Adm!$Y$3)))))</f>
        <v>0</v>
      </c>
      <c r="I209" s="133">
        <f>IF(K208&lt;0.01,0,E209*Adm!$N$7)</f>
        <v>0</v>
      </c>
      <c r="J209" s="133">
        <f t="shared" si="34"/>
        <v>0</v>
      </c>
      <c r="K209" s="133">
        <f t="shared" si="35"/>
        <v>0</v>
      </c>
      <c r="L209" s="361"/>
      <c r="V209" s="571">
        <f t="shared" si="36"/>
        <v>12</v>
      </c>
      <c r="W209" s="846">
        <f>IF(Adm!$AF$3=Adm!$AF$6,0,IF(V209=1,Adm!$AN$2,0))</f>
        <v>0</v>
      </c>
      <c r="Y209" s="338">
        <f>IF(AND($L$14=$AB$10,Adm!$AF$3=Adm!$AF$6,L208&gt;0),PMT(Cal!$F$86/12,B208,-K208),0)</f>
        <v>0</v>
      </c>
      <c r="AB209" s="650">
        <f t="shared" si="40"/>
        <v>0</v>
      </c>
      <c r="AC209" s="639">
        <f t="shared" si="41"/>
        <v>0</v>
      </c>
      <c r="AD209" s="639">
        <f>IF(AND($AD$12=1,$AB$12=2),PMT(Adm!$AH$7/12,B208,-K208),0)</f>
        <v>0</v>
      </c>
      <c r="AE209" s="639">
        <f t="shared" si="39"/>
        <v>0</v>
      </c>
      <c r="AF209" s="636">
        <f t="shared" si="37"/>
        <v>0</v>
      </c>
      <c r="AG209" s="647" t="e">
        <f>Captura!AG306</f>
        <v>#N/A</v>
      </c>
    </row>
    <row r="210" spans="1:33">
      <c r="A210" s="151">
        <f t="shared" ref="A210:A257" ca="1" si="43">IF(A209=12,1,A209+1)</f>
        <v>12</v>
      </c>
      <c r="B210" s="195">
        <f t="shared" si="30"/>
        <v>0</v>
      </c>
      <c r="C210" s="199">
        <f t="shared" si="31"/>
        <v>0</v>
      </c>
      <c r="D210" s="333">
        <f t="shared" si="38"/>
        <v>0</v>
      </c>
      <c r="E210" s="133">
        <f t="shared" si="32"/>
        <v>0</v>
      </c>
      <c r="F210" s="133">
        <f t="shared" si="33"/>
        <v>0</v>
      </c>
      <c r="G210" s="150">
        <f t="shared" si="42"/>
        <v>0</v>
      </c>
      <c r="H210" s="133">
        <f>IF(K209&lt;0.01,0,IF(Adm!$R$3=Adm!$R$6,0,IF(Adm!$S$10=Adm!$S$13,K209*Adm!$X$6,IF(Adm!$S$10=Adm!$S$11,K209*Adm!$X$3,IF(Adm!$S$10=Adm!$S$12,K209*Adm!$Y$3)))))</f>
        <v>0</v>
      </c>
      <c r="I210" s="133">
        <f>IF(K209&lt;0.01,0,E210*Adm!$N$7)</f>
        <v>0</v>
      </c>
      <c r="J210" s="133">
        <f t="shared" si="34"/>
        <v>0</v>
      </c>
      <c r="K210" s="133">
        <f t="shared" si="35"/>
        <v>0</v>
      </c>
      <c r="L210" s="361"/>
      <c r="V210" s="571">
        <f t="shared" si="36"/>
        <v>1</v>
      </c>
      <c r="W210" s="846">
        <f>IF(Adm!$AF$3=Adm!$AF$6,0,IF(V210=1,Adm!$AN$2,0))</f>
        <v>0</v>
      </c>
      <c r="Y210" s="338">
        <f>IF(AND($L$14=$AB$10,Adm!$AF$3=Adm!$AF$6,L209&gt;0),PMT(Cal!$F$86/12,B209,-K209),0)</f>
        <v>0</v>
      </c>
      <c r="AB210" s="650">
        <f t="shared" si="40"/>
        <v>0</v>
      </c>
      <c r="AC210" s="639">
        <f t="shared" si="41"/>
        <v>0</v>
      </c>
      <c r="AD210" s="639">
        <f>IF(AND($AD$12=1,$AB$12=2),PMT(Adm!$AH$7/12,B209,-K209),0)</f>
        <v>0</v>
      </c>
      <c r="AE210" s="639">
        <f t="shared" si="39"/>
        <v>0</v>
      </c>
      <c r="AF210" s="636">
        <f t="shared" si="37"/>
        <v>0</v>
      </c>
      <c r="AG210" s="647" t="e">
        <f>Captura!AG307</f>
        <v>#N/A</v>
      </c>
    </row>
    <row r="211" spans="1:33">
      <c r="A211" s="151">
        <f t="shared" ca="1" si="43"/>
        <v>1</v>
      </c>
      <c r="B211" s="195">
        <f t="shared" ref="B211:B257" si="44">IF(K210&lt;0.01,0,B210-1)</f>
        <v>0</v>
      </c>
      <c r="C211" s="199">
        <f t="shared" ref="C211:C231" si="45">IF(K210&lt;0.01,0,C210+1)</f>
        <v>0</v>
      </c>
      <c r="D211" s="333">
        <f t="shared" si="38"/>
        <v>0</v>
      </c>
      <c r="E211" s="133">
        <f t="shared" ref="E211:E257" si="46">IF(K210&lt;0.01,0,K210*D211/12)</f>
        <v>0</v>
      </c>
      <c r="F211" s="133">
        <f t="shared" ref="F211:F257" si="47">IF(K210&lt;0.01,0,G211-E211)</f>
        <v>0</v>
      </c>
      <c r="G211" s="150">
        <f t="shared" si="42"/>
        <v>0</v>
      </c>
      <c r="H211" s="133">
        <f>IF(K210&lt;0.01,0,IF(Adm!$R$3=Adm!$R$6,0,IF(Adm!$S$10=Adm!$S$13,K210*Adm!$X$6,IF(Adm!$S$10=Adm!$S$11,K210*Adm!$X$3,IF(Adm!$S$10=Adm!$S$12,K210*Adm!$Y$3)))))</f>
        <v>0</v>
      </c>
      <c r="I211" s="133">
        <f>IF(K210&lt;0.01,0,E211*Adm!$N$7)</f>
        <v>0</v>
      </c>
      <c r="J211" s="133">
        <f t="shared" ref="J211:J257" si="48">G211+H211+I211</f>
        <v>0</v>
      </c>
      <c r="K211" s="133">
        <f t="shared" ref="K211:K257" si="49">IF(K210&lt;0.01,0,K210-F211-L211)</f>
        <v>0</v>
      </c>
      <c r="L211" s="361"/>
      <c r="V211" s="571">
        <f t="shared" ref="V211:V257" si="50">IF(V210=12,1,V210+1)</f>
        <v>2</v>
      </c>
      <c r="W211" s="846">
        <f>IF(Adm!$AF$3=Adm!$AF$6,0,IF(V211=1,Adm!$AN$2,0))</f>
        <v>0</v>
      </c>
      <c r="Y211" s="338">
        <f>IF(AND($L$14=$AB$10,Adm!$AF$3=Adm!$AF$6,L210&gt;0),PMT(Cal!$F$86/12,B210,-K210),0)</f>
        <v>0</v>
      </c>
      <c r="AB211" s="650">
        <f t="shared" si="40"/>
        <v>0</v>
      </c>
      <c r="AC211" s="639">
        <f t="shared" si="41"/>
        <v>0</v>
      </c>
      <c r="AD211" s="639">
        <f>IF(AND($AD$12=1,$AB$12=2),PMT(Adm!$AH$7/12,B210,-K210),0)</f>
        <v>0</v>
      </c>
      <c r="AE211" s="639">
        <f t="shared" si="39"/>
        <v>0</v>
      </c>
      <c r="AF211" s="636">
        <f t="shared" ref="AF211:AF257" si="51">IF(AND($AD$12=2,L210&lt;0.01),0,IF($AD$12=2,(K210*AG211)+E211,0))</f>
        <v>0</v>
      </c>
      <c r="AG211" s="647" t="e">
        <f>Captura!AG308</f>
        <v>#N/A</v>
      </c>
    </row>
    <row r="212" spans="1:33">
      <c r="A212" s="151">
        <f t="shared" ca="1" si="43"/>
        <v>2</v>
      </c>
      <c r="B212" s="195">
        <f t="shared" si="44"/>
        <v>0</v>
      </c>
      <c r="C212" s="199">
        <f t="shared" si="45"/>
        <v>0</v>
      </c>
      <c r="D212" s="333">
        <f t="shared" ref="D212:D257" si="52">IF(K211&lt;0.01,0,D211)</f>
        <v>0</v>
      </c>
      <c r="E212" s="133">
        <f t="shared" si="46"/>
        <v>0</v>
      </c>
      <c r="F212" s="133">
        <f t="shared" si="47"/>
        <v>0</v>
      </c>
      <c r="G212" s="150">
        <f t="shared" si="42"/>
        <v>0</v>
      </c>
      <c r="H212" s="133">
        <f>IF(K211&lt;0.01,0,IF(Adm!$R$3=Adm!$R$6,0,IF(Adm!$S$10=Adm!$S$13,K211*Adm!$X$6,IF(Adm!$S$10=Adm!$S$11,K211*Adm!$X$3,IF(Adm!$S$10=Adm!$S$12,K211*Adm!$Y$3)))))</f>
        <v>0</v>
      </c>
      <c r="I212" s="133">
        <f>IF(K211&lt;0.01,0,E212*Adm!$N$7)</f>
        <v>0</v>
      </c>
      <c r="J212" s="133">
        <f t="shared" si="48"/>
        <v>0</v>
      </c>
      <c r="K212" s="133">
        <f t="shared" si="49"/>
        <v>0</v>
      </c>
      <c r="L212" s="361"/>
      <c r="V212" s="571">
        <f t="shared" si="50"/>
        <v>3</v>
      </c>
      <c r="W212" s="846">
        <f>IF(Adm!$AF$3=Adm!$AF$6,0,IF(V212=1,Adm!$AN$2,0))</f>
        <v>0</v>
      </c>
      <c r="Y212" s="338">
        <f>IF(AND($L$14=$AB$10,Adm!$AF$3=Adm!$AF$6,L211&gt;0),PMT(Cal!$F$86/12,B211,-K211),0)</f>
        <v>0</v>
      </c>
      <c r="AB212" s="650">
        <f t="shared" si="40"/>
        <v>0</v>
      </c>
      <c r="AC212" s="639">
        <f t="shared" si="41"/>
        <v>0</v>
      </c>
      <c r="AD212" s="639">
        <f>IF(AND($AD$12=1,$AB$12=2),PMT(Adm!$AH$7/12,B211,-K211),0)</f>
        <v>0</v>
      </c>
      <c r="AE212" s="639">
        <f t="shared" ref="AE212:AE257" si="53">IF(AND(AF212&gt;0.01,$AB$12=2),AF212,0)</f>
        <v>0</v>
      </c>
      <c r="AF212" s="636">
        <f t="shared" si="51"/>
        <v>0</v>
      </c>
      <c r="AG212" s="647" t="e">
        <f>Captura!AG309</f>
        <v>#N/A</v>
      </c>
    </row>
    <row r="213" spans="1:33">
      <c r="A213" s="151">
        <f t="shared" ca="1" si="43"/>
        <v>3</v>
      </c>
      <c r="B213" s="195">
        <f t="shared" si="44"/>
        <v>0</v>
      </c>
      <c r="C213" s="199">
        <f t="shared" si="45"/>
        <v>0</v>
      </c>
      <c r="D213" s="333">
        <f t="shared" si="52"/>
        <v>0</v>
      </c>
      <c r="E213" s="133">
        <f t="shared" si="46"/>
        <v>0</v>
      </c>
      <c r="F213" s="133">
        <f t="shared" si="47"/>
        <v>0</v>
      </c>
      <c r="G213" s="150">
        <f t="shared" si="42"/>
        <v>0</v>
      </c>
      <c r="H213" s="133">
        <f>IF(K212&lt;0.01,0,IF(Adm!$R$3=Adm!$R$6,0,IF(Adm!$S$10=Adm!$S$13,K212*Adm!$X$6,IF(Adm!$S$10=Adm!$S$11,K212*Adm!$X$3,IF(Adm!$S$10=Adm!$S$12,K212*Adm!$Y$3)))))</f>
        <v>0</v>
      </c>
      <c r="I213" s="133">
        <f>IF(K212&lt;0.01,0,E213*Adm!$N$7)</f>
        <v>0</v>
      </c>
      <c r="J213" s="133">
        <f t="shared" si="48"/>
        <v>0</v>
      </c>
      <c r="K213" s="133">
        <f t="shared" si="49"/>
        <v>0</v>
      </c>
      <c r="L213" s="361"/>
      <c r="V213" s="571">
        <f t="shared" si="50"/>
        <v>4</v>
      </c>
      <c r="W213" s="846">
        <f>IF(Adm!$AF$3=Adm!$AF$6,0,IF(V213=1,Adm!$AN$2,0))</f>
        <v>0</v>
      </c>
      <c r="Y213" s="338">
        <f>IF(AND($L$14=$AB$10,Adm!$AF$3=Adm!$AF$6,L212&gt;0),PMT(Cal!$F$86/12,B212,-K212),0)</f>
        <v>0</v>
      </c>
      <c r="AB213" s="650">
        <f t="shared" ref="AB213:AB257" si="54">IF(AC213&gt;1,AC213,IF(AE213&gt;1,AE213,0))</f>
        <v>0</v>
      </c>
      <c r="AC213" s="639">
        <f t="shared" ref="AC213:AC257" si="55">IF(AND($AD$12=1,L212&gt;0.1),AD213,0)</f>
        <v>0</v>
      </c>
      <c r="AD213" s="639">
        <f>IF(AND($AD$12=1,$AB$12=2),PMT(Adm!$AH$7/12,B212,-K212),0)</f>
        <v>0</v>
      </c>
      <c r="AE213" s="639">
        <f t="shared" si="53"/>
        <v>0</v>
      </c>
      <c r="AF213" s="636">
        <f t="shared" si="51"/>
        <v>0</v>
      </c>
      <c r="AG213" s="647" t="e">
        <f>Captura!AG310</f>
        <v>#N/A</v>
      </c>
    </row>
    <row r="214" spans="1:33">
      <c r="A214" s="151">
        <f t="shared" ca="1" si="43"/>
        <v>4</v>
      </c>
      <c r="B214" s="195">
        <f t="shared" si="44"/>
        <v>0</v>
      </c>
      <c r="C214" s="199">
        <f t="shared" si="45"/>
        <v>0</v>
      </c>
      <c r="D214" s="333">
        <f t="shared" si="52"/>
        <v>0</v>
      </c>
      <c r="E214" s="133">
        <f t="shared" si="46"/>
        <v>0</v>
      </c>
      <c r="F214" s="133">
        <f t="shared" si="47"/>
        <v>0</v>
      </c>
      <c r="G214" s="150">
        <f t="shared" si="42"/>
        <v>0</v>
      </c>
      <c r="H214" s="133">
        <f>IF(K213&lt;0.01,0,IF(Adm!$R$3=Adm!$R$6,0,IF(Adm!$S$10=Adm!$S$13,K213*Adm!$X$6,IF(Adm!$S$10=Adm!$S$11,K213*Adm!$X$3,IF(Adm!$S$10=Adm!$S$12,K213*Adm!$Y$3)))))</f>
        <v>0</v>
      </c>
      <c r="I214" s="133">
        <f>IF(K213&lt;0.01,0,E214*Adm!$N$7)</f>
        <v>0</v>
      </c>
      <c r="J214" s="133">
        <f t="shared" si="48"/>
        <v>0</v>
      </c>
      <c r="K214" s="133">
        <f t="shared" si="49"/>
        <v>0</v>
      </c>
      <c r="L214" s="361"/>
      <c r="V214" s="571">
        <f t="shared" si="50"/>
        <v>5</v>
      </c>
      <c r="W214" s="846">
        <f>IF(Adm!$AF$3=Adm!$AF$6,0,IF(V214=1,Adm!$AN$2,0))</f>
        <v>0</v>
      </c>
      <c r="Y214" s="338">
        <f>IF(AND($L$14=$AB$10,Adm!$AF$3=Adm!$AF$6,L213&gt;0),PMT(Cal!$F$86/12,B213,-K213),0)</f>
        <v>0</v>
      </c>
      <c r="AB214" s="650">
        <f t="shared" si="54"/>
        <v>0</v>
      </c>
      <c r="AC214" s="639">
        <f t="shared" si="55"/>
        <v>0</v>
      </c>
      <c r="AD214" s="639">
        <f>IF(AND($AD$12=1,$AB$12=2),PMT(Adm!$AH$7/12,B213,-K213),0)</f>
        <v>0</v>
      </c>
      <c r="AE214" s="639">
        <f t="shared" si="53"/>
        <v>0</v>
      </c>
      <c r="AF214" s="636">
        <f t="shared" si="51"/>
        <v>0</v>
      </c>
      <c r="AG214" s="647" t="e">
        <f>Captura!AG311</f>
        <v>#N/A</v>
      </c>
    </row>
    <row r="215" spans="1:33">
      <c r="A215" s="151">
        <f t="shared" ca="1" si="43"/>
        <v>5</v>
      </c>
      <c r="B215" s="195">
        <f t="shared" si="44"/>
        <v>0</v>
      </c>
      <c r="C215" s="199">
        <f t="shared" si="45"/>
        <v>0</v>
      </c>
      <c r="D215" s="333">
        <f t="shared" si="52"/>
        <v>0</v>
      </c>
      <c r="E215" s="133">
        <f t="shared" si="46"/>
        <v>0</v>
      </c>
      <c r="F215" s="133">
        <f t="shared" si="47"/>
        <v>0</v>
      </c>
      <c r="G215" s="150">
        <f t="shared" si="42"/>
        <v>0</v>
      </c>
      <c r="H215" s="133">
        <f>IF(K214&lt;0.01,0,IF(Adm!$R$3=Adm!$R$6,0,IF(Adm!$S$10=Adm!$S$13,K214*Adm!$X$6,IF(Adm!$S$10=Adm!$S$11,K214*Adm!$X$3,IF(Adm!$S$10=Adm!$S$12,K214*Adm!$Y$3)))))</f>
        <v>0</v>
      </c>
      <c r="I215" s="133">
        <f>IF(K214&lt;0.01,0,E215*Adm!$N$7)</f>
        <v>0</v>
      </c>
      <c r="J215" s="133">
        <f t="shared" si="48"/>
        <v>0</v>
      </c>
      <c r="K215" s="133">
        <f t="shared" si="49"/>
        <v>0</v>
      </c>
      <c r="L215" s="361"/>
      <c r="V215" s="571">
        <f t="shared" si="50"/>
        <v>6</v>
      </c>
      <c r="W215" s="846">
        <f>IF(Adm!$AF$3=Adm!$AF$6,0,IF(V215=1,Adm!$AN$2,0))</f>
        <v>0</v>
      </c>
      <c r="Y215" s="338">
        <f>IF(AND($L$14=$AB$10,Adm!$AF$3=Adm!$AF$6,L214&gt;0),PMT(Cal!$F$86/12,B214,-K214),0)</f>
        <v>0</v>
      </c>
      <c r="AB215" s="650">
        <f t="shared" si="54"/>
        <v>0</v>
      </c>
      <c r="AC215" s="639">
        <f t="shared" si="55"/>
        <v>0</v>
      </c>
      <c r="AD215" s="639">
        <f>IF(AND($AD$12=1,$AB$12=2),PMT(Adm!$AH$7/12,B214,-K214),0)</f>
        <v>0</v>
      </c>
      <c r="AE215" s="639">
        <f t="shared" si="53"/>
        <v>0</v>
      </c>
      <c r="AF215" s="636">
        <f t="shared" si="51"/>
        <v>0</v>
      </c>
      <c r="AG215" s="647" t="e">
        <f>Captura!AG312</f>
        <v>#N/A</v>
      </c>
    </row>
    <row r="216" spans="1:33">
      <c r="A216" s="151">
        <f t="shared" ca="1" si="43"/>
        <v>6</v>
      </c>
      <c r="B216" s="195">
        <f t="shared" si="44"/>
        <v>0</v>
      </c>
      <c r="C216" s="199">
        <f t="shared" si="45"/>
        <v>0</v>
      </c>
      <c r="D216" s="333">
        <f t="shared" si="52"/>
        <v>0</v>
      </c>
      <c r="E216" s="133">
        <f t="shared" si="46"/>
        <v>0</v>
      </c>
      <c r="F216" s="133">
        <f t="shared" si="47"/>
        <v>0</v>
      </c>
      <c r="G216" s="150">
        <f t="shared" si="42"/>
        <v>0</v>
      </c>
      <c r="H216" s="133">
        <f>IF(K215&lt;0.01,0,IF(Adm!$R$3=Adm!$R$6,0,IF(Adm!$S$10=Adm!$S$13,K215*Adm!$X$6,IF(Adm!$S$10=Adm!$S$11,K215*Adm!$X$3,IF(Adm!$S$10=Adm!$S$12,K215*Adm!$Y$3)))))</f>
        <v>0</v>
      </c>
      <c r="I216" s="133">
        <f>IF(K215&lt;0.01,0,E216*Adm!$N$7)</f>
        <v>0</v>
      </c>
      <c r="J216" s="133">
        <f t="shared" si="48"/>
        <v>0</v>
      </c>
      <c r="K216" s="133">
        <f t="shared" si="49"/>
        <v>0</v>
      </c>
      <c r="L216" s="361"/>
      <c r="V216" s="571">
        <f t="shared" si="50"/>
        <v>7</v>
      </c>
      <c r="W216" s="846">
        <f>IF(Adm!$AF$3=Adm!$AF$6,0,IF(V216=1,Adm!$AN$2,0))</f>
        <v>0</v>
      </c>
      <c r="Y216" s="338">
        <f>IF(AND($L$14=$AB$10,Adm!$AF$3=Adm!$AF$6,L215&gt;0),PMT(Cal!$F$86/12,B215,-K215),0)</f>
        <v>0</v>
      </c>
      <c r="AB216" s="650">
        <f t="shared" si="54"/>
        <v>0</v>
      </c>
      <c r="AC216" s="639">
        <f t="shared" si="55"/>
        <v>0</v>
      </c>
      <c r="AD216" s="639">
        <f>IF(AND($AD$12=1,$AB$12=2),PMT(Adm!$AH$7/12,B215,-K215),0)</f>
        <v>0</v>
      </c>
      <c r="AE216" s="639">
        <f t="shared" si="53"/>
        <v>0</v>
      </c>
      <c r="AF216" s="636">
        <f t="shared" si="51"/>
        <v>0</v>
      </c>
      <c r="AG216" s="647" t="e">
        <f>Captura!AG313</f>
        <v>#N/A</v>
      </c>
    </row>
    <row r="217" spans="1:33">
      <c r="A217" s="151">
        <f t="shared" ca="1" si="43"/>
        <v>7</v>
      </c>
      <c r="B217" s="195">
        <f t="shared" si="44"/>
        <v>0</v>
      </c>
      <c r="C217" s="199">
        <f t="shared" si="45"/>
        <v>0</v>
      </c>
      <c r="D217" s="333">
        <f t="shared" si="52"/>
        <v>0</v>
      </c>
      <c r="E217" s="133">
        <f t="shared" si="46"/>
        <v>0</v>
      </c>
      <c r="F217" s="133">
        <f t="shared" si="47"/>
        <v>0</v>
      </c>
      <c r="G217" s="150">
        <f t="shared" si="42"/>
        <v>0</v>
      </c>
      <c r="H217" s="133">
        <f>IF(K216&lt;0.01,0,IF(Adm!$R$3=Adm!$R$6,0,IF(Adm!$S$10=Adm!$S$13,K216*Adm!$X$6,IF(Adm!$S$10=Adm!$S$11,K216*Adm!$X$3,IF(Adm!$S$10=Adm!$S$12,K216*Adm!$Y$3)))))</f>
        <v>0</v>
      </c>
      <c r="I217" s="133">
        <f>IF(K216&lt;0.01,0,E217*Adm!$N$7)</f>
        <v>0</v>
      </c>
      <c r="J217" s="133">
        <f t="shared" si="48"/>
        <v>0</v>
      </c>
      <c r="K217" s="133">
        <f t="shared" si="49"/>
        <v>0</v>
      </c>
      <c r="L217" s="361"/>
      <c r="V217" s="571">
        <f t="shared" si="50"/>
        <v>8</v>
      </c>
      <c r="W217" s="846">
        <f>IF(Adm!$AF$3=Adm!$AF$6,0,IF(V217=1,Adm!$AN$2,0))</f>
        <v>0</v>
      </c>
      <c r="Y217" s="338">
        <f>IF(AND($L$14=$AB$10,Adm!$AF$3=Adm!$AF$6,L216&gt;0),PMT(Cal!$F$86/12,B216,-K216),0)</f>
        <v>0</v>
      </c>
      <c r="AB217" s="650">
        <f t="shared" si="54"/>
        <v>0</v>
      </c>
      <c r="AC217" s="639">
        <f t="shared" si="55"/>
        <v>0</v>
      </c>
      <c r="AD217" s="639">
        <f>IF(AND($AD$12=1,$AB$12=2),PMT(Adm!$AH$7/12,B216,-K216),0)</f>
        <v>0</v>
      </c>
      <c r="AE217" s="639">
        <f t="shared" si="53"/>
        <v>0</v>
      </c>
      <c r="AF217" s="636">
        <f t="shared" si="51"/>
        <v>0</v>
      </c>
      <c r="AG217" s="647" t="e">
        <f>Captura!AG314</f>
        <v>#N/A</v>
      </c>
    </row>
    <row r="218" spans="1:33">
      <c r="A218" s="151">
        <f t="shared" ca="1" si="43"/>
        <v>8</v>
      </c>
      <c r="B218" s="195">
        <f t="shared" si="44"/>
        <v>0</v>
      </c>
      <c r="C218" s="199">
        <f t="shared" si="45"/>
        <v>0</v>
      </c>
      <c r="D218" s="333">
        <f t="shared" si="52"/>
        <v>0</v>
      </c>
      <c r="E218" s="133">
        <f t="shared" si="46"/>
        <v>0</v>
      </c>
      <c r="F218" s="133">
        <f t="shared" si="47"/>
        <v>0</v>
      </c>
      <c r="G218" s="150">
        <f t="shared" si="42"/>
        <v>0</v>
      </c>
      <c r="H218" s="133">
        <f>IF(K217&lt;0.01,0,IF(Adm!$R$3=Adm!$R$6,0,IF(Adm!$S$10=Adm!$S$13,K217*Adm!$X$6,IF(Adm!$S$10=Adm!$S$11,K217*Adm!$X$3,IF(Adm!$S$10=Adm!$S$12,K217*Adm!$Y$3)))))</f>
        <v>0</v>
      </c>
      <c r="I218" s="133">
        <f>IF(K217&lt;0.01,0,E218*Adm!$N$7)</f>
        <v>0</v>
      </c>
      <c r="J218" s="133">
        <f t="shared" si="48"/>
        <v>0</v>
      </c>
      <c r="K218" s="133">
        <f t="shared" si="49"/>
        <v>0</v>
      </c>
      <c r="L218" s="361"/>
      <c r="V218" s="571">
        <f t="shared" si="50"/>
        <v>9</v>
      </c>
      <c r="W218" s="846">
        <f>IF(Adm!$AF$3=Adm!$AF$6,0,IF(V218=1,Adm!$AN$2,0))</f>
        <v>0</v>
      </c>
      <c r="Y218" s="338">
        <f>IF(AND($L$14=$AB$10,Adm!$AF$3=Adm!$AF$6,L217&gt;0),PMT(Cal!$F$86/12,B217,-K217),0)</f>
        <v>0</v>
      </c>
      <c r="AB218" s="650">
        <f t="shared" si="54"/>
        <v>0</v>
      </c>
      <c r="AC218" s="639">
        <f t="shared" si="55"/>
        <v>0</v>
      </c>
      <c r="AD218" s="639">
        <f>IF(AND($AD$12=1,$AB$12=2),PMT(Adm!$AH$7/12,B217,-K217),0)</f>
        <v>0</v>
      </c>
      <c r="AE218" s="639">
        <f t="shared" si="53"/>
        <v>0</v>
      </c>
      <c r="AF218" s="636">
        <f t="shared" si="51"/>
        <v>0</v>
      </c>
      <c r="AG218" s="647" t="e">
        <f>Captura!AG315</f>
        <v>#N/A</v>
      </c>
    </row>
    <row r="219" spans="1:33">
      <c r="A219" s="151">
        <f t="shared" ca="1" si="43"/>
        <v>9</v>
      </c>
      <c r="B219" s="195">
        <f t="shared" si="44"/>
        <v>0</v>
      </c>
      <c r="C219" s="199">
        <f t="shared" si="45"/>
        <v>0</v>
      </c>
      <c r="D219" s="333">
        <f t="shared" si="52"/>
        <v>0</v>
      </c>
      <c r="E219" s="133">
        <f t="shared" si="46"/>
        <v>0</v>
      </c>
      <c r="F219" s="133">
        <f t="shared" si="47"/>
        <v>0</v>
      </c>
      <c r="G219" s="150">
        <f t="shared" si="42"/>
        <v>0</v>
      </c>
      <c r="H219" s="133">
        <f>IF(K218&lt;0.01,0,IF(Adm!$R$3=Adm!$R$6,0,IF(Adm!$S$10=Adm!$S$13,K218*Adm!$X$6,IF(Adm!$S$10=Adm!$S$11,K218*Adm!$X$3,IF(Adm!$S$10=Adm!$S$12,K218*Adm!$Y$3)))))</f>
        <v>0</v>
      </c>
      <c r="I219" s="133">
        <f>IF(K218&lt;0.01,0,E219*Adm!$N$7)</f>
        <v>0</v>
      </c>
      <c r="J219" s="133">
        <f t="shared" si="48"/>
        <v>0</v>
      </c>
      <c r="K219" s="133">
        <f t="shared" si="49"/>
        <v>0</v>
      </c>
      <c r="L219" s="361"/>
      <c r="V219" s="571">
        <f t="shared" si="50"/>
        <v>10</v>
      </c>
      <c r="W219" s="846">
        <f>IF(Adm!$AF$3=Adm!$AF$6,0,IF(V219=1,Adm!$AN$2,0))</f>
        <v>0</v>
      </c>
      <c r="Y219" s="338">
        <f>IF(AND($L$14=$AB$10,Adm!$AF$3=Adm!$AF$6,L218&gt;0),PMT(Cal!$F$86/12,B218,-K218),0)</f>
        <v>0</v>
      </c>
      <c r="AB219" s="650">
        <f t="shared" si="54"/>
        <v>0</v>
      </c>
      <c r="AC219" s="639">
        <f t="shared" si="55"/>
        <v>0</v>
      </c>
      <c r="AD219" s="639">
        <f>IF(AND($AD$12=1,$AB$12=2),PMT(Adm!$AH$7/12,B218,-K218),0)</f>
        <v>0</v>
      </c>
      <c r="AE219" s="639">
        <f t="shared" si="53"/>
        <v>0</v>
      </c>
      <c r="AF219" s="636">
        <f t="shared" si="51"/>
        <v>0</v>
      </c>
      <c r="AG219" s="647" t="e">
        <f>Captura!AG316</f>
        <v>#N/A</v>
      </c>
    </row>
    <row r="220" spans="1:33">
      <c r="A220" s="151">
        <f t="shared" ca="1" si="43"/>
        <v>10</v>
      </c>
      <c r="B220" s="195">
        <f t="shared" si="44"/>
        <v>0</v>
      </c>
      <c r="C220" s="199">
        <f t="shared" si="45"/>
        <v>0</v>
      </c>
      <c r="D220" s="333">
        <f t="shared" si="52"/>
        <v>0</v>
      </c>
      <c r="E220" s="133">
        <f t="shared" si="46"/>
        <v>0</v>
      </c>
      <c r="F220" s="133">
        <f t="shared" si="47"/>
        <v>0</v>
      </c>
      <c r="G220" s="150">
        <f t="shared" si="42"/>
        <v>0</v>
      </c>
      <c r="H220" s="133">
        <f>IF(K219&lt;0.01,0,IF(Adm!$R$3=Adm!$R$6,0,IF(Adm!$S$10=Adm!$S$13,K219*Adm!$X$6,IF(Adm!$S$10=Adm!$S$11,K219*Adm!$X$3,IF(Adm!$S$10=Adm!$S$12,K219*Adm!$Y$3)))))</f>
        <v>0</v>
      </c>
      <c r="I220" s="133">
        <f>IF(K219&lt;0.01,0,E220*Adm!$N$7)</f>
        <v>0</v>
      </c>
      <c r="J220" s="133">
        <f t="shared" si="48"/>
        <v>0</v>
      </c>
      <c r="K220" s="133">
        <f t="shared" si="49"/>
        <v>0</v>
      </c>
      <c r="L220" s="361"/>
      <c r="V220" s="571">
        <f t="shared" si="50"/>
        <v>11</v>
      </c>
      <c r="W220" s="846">
        <f>IF(Adm!$AF$3=Adm!$AF$6,0,IF(V220=1,Adm!$AN$2,0))</f>
        <v>0</v>
      </c>
      <c r="Y220" s="338">
        <f>IF(AND($L$14=$AB$10,Adm!$AF$3=Adm!$AF$6,L219&gt;0),PMT(Cal!$F$86/12,B219,-K219),0)</f>
        <v>0</v>
      </c>
      <c r="AB220" s="650">
        <f t="shared" si="54"/>
        <v>0</v>
      </c>
      <c r="AC220" s="639">
        <f t="shared" si="55"/>
        <v>0</v>
      </c>
      <c r="AD220" s="639">
        <f>IF(AND($AD$12=1,$AB$12=2),PMT(Adm!$AH$7/12,B219,-K219),0)</f>
        <v>0</v>
      </c>
      <c r="AE220" s="639">
        <f t="shared" si="53"/>
        <v>0</v>
      </c>
      <c r="AF220" s="636">
        <f t="shared" si="51"/>
        <v>0</v>
      </c>
      <c r="AG220" s="647" t="e">
        <f>Captura!AG317</f>
        <v>#N/A</v>
      </c>
    </row>
    <row r="221" spans="1:33">
      <c r="A221" s="151">
        <f t="shared" ca="1" si="43"/>
        <v>11</v>
      </c>
      <c r="B221" s="195">
        <f t="shared" si="44"/>
        <v>0</v>
      </c>
      <c r="C221" s="199">
        <f t="shared" si="45"/>
        <v>0</v>
      </c>
      <c r="D221" s="333">
        <f t="shared" si="52"/>
        <v>0</v>
      </c>
      <c r="E221" s="133">
        <f t="shared" si="46"/>
        <v>0</v>
      </c>
      <c r="F221" s="133">
        <f t="shared" si="47"/>
        <v>0</v>
      </c>
      <c r="G221" s="150">
        <f t="shared" si="42"/>
        <v>0</v>
      </c>
      <c r="H221" s="133">
        <f>IF(K220&lt;0.01,0,IF(Adm!$R$3=Adm!$R$6,0,IF(Adm!$S$10=Adm!$S$13,K220*Adm!$X$6,IF(Adm!$S$10=Adm!$S$11,K220*Adm!$X$3,IF(Adm!$S$10=Adm!$S$12,K220*Adm!$Y$3)))))</f>
        <v>0</v>
      </c>
      <c r="I221" s="133">
        <f>IF(K220&lt;0.01,0,E221*Adm!$N$7)</f>
        <v>0</v>
      </c>
      <c r="J221" s="133">
        <f t="shared" si="48"/>
        <v>0</v>
      </c>
      <c r="K221" s="133">
        <f t="shared" si="49"/>
        <v>0</v>
      </c>
      <c r="L221" s="361"/>
      <c r="V221" s="571">
        <f t="shared" si="50"/>
        <v>12</v>
      </c>
      <c r="W221" s="846">
        <f>IF(Adm!$AF$3=Adm!$AF$6,0,IF(V221=1,Adm!$AN$2,0))</f>
        <v>0</v>
      </c>
      <c r="Y221" s="338">
        <f>IF(AND($L$14=$AB$10,Adm!$AF$3=Adm!$AF$6,L220&gt;0),PMT(Cal!$F$86/12,B220,-K220),0)</f>
        <v>0</v>
      </c>
      <c r="AB221" s="650">
        <f t="shared" si="54"/>
        <v>0</v>
      </c>
      <c r="AC221" s="639">
        <f t="shared" si="55"/>
        <v>0</v>
      </c>
      <c r="AD221" s="639">
        <f>IF(AND($AD$12=1,$AB$12=2),PMT(Adm!$AH$7/12,B220,-K220),0)</f>
        <v>0</v>
      </c>
      <c r="AE221" s="639">
        <f t="shared" si="53"/>
        <v>0</v>
      </c>
      <c r="AF221" s="636">
        <f t="shared" si="51"/>
        <v>0</v>
      </c>
      <c r="AG221" s="647" t="e">
        <f>Captura!AG318</f>
        <v>#N/A</v>
      </c>
    </row>
    <row r="222" spans="1:33">
      <c r="A222" s="151">
        <f t="shared" ca="1" si="43"/>
        <v>12</v>
      </c>
      <c r="B222" s="195">
        <f t="shared" si="44"/>
        <v>0</v>
      </c>
      <c r="C222" s="199">
        <f t="shared" si="45"/>
        <v>0</v>
      </c>
      <c r="D222" s="333">
        <f t="shared" si="52"/>
        <v>0</v>
      </c>
      <c r="E222" s="133">
        <f t="shared" si="46"/>
        <v>0</v>
      </c>
      <c r="F222" s="133">
        <f t="shared" si="47"/>
        <v>0</v>
      </c>
      <c r="G222" s="150">
        <f t="shared" si="42"/>
        <v>0</v>
      </c>
      <c r="H222" s="133">
        <f>IF(K221&lt;0.01,0,IF(Adm!$R$3=Adm!$R$6,0,IF(Adm!$S$10=Adm!$S$13,K221*Adm!$X$6,IF(Adm!$S$10=Adm!$S$11,K221*Adm!$X$3,IF(Adm!$S$10=Adm!$S$12,K221*Adm!$Y$3)))))</f>
        <v>0</v>
      </c>
      <c r="I222" s="133">
        <f>IF(K221&lt;0.01,0,E222*Adm!$N$7)</f>
        <v>0</v>
      </c>
      <c r="J222" s="133">
        <f t="shared" si="48"/>
        <v>0</v>
      </c>
      <c r="K222" s="133">
        <f t="shared" si="49"/>
        <v>0</v>
      </c>
      <c r="L222" s="361"/>
      <c r="V222" s="571">
        <f t="shared" si="50"/>
        <v>1</v>
      </c>
      <c r="W222" s="846">
        <f>IF(Adm!$AF$3=Adm!$AF$6,0,IF(V222=1,Adm!$AN$2,0))</f>
        <v>0</v>
      </c>
      <c r="Y222" s="338">
        <f>IF(AND($L$14=$AB$10,Adm!$AF$3=Adm!$AF$6,L221&gt;0),PMT(Cal!$F$86/12,B221,-K221),0)</f>
        <v>0</v>
      </c>
      <c r="AB222" s="650">
        <f t="shared" si="54"/>
        <v>0</v>
      </c>
      <c r="AC222" s="639">
        <f t="shared" si="55"/>
        <v>0</v>
      </c>
      <c r="AD222" s="639">
        <f>IF(AND($AD$12=1,$AB$12=2),PMT(Adm!$AH$7/12,B221,-K221),0)</f>
        <v>0</v>
      </c>
      <c r="AE222" s="639">
        <f t="shared" si="53"/>
        <v>0</v>
      </c>
      <c r="AF222" s="636">
        <f t="shared" si="51"/>
        <v>0</v>
      </c>
      <c r="AG222" s="647" t="e">
        <f>Captura!AG319</f>
        <v>#N/A</v>
      </c>
    </row>
    <row r="223" spans="1:33">
      <c r="A223" s="151">
        <f t="shared" ca="1" si="43"/>
        <v>1</v>
      </c>
      <c r="B223" s="195">
        <f t="shared" si="44"/>
        <v>0</v>
      </c>
      <c r="C223" s="199">
        <f t="shared" si="45"/>
        <v>0</v>
      </c>
      <c r="D223" s="333">
        <f t="shared" si="52"/>
        <v>0</v>
      </c>
      <c r="E223" s="133">
        <f t="shared" si="46"/>
        <v>0</v>
      </c>
      <c r="F223" s="133">
        <f t="shared" si="47"/>
        <v>0</v>
      </c>
      <c r="G223" s="150">
        <f t="shared" ref="G223:G257" si="56">IF(K222&lt;0.1,0,MIN(K222+E223,IF(AB223&gt;0,AB223,G222*(1+W223))))</f>
        <v>0</v>
      </c>
      <c r="H223" s="133">
        <f>IF(K222&lt;0.01,0,IF(Adm!$R$3=Adm!$R$6,0,IF(Adm!$S$10=Adm!$S$13,K222*Adm!$X$6,IF(Adm!$S$10=Adm!$S$11,K222*Adm!$X$3,IF(Adm!$S$10=Adm!$S$12,K222*Adm!$Y$3)))))</f>
        <v>0</v>
      </c>
      <c r="I223" s="133">
        <f>IF(K222&lt;0.01,0,E223*Adm!$N$7)</f>
        <v>0</v>
      </c>
      <c r="J223" s="133">
        <f t="shared" si="48"/>
        <v>0</v>
      </c>
      <c r="K223" s="133">
        <f t="shared" si="49"/>
        <v>0</v>
      </c>
      <c r="L223" s="361"/>
      <c r="V223" s="571">
        <f t="shared" si="50"/>
        <v>2</v>
      </c>
      <c r="W223" s="846">
        <f>IF(Adm!$AF$3=Adm!$AF$6,0,IF(V223=1,Adm!$AN$2,0))</f>
        <v>0</v>
      </c>
      <c r="Y223" s="338">
        <f>IF(AND($L$14=$AB$10,Adm!$AF$3=Adm!$AF$6,L222&gt;0),PMT(Cal!$F$86/12,B222,-K222),0)</f>
        <v>0</v>
      </c>
      <c r="AB223" s="650">
        <f t="shared" si="54"/>
        <v>0</v>
      </c>
      <c r="AC223" s="639">
        <f t="shared" si="55"/>
        <v>0</v>
      </c>
      <c r="AD223" s="639">
        <f>IF(AND($AD$12=1,$AB$12=2),PMT(Adm!$AH$7/12,B222,-K222),0)</f>
        <v>0</v>
      </c>
      <c r="AE223" s="639">
        <f t="shared" si="53"/>
        <v>0</v>
      </c>
      <c r="AF223" s="636">
        <f t="shared" si="51"/>
        <v>0</v>
      </c>
      <c r="AG223" s="647" t="e">
        <f>Captura!AG320</f>
        <v>#N/A</v>
      </c>
    </row>
    <row r="224" spans="1:33">
      <c r="A224" s="151">
        <f t="shared" ca="1" si="43"/>
        <v>2</v>
      </c>
      <c r="B224" s="195">
        <f t="shared" si="44"/>
        <v>0</v>
      </c>
      <c r="C224" s="199">
        <f t="shared" si="45"/>
        <v>0</v>
      </c>
      <c r="D224" s="333">
        <f t="shared" si="52"/>
        <v>0</v>
      </c>
      <c r="E224" s="133">
        <f t="shared" si="46"/>
        <v>0</v>
      </c>
      <c r="F224" s="133">
        <f t="shared" si="47"/>
        <v>0</v>
      </c>
      <c r="G224" s="150">
        <f t="shared" si="56"/>
        <v>0</v>
      </c>
      <c r="H224" s="133">
        <f>IF(K223&lt;0.01,0,IF(Adm!$R$3=Adm!$R$6,0,IF(Adm!$S$10=Adm!$S$13,K223*Adm!$X$6,IF(Adm!$S$10=Adm!$S$11,K223*Adm!$X$3,IF(Adm!$S$10=Adm!$S$12,K223*Adm!$Y$3)))))</f>
        <v>0</v>
      </c>
      <c r="I224" s="133">
        <f>IF(K223&lt;0.01,0,E224*Adm!$N$7)</f>
        <v>0</v>
      </c>
      <c r="J224" s="133">
        <f t="shared" si="48"/>
        <v>0</v>
      </c>
      <c r="K224" s="133">
        <f t="shared" si="49"/>
        <v>0</v>
      </c>
      <c r="L224" s="361"/>
      <c r="V224" s="571">
        <f t="shared" si="50"/>
        <v>3</v>
      </c>
      <c r="W224" s="846">
        <f>IF(Adm!$AF$3=Adm!$AF$6,0,IF(V224=1,Adm!$AN$2,0))</f>
        <v>0</v>
      </c>
      <c r="Y224" s="338">
        <f>IF(AND($L$14=$AB$10,Adm!$AF$3=Adm!$AF$6,L223&gt;0),PMT(Cal!$F$86/12,B223,-K223),0)</f>
        <v>0</v>
      </c>
      <c r="AB224" s="650">
        <f t="shared" si="54"/>
        <v>0</v>
      </c>
      <c r="AC224" s="639">
        <f t="shared" si="55"/>
        <v>0</v>
      </c>
      <c r="AD224" s="639">
        <f>IF(AND($AD$12=1,$AB$12=2),PMT(Adm!$AH$7/12,B223,-K223),0)</f>
        <v>0</v>
      </c>
      <c r="AE224" s="639">
        <f t="shared" si="53"/>
        <v>0</v>
      </c>
      <c r="AF224" s="636">
        <f t="shared" si="51"/>
        <v>0</v>
      </c>
      <c r="AG224" s="647" t="e">
        <f>Captura!AG321</f>
        <v>#N/A</v>
      </c>
    </row>
    <row r="225" spans="1:33">
      <c r="A225" s="151">
        <f t="shared" ca="1" si="43"/>
        <v>3</v>
      </c>
      <c r="B225" s="195">
        <f t="shared" si="44"/>
        <v>0</v>
      </c>
      <c r="C225" s="199">
        <f t="shared" si="45"/>
        <v>0</v>
      </c>
      <c r="D225" s="333">
        <f t="shared" si="52"/>
        <v>0</v>
      </c>
      <c r="E225" s="133">
        <f t="shared" si="46"/>
        <v>0</v>
      </c>
      <c r="F225" s="133">
        <f t="shared" si="47"/>
        <v>0</v>
      </c>
      <c r="G225" s="150">
        <f t="shared" si="56"/>
        <v>0</v>
      </c>
      <c r="H225" s="133">
        <f>IF(K224&lt;0.01,0,IF(Adm!$R$3=Adm!$R$6,0,IF(Adm!$S$10=Adm!$S$13,K224*Adm!$X$6,IF(Adm!$S$10=Adm!$S$11,K224*Adm!$X$3,IF(Adm!$S$10=Adm!$S$12,K224*Adm!$Y$3)))))</f>
        <v>0</v>
      </c>
      <c r="I225" s="133">
        <f>IF(K224&lt;0.01,0,E225*Adm!$N$7)</f>
        <v>0</v>
      </c>
      <c r="J225" s="133">
        <f t="shared" si="48"/>
        <v>0</v>
      </c>
      <c r="K225" s="133">
        <f t="shared" si="49"/>
        <v>0</v>
      </c>
      <c r="L225" s="361"/>
      <c r="V225" s="571">
        <f t="shared" si="50"/>
        <v>4</v>
      </c>
      <c r="W225" s="846">
        <f>IF(Adm!$AF$3=Adm!$AF$6,0,IF(V225=1,Adm!$AN$2,0))</f>
        <v>0</v>
      </c>
      <c r="Y225" s="338">
        <f>IF(AND($L$14=$AB$10,Adm!$AF$3=Adm!$AF$6,L224&gt;0),PMT(Cal!$F$86/12,B224,-K224),0)</f>
        <v>0</v>
      </c>
      <c r="AB225" s="650">
        <f t="shared" si="54"/>
        <v>0</v>
      </c>
      <c r="AC225" s="639">
        <f t="shared" si="55"/>
        <v>0</v>
      </c>
      <c r="AD225" s="639">
        <f>IF(AND($AD$12=1,$AB$12=2),PMT(Adm!$AH$7/12,B224,-K224),0)</f>
        <v>0</v>
      </c>
      <c r="AE225" s="639">
        <f t="shared" si="53"/>
        <v>0</v>
      </c>
      <c r="AF225" s="636">
        <f t="shared" si="51"/>
        <v>0</v>
      </c>
      <c r="AG225" s="647" t="e">
        <f>Captura!AG322</f>
        <v>#N/A</v>
      </c>
    </row>
    <row r="226" spans="1:33">
      <c r="A226" s="151">
        <f t="shared" ca="1" si="43"/>
        <v>4</v>
      </c>
      <c r="B226" s="195">
        <f t="shared" si="44"/>
        <v>0</v>
      </c>
      <c r="C226" s="199">
        <f t="shared" si="45"/>
        <v>0</v>
      </c>
      <c r="D226" s="333">
        <f t="shared" si="52"/>
        <v>0</v>
      </c>
      <c r="E226" s="133">
        <f t="shared" si="46"/>
        <v>0</v>
      </c>
      <c r="F226" s="133">
        <f t="shared" si="47"/>
        <v>0</v>
      </c>
      <c r="G226" s="150">
        <f t="shared" si="56"/>
        <v>0</v>
      </c>
      <c r="H226" s="133">
        <f>IF(K225&lt;0.01,0,IF(Adm!$R$3=Adm!$R$6,0,IF(Adm!$S$10=Adm!$S$13,K225*Adm!$X$6,IF(Adm!$S$10=Adm!$S$11,K225*Adm!$X$3,IF(Adm!$S$10=Adm!$S$12,K225*Adm!$Y$3)))))</f>
        <v>0</v>
      </c>
      <c r="I226" s="133">
        <f>IF(K225&lt;0.01,0,E226*Adm!$N$7)</f>
        <v>0</v>
      </c>
      <c r="J226" s="133">
        <f t="shared" si="48"/>
        <v>0</v>
      </c>
      <c r="K226" s="133">
        <f t="shared" si="49"/>
        <v>0</v>
      </c>
      <c r="L226" s="361"/>
      <c r="V226" s="571">
        <f t="shared" si="50"/>
        <v>5</v>
      </c>
      <c r="W226" s="846">
        <f>IF(Adm!$AF$3=Adm!$AF$6,0,IF(V226=1,Adm!$AN$2,0))</f>
        <v>0</v>
      </c>
      <c r="Y226" s="338">
        <f>IF(AND($L$14=$AB$10,Adm!$AF$3=Adm!$AF$6,L225&gt;0),PMT(Cal!$F$86/12,B225,-K225),0)</f>
        <v>0</v>
      </c>
      <c r="AB226" s="650">
        <f t="shared" si="54"/>
        <v>0</v>
      </c>
      <c r="AC226" s="639">
        <f t="shared" si="55"/>
        <v>0</v>
      </c>
      <c r="AD226" s="639">
        <f>IF(AND($AD$12=1,$AB$12=2),PMT(Adm!$AH$7/12,B225,-K225),0)</f>
        <v>0</v>
      </c>
      <c r="AE226" s="639">
        <f t="shared" si="53"/>
        <v>0</v>
      </c>
      <c r="AF226" s="636">
        <f t="shared" si="51"/>
        <v>0</v>
      </c>
      <c r="AG226" s="647" t="e">
        <f>Captura!AG323</f>
        <v>#N/A</v>
      </c>
    </row>
    <row r="227" spans="1:33">
      <c r="A227" s="151">
        <f t="shared" ca="1" si="43"/>
        <v>5</v>
      </c>
      <c r="B227" s="195">
        <f t="shared" si="44"/>
        <v>0</v>
      </c>
      <c r="C227" s="199">
        <f t="shared" si="45"/>
        <v>0</v>
      </c>
      <c r="D227" s="333">
        <f t="shared" si="52"/>
        <v>0</v>
      </c>
      <c r="E227" s="133">
        <f t="shared" si="46"/>
        <v>0</v>
      </c>
      <c r="F227" s="133">
        <f t="shared" si="47"/>
        <v>0</v>
      </c>
      <c r="G227" s="150">
        <f t="shared" si="56"/>
        <v>0</v>
      </c>
      <c r="H227" s="133">
        <f>IF(K226&lt;0.01,0,IF(Adm!$R$3=Adm!$R$6,0,IF(Adm!$S$10=Adm!$S$13,K226*Adm!$X$6,IF(Adm!$S$10=Adm!$S$11,K226*Adm!$X$3,IF(Adm!$S$10=Adm!$S$12,K226*Adm!$Y$3)))))</f>
        <v>0</v>
      </c>
      <c r="I227" s="133">
        <f>IF(K226&lt;0.01,0,E227*Adm!$N$7)</f>
        <v>0</v>
      </c>
      <c r="J227" s="133">
        <f t="shared" si="48"/>
        <v>0</v>
      </c>
      <c r="K227" s="133">
        <f t="shared" si="49"/>
        <v>0</v>
      </c>
      <c r="L227" s="361"/>
      <c r="V227" s="571">
        <f t="shared" si="50"/>
        <v>6</v>
      </c>
      <c r="W227" s="846">
        <f>IF(Adm!$AF$3=Adm!$AF$6,0,IF(V227=1,Adm!$AN$2,0))</f>
        <v>0</v>
      </c>
      <c r="Y227" s="338">
        <f>IF(AND($L$14=$AB$10,Adm!$AF$3=Adm!$AF$6,L226&gt;0),PMT(Cal!$F$86/12,B226,-K226),0)</f>
        <v>0</v>
      </c>
      <c r="AB227" s="650">
        <f t="shared" si="54"/>
        <v>0</v>
      </c>
      <c r="AC227" s="639">
        <f t="shared" si="55"/>
        <v>0</v>
      </c>
      <c r="AD227" s="639">
        <f>IF(AND($AD$12=1,$AB$12=2),PMT(Adm!$AH$7/12,B226,-K226),0)</f>
        <v>0</v>
      </c>
      <c r="AE227" s="639">
        <f t="shared" si="53"/>
        <v>0</v>
      </c>
      <c r="AF227" s="636">
        <f t="shared" si="51"/>
        <v>0</v>
      </c>
      <c r="AG227" s="647" t="e">
        <f>Captura!AG324</f>
        <v>#N/A</v>
      </c>
    </row>
    <row r="228" spans="1:33">
      <c r="A228" s="151">
        <f t="shared" ca="1" si="43"/>
        <v>6</v>
      </c>
      <c r="B228" s="195">
        <f t="shared" si="44"/>
        <v>0</v>
      </c>
      <c r="C228" s="199">
        <f t="shared" si="45"/>
        <v>0</v>
      </c>
      <c r="D228" s="333">
        <f t="shared" si="52"/>
        <v>0</v>
      </c>
      <c r="E228" s="133">
        <f t="shared" si="46"/>
        <v>0</v>
      </c>
      <c r="F228" s="133">
        <f t="shared" si="47"/>
        <v>0</v>
      </c>
      <c r="G228" s="150">
        <f t="shared" si="56"/>
        <v>0</v>
      </c>
      <c r="H228" s="133">
        <f>IF(K227&lt;0.01,0,IF(Adm!$R$3=Adm!$R$6,0,IF(Adm!$S$10=Adm!$S$13,K227*Adm!$X$6,IF(Adm!$S$10=Adm!$S$11,K227*Adm!$X$3,IF(Adm!$S$10=Adm!$S$12,K227*Adm!$Y$3)))))</f>
        <v>0</v>
      </c>
      <c r="I228" s="133">
        <f>IF(K227&lt;0.01,0,E228*Adm!$N$7)</f>
        <v>0</v>
      </c>
      <c r="J228" s="133">
        <f t="shared" si="48"/>
        <v>0</v>
      </c>
      <c r="K228" s="133">
        <f t="shared" si="49"/>
        <v>0</v>
      </c>
      <c r="L228" s="361"/>
      <c r="V228" s="571">
        <f t="shared" si="50"/>
        <v>7</v>
      </c>
      <c r="W228" s="846">
        <f>IF(Adm!$AF$3=Adm!$AF$6,0,IF(V228=1,Adm!$AN$2,0))</f>
        <v>0</v>
      </c>
      <c r="Y228" s="338">
        <f>IF(AND($L$14=$AB$10,Adm!$AF$3=Adm!$AF$6,L227&gt;0),PMT(Cal!$F$86/12,B227,-K227),0)</f>
        <v>0</v>
      </c>
      <c r="AB228" s="650">
        <f t="shared" si="54"/>
        <v>0</v>
      </c>
      <c r="AC228" s="639">
        <f t="shared" si="55"/>
        <v>0</v>
      </c>
      <c r="AD228" s="639">
        <f>IF(AND($AD$12=1,$AB$12=2),PMT(Adm!$AH$7/12,B227,-K227),0)</f>
        <v>0</v>
      </c>
      <c r="AE228" s="639">
        <f t="shared" si="53"/>
        <v>0</v>
      </c>
      <c r="AF228" s="636">
        <f t="shared" si="51"/>
        <v>0</v>
      </c>
      <c r="AG228" s="647" t="e">
        <f>Captura!AG325</f>
        <v>#N/A</v>
      </c>
    </row>
    <row r="229" spans="1:33">
      <c r="A229" s="151">
        <f t="shared" ca="1" si="43"/>
        <v>7</v>
      </c>
      <c r="B229" s="195">
        <f t="shared" si="44"/>
        <v>0</v>
      </c>
      <c r="C229" s="199">
        <f t="shared" si="45"/>
        <v>0</v>
      </c>
      <c r="D229" s="333">
        <f t="shared" si="52"/>
        <v>0</v>
      </c>
      <c r="E229" s="133">
        <f t="shared" si="46"/>
        <v>0</v>
      </c>
      <c r="F229" s="133">
        <f t="shared" si="47"/>
        <v>0</v>
      </c>
      <c r="G229" s="150">
        <f t="shared" si="56"/>
        <v>0</v>
      </c>
      <c r="H229" s="133">
        <f>IF(K228&lt;0.01,0,IF(Adm!$R$3=Adm!$R$6,0,IF(Adm!$S$10=Adm!$S$13,K228*Adm!$X$6,IF(Adm!$S$10=Adm!$S$11,K228*Adm!$X$3,IF(Adm!$S$10=Adm!$S$12,K228*Adm!$Y$3)))))</f>
        <v>0</v>
      </c>
      <c r="I229" s="133">
        <f>IF(K228&lt;0.01,0,E229*Adm!$N$7)</f>
        <v>0</v>
      </c>
      <c r="J229" s="133">
        <f t="shared" si="48"/>
        <v>0</v>
      </c>
      <c r="K229" s="133">
        <f t="shared" si="49"/>
        <v>0</v>
      </c>
      <c r="L229" s="361"/>
      <c r="V229" s="571">
        <f t="shared" si="50"/>
        <v>8</v>
      </c>
      <c r="W229" s="846">
        <f>IF(Adm!$AF$3=Adm!$AF$6,0,IF(V229=1,Adm!$AN$2,0))</f>
        <v>0</v>
      </c>
      <c r="Y229" s="338">
        <f>IF(AND($L$14=$AB$10,Adm!$AF$3=Adm!$AF$6,L228&gt;0),PMT(Cal!$F$86/12,B228,-K228),0)</f>
        <v>0</v>
      </c>
      <c r="AB229" s="650">
        <f t="shared" si="54"/>
        <v>0</v>
      </c>
      <c r="AC229" s="639">
        <f t="shared" si="55"/>
        <v>0</v>
      </c>
      <c r="AD229" s="639">
        <f>IF(AND($AD$12=1,$AB$12=2),PMT(Adm!$AH$7/12,B228,-K228),0)</f>
        <v>0</v>
      </c>
      <c r="AE229" s="639">
        <f t="shared" si="53"/>
        <v>0</v>
      </c>
      <c r="AF229" s="636">
        <f t="shared" si="51"/>
        <v>0</v>
      </c>
      <c r="AG229" s="647" t="e">
        <f>Captura!AG326</f>
        <v>#N/A</v>
      </c>
    </row>
    <row r="230" spans="1:33">
      <c r="A230" s="151">
        <f t="shared" ca="1" si="43"/>
        <v>8</v>
      </c>
      <c r="B230" s="195">
        <f t="shared" si="44"/>
        <v>0</v>
      </c>
      <c r="C230" s="199">
        <f t="shared" si="45"/>
        <v>0</v>
      </c>
      <c r="D230" s="333">
        <f t="shared" si="52"/>
        <v>0</v>
      </c>
      <c r="E230" s="133">
        <f t="shared" si="46"/>
        <v>0</v>
      </c>
      <c r="F230" s="133">
        <f t="shared" si="47"/>
        <v>0</v>
      </c>
      <c r="G230" s="150">
        <f t="shared" si="56"/>
        <v>0</v>
      </c>
      <c r="H230" s="133">
        <f>IF(K229&lt;0.01,0,IF(Adm!$R$3=Adm!$R$6,0,IF(Adm!$S$10=Adm!$S$13,K229*Adm!$X$6,IF(Adm!$S$10=Adm!$S$11,K229*Adm!$X$3,IF(Adm!$S$10=Adm!$S$12,K229*Adm!$Y$3)))))</f>
        <v>0</v>
      </c>
      <c r="I230" s="133">
        <f>IF(K229&lt;0.01,0,E230*Adm!$N$7)</f>
        <v>0</v>
      </c>
      <c r="J230" s="133">
        <f t="shared" si="48"/>
        <v>0</v>
      </c>
      <c r="K230" s="133">
        <f t="shared" si="49"/>
        <v>0</v>
      </c>
      <c r="L230" s="361"/>
      <c r="V230" s="571">
        <f t="shared" si="50"/>
        <v>9</v>
      </c>
      <c r="W230" s="846">
        <f>IF(Adm!$AF$3=Adm!$AF$6,0,IF(V230=1,Adm!$AN$2,0))</f>
        <v>0</v>
      </c>
      <c r="Y230" s="338">
        <f>IF(AND($L$14=$AB$10,Adm!$AF$3=Adm!$AF$6,L229&gt;0),PMT(Cal!$F$86/12,B229,-K229),0)</f>
        <v>0</v>
      </c>
      <c r="AB230" s="650">
        <f t="shared" si="54"/>
        <v>0</v>
      </c>
      <c r="AC230" s="639">
        <f t="shared" si="55"/>
        <v>0</v>
      </c>
      <c r="AD230" s="639">
        <f>IF(AND($AD$12=1,$AB$12=2),PMT(Adm!$AH$7/12,B229,-K229),0)</f>
        <v>0</v>
      </c>
      <c r="AE230" s="639">
        <f t="shared" si="53"/>
        <v>0</v>
      </c>
      <c r="AF230" s="636">
        <f t="shared" si="51"/>
        <v>0</v>
      </c>
      <c r="AG230" s="647" t="e">
        <f>Captura!AG327</f>
        <v>#N/A</v>
      </c>
    </row>
    <row r="231" spans="1:33">
      <c r="A231" s="151">
        <f t="shared" ca="1" si="43"/>
        <v>9</v>
      </c>
      <c r="B231" s="195">
        <f t="shared" si="44"/>
        <v>0</v>
      </c>
      <c r="C231" s="199">
        <f t="shared" si="45"/>
        <v>0</v>
      </c>
      <c r="D231" s="333">
        <f t="shared" si="52"/>
        <v>0</v>
      </c>
      <c r="E231" s="133">
        <f t="shared" si="46"/>
        <v>0</v>
      </c>
      <c r="F231" s="133">
        <f t="shared" si="47"/>
        <v>0</v>
      </c>
      <c r="G231" s="150">
        <f t="shared" si="56"/>
        <v>0</v>
      </c>
      <c r="H231" s="133">
        <f>IF(K230&lt;0.01,0,IF(Adm!$R$3=Adm!$R$6,0,IF(Adm!$S$10=Adm!$S$13,K230*Adm!$X$6,IF(Adm!$S$10=Adm!$S$11,K230*Adm!$X$3,IF(Adm!$S$10=Adm!$S$12,K230*Adm!$Y$3)))))</f>
        <v>0</v>
      </c>
      <c r="I231" s="133">
        <f>IF(K230&lt;0.01,0,E231*Adm!$N$7)</f>
        <v>0</v>
      </c>
      <c r="J231" s="133">
        <f t="shared" si="48"/>
        <v>0</v>
      </c>
      <c r="K231" s="133">
        <f t="shared" si="49"/>
        <v>0</v>
      </c>
      <c r="L231" s="361"/>
      <c r="V231" s="571">
        <f t="shared" si="50"/>
        <v>10</v>
      </c>
      <c r="W231" s="846">
        <f>IF(Adm!$AF$3=Adm!$AF$6,0,IF(V231=1,Adm!$AN$2,0))</f>
        <v>0</v>
      </c>
      <c r="Y231" s="338">
        <f>IF(AND($L$14=$AB$10,Adm!$AF$3=Adm!$AF$6,L230&gt;0),PMT(Cal!$F$86/12,B230,-K230),0)</f>
        <v>0</v>
      </c>
      <c r="AB231" s="650">
        <f t="shared" si="54"/>
        <v>0</v>
      </c>
      <c r="AC231" s="639">
        <f t="shared" si="55"/>
        <v>0</v>
      </c>
      <c r="AD231" s="639">
        <f>IF(AND($AD$12=1,$AB$12=2),PMT(Adm!$AH$7/12,B230,-K230),0)</f>
        <v>0</v>
      </c>
      <c r="AE231" s="639">
        <f t="shared" si="53"/>
        <v>0</v>
      </c>
      <c r="AF231" s="636">
        <f t="shared" si="51"/>
        <v>0</v>
      </c>
      <c r="AG231" s="647" t="e">
        <f>Captura!AG328</f>
        <v>#N/A</v>
      </c>
    </row>
    <row r="232" spans="1:33">
      <c r="A232" s="151">
        <f t="shared" ca="1" si="43"/>
        <v>10</v>
      </c>
      <c r="B232" s="195">
        <f t="shared" si="44"/>
        <v>0</v>
      </c>
      <c r="C232" s="199">
        <f>IF(K231&lt;0.01,0,C231+1)</f>
        <v>0</v>
      </c>
      <c r="D232" s="333">
        <f t="shared" si="52"/>
        <v>0</v>
      </c>
      <c r="E232" s="133">
        <f t="shared" si="46"/>
        <v>0</v>
      </c>
      <c r="F232" s="133">
        <f t="shared" si="47"/>
        <v>0</v>
      </c>
      <c r="G232" s="150">
        <f t="shared" si="56"/>
        <v>0</v>
      </c>
      <c r="H232" s="133">
        <f>IF(K231&lt;0.01,0,IF(Adm!$R$3=Adm!$R$6,0,IF(Adm!$S$10=Adm!$S$13,K231*Adm!$X$6,IF(Adm!$S$10=Adm!$S$11,K231*Adm!$X$3,IF(Adm!$S$10=Adm!$S$12,K231*Adm!$Y$3)))))</f>
        <v>0</v>
      </c>
      <c r="I232" s="133">
        <f>IF(K231&lt;0.01,0,E232*Adm!$N$7)</f>
        <v>0</v>
      </c>
      <c r="J232" s="133">
        <f t="shared" si="48"/>
        <v>0</v>
      </c>
      <c r="K232" s="133">
        <f t="shared" si="49"/>
        <v>0</v>
      </c>
      <c r="L232" s="361"/>
      <c r="V232" s="571">
        <f t="shared" si="50"/>
        <v>11</v>
      </c>
      <c r="W232" s="846">
        <f>IF(Adm!$AF$3=Adm!$AF$6,0,IF(V232=1,Adm!$AN$2,0))</f>
        <v>0</v>
      </c>
      <c r="Y232" s="338">
        <f>IF(AND($L$14=$AB$10,Adm!$AF$3=Adm!$AF$6,L231&gt;0),PMT(Cal!$F$86/12,B231,-K231),0)</f>
        <v>0</v>
      </c>
      <c r="AB232" s="650">
        <f t="shared" si="54"/>
        <v>0</v>
      </c>
      <c r="AC232" s="639">
        <f t="shared" si="55"/>
        <v>0</v>
      </c>
      <c r="AD232" s="639">
        <f>IF(AND($AD$12=1,$AB$12=2),PMT(Adm!$AH$7/12,B231,-K231),0)</f>
        <v>0</v>
      </c>
      <c r="AE232" s="639">
        <f t="shared" si="53"/>
        <v>0</v>
      </c>
      <c r="AF232" s="636">
        <f t="shared" si="51"/>
        <v>0</v>
      </c>
      <c r="AG232" s="647" t="e">
        <f>Captura!AG329</f>
        <v>#N/A</v>
      </c>
    </row>
    <row r="233" spans="1:33">
      <c r="A233" s="151">
        <f t="shared" ca="1" si="43"/>
        <v>11</v>
      </c>
      <c r="B233" s="195">
        <f t="shared" si="44"/>
        <v>0</v>
      </c>
      <c r="C233" s="199">
        <f t="shared" ref="C233:C244" si="57">IF(K232&lt;0.01,0,C232+1)</f>
        <v>0</v>
      </c>
      <c r="D233" s="333">
        <f t="shared" si="52"/>
        <v>0</v>
      </c>
      <c r="E233" s="133">
        <f t="shared" si="46"/>
        <v>0</v>
      </c>
      <c r="F233" s="133">
        <f t="shared" si="47"/>
        <v>0</v>
      </c>
      <c r="G233" s="150">
        <f t="shared" si="56"/>
        <v>0</v>
      </c>
      <c r="H233" s="133">
        <f>IF(K232&lt;0.01,0,IF(Adm!$R$3=Adm!$R$6,0,IF(Adm!$S$10=Adm!$S$13,K232*Adm!$X$6,IF(Adm!$S$10=Adm!$S$11,K232*Adm!$X$3,IF(Adm!$S$10=Adm!$S$12,K232*Adm!$Y$3)))))</f>
        <v>0</v>
      </c>
      <c r="I233" s="133">
        <f>IF(K232&lt;0.01,0,E233*Adm!$N$7)</f>
        <v>0</v>
      </c>
      <c r="J233" s="133">
        <f t="shared" si="48"/>
        <v>0</v>
      </c>
      <c r="K233" s="133">
        <f t="shared" si="49"/>
        <v>0</v>
      </c>
      <c r="L233" s="361"/>
      <c r="V233" s="571">
        <f t="shared" si="50"/>
        <v>12</v>
      </c>
      <c r="W233" s="846">
        <f>IF(Adm!$AF$3=Adm!$AF$6,0,IF(V233=1,Adm!$AN$2,0))</f>
        <v>0</v>
      </c>
      <c r="Y233" s="338">
        <f>IF(AND($L$14=$AB$10,Adm!$AF$3=Adm!$AF$6,L232&gt;0),PMT(Cal!$F$86/12,B232,-K232),0)</f>
        <v>0</v>
      </c>
      <c r="AB233" s="650">
        <f t="shared" si="54"/>
        <v>0</v>
      </c>
      <c r="AC233" s="639">
        <f t="shared" si="55"/>
        <v>0</v>
      </c>
      <c r="AD233" s="639">
        <f>IF(AND($AD$12=1,$AB$12=2),PMT(Adm!$AH$7/12,B232,-K232),0)</f>
        <v>0</v>
      </c>
      <c r="AE233" s="639">
        <f t="shared" si="53"/>
        <v>0</v>
      </c>
      <c r="AF233" s="636">
        <f t="shared" si="51"/>
        <v>0</v>
      </c>
      <c r="AG233" s="647" t="e">
        <f>Captura!AG330</f>
        <v>#N/A</v>
      </c>
    </row>
    <row r="234" spans="1:33">
      <c r="A234" s="151">
        <f t="shared" ca="1" si="43"/>
        <v>12</v>
      </c>
      <c r="B234" s="195">
        <f t="shared" si="44"/>
        <v>0</v>
      </c>
      <c r="C234" s="199">
        <f t="shared" si="57"/>
        <v>0</v>
      </c>
      <c r="D234" s="333">
        <f t="shared" si="52"/>
        <v>0</v>
      </c>
      <c r="E234" s="133">
        <f t="shared" si="46"/>
        <v>0</v>
      </c>
      <c r="F234" s="133">
        <f t="shared" si="47"/>
        <v>0</v>
      </c>
      <c r="G234" s="150">
        <f t="shared" si="56"/>
        <v>0</v>
      </c>
      <c r="H234" s="133">
        <f>IF(K233&lt;0.01,0,IF(Adm!$R$3=Adm!$R$6,0,IF(Adm!$S$10=Adm!$S$13,K233*Adm!$X$6,IF(Adm!$S$10=Adm!$S$11,K233*Adm!$X$3,IF(Adm!$S$10=Adm!$S$12,K233*Adm!$Y$3)))))</f>
        <v>0</v>
      </c>
      <c r="I234" s="133">
        <f>IF(K233&lt;0.01,0,E234*Adm!$N$7)</f>
        <v>0</v>
      </c>
      <c r="J234" s="133">
        <f t="shared" si="48"/>
        <v>0</v>
      </c>
      <c r="K234" s="133">
        <f t="shared" si="49"/>
        <v>0</v>
      </c>
      <c r="L234" s="361"/>
      <c r="V234" s="571">
        <f t="shared" si="50"/>
        <v>1</v>
      </c>
      <c r="W234" s="846">
        <f>IF(Adm!$AF$3=Adm!$AF$6,0,IF(V234=1,Adm!$AN$2,0))</f>
        <v>0</v>
      </c>
      <c r="Y234" s="338">
        <f>IF(AND($L$14=$AB$10,Adm!$AF$3=Adm!$AF$6,L233&gt;0),PMT(Cal!$F$86/12,B233,-K233),0)</f>
        <v>0</v>
      </c>
      <c r="AB234" s="650">
        <f t="shared" si="54"/>
        <v>0</v>
      </c>
      <c r="AC234" s="639">
        <f t="shared" si="55"/>
        <v>0</v>
      </c>
      <c r="AD234" s="639">
        <f>IF(AND($AD$12=1,$AB$12=2),PMT(Adm!$AH$7/12,B233,-K233),0)</f>
        <v>0</v>
      </c>
      <c r="AE234" s="639">
        <f t="shared" si="53"/>
        <v>0</v>
      </c>
      <c r="AF234" s="636">
        <f t="shared" si="51"/>
        <v>0</v>
      </c>
      <c r="AG234" s="647" t="e">
        <f>Captura!AG331</f>
        <v>#N/A</v>
      </c>
    </row>
    <row r="235" spans="1:33">
      <c r="A235" s="151">
        <f t="shared" ca="1" si="43"/>
        <v>1</v>
      </c>
      <c r="B235" s="195">
        <f t="shared" si="44"/>
        <v>0</v>
      </c>
      <c r="C235" s="199">
        <f t="shared" si="57"/>
        <v>0</v>
      </c>
      <c r="D235" s="333">
        <f t="shared" si="52"/>
        <v>0</v>
      </c>
      <c r="E235" s="133">
        <f t="shared" si="46"/>
        <v>0</v>
      </c>
      <c r="F235" s="133">
        <f t="shared" si="47"/>
        <v>0</v>
      </c>
      <c r="G235" s="150">
        <f t="shared" si="56"/>
        <v>0</v>
      </c>
      <c r="H235" s="133">
        <f>IF(K234&lt;0.01,0,IF(Adm!$R$3=Adm!$R$6,0,IF(Adm!$S$10=Adm!$S$13,K234*Adm!$X$6,IF(Adm!$S$10=Adm!$S$11,K234*Adm!$X$3,IF(Adm!$S$10=Adm!$S$12,K234*Adm!$Y$3)))))</f>
        <v>0</v>
      </c>
      <c r="I235" s="133">
        <f>IF(K234&lt;0.01,0,E235*Adm!$N$7)</f>
        <v>0</v>
      </c>
      <c r="J235" s="133">
        <f t="shared" si="48"/>
        <v>0</v>
      </c>
      <c r="K235" s="133">
        <f t="shared" si="49"/>
        <v>0</v>
      </c>
      <c r="L235" s="361"/>
      <c r="V235" s="571">
        <f t="shared" si="50"/>
        <v>2</v>
      </c>
      <c r="W235" s="846">
        <f>IF(Adm!$AF$3=Adm!$AF$6,0,IF(V235=1,Adm!$AN$2,0))</f>
        <v>0</v>
      </c>
      <c r="Y235" s="338">
        <f>IF(AND($L$14=$AB$10,Adm!$AF$3=Adm!$AF$6,L234&gt;0),PMT(Cal!$F$86/12,B234,-K234),0)</f>
        <v>0</v>
      </c>
      <c r="AB235" s="650">
        <f t="shared" si="54"/>
        <v>0</v>
      </c>
      <c r="AC235" s="639">
        <f t="shared" si="55"/>
        <v>0</v>
      </c>
      <c r="AD235" s="639">
        <f>IF(AND($AD$12=1,$AB$12=2),PMT(Adm!$AH$7/12,B234,-K234),0)</f>
        <v>0</v>
      </c>
      <c r="AE235" s="639">
        <f t="shared" si="53"/>
        <v>0</v>
      </c>
      <c r="AF235" s="636">
        <f t="shared" si="51"/>
        <v>0</v>
      </c>
      <c r="AG235" s="647" t="e">
        <f>Captura!AG332</f>
        <v>#N/A</v>
      </c>
    </row>
    <row r="236" spans="1:33">
      <c r="A236" s="151">
        <f t="shared" ca="1" si="43"/>
        <v>2</v>
      </c>
      <c r="B236" s="195">
        <f t="shared" si="44"/>
        <v>0</v>
      </c>
      <c r="C236" s="199">
        <f t="shared" si="57"/>
        <v>0</v>
      </c>
      <c r="D236" s="333">
        <f t="shared" si="52"/>
        <v>0</v>
      </c>
      <c r="E236" s="133">
        <f t="shared" si="46"/>
        <v>0</v>
      </c>
      <c r="F236" s="133">
        <f t="shared" si="47"/>
        <v>0</v>
      </c>
      <c r="G236" s="150">
        <f t="shared" si="56"/>
        <v>0</v>
      </c>
      <c r="H236" s="133">
        <f>IF(K235&lt;0.01,0,IF(Adm!$R$3=Adm!$R$6,0,IF(Adm!$S$10=Adm!$S$13,K235*Adm!$X$6,IF(Adm!$S$10=Adm!$S$11,K235*Adm!$X$3,IF(Adm!$S$10=Adm!$S$12,K235*Adm!$Y$3)))))</f>
        <v>0</v>
      </c>
      <c r="I236" s="133">
        <f>IF(K235&lt;0.01,0,E236*Adm!$N$7)</f>
        <v>0</v>
      </c>
      <c r="J236" s="133">
        <f t="shared" si="48"/>
        <v>0</v>
      </c>
      <c r="K236" s="133">
        <f t="shared" si="49"/>
        <v>0</v>
      </c>
      <c r="L236" s="361"/>
      <c r="V236" s="571">
        <f t="shared" si="50"/>
        <v>3</v>
      </c>
      <c r="W236" s="846">
        <f>IF(Adm!$AF$3=Adm!$AF$6,0,IF(V236=1,Adm!$AN$2,0))</f>
        <v>0</v>
      </c>
      <c r="Y236" s="338">
        <f>IF(AND($L$14=$AB$10,Adm!$AF$3=Adm!$AF$6,L235&gt;0),PMT(Cal!$F$86/12,B235,-K235),0)</f>
        <v>0</v>
      </c>
      <c r="AB236" s="650">
        <f t="shared" si="54"/>
        <v>0</v>
      </c>
      <c r="AC236" s="639">
        <f t="shared" si="55"/>
        <v>0</v>
      </c>
      <c r="AD236" s="639">
        <f>IF(AND($AD$12=1,$AB$12=2),PMT(Adm!$AH$7/12,B235,-K235),0)</f>
        <v>0</v>
      </c>
      <c r="AE236" s="639">
        <f t="shared" si="53"/>
        <v>0</v>
      </c>
      <c r="AF236" s="636">
        <f t="shared" si="51"/>
        <v>0</v>
      </c>
      <c r="AG236" s="647" t="e">
        <f>Captura!AG333</f>
        <v>#N/A</v>
      </c>
    </row>
    <row r="237" spans="1:33">
      <c r="A237" s="151">
        <f t="shared" ca="1" si="43"/>
        <v>3</v>
      </c>
      <c r="B237" s="195">
        <f t="shared" si="44"/>
        <v>0</v>
      </c>
      <c r="C237" s="199">
        <f t="shared" si="57"/>
        <v>0</v>
      </c>
      <c r="D237" s="333">
        <f t="shared" si="52"/>
        <v>0</v>
      </c>
      <c r="E237" s="133">
        <f t="shared" si="46"/>
        <v>0</v>
      </c>
      <c r="F237" s="133">
        <f t="shared" si="47"/>
        <v>0</v>
      </c>
      <c r="G237" s="150">
        <f t="shared" si="56"/>
        <v>0</v>
      </c>
      <c r="H237" s="133">
        <f>IF(K236&lt;0.01,0,IF(Adm!$R$3=Adm!$R$6,0,IF(Adm!$S$10=Adm!$S$13,K236*Adm!$X$6,IF(Adm!$S$10=Adm!$S$11,K236*Adm!$X$3,IF(Adm!$S$10=Adm!$S$12,K236*Adm!$Y$3)))))</f>
        <v>0</v>
      </c>
      <c r="I237" s="133">
        <f>IF(K236&lt;0.01,0,E237*Adm!$N$7)</f>
        <v>0</v>
      </c>
      <c r="J237" s="133">
        <f t="shared" si="48"/>
        <v>0</v>
      </c>
      <c r="K237" s="133">
        <f t="shared" si="49"/>
        <v>0</v>
      </c>
      <c r="L237" s="361"/>
      <c r="V237" s="571">
        <f t="shared" si="50"/>
        <v>4</v>
      </c>
      <c r="W237" s="846">
        <f>IF(Adm!$AF$3=Adm!$AF$6,0,IF(V237=1,Adm!$AN$2,0))</f>
        <v>0</v>
      </c>
      <c r="Y237" s="338">
        <f>IF(AND($L$14=$AB$10,Adm!$AF$3=Adm!$AF$6,L236&gt;0),PMT(Cal!$F$86/12,B236,-K236),0)</f>
        <v>0</v>
      </c>
      <c r="AB237" s="650">
        <f t="shared" si="54"/>
        <v>0</v>
      </c>
      <c r="AC237" s="639">
        <f t="shared" si="55"/>
        <v>0</v>
      </c>
      <c r="AD237" s="639">
        <f>IF(AND($AD$12=1,$AB$12=2),PMT(Adm!$AH$7/12,B236,-K236),0)</f>
        <v>0</v>
      </c>
      <c r="AE237" s="639">
        <f t="shared" si="53"/>
        <v>0</v>
      </c>
      <c r="AF237" s="636">
        <f t="shared" si="51"/>
        <v>0</v>
      </c>
      <c r="AG237" s="647" t="e">
        <f>Captura!AG334</f>
        <v>#N/A</v>
      </c>
    </row>
    <row r="238" spans="1:33">
      <c r="A238" s="151">
        <f t="shared" ca="1" si="43"/>
        <v>4</v>
      </c>
      <c r="B238" s="195">
        <f t="shared" si="44"/>
        <v>0</v>
      </c>
      <c r="C238" s="199">
        <f t="shared" si="57"/>
        <v>0</v>
      </c>
      <c r="D238" s="333">
        <f t="shared" si="52"/>
        <v>0</v>
      </c>
      <c r="E238" s="133">
        <f t="shared" si="46"/>
        <v>0</v>
      </c>
      <c r="F238" s="133">
        <f t="shared" si="47"/>
        <v>0</v>
      </c>
      <c r="G238" s="150">
        <f t="shared" si="56"/>
        <v>0</v>
      </c>
      <c r="H238" s="133">
        <f>IF(K237&lt;0.01,0,IF(Adm!$R$3=Adm!$R$6,0,IF(Adm!$S$10=Adm!$S$13,K237*Adm!$X$6,IF(Adm!$S$10=Adm!$S$11,K237*Adm!$X$3,IF(Adm!$S$10=Adm!$S$12,K237*Adm!$Y$3)))))</f>
        <v>0</v>
      </c>
      <c r="I238" s="133">
        <f>IF(K237&lt;0.01,0,E238*Adm!$N$7)</f>
        <v>0</v>
      </c>
      <c r="J238" s="133">
        <f t="shared" si="48"/>
        <v>0</v>
      </c>
      <c r="K238" s="133">
        <f t="shared" si="49"/>
        <v>0</v>
      </c>
      <c r="L238" s="361"/>
      <c r="V238" s="571">
        <f t="shared" si="50"/>
        <v>5</v>
      </c>
      <c r="W238" s="846">
        <f>IF(Adm!$AF$3=Adm!$AF$6,0,IF(V238=1,Adm!$AN$2,0))</f>
        <v>0</v>
      </c>
      <c r="Y238" s="338">
        <f>IF(AND($L$14=$AB$10,Adm!$AF$3=Adm!$AF$6,L237&gt;0),PMT(Cal!$F$86/12,B237,-K237),0)</f>
        <v>0</v>
      </c>
      <c r="AB238" s="650">
        <f t="shared" si="54"/>
        <v>0</v>
      </c>
      <c r="AC238" s="639">
        <f t="shared" si="55"/>
        <v>0</v>
      </c>
      <c r="AD238" s="639">
        <f>IF(AND($AD$12=1,$AB$12=2),PMT(Adm!$AH$7/12,B237,-K237),0)</f>
        <v>0</v>
      </c>
      <c r="AE238" s="639">
        <f t="shared" si="53"/>
        <v>0</v>
      </c>
      <c r="AF238" s="636">
        <f t="shared" si="51"/>
        <v>0</v>
      </c>
      <c r="AG238" s="647" t="e">
        <f>Captura!AG335</f>
        <v>#N/A</v>
      </c>
    </row>
    <row r="239" spans="1:33">
      <c r="A239" s="151">
        <f t="shared" ca="1" si="43"/>
        <v>5</v>
      </c>
      <c r="B239" s="195">
        <f t="shared" si="44"/>
        <v>0</v>
      </c>
      <c r="C239" s="199">
        <f t="shared" si="57"/>
        <v>0</v>
      </c>
      <c r="D239" s="333">
        <f t="shared" si="52"/>
        <v>0</v>
      </c>
      <c r="E239" s="133">
        <f t="shared" si="46"/>
        <v>0</v>
      </c>
      <c r="F239" s="133">
        <f t="shared" si="47"/>
        <v>0</v>
      </c>
      <c r="G239" s="150">
        <f t="shared" si="56"/>
        <v>0</v>
      </c>
      <c r="H239" s="133">
        <f>IF(K238&lt;0.01,0,IF(Adm!$R$3=Adm!$R$6,0,IF(Adm!$S$10=Adm!$S$13,K238*Adm!$X$6,IF(Adm!$S$10=Adm!$S$11,K238*Adm!$X$3,IF(Adm!$S$10=Adm!$S$12,K238*Adm!$Y$3)))))</f>
        <v>0</v>
      </c>
      <c r="I239" s="133">
        <f>IF(K238&lt;0.01,0,E239*Adm!$N$7)</f>
        <v>0</v>
      </c>
      <c r="J239" s="133">
        <f t="shared" si="48"/>
        <v>0</v>
      </c>
      <c r="K239" s="133">
        <f t="shared" si="49"/>
        <v>0</v>
      </c>
      <c r="L239" s="361"/>
      <c r="V239" s="571">
        <f t="shared" si="50"/>
        <v>6</v>
      </c>
      <c r="W239" s="846">
        <f>IF(Adm!$AF$3=Adm!$AF$6,0,IF(V239=1,Adm!$AN$2,0))</f>
        <v>0</v>
      </c>
      <c r="Y239" s="338">
        <f>IF(AND($L$14=$AB$10,Adm!$AF$3=Adm!$AF$6,L238&gt;0),PMT(Cal!$F$86/12,B238,-K238),0)</f>
        <v>0</v>
      </c>
      <c r="AB239" s="650">
        <f t="shared" si="54"/>
        <v>0</v>
      </c>
      <c r="AC239" s="639">
        <f t="shared" si="55"/>
        <v>0</v>
      </c>
      <c r="AD239" s="639">
        <f>IF(AND($AD$12=1,$AB$12=2),PMT(Adm!$AH$7/12,B238,-K238),0)</f>
        <v>0</v>
      </c>
      <c r="AE239" s="639">
        <f t="shared" si="53"/>
        <v>0</v>
      </c>
      <c r="AF239" s="636">
        <f t="shared" si="51"/>
        <v>0</v>
      </c>
      <c r="AG239" s="647" t="e">
        <f>Captura!AG336</f>
        <v>#N/A</v>
      </c>
    </row>
    <row r="240" spans="1:33">
      <c r="A240" s="151">
        <f t="shared" ca="1" si="43"/>
        <v>6</v>
      </c>
      <c r="B240" s="195">
        <f t="shared" si="44"/>
        <v>0</v>
      </c>
      <c r="C240" s="199">
        <f t="shared" si="57"/>
        <v>0</v>
      </c>
      <c r="D240" s="333">
        <f t="shared" si="52"/>
        <v>0</v>
      </c>
      <c r="E240" s="133">
        <f t="shared" si="46"/>
        <v>0</v>
      </c>
      <c r="F240" s="133">
        <f t="shared" si="47"/>
        <v>0</v>
      </c>
      <c r="G240" s="150">
        <f t="shared" si="56"/>
        <v>0</v>
      </c>
      <c r="H240" s="133">
        <f>IF(K239&lt;0.01,0,IF(Adm!$R$3=Adm!$R$6,0,IF(Adm!$S$10=Adm!$S$13,K239*Adm!$X$6,IF(Adm!$S$10=Adm!$S$11,K239*Adm!$X$3,IF(Adm!$S$10=Adm!$S$12,K239*Adm!$Y$3)))))</f>
        <v>0</v>
      </c>
      <c r="I240" s="133">
        <f>IF(K239&lt;0.01,0,E240*Adm!$N$7)</f>
        <v>0</v>
      </c>
      <c r="J240" s="133">
        <f t="shared" si="48"/>
        <v>0</v>
      </c>
      <c r="K240" s="133">
        <f t="shared" si="49"/>
        <v>0</v>
      </c>
      <c r="L240" s="361"/>
      <c r="V240" s="571">
        <f t="shared" si="50"/>
        <v>7</v>
      </c>
      <c r="W240" s="846">
        <f>IF(Adm!$AF$3=Adm!$AF$6,0,IF(V240=1,Adm!$AN$2,0))</f>
        <v>0</v>
      </c>
      <c r="Y240" s="338">
        <f>IF(AND($L$14=$AB$10,Adm!$AF$3=Adm!$AF$6,L239&gt;0),PMT(Cal!$F$86/12,B239,-K239),0)</f>
        <v>0</v>
      </c>
      <c r="AB240" s="650">
        <f t="shared" si="54"/>
        <v>0</v>
      </c>
      <c r="AC240" s="639">
        <f t="shared" si="55"/>
        <v>0</v>
      </c>
      <c r="AD240" s="639">
        <f>IF(AND($AD$12=1,$AB$12=2),PMT(Adm!$AH$7/12,B239,-K239),0)</f>
        <v>0</v>
      </c>
      <c r="AE240" s="639">
        <f t="shared" si="53"/>
        <v>0</v>
      </c>
      <c r="AF240" s="636">
        <f t="shared" si="51"/>
        <v>0</v>
      </c>
      <c r="AG240" s="647" t="e">
        <f>Captura!AG337</f>
        <v>#N/A</v>
      </c>
    </row>
    <row r="241" spans="1:33">
      <c r="A241" s="151">
        <f t="shared" ca="1" si="43"/>
        <v>7</v>
      </c>
      <c r="B241" s="195">
        <f t="shared" si="44"/>
        <v>0</v>
      </c>
      <c r="C241" s="199">
        <f t="shared" si="57"/>
        <v>0</v>
      </c>
      <c r="D241" s="333">
        <f t="shared" si="52"/>
        <v>0</v>
      </c>
      <c r="E241" s="133">
        <f t="shared" si="46"/>
        <v>0</v>
      </c>
      <c r="F241" s="133">
        <f t="shared" si="47"/>
        <v>0</v>
      </c>
      <c r="G241" s="150">
        <f t="shared" si="56"/>
        <v>0</v>
      </c>
      <c r="H241" s="133">
        <f>IF(K240&lt;0.01,0,IF(Adm!$R$3=Adm!$R$6,0,IF(Adm!$S$10=Adm!$S$13,K240*Adm!$X$6,IF(Adm!$S$10=Adm!$S$11,K240*Adm!$X$3,IF(Adm!$S$10=Adm!$S$12,K240*Adm!$Y$3)))))</f>
        <v>0</v>
      </c>
      <c r="I241" s="133">
        <f>IF(K240&lt;0.01,0,E241*Adm!$N$7)</f>
        <v>0</v>
      </c>
      <c r="J241" s="133">
        <f t="shared" si="48"/>
        <v>0</v>
      </c>
      <c r="K241" s="133">
        <f t="shared" si="49"/>
        <v>0</v>
      </c>
      <c r="L241" s="361"/>
      <c r="V241" s="571">
        <f t="shared" si="50"/>
        <v>8</v>
      </c>
      <c r="W241" s="846">
        <f>IF(Adm!$AF$3=Adm!$AF$6,0,IF(V241=1,Adm!$AN$2,0))</f>
        <v>0</v>
      </c>
      <c r="Y241" s="338">
        <f>IF(AND($L$14=$AB$10,Adm!$AF$3=Adm!$AF$6,L240&gt;0),PMT(Cal!$F$86/12,B240,-K240),0)</f>
        <v>0</v>
      </c>
      <c r="AB241" s="650">
        <f t="shared" si="54"/>
        <v>0</v>
      </c>
      <c r="AC241" s="639">
        <f t="shared" si="55"/>
        <v>0</v>
      </c>
      <c r="AD241" s="639">
        <f>IF(AND($AD$12=1,$AB$12=2),PMT(Adm!$AH$7/12,B240,-K240),0)</f>
        <v>0</v>
      </c>
      <c r="AE241" s="639">
        <f t="shared" si="53"/>
        <v>0</v>
      </c>
      <c r="AF241" s="636">
        <f t="shared" si="51"/>
        <v>0</v>
      </c>
      <c r="AG241" s="647" t="e">
        <f>Captura!AG338</f>
        <v>#N/A</v>
      </c>
    </row>
    <row r="242" spans="1:33">
      <c r="A242" s="151">
        <f t="shared" ca="1" si="43"/>
        <v>8</v>
      </c>
      <c r="B242" s="195">
        <f t="shared" si="44"/>
        <v>0</v>
      </c>
      <c r="C242" s="199">
        <f t="shared" si="57"/>
        <v>0</v>
      </c>
      <c r="D242" s="333">
        <f t="shared" si="52"/>
        <v>0</v>
      </c>
      <c r="E242" s="133">
        <f t="shared" si="46"/>
        <v>0</v>
      </c>
      <c r="F242" s="133">
        <f t="shared" si="47"/>
        <v>0</v>
      </c>
      <c r="G242" s="150">
        <f t="shared" si="56"/>
        <v>0</v>
      </c>
      <c r="H242" s="133">
        <f>IF(K241&lt;0.01,0,IF(Adm!$R$3=Adm!$R$6,0,IF(Adm!$S$10=Adm!$S$13,K241*Adm!$X$6,IF(Adm!$S$10=Adm!$S$11,K241*Adm!$X$3,IF(Adm!$S$10=Adm!$S$12,K241*Adm!$Y$3)))))</f>
        <v>0</v>
      </c>
      <c r="I242" s="133">
        <f>IF(K241&lt;0.01,0,E242*Adm!$N$7)</f>
        <v>0</v>
      </c>
      <c r="J242" s="133">
        <f t="shared" si="48"/>
        <v>0</v>
      </c>
      <c r="K242" s="133">
        <f t="shared" si="49"/>
        <v>0</v>
      </c>
      <c r="L242" s="361"/>
      <c r="V242" s="571">
        <f t="shared" si="50"/>
        <v>9</v>
      </c>
      <c r="W242" s="846">
        <f>IF(Adm!$AF$3=Adm!$AF$6,0,IF(V242=1,Adm!$AN$2,0))</f>
        <v>0</v>
      </c>
      <c r="Y242" s="338">
        <f>IF(AND($L$14=$AB$10,Adm!$AF$3=Adm!$AF$6,L241&gt;0),PMT(Cal!$F$86/12,B241,-K241),0)</f>
        <v>0</v>
      </c>
      <c r="AB242" s="650">
        <f t="shared" si="54"/>
        <v>0</v>
      </c>
      <c r="AC242" s="639">
        <f t="shared" si="55"/>
        <v>0</v>
      </c>
      <c r="AD242" s="639">
        <f>IF(AND($AD$12=1,$AB$12=2),PMT(Adm!$AH$7/12,B241,-K241),0)</f>
        <v>0</v>
      </c>
      <c r="AE242" s="639">
        <f t="shared" si="53"/>
        <v>0</v>
      </c>
      <c r="AF242" s="636">
        <f t="shared" si="51"/>
        <v>0</v>
      </c>
      <c r="AG242" s="647" t="e">
        <f>Captura!AG339</f>
        <v>#N/A</v>
      </c>
    </row>
    <row r="243" spans="1:33">
      <c r="A243" s="151">
        <f t="shared" ca="1" si="43"/>
        <v>9</v>
      </c>
      <c r="B243" s="195">
        <f t="shared" si="44"/>
        <v>0</v>
      </c>
      <c r="C243" s="199">
        <f t="shared" si="57"/>
        <v>0</v>
      </c>
      <c r="D243" s="333">
        <f t="shared" si="52"/>
        <v>0</v>
      </c>
      <c r="E243" s="133">
        <f t="shared" si="46"/>
        <v>0</v>
      </c>
      <c r="F243" s="133">
        <f t="shared" si="47"/>
        <v>0</v>
      </c>
      <c r="G243" s="150">
        <f t="shared" si="56"/>
        <v>0</v>
      </c>
      <c r="H243" s="133">
        <f>IF(K242&lt;0.01,0,IF(Adm!$R$3=Adm!$R$6,0,IF(Adm!$S$10=Adm!$S$13,K242*Adm!$X$6,IF(Adm!$S$10=Adm!$S$11,K242*Adm!$X$3,IF(Adm!$S$10=Adm!$S$12,K242*Adm!$Y$3)))))</f>
        <v>0</v>
      </c>
      <c r="I243" s="133">
        <f>IF(K242&lt;0.01,0,E243*Adm!$N$7)</f>
        <v>0</v>
      </c>
      <c r="J243" s="133">
        <f t="shared" si="48"/>
        <v>0</v>
      </c>
      <c r="K243" s="133">
        <f t="shared" si="49"/>
        <v>0</v>
      </c>
      <c r="L243" s="361"/>
      <c r="V243" s="571">
        <f t="shared" si="50"/>
        <v>10</v>
      </c>
      <c r="W243" s="846">
        <f>IF(Adm!$AF$3=Adm!$AF$6,0,IF(V243=1,Adm!$AN$2,0))</f>
        <v>0</v>
      </c>
      <c r="Y243" s="338">
        <f>IF(AND($L$14=$AB$10,Adm!$AF$3=Adm!$AF$6,L242&gt;0),PMT(Cal!$F$86/12,B242,-K242),0)</f>
        <v>0</v>
      </c>
      <c r="AB243" s="650">
        <f t="shared" si="54"/>
        <v>0</v>
      </c>
      <c r="AC243" s="639">
        <f t="shared" si="55"/>
        <v>0</v>
      </c>
      <c r="AD243" s="639">
        <f>IF(AND($AD$12=1,$AB$12=2),PMT(Adm!$AH$7/12,B242,-K242),0)</f>
        <v>0</v>
      </c>
      <c r="AE243" s="639">
        <f t="shared" si="53"/>
        <v>0</v>
      </c>
      <c r="AF243" s="636">
        <f t="shared" si="51"/>
        <v>0</v>
      </c>
      <c r="AG243" s="647" t="e">
        <f>Captura!AG340</f>
        <v>#N/A</v>
      </c>
    </row>
    <row r="244" spans="1:33">
      <c r="A244" s="151">
        <f t="shared" ca="1" si="43"/>
        <v>10</v>
      </c>
      <c r="B244" s="195">
        <f t="shared" si="44"/>
        <v>0</v>
      </c>
      <c r="C244" s="199">
        <f t="shared" si="57"/>
        <v>0</v>
      </c>
      <c r="D244" s="333">
        <f t="shared" si="52"/>
        <v>0</v>
      </c>
      <c r="E244" s="133">
        <f t="shared" si="46"/>
        <v>0</v>
      </c>
      <c r="F244" s="133">
        <f t="shared" si="47"/>
        <v>0</v>
      </c>
      <c r="G244" s="150">
        <f t="shared" si="56"/>
        <v>0</v>
      </c>
      <c r="H244" s="133">
        <f>IF(K243&lt;0.01,0,IF(Adm!$R$3=Adm!$R$6,0,IF(Adm!$S$10=Adm!$S$13,K243*Adm!$X$6,IF(Adm!$S$10=Adm!$S$11,K243*Adm!$X$3,IF(Adm!$S$10=Adm!$S$12,K243*Adm!$Y$3)))))</f>
        <v>0</v>
      </c>
      <c r="I244" s="133">
        <f>IF(K243&lt;0.01,0,E244*Adm!$N$7)</f>
        <v>0</v>
      </c>
      <c r="J244" s="133">
        <f t="shared" si="48"/>
        <v>0</v>
      </c>
      <c r="K244" s="133">
        <f t="shared" si="49"/>
        <v>0</v>
      </c>
      <c r="L244" s="361"/>
      <c r="V244" s="571">
        <f t="shared" si="50"/>
        <v>11</v>
      </c>
      <c r="W244" s="846">
        <f>IF(Adm!$AF$3=Adm!$AF$6,0,IF(V244=1,Adm!$AN$2,0))</f>
        <v>0</v>
      </c>
      <c r="Y244" s="338">
        <f>IF(AND($L$14=$AB$10,Adm!$AF$3=Adm!$AF$6,L243&gt;0),PMT(Cal!$F$86/12,B243,-K243),0)</f>
        <v>0</v>
      </c>
      <c r="AB244" s="650">
        <f t="shared" si="54"/>
        <v>0</v>
      </c>
      <c r="AC244" s="639">
        <f t="shared" si="55"/>
        <v>0</v>
      </c>
      <c r="AD244" s="639">
        <f>IF(AND($AD$12=1,$AB$12=2),PMT(Adm!$AH$7/12,B243,-K243),0)</f>
        <v>0</v>
      </c>
      <c r="AE244" s="639">
        <f t="shared" si="53"/>
        <v>0</v>
      </c>
      <c r="AF244" s="636">
        <f t="shared" si="51"/>
        <v>0</v>
      </c>
      <c r="AG244" s="647" t="e">
        <f>Captura!AG341</f>
        <v>#N/A</v>
      </c>
    </row>
    <row r="245" spans="1:33">
      <c r="A245" s="151">
        <f t="shared" ca="1" si="43"/>
        <v>11</v>
      </c>
      <c r="B245" s="195">
        <f t="shared" si="44"/>
        <v>0</v>
      </c>
      <c r="C245" s="199">
        <f>IF(K244&lt;0.01,0,C244+1)</f>
        <v>0</v>
      </c>
      <c r="D245" s="333">
        <f t="shared" si="52"/>
        <v>0</v>
      </c>
      <c r="E245" s="133">
        <f t="shared" si="46"/>
        <v>0</v>
      </c>
      <c r="F245" s="133">
        <f t="shared" si="47"/>
        <v>0</v>
      </c>
      <c r="G245" s="150">
        <f t="shared" si="56"/>
        <v>0</v>
      </c>
      <c r="H245" s="133">
        <f>IF(K244&lt;0.01,0,IF(Adm!$R$3=Adm!$R$6,0,IF(Adm!$S$10=Adm!$S$13,K244*Adm!$X$6,IF(Adm!$S$10=Adm!$S$11,K244*Adm!$X$3,IF(Adm!$S$10=Adm!$S$12,K244*Adm!$Y$3)))))</f>
        <v>0</v>
      </c>
      <c r="I245" s="133">
        <f>IF(K244&lt;0.01,0,E245*Adm!$N$7)</f>
        <v>0</v>
      </c>
      <c r="J245" s="133">
        <f t="shared" si="48"/>
        <v>0</v>
      </c>
      <c r="K245" s="133">
        <f t="shared" si="49"/>
        <v>0</v>
      </c>
      <c r="L245" s="361"/>
      <c r="V245" s="571">
        <f t="shared" si="50"/>
        <v>12</v>
      </c>
      <c r="W245" s="846">
        <f>IF(Adm!$AF$3=Adm!$AF$6,0,IF(V245=1,Adm!$AN$2,0))</f>
        <v>0</v>
      </c>
      <c r="Y245" s="338">
        <f>IF(AND($L$14=$AB$10,Adm!$AF$3=Adm!$AF$6,L244&gt;0),PMT(Cal!$F$86/12,B244,-K244),0)</f>
        <v>0</v>
      </c>
      <c r="AB245" s="650">
        <f t="shared" si="54"/>
        <v>0</v>
      </c>
      <c r="AC245" s="639">
        <f t="shared" si="55"/>
        <v>0</v>
      </c>
      <c r="AD245" s="639">
        <f>IF(AND($AD$12=1,$AB$12=2),PMT(Adm!$AH$7/12,B244,-K244),0)</f>
        <v>0</v>
      </c>
      <c r="AE245" s="639">
        <f t="shared" si="53"/>
        <v>0</v>
      </c>
      <c r="AF245" s="636">
        <f t="shared" si="51"/>
        <v>0</v>
      </c>
      <c r="AG245" s="647" t="e">
        <f>Captura!AG342</f>
        <v>#N/A</v>
      </c>
    </row>
    <row r="246" spans="1:33">
      <c r="A246" s="151">
        <f t="shared" ca="1" si="43"/>
        <v>12</v>
      </c>
      <c r="B246" s="195">
        <f t="shared" si="44"/>
        <v>0</v>
      </c>
      <c r="C246" s="199">
        <f t="shared" ref="C246:C252" si="58">IF(K245&lt;0.01,0,C245+1)</f>
        <v>0</v>
      </c>
      <c r="D246" s="333">
        <f t="shared" si="52"/>
        <v>0</v>
      </c>
      <c r="E246" s="133">
        <f t="shared" si="46"/>
        <v>0</v>
      </c>
      <c r="F246" s="133">
        <f t="shared" si="47"/>
        <v>0</v>
      </c>
      <c r="G246" s="150">
        <f t="shared" si="56"/>
        <v>0</v>
      </c>
      <c r="H246" s="133">
        <f>IF(K245&lt;0.01,0,IF(Adm!$R$3=Adm!$R$6,0,IF(Adm!$S$10=Adm!$S$13,K245*Adm!$X$6,IF(Adm!$S$10=Adm!$S$11,K245*Adm!$X$3,IF(Adm!$S$10=Adm!$S$12,K245*Adm!$Y$3)))))</f>
        <v>0</v>
      </c>
      <c r="I246" s="133">
        <f>IF(K245&lt;0.01,0,E246*Adm!$N$7)</f>
        <v>0</v>
      </c>
      <c r="J246" s="133">
        <f t="shared" si="48"/>
        <v>0</v>
      </c>
      <c r="K246" s="133">
        <f t="shared" si="49"/>
        <v>0</v>
      </c>
      <c r="L246" s="361"/>
      <c r="V246" s="571">
        <f t="shared" si="50"/>
        <v>1</v>
      </c>
      <c r="W246" s="846">
        <f>IF(Adm!$AF$3=Adm!$AF$6,0,IF(V246=1,Adm!$AN$2,0))</f>
        <v>0</v>
      </c>
      <c r="Y246" s="338">
        <f>IF(AND($L$14=$AB$10,Adm!$AF$3=Adm!$AF$6,L245&gt;0),PMT(Cal!$F$86/12,B245,-K245),0)</f>
        <v>0</v>
      </c>
      <c r="AB246" s="650">
        <f t="shared" si="54"/>
        <v>0</v>
      </c>
      <c r="AC246" s="639">
        <f t="shared" si="55"/>
        <v>0</v>
      </c>
      <c r="AD246" s="639">
        <f>IF(AND($AD$12=1,$AB$12=2),PMT(Adm!$AH$7/12,B245,-K245),0)</f>
        <v>0</v>
      </c>
      <c r="AE246" s="639">
        <f t="shared" si="53"/>
        <v>0</v>
      </c>
      <c r="AF246" s="636">
        <f t="shared" si="51"/>
        <v>0</v>
      </c>
      <c r="AG246" s="647" t="e">
        <f>Captura!AG343</f>
        <v>#N/A</v>
      </c>
    </row>
    <row r="247" spans="1:33">
      <c r="A247" s="151">
        <f t="shared" ca="1" si="43"/>
        <v>1</v>
      </c>
      <c r="B247" s="195">
        <f t="shared" si="44"/>
        <v>0</v>
      </c>
      <c r="C247" s="199">
        <f t="shared" si="58"/>
        <v>0</v>
      </c>
      <c r="D247" s="333">
        <f t="shared" si="52"/>
        <v>0</v>
      </c>
      <c r="E247" s="133">
        <f t="shared" si="46"/>
        <v>0</v>
      </c>
      <c r="F247" s="133">
        <f t="shared" si="47"/>
        <v>0</v>
      </c>
      <c r="G247" s="150">
        <f t="shared" si="56"/>
        <v>0</v>
      </c>
      <c r="H247" s="133">
        <f>IF(K246&lt;0.01,0,IF(Adm!$R$3=Adm!$R$6,0,IF(Adm!$S$10=Adm!$S$13,K246*Adm!$X$6,IF(Adm!$S$10=Adm!$S$11,K246*Adm!$X$3,IF(Adm!$S$10=Adm!$S$12,K246*Adm!$Y$3)))))</f>
        <v>0</v>
      </c>
      <c r="I247" s="133">
        <f>IF(K246&lt;0.01,0,E247*Adm!$N$7)</f>
        <v>0</v>
      </c>
      <c r="J247" s="133">
        <f t="shared" si="48"/>
        <v>0</v>
      </c>
      <c r="K247" s="133">
        <f t="shared" si="49"/>
        <v>0</v>
      </c>
      <c r="L247" s="361"/>
      <c r="V247" s="571">
        <f t="shared" si="50"/>
        <v>2</v>
      </c>
      <c r="W247" s="846">
        <f>IF(Adm!$AF$3=Adm!$AF$6,0,IF(V247=1,Adm!$AN$2,0))</f>
        <v>0</v>
      </c>
      <c r="Y247" s="338">
        <f>IF(AND($L$14=$AB$10,Adm!$AF$3=Adm!$AF$6,L246&gt;0),PMT(Cal!$F$86/12,B246,-K246),0)</f>
        <v>0</v>
      </c>
      <c r="AB247" s="650">
        <f t="shared" si="54"/>
        <v>0</v>
      </c>
      <c r="AC247" s="639">
        <f t="shared" si="55"/>
        <v>0</v>
      </c>
      <c r="AD247" s="639">
        <f>IF(AND($AD$12=1,$AB$12=2),PMT(Adm!$AH$7/12,B246,-K246),0)</f>
        <v>0</v>
      </c>
      <c r="AE247" s="639">
        <f t="shared" si="53"/>
        <v>0</v>
      </c>
      <c r="AF247" s="636">
        <f t="shared" si="51"/>
        <v>0</v>
      </c>
      <c r="AG247" s="647" t="e">
        <f>Captura!AG344</f>
        <v>#N/A</v>
      </c>
    </row>
    <row r="248" spans="1:33">
      <c r="A248" s="151">
        <f t="shared" ca="1" si="43"/>
        <v>2</v>
      </c>
      <c r="B248" s="195">
        <f t="shared" si="44"/>
        <v>0</v>
      </c>
      <c r="C248" s="199">
        <f t="shared" si="58"/>
        <v>0</v>
      </c>
      <c r="D248" s="333">
        <f t="shared" si="52"/>
        <v>0</v>
      </c>
      <c r="E248" s="133">
        <f t="shared" si="46"/>
        <v>0</v>
      </c>
      <c r="F248" s="133">
        <f t="shared" si="47"/>
        <v>0</v>
      </c>
      <c r="G248" s="150">
        <f t="shared" si="56"/>
        <v>0</v>
      </c>
      <c r="H248" s="133">
        <f>IF(K247&lt;0.01,0,IF(Adm!$R$3=Adm!$R$6,0,IF(Adm!$S$10=Adm!$S$13,K247*Adm!$X$6,IF(Adm!$S$10=Adm!$S$11,K247*Adm!$X$3,IF(Adm!$S$10=Adm!$S$12,K247*Adm!$Y$3)))))</f>
        <v>0</v>
      </c>
      <c r="I248" s="133">
        <f>IF(K247&lt;0.01,0,E248*Adm!$N$7)</f>
        <v>0</v>
      </c>
      <c r="J248" s="133">
        <f t="shared" si="48"/>
        <v>0</v>
      </c>
      <c r="K248" s="133">
        <f t="shared" si="49"/>
        <v>0</v>
      </c>
      <c r="L248" s="361"/>
      <c r="V248" s="571">
        <f t="shared" si="50"/>
        <v>3</v>
      </c>
      <c r="W248" s="846">
        <f>IF(Adm!$AF$3=Adm!$AF$6,0,IF(V248=1,Adm!$AN$2,0))</f>
        <v>0</v>
      </c>
      <c r="Y248" s="338">
        <f>IF(AND($L$14=$AB$10,Adm!$AF$3=Adm!$AF$6,L247&gt;0),PMT(Cal!$F$86/12,B247,-K247),0)</f>
        <v>0</v>
      </c>
      <c r="AB248" s="650">
        <f t="shared" si="54"/>
        <v>0</v>
      </c>
      <c r="AC248" s="639">
        <f t="shared" si="55"/>
        <v>0</v>
      </c>
      <c r="AD248" s="639">
        <f>IF(AND($AD$12=1,$AB$12=2),PMT(Adm!$AH$7/12,B247,-K247),0)</f>
        <v>0</v>
      </c>
      <c r="AE248" s="639">
        <f t="shared" si="53"/>
        <v>0</v>
      </c>
      <c r="AF248" s="636">
        <f t="shared" si="51"/>
        <v>0</v>
      </c>
      <c r="AG248" s="647" t="e">
        <f>Captura!AG345</f>
        <v>#N/A</v>
      </c>
    </row>
    <row r="249" spans="1:33">
      <c r="A249" s="151">
        <f t="shared" ca="1" si="43"/>
        <v>3</v>
      </c>
      <c r="B249" s="195">
        <f t="shared" si="44"/>
        <v>0</v>
      </c>
      <c r="C249" s="199">
        <f t="shared" si="58"/>
        <v>0</v>
      </c>
      <c r="D249" s="333">
        <f t="shared" si="52"/>
        <v>0</v>
      </c>
      <c r="E249" s="133">
        <f t="shared" si="46"/>
        <v>0</v>
      </c>
      <c r="F249" s="133">
        <f t="shared" si="47"/>
        <v>0</v>
      </c>
      <c r="G249" s="150">
        <f t="shared" si="56"/>
        <v>0</v>
      </c>
      <c r="H249" s="133">
        <f>IF(K248&lt;0.01,0,IF(Adm!$R$3=Adm!$R$6,0,IF(Adm!$S$10=Adm!$S$13,K248*Adm!$X$6,IF(Adm!$S$10=Adm!$S$11,K248*Adm!$X$3,IF(Adm!$S$10=Adm!$S$12,K248*Adm!$Y$3)))))</f>
        <v>0</v>
      </c>
      <c r="I249" s="133">
        <f>IF(K248&lt;0.01,0,E249*Adm!$N$7)</f>
        <v>0</v>
      </c>
      <c r="J249" s="133">
        <f t="shared" si="48"/>
        <v>0</v>
      </c>
      <c r="K249" s="133">
        <f t="shared" si="49"/>
        <v>0</v>
      </c>
      <c r="L249" s="361"/>
      <c r="V249" s="571">
        <f t="shared" si="50"/>
        <v>4</v>
      </c>
      <c r="W249" s="846">
        <f>IF(Adm!$AF$3=Adm!$AF$6,0,IF(V249=1,Adm!$AN$2,0))</f>
        <v>0</v>
      </c>
      <c r="Y249" s="338">
        <f>IF(AND($L$14=$AB$10,Adm!$AF$3=Adm!$AF$6,L248&gt;0),PMT(Cal!$F$86/12,B248,-K248),0)</f>
        <v>0</v>
      </c>
      <c r="AB249" s="650">
        <f t="shared" si="54"/>
        <v>0</v>
      </c>
      <c r="AC249" s="639">
        <f t="shared" si="55"/>
        <v>0</v>
      </c>
      <c r="AD249" s="639">
        <f>IF(AND($AD$12=1,$AB$12=2),PMT(Adm!$AH$7/12,B248,-K248),0)</f>
        <v>0</v>
      </c>
      <c r="AE249" s="639">
        <f t="shared" si="53"/>
        <v>0</v>
      </c>
      <c r="AF249" s="636">
        <f t="shared" si="51"/>
        <v>0</v>
      </c>
      <c r="AG249" s="647" t="e">
        <f>Captura!AG346</f>
        <v>#N/A</v>
      </c>
    </row>
    <row r="250" spans="1:33">
      <c r="A250" s="151">
        <f t="shared" ca="1" si="43"/>
        <v>4</v>
      </c>
      <c r="B250" s="195">
        <f t="shared" si="44"/>
        <v>0</v>
      </c>
      <c r="C250" s="199">
        <f t="shared" si="58"/>
        <v>0</v>
      </c>
      <c r="D250" s="333">
        <f t="shared" si="52"/>
        <v>0</v>
      </c>
      <c r="E250" s="133">
        <f t="shared" si="46"/>
        <v>0</v>
      </c>
      <c r="F250" s="133">
        <f t="shared" si="47"/>
        <v>0</v>
      </c>
      <c r="G250" s="150">
        <f t="shared" si="56"/>
        <v>0</v>
      </c>
      <c r="H250" s="133">
        <f>IF(K249&lt;0.01,0,IF(Adm!$R$3=Adm!$R$6,0,IF(Adm!$S$10=Adm!$S$13,K249*Adm!$X$6,IF(Adm!$S$10=Adm!$S$11,K249*Adm!$X$3,IF(Adm!$S$10=Adm!$S$12,K249*Adm!$Y$3)))))</f>
        <v>0</v>
      </c>
      <c r="I250" s="133">
        <f>IF(K249&lt;0.01,0,E250*Adm!$N$7)</f>
        <v>0</v>
      </c>
      <c r="J250" s="133">
        <f t="shared" si="48"/>
        <v>0</v>
      </c>
      <c r="K250" s="133">
        <f t="shared" si="49"/>
        <v>0</v>
      </c>
      <c r="L250" s="361"/>
      <c r="V250" s="571">
        <f t="shared" si="50"/>
        <v>5</v>
      </c>
      <c r="W250" s="846">
        <f>IF(Adm!$AF$3=Adm!$AF$6,0,IF(V250=1,Adm!$AN$2,0))</f>
        <v>0</v>
      </c>
      <c r="Y250" s="338">
        <f>IF(AND($L$14=$AB$10,Adm!$AF$3=Adm!$AF$6,L249&gt;0),PMT(Cal!$F$86/12,B249,-K249),0)</f>
        <v>0</v>
      </c>
      <c r="AB250" s="650">
        <f t="shared" si="54"/>
        <v>0</v>
      </c>
      <c r="AC250" s="639">
        <f t="shared" si="55"/>
        <v>0</v>
      </c>
      <c r="AD250" s="639">
        <f>IF(AND($AD$12=1,$AB$12=2),PMT(Adm!$AH$7/12,B249,-K249),0)</f>
        <v>0</v>
      </c>
      <c r="AE250" s="639">
        <f t="shared" si="53"/>
        <v>0</v>
      </c>
      <c r="AF250" s="636">
        <f t="shared" si="51"/>
        <v>0</v>
      </c>
      <c r="AG250" s="647" t="e">
        <f>Captura!AG347</f>
        <v>#N/A</v>
      </c>
    </row>
    <row r="251" spans="1:33">
      <c r="A251" s="151">
        <f t="shared" ca="1" si="43"/>
        <v>5</v>
      </c>
      <c r="B251" s="195">
        <f t="shared" si="44"/>
        <v>0</v>
      </c>
      <c r="C251" s="199">
        <f t="shared" si="58"/>
        <v>0</v>
      </c>
      <c r="D251" s="333">
        <f t="shared" si="52"/>
        <v>0</v>
      </c>
      <c r="E251" s="133">
        <f t="shared" si="46"/>
        <v>0</v>
      </c>
      <c r="F251" s="133">
        <f t="shared" si="47"/>
        <v>0</v>
      </c>
      <c r="G251" s="150">
        <f t="shared" si="56"/>
        <v>0</v>
      </c>
      <c r="H251" s="133">
        <f>IF(K250&lt;0.01,0,IF(Adm!$R$3=Adm!$R$6,0,IF(Adm!$S$10=Adm!$S$13,K250*Adm!$X$6,IF(Adm!$S$10=Adm!$S$11,K250*Adm!$X$3,IF(Adm!$S$10=Adm!$S$12,K250*Adm!$Y$3)))))</f>
        <v>0</v>
      </c>
      <c r="I251" s="133">
        <f>IF(K250&lt;0.01,0,E251*Adm!$N$7)</f>
        <v>0</v>
      </c>
      <c r="J251" s="133">
        <f t="shared" si="48"/>
        <v>0</v>
      </c>
      <c r="K251" s="133">
        <f t="shared" si="49"/>
        <v>0</v>
      </c>
      <c r="L251" s="361"/>
      <c r="V251" s="571">
        <f t="shared" si="50"/>
        <v>6</v>
      </c>
      <c r="W251" s="846">
        <f>IF(Adm!$AF$3=Adm!$AF$6,0,IF(V251=1,Adm!$AN$2,0))</f>
        <v>0</v>
      </c>
      <c r="Y251" s="338">
        <f>IF(AND($L$14=$AB$10,Adm!$AF$3=Adm!$AF$6,L250&gt;0),PMT(Cal!$F$86/12,B250,-K250),0)</f>
        <v>0</v>
      </c>
      <c r="AB251" s="650">
        <f t="shared" si="54"/>
        <v>0</v>
      </c>
      <c r="AC251" s="639">
        <f t="shared" si="55"/>
        <v>0</v>
      </c>
      <c r="AD251" s="639">
        <f>IF(AND($AD$12=1,$AB$12=2),PMT(Adm!$AH$7/12,B250,-K250),0)</f>
        <v>0</v>
      </c>
      <c r="AE251" s="639">
        <f t="shared" si="53"/>
        <v>0</v>
      </c>
      <c r="AF251" s="636">
        <f t="shared" si="51"/>
        <v>0</v>
      </c>
      <c r="AG251" s="647" t="e">
        <f>Captura!AG348</f>
        <v>#N/A</v>
      </c>
    </row>
    <row r="252" spans="1:33">
      <c r="A252" s="151">
        <f t="shared" ca="1" si="43"/>
        <v>6</v>
      </c>
      <c r="B252" s="195">
        <f t="shared" si="44"/>
        <v>0</v>
      </c>
      <c r="C252" s="199">
        <f t="shared" si="58"/>
        <v>0</v>
      </c>
      <c r="D252" s="333">
        <f t="shared" si="52"/>
        <v>0</v>
      </c>
      <c r="E252" s="133">
        <f t="shared" si="46"/>
        <v>0</v>
      </c>
      <c r="F252" s="133">
        <f t="shared" si="47"/>
        <v>0</v>
      </c>
      <c r="G252" s="150">
        <f t="shared" si="56"/>
        <v>0</v>
      </c>
      <c r="H252" s="133">
        <f>IF(K251&lt;0.01,0,IF(Adm!$R$3=Adm!$R$6,0,IF(Adm!$S$10=Adm!$S$13,K251*Adm!$X$6,IF(Adm!$S$10=Adm!$S$11,K251*Adm!$X$3,IF(Adm!$S$10=Adm!$S$12,K251*Adm!$Y$3)))))</f>
        <v>0</v>
      </c>
      <c r="I252" s="133">
        <f>IF(K251&lt;0.01,0,E252*Adm!$N$7)</f>
        <v>0</v>
      </c>
      <c r="J252" s="133">
        <f t="shared" si="48"/>
        <v>0</v>
      </c>
      <c r="K252" s="133">
        <f t="shared" si="49"/>
        <v>0</v>
      </c>
      <c r="L252" s="361"/>
      <c r="V252" s="571">
        <f t="shared" si="50"/>
        <v>7</v>
      </c>
      <c r="W252" s="846">
        <f>IF(Adm!$AF$3=Adm!$AF$6,0,IF(V252=1,Adm!$AN$2,0))</f>
        <v>0</v>
      </c>
      <c r="Y252" s="338">
        <f>IF(AND($L$14=$AB$10,Adm!$AF$3=Adm!$AF$6,L251&gt;0),PMT(Cal!$F$86/12,B251,-K251),0)</f>
        <v>0</v>
      </c>
      <c r="AB252" s="650">
        <f t="shared" si="54"/>
        <v>0</v>
      </c>
      <c r="AC252" s="639">
        <f t="shared" si="55"/>
        <v>0</v>
      </c>
      <c r="AD252" s="639">
        <f>IF(AND($AD$12=1,$AB$12=2),PMT(Adm!$AH$7/12,B251,-K251),0)</f>
        <v>0</v>
      </c>
      <c r="AE252" s="639">
        <f t="shared" si="53"/>
        <v>0</v>
      </c>
      <c r="AF252" s="636">
        <f t="shared" si="51"/>
        <v>0</v>
      </c>
      <c r="AG252" s="647" t="e">
        <f>Captura!AG349</f>
        <v>#N/A</v>
      </c>
    </row>
    <row r="253" spans="1:33">
      <c r="A253" s="151">
        <f t="shared" ca="1" si="43"/>
        <v>7</v>
      </c>
      <c r="B253" s="195">
        <f t="shared" si="44"/>
        <v>0</v>
      </c>
      <c r="C253" s="199">
        <f>IF(K252&lt;0.01,0,C252+1)</f>
        <v>0</v>
      </c>
      <c r="D253" s="333">
        <f t="shared" si="52"/>
        <v>0</v>
      </c>
      <c r="E253" s="133">
        <f t="shared" si="46"/>
        <v>0</v>
      </c>
      <c r="F253" s="133">
        <f t="shared" si="47"/>
        <v>0</v>
      </c>
      <c r="G253" s="150">
        <f t="shared" si="56"/>
        <v>0</v>
      </c>
      <c r="H253" s="133">
        <f>IF(K252&lt;0.01,0,IF(Adm!$R$3=Adm!$R$6,0,IF(Adm!$S$10=Adm!$S$13,K252*Adm!$X$6,IF(Adm!$S$10=Adm!$S$11,K252*Adm!$X$3,IF(Adm!$S$10=Adm!$S$12,K252*Adm!$Y$3)))))</f>
        <v>0</v>
      </c>
      <c r="I253" s="133">
        <f>IF(K252&lt;0.01,0,E253*Adm!$N$7)</f>
        <v>0</v>
      </c>
      <c r="J253" s="133">
        <f t="shared" si="48"/>
        <v>0</v>
      </c>
      <c r="K253" s="133">
        <f t="shared" si="49"/>
        <v>0</v>
      </c>
      <c r="L253" s="361"/>
      <c r="V253" s="571">
        <f t="shared" si="50"/>
        <v>8</v>
      </c>
      <c r="W253" s="846">
        <f>IF(Adm!$AF$3=Adm!$AF$6,0,IF(V253=1,Adm!$AN$2,0))</f>
        <v>0</v>
      </c>
      <c r="Y253" s="338">
        <f>IF(AND($L$14=$AB$10,Adm!$AF$3=Adm!$AF$6,L252&gt;0),PMT(Cal!$F$86/12,B252,-K252),0)</f>
        <v>0</v>
      </c>
      <c r="AB253" s="650">
        <f t="shared" si="54"/>
        <v>0</v>
      </c>
      <c r="AC253" s="639">
        <f t="shared" si="55"/>
        <v>0</v>
      </c>
      <c r="AD253" s="639">
        <f>IF(AND($AD$12=1,$AB$12=2),PMT(Adm!$AH$7/12,B252,-K252),0)</f>
        <v>0</v>
      </c>
      <c r="AE253" s="639">
        <f t="shared" si="53"/>
        <v>0</v>
      </c>
      <c r="AF253" s="636">
        <f t="shared" si="51"/>
        <v>0</v>
      </c>
      <c r="AG253" s="647" t="e">
        <f>Captura!AG350</f>
        <v>#N/A</v>
      </c>
    </row>
    <row r="254" spans="1:33">
      <c r="A254" s="151">
        <f t="shared" ca="1" si="43"/>
        <v>8</v>
      </c>
      <c r="B254" s="195">
        <f t="shared" si="44"/>
        <v>0</v>
      </c>
      <c r="C254" s="199">
        <f t="shared" ref="C254:C257" si="59">IF(K253&lt;0.01,0,C253+1)</f>
        <v>0</v>
      </c>
      <c r="D254" s="333">
        <f t="shared" si="52"/>
        <v>0</v>
      </c>
      <c r="E254" s="133">
        <f t="shared" si="46"/>
        <v>0</v>
      </c>
      <c r="F254" s="133">
        <f t="shared" si="47"/>
        <v>0</v>
      </c>
      <c r="G254" s="150">
        <f t="shared" si="56"/>
        <v>0</v>
      </c>
      <c r="H254" s="133">
        <f>IF(K253&lt;0.01,0,IF(Adm!$R$3=Adm!$R$6,0,IF(Adm!$S$10=Adm!$S$13,K253*Adm!$X$6,IF(Adm!$S$10=Adm!$S$11,K253*Adm!$X$3,IF(Adm!$S$10=Adm!$S$12,K253*Adm!$Y$3)))))</f>
        <v>0</v>
      </c>
      <c r="I254" s="133">
        <f>IF(K253&lt;0.01,0,E254*Adm!$N$7)</f>
        <v>0</v>
      </c>
      <c r="J254" s="133">
        <f t="shared" si="48"/>
        <v>0</v>
      </c>
      <c r="K254" s="133">
        <f t="shared" si="49"/>
        <v>0</v>
      </c>
      <c r="L254" s="361"/>
      <c r="V254" s="571">
        <f t="shared" si="50"/>
        <v>9</v>
      </c>
      <c r="W254" s="846">
        <f>IF(Adm!$AF$3=Adm!$AF$6,0,IF(V254=1,Adm!$AN$2,0))</f>
        <v>0</v>
      </c>
      <c r="Y254" s="338">
        <f>IF(AND($L$14=$AB$10,Adm!$AF$3=Adm!$AF$6,L253&gt;0),PMT(Cal!$F$86/12,B253,-K253),0)</f>
        <v>0</v>
      </c>
      <c r="AB254" s="650">
        <f t="shared" si="54"/>
        <v>0</v>
      </c>
      <c r="AC254" s="639">
        <f t="shared" si="55"/>
        <v>0</v>
      </c>
      <c r="AD254" s="639">
        <f>IF(AND($AD$12=1,$AB$12=2),PMT(Adm!$AH$7/12,B253,-K253),0)</f>
        <v>0</v>
      </c>
      <c r="AE254" s="639">
        <f t="shared" si="53"/>
        <v>0</v>
      </c>
      <c r="AF254" s="636">
        <f t="shared" si="51"/>
        <v>0</v>
      </c>
      <c r="AG254" s="647" t="e">
        <f>Captura!AG351</f>
        <v>#N/A</v>
      </c>
    </row>
    <row r="255" spans="1:33">
      <c r="A255" s="151">
        <f t="shared" ca="1" si="43"/>
        <v>9</v>
      </c>
      <c r="B255" s="195">
        <f t="shared" si="44"/>
        <v>0</v>
      </c>
      <c r="C255" s="199">
        <f t="shared" si="59"/>
        <v>0</v>
      </c>
      <c r="D255" s="333">
        <f t="shared" si="52"/>
        <v>0</v>
      </c>
      <c r="E255" s="133">
        <f t="shared" si="46"/>
        <v>0</v>
      </c>
      <c r="F255" s="133">
        <f t="shared" si="47"/>
        <v>0</v>
      </c>
      <c r="G255" s="150">
        <f t="shared" si="56"/>
        <v>0</v>
      </c>
      <c r="H255" s="133">
        <f>IF(K254&lt;0.01,0,IF(Adm!$R$3=Adm!$R$6,0,IF(Adm!$S$10=Adm!$S$13,K254*Adm!$X$6,IF(Adm!$S$10=Adm!$S$11,K254*Adm!$X$3,IF(Adm!$S$10=Adm!$S$12,K254*Adm!$Y$3)))))</f>
        <v>0</v>
      </c>
      <c r="I255" s="133">
        <f>IF(K254&lt;0.01,0,E255*Adm!$N$7)</f>
        <v>0</v>
      </c>
      <c r="J255" s="133">
        <f t="shared" si="48"/>
        <v>0</v>
      </c>
      <c r="K255" s="133">
        <f t="shared" si="49"/>
        <v>0</v>
      </c>
      <c r="L255" s="361"/>
      <c r="V255" s="571">
        <f t="shared" si="50"/>
        <v>10</v>
      </c>
      <c r="W255" s="846">
        <f>IF(Adm!$AF$3=Adm!$AF$6,0,IF(V255=1,Adm!$AN$2,0))</f>
        <v>0</v>
      </c>
      <c r="Y255" s="338">
        <f>IF(AND($L$14=$AB$10,Adm!$AF$3=Adm!$AF$6,L254&gt;0),PMT(Cal!$F$86/12,B254,-K254),0)</f>
        <v>0</v>
      </c>
      <c r="AB255" s="650">
        <f t="shared" si="54"/>
        <v>0</v>
      </c>
      <c r="AC255" s="639">
        <f t="shared" si="55"/>
        <v>0</v>
      </c>
      <c r="AD255" s="639">
        <f>IF(AND($AD$12=1,$AB$12=2),PMT(Adm!$AH$7/12,B254,-K254),0)</f>
        <v>0</v>
      </c>
      <c r="AE255" s="639">
        <f t="shared" si="53"/>
        <v>0</v>
      </c>
      <c r="AF255" s="636">
        <f t="shared" si="51"/>
        <v>0</v>
      </c>
      <c r="AG255" s="647" t="e">
        <f>Captura!AG352</f>
        <v>#N/A</v>
      </c>
    </row>
    <row r="256" spans="1:33">
      <c r="A256" s="151">
        <f t="shared" ca="1" si="43"/>
        <v>10</v>
      </c>
      <c r="B256" s="195">
        <f t="shared" si="44"/>
        <v>0</v>
      </c>
      <c r="C256" s="199">
        <f t="shared" si="59"/>
        <v>0</v>
      </c>
      <c r="D256" s="333">
        <f t="shared" si="52"/>
        <v>0</v>
      </c>
      <c r="E256" s="133">
        <f t="shared" si="46"/>
        <v>0</v>
      </c>
      <c r="F256" s="133">
        <f t="shared" si="47"/>
        <v>0</v>
      </c>
      <c r="G256" s="150">
        <f t="shared" si="56"/>
        <v>0</v>
      </c>
      <c r="H256" s="133">
        <f>IF(K255&lt;0.01,0,IF(Adm!$R$3=Adm!$R$6,0,IF(Adm!$S$10=Adm!$S$13,K255*Adm!$X$6,IF(Adm!$S$10=Adm!$S$11,K255*Adm!$X$3,IF(Adm!$S$10=Adm!$S$12,K255*Adm!$Y$3)))))</f>
        <v>0</v>
      </c>
      <c r="I256" s="133">
        <f>IF(K255&lt;0.01,0,E256*Adm!$N$7)</f>
        <v>0</v>
      </c>
      <c r="J256" s="133">
        <f t="shared" si="48"/>
        <v>0</v>
      </c>
      <c r="K256" s="133">
        <f t="shared" si="49"/>
        <v>0</v>
      </c>
      <c r="L256" s="361"/>
      <c r="V256" s="571">
        <f t="shared" si="50"/>
        <v>11</v>
      </c>
      <c r="W256" s="846">
        <f>IF(Adm!$AF$3=Adm!$AF$6,0,IF(V256=1,Adm!$AN$2,0))</f>
        <v>0</v>
      </c>
      <c r="Y256" s="338">
        <f>IF(AND($L$14=$AB$10,Adm!$AF$3=Adm!$AF$6,L255&gt;0),PMT(Cal!$F$86/12,B255,-K255),0)</f>
        <v>0</v>
      </c>
      <c r="AB256" s="650">
        <f t="shared" si="54"/>
        <v>0</v>
      </c>
      <c r="AC256" s="639">
        <f t="shared" si="55"/>
        <v>0</v>
      </c>
      <c r="AD256" s="639">
        <f>IF(AND($AD$12=1,$AB$12=2),PMT(Adm!$AH$7/12,B255,-K255),0)</f>
        <v>0</v>
      </c>
      <c r="AE256" s="639">
        <f t="shared" si="53"/>
        <v>0</v>
      </c>
      <c r="AF256" s="636">
        <f t="shared" si="51"/>
        <v>0</v>
      </c>
      <c r="AG256" s="647" t="e">
        <f>Captura!AG353</f>
        <v>#N/A</v>
      </c>
    </row>
    <row r="257" spans="1:33">
      <c r="A257" s="151">
        <f t="shared" ca="1" si="43"/>
        <v>11</v>
      </c>
      <c r="B257" s="195">
        <f t="shared" si="44"/>
        <v>0</v>
      </c>
      <c r="C257" s="199">
        <f t="shared" si="59"/>
        <v>0</v>
      </c>
      <c r="D257" s="333">
        <f t="shared" si="52"/>
        <v>0</v>
      </c>
      <c r="E257" s="133">
        <f t="shared" si="46"/>
        <v>0</v>
      </c>
      <c r="F257" s="133">
        <f t="shared" si="47"/>
        <v>0</v>
      </c>
      <c r="G257" s="150">
        <f t="shared" si="56"/>
        <v>0</v>
      </c>
      <c r="H257" s="133">
        <f>IF(K256&lt;0.01,0,IF(Adm!$R$3=Adm!$R$6,0,IF(Adm!$S$10=Adm!$S$13,K256*Adm!$X$6,IF(Adm!$S$10=Adm!$S$11,K256*Adm!$X$3,IF(Adm!$S$10=Adm!$S$12,K256*Adm!$Y$3)))))</f>
        <v>0</v>
      </c>
      <c r="I257" s="133">
        <f>IF(K256&lt;0.01,0,E257*Adm!$N$7)</f>
        <v>0</v>
      </c>
      <c r="J257" s="133">
        <f t="shared" si="48"/>
        <v>0</v>
      </c>
      <c r="K257" s="133">
        <f t="shared" si="49"/>
        <v>0</v>
      </c>
      <c r="L257" s="361"/>
      <c r="V257" s="572">
        <f t="shared" si="50"/>
        <v>12</v>
      </c>
      <c r="W257" s="846">
        <f>IF(Adm!$AF$3=Adm!$AF$6,0,IF(V257=1,Adm!$AN$2,0))</f>
        <v>0</v>
      </c>
      <c r="Y257" s="338">
        <f>IF(AND($L$14=$AB$10,Adm!$AF$3=Adm!$AF$6,L256&gt;0),PMT(Cal!$F$86/12,B256,-K256),0)</f>
        <v>0</v>
      </c>
      <c r="AB257" s="650">
        <f t="shared" si="54"/>
        <v>0</v>
      </c>
      <c r="AC257" s="639">
        <f t="shared" si="55"/>
        <v>0</v>
      </c>
      <c r="AD257" s="639">
        <f>IF(AND($AD$12=1,$AB$12=2),PMT(Adm!$AH$7/12,B256,-K256),0)</f>
        <v>0</v>
      </c>
      <c r="AE257" s="639">
        <f t="shared" si="53"/>
        <v>0</v>
      </c>
      <c r="AF257" s="636">
        <f t="shared" si="51"/>
        <v>0</v>
      </c>
      <c r="AG257" s="647" t="e">
        <f>Captura!AG354</f>
        <v>#N/A</v>
      </c>
    </row>
    <row r="258" spans="1:33" ht="9" customHeight="1">
      <c r="A258" s="151"/>
      <c r="C258" s="948"/>
      <c r="D258" s="949"/>
      <c r="E258" s="354"/>
      <c r="F258" s="354"/>
      <c r="G258" s="950"/>
      <c r="H258" s="354"/>
      <c r="I258" s="354"/>
      <c r="J258" s="354"/>
      <c r="K258" s="354"/>
      <c r="L258" s="951"/>
      <c r="V258" s="291"/>
      <c r="W258" s="952"/>
      <c r="Y258" s="953"/>
      <c r="AB258" s="639"/>
      <c r="AC258" s="639"/>
      <c r="AD258" s="639"/>
      <c r="AE258" s="639"/>
      <c r="AF258" s="636"/>
      <c r="AG258" s="647"/>
    </row>
    <row r="259" spans="1:33">
      <c r="C259" s="667" t="s">
        <v>296</v>
      </c>
      <c r="D259" s="668"/>
      <c r="E259" s="670">
        <f>SUM(E18:E257)</f>
        <v>0</v>
      </c>
      <c r="F259" s="670">
        <f t="shared" ref="F259:J259" si="60">SUM(F18:F257)</f>
        <v>0</v>
      </c>
      <c r="G259" s="670">
        <f t="shared" si="60"/>
        <v>0</v>
      </c>
      <c r="H259" s="670">
        <f t="shared" si="60"/>
        <v>0</v>
      </c>
      <c r="I259" s="670">
        <f t="shared" si="60"/>
        <v>0</v>
      </c>
      <c r="J259" s="670">
        <f t="shared" si="60"/>
        <v>0</v>
      </c>
      <c r="K259" s="671"/>
      <c r="L259" s="669">
        <f>SUM(L18:L257)</f>
        <v>0</v>
      </c>
    </row>
    <row r="260" spans="1:33" ht="27" customHeight="1">
      <c r="C260" s="1135" t="str">
        <f>Captura!C357</f>
        <v>ESTE DOCUMENTO NO ES UNA OFERTA VINCULANTE</v>
      </c>
      <c r="D260" s="1135"/>
      <c r="E260" s="1135"/>
      <c r="F260" s="1135"/>
      <c r="G260" s="1135"/>
      <c r="H260" s="1135"/>
      <c r="I260" s="1135"/>
      <c r="J260" s="1135"/>
      <c r="K260" s="1135"/>
      <c r="L260" s="1135"/>
    </row>
    <row r="261" spans="1:33" ht="30.75" customHeight="1">
      <c r="C261" s="1134" t="str">
        <f>Captura!C358</f>
        <v>Este documento es únicamente de carácter informativo y para fines ilustrativos por lo que no implica asunción de obligación ni compromiso por parte de Banco Santander (México) S.A.</v>
      </c>
      <c r="D261" s="1134"/>
      <c r="E261" s="1134"/>
      <c r="F261" s="1134"/>
      <c r="G261" s="1134"/>
      <c r="H261" s="1134"/>
      <c r="I261" s="1134"/>
      <c r="J261" s="1134"/>
      <c r="K261" s="1134"/>
      <c r="L261" s="1134"/>
    </row>
    <row r="262" spans="1:33">
      <c r="C262" s="1134" t="str">
        <f>Captura!C359</f>
        <v>Las condiciones del producto y políticas de crédito contenidas en el simulador están sujetas a cambio sin previo aviso.</v>
      </c>
      <c r="D262" s="1134"/>
      <c r="E262" s="1134"/>
      <c r="F262" s="1134"/>
      <c r="G262" s="1134"/>
      <c r="H262" s="1134"/>
      <c r="I262" s="1134"/>
      <c r="J262" s="1134"/>
      <c r="K262" s="1134"/>
      <c r="L262" s="1134"/>
    </row>
    <row r="263" spans="1:33">
      <c r="C263" s="1134" t="str">
        <f>Captura!C360</f>
        <v>La autorización del crédito es una facultad discrecional de Banco Santander (México) S.A. por lo que se reserva el derecho de otorgarla o negarla.</v>
      </c>
      <c r="D263" s="1134"/>
      <c r="E263" s="1134"/>
      <c r="F263" s="1134"/>
      <c r="G263" s="1134"/>
      <c r="H263" s="1134"/>
      <c r="I263" s="1134"/>
      <c r="J263" s="1134"/>
      <c r="K263" s="1134"/>
      <c r="L263" s="1134"/>
    </row>
    <row r="264" spans="1:33" ht="30" customHeight="1">
      <c r="C264" s="1134" t="str">
        <f>Captura!C361</f>
        <v>Banco Santander (México) S.A. se reserva el derecho de solicitar información adicional y/o restringir parámetros de enganche, monto, plazo o tasa en función de las características específicas del solicitante y del inmueble.</v>
      </c>
      <c r="D264" s="1134"/>
      <c r="E264" s="1134"/>
      <c r="F264" s="1134"/>
      <c r="G264" s="1134"/>
      <c r="H264" s="1134"/>
      <c r="I264" s="1134"/>
      <c r="J264" s="1134"/>
      <c r="K264" s="1134"/>
      <c r="L264" s="1134"/>
    </row>
    <row r="265" spans="1:33">
      <c r="C265" s="1134" t="str">
        <f>Captura!C362</f>
        <v>Los productos hipotecarios son emitidos por Banco Santander (México), S.A., Institución de Banca Múltiple, Grupo Financiero Santander México.</v>
      </c>
      <c r="D265" s="1134"/>
      <c r="E265" s="1134"/>
      <c r="F265" s="1134"/>
      <c r="G265" s="1134"/>
      <c r="H265" s="1134"/>
      <c r="I265" s="1134"/>
      <c r="J265" s="1134"/>
      <c r="K265" s="1134"/>
      <c r="L265" s="1134"/>
    </row>
    <row r="266" spans="1:33" ht="33" customHeight="1">
      <c r="C266" s="1134" t="str">
        <f>Captura!C364</f>
        <v>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v>
      </c>
      <c r="D266" s="1134"/>
      <c r="E266" s="1134"/>
      <c r="F266" s="1134"/>
      <c r="G266" s="1134"/>
      <c r="H266" s="1134"/>
      <c r="I266" s="1134"/>
      <c r="J266" s="1134"/>
      <c r="K266" s="1134"/>
      <c r="L266" s="1134"/>
    </row>
    <row r="267" spans="1:33">
      <c r="C267" s="1135" t="str">
        <f>Captura!C365</f>
        <v>NOTAS</v>
      </c>
      <c r="D267" s="1135"/>
      <c r="E267" s="1135"/>
      <c r="F267" s="1135"/>
      <c r="G267" s="1135"/>
      <c r="H267" s="1135"/>
      <c r="I267" s="1135"/>
      <c r="J267" s="1135"/>
      <c r="K267" s="1135"/>
      <c r="L267" s="1135"/>
    </row>
    <row r="268" spans="1:33">
      <c r="C268" s="1134" t="str">
        <f>Captura!C366</f>
        <v>* Los periodos para el cálculo de intereses se consideran de 30 días.</v>
      </c>
      <c r="D268" s="1134"/>
      <c r="E268" s="1134"/>
      <c r="F268" s="1134"/>
      <c r="G268" s="1134"/>
      <c r="H268" s="1134"/>
      <c r="I268" s="1134"/>
      <c r="J268" s="1134"/>
      <c r="K268" s="1134"/>
      <c r="L268" s="1134"/>
    </row>
    <row r="269" spans="1:33">
      <c r="C269" s="1134"/>
      <c r="D269" s="1134"/>
      <c r="E269" s="1134"/>
      <c r="F269" s="1134"/>
      <c r="G269" s="1134"/>
      <c r="H269" s="1134"/>
      <c r="I269" s="1134"/>
      <c r="J269" s="1134"/>
      <c r="K269" s="1134"/>
      <c r="L269" s="1134"/>
    </row>
    <row r="270" spans="1:33">
      <c r="C270" s="1134" t="str">
        <f>Captura!C368</f>
        <v/>
      </c>
      <c r="D270" s="1134"/>
      <c r="E270" s="1134"/>
      <c r="F270" s="1134"/>
      <c r="G270" s="1134"/>
      <c r="H270" s="1134"/>
      <c r="I270" s="1134"/>
      <c r="J270" s="1134"/>
      <c r="K270" s="1134"/>
      <c r="L270" s="1134"/>
    </row>
    <row r="271" spans="1:33" ht="30" customHeight="1">
      <c r="C271" s="1134" t="str">
        <f>IF(AND(L259&gt;0,OR(AB12=1,AB12=0)),"Este documento simula pagos anticipados supuestos, con efecto en la reducción del plazo unicamente a modo de ejemplo. La tabla real de amortización se le entregará por los medios establecidos en su contrato de Crédito Hipotecario. ",IF(AND(L259&gt;0,AB12=2),"Este documento simula pagos anticipados supuestos, con efecto en la reducción de cuota unicamente a modo de ejemplo. La tabla real de amortización se le entregará por los medios establecidos en su contrato de Crédito Hipotecario. ",""))</f>
        <v/>
      </c>
      <c r="D271" s="1134"/>
      <c r="E271" s="1134"/>
      <c r="F271" s="1134"/>
      <c r="G271" s="1134"/>
      <c r="H271" s="1134"/>
      <c r="I271" s="1134"/>
      <c r="J271" s="1134"/>
      <c r="K271" s="1134"/>
      <c r="L271" s="1134"/>
    </row>
    <row r="272" spans="1:33">
      <c r="C272" s="1134"/>
      <c r="D272" s="1134"/>
      <c r="E272" s="1134"/>
      <c r="F272" s="1134"/>
      <c r="G272" s="1134"/>
      <c r="H272" s="1134"/>
      <c r="I272" s="1134"/>
      <c r="J272" s="1134"/>
      <c r="K272" s="1134"/>
      <c r="L272" s="1134"/>
    </row>
    <row r="273" spans="3:12">
      <c r="C273" s="673" t="str">
        <f>Captura!C370</f>
        <v>Versión. 3.11 (8 mayo 2017)</v>
      </c>
      <c r="D273" s="673"/>
      <c r="E273" s="673"/>
      <c r="F273" s="673"/>
      <c r="G273" s="673"/>
      <c r="H273" s="673"/>
      <c r="I273" s="673"/>
      <c r="J273" s="673"/>
      <c r="K273" s="673"/>
      <c r="L273" s="673" t="str">
        <f>Captura!O370</f>
        <v>BHF-034 (052017)</v>
      </c>
    </row>
  </sheetData>
  <sheetProtection password="C26B" sheet="1" objects="1" scenarios="1"/>
  <mergeCells count="18">
    <mergeCell ref="K1:L1"/>
    <mergeCell ref="C266:L266"/>
    <mergeCell ref="C15:L15"/>
    <mergeCell ref="C261:L261"/>
    <mergeCell ref="C262:L262"/>
    <mergeCell ref="C263:L263"/>
    <mergeCell ref="E5:H5"/>
    <mergeCell ref="E7:H7"/>
    <mergeCell ref="K7:L7"/>
    <mergeCell ref="C264:L264"/>
    <mergeCell ref="C265:L265"/>
    <mergeCell ref="C260:L260"/>
    <mergeCell ref="C272:L272"/>
    <mergeCell ref="C267:L267"/>
    <mergeCell ref="C268:L268"/>
    <mergeCell ref="C269:L269"/>
    <mergeCell ref="C270:L270"/>
    <mergeCell ref="C271:L271"/>
  </mergeCells>
  <conditionalFormatting sqref="E13">
    <cfRule type="expression" dxfId="48" priority="3" stopIfTrue="1">
      <formula>#REF!&gt;0</formula>
    </cfRule>
  </conditionalFormatting>
  <conditionalFormatting sqref="H16">
    <cfRule type="cellIs" dxfId="47" priority="1" stopIfTrue="1" operator="greaterThan">
      <formula>""""""</formula>
    </cfRule>
  </conditionalFormatting>
  <dataValidations count="1">
    <dataValidation type="list" allowBlank="1" showInputMessage="1" showErrorMessage="1" sqref="L14">
      <formula1>$AB$9:$AB$10</formula1>
    </dataValidation>
  </dataValidations>
  <pageMargins left="0.19685039370078741" right="0.19685039370078741" top="0.19685039370078741" bottom="0.15748031496062992" header="0.31496062992125984" footer="0.31496062992125984"/>
  <pageSetup scale="65" orientation="landscape" horizontalDpi="4294967294" verticalDpi="4294967294"/>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tabColor rgb="FFFF0000"/>
  </sheetPr>
  <dimension ref="A1:DP320"/>
  <sheetViews>
    <sheetView showGridLines="0" showRowColHeaders="0" showZeros="0" topLeftCell="F13" zoomScale="90" zoomScaleNormal="90" zoomScalePageLayoutView="90" workbookViewId="0">
      <selection activeCell="F4" sqref="F4:I4"/>
    </sheetView>
  </sheetViews>
  <sheetFormatPr baseColWidth="10" defaultColWidth="10.83203125" defaultRowHeight="14" x14ac:dyDescent="0"/>
  <cols>
    <col min="1" max="1" width="11.83203125" style="562" hidden="1" customWidth="1"/>
    <col min="2" max="2" width="14.33203125" style="562" hidden="1" customWidth="1"/>
    <col min="3" max="3" width="10.6640625" style="562" customWidth="1"/>
    <col min="4" max="4" width="15.5" style="562" customWidth="1"/>
    <col min="5" max="5" width="17.5" style="851" customWidth="1"/>
    <col min="6" max="6" width="22.1640625" style="562" customWidth="1"/>
    <col min="7" max="7" width="17" style="562" customWidth="1"/>
    <col min="8" max="8" width="16.6640625" style="562" customWidth="1"/>
    <col min="9" max="9" width="18.5" style="562" customWidth="1"/>
    <col min="10" max="10" width="20.83203125" style="562" customWidth="1"/>
    <col min="11" max="11" width="16.33203125" style="562" customWidth="1"/>
    <col min="12" max="12" width="17.5" style="562" customWidth="1"/>
    <col min="13" max="13" width="18.6640625" style="541" customWidth="1"/>
    <col min="14" max="14" width="17.33203125" style="562" customWidth="1"/>
    <col min="15" max="15" width="15.6640625" style="562" customWidth="1"/>
    <col min="16" max="16" width="18" style="562" customWidth="1"/>
    <col min="17" max="18" width="18" style="562" hidden="1" customWidth="1"/>
    <col min="19" max="19" width="14.1640625" style="562" hidden="1" customWidth="1"/>
    <col min="20" max="20" width="49.5" style="562" hidden="1" customWidth="1"/>
    <col min="21" max="21" width="25.5" style="562" hidden="1" customWidth="1"/>
    <col min="22" max="22" width="26.6640625" style="57" hidden="1" customWidth="1"/>
    <col min="23" max="23" width="33.83203125" style="562" hidden="1" customWidth="1"/>
    <col min="24" max="24" width="30.5" style="562" hidden="1" customWidth="1"/>
    <col min="25" max="25" width="19.5" style="562" hidden="1" customWidth="1"/>
    <col min="26" max="26" width="19.83203125" style="562" hidden="1" customWidth="1"/>
    <col min="27" max="27" width="16.5" style="562" hidden="1" customWidth="1"/>
    <col min="28" max="28" width="20.5" style="562" hidden="1" customWidth="1"/>
    <col min="29" max="29" width="26.6640625" style="562" hidden="1" customWidth="1"/>
    <col min="30" max="30" width="19.6640625" style="562" hidden="1" customWidth="1"/>
    <col min="31" max="31" width="26.5" style="562" hidden="1" customWidth="1"/>
    <col min="32" max="32" width="17.83203125" style="118" hidden="1" customWidth="1"/>
    <col min="33" max="33" width="17.6640625" style="725" hidden="1" customWidth="1"/>
    <col min="34" max="36" width="14.1640625" style="562" hidden="1" customWidth="1"/>
    <col min="37" max="37" width="14.6640625" style="562" hidden="1" customWidth="1"/>
    <col min="38" max="38" width="18.5" style="562" hidden="1" customWidth="1"/>
    <col min="39" max="45" width="14.1640625" style="562" hidden="1" customWidth="1"/>
    <col min="46" max="56" width="11.5" style="53" hidden="1" customWidth="1"/>
    <col min="57" max="96" width="14.1640625" style="562" hidden="1" customWidth="1"/>
    <col min="97" max="120" width="11.5" style="53" hidden="1" customWidth="1"/>
    <col min="121" max="133" width="11.5" style="53" customWidth="1"/>
    <col min="134" max="16384" width="10.83203125" style="53"/>
  </cols>
  <sheetData>
    <row r="1" spans="1:40">
      <c r="S1" s="541"/>
      <c r="T1" s="852" t="s">
        <v>76</v>
      </c>
      <c r="U1" s="717" t="s">
        <v>342</v>
      </c>
      <c r="V1" s="718" t="s">
        <v>343</v>
      </c>
      <c r="W1" s="719" t="s">
        <v>84</v>
      </c>
      <c r="X1" s="720" t="s">
        <v>5</v>
      </c>
      <c r="Y1" s="812" t="s">
        <v>358</v>
      </c>
      <c r="AD1" s="721"/>
      <c r="AE1" s="824"/>
      <c r="AF1" s="825"/>
    </row>
    <row r="2" spans="1:40" ht="18">
      <c r="C2" s="967" t="s">
        <v>403</v>
      </c>
      <c r="D2" s="722"/>
      <c r="E2" s="722"/>
      <c r="F2" s="722"/>
      <c r="G2" s="722"/>
      <c r="H2" s="722"/>
      <c r="I2" s="722"/>
      <c r="J2" s="722"/>
      <c r="K2" s="722"/>
      <c r="L2" s="722"/>
      <c r="M2" s="722"/>
      <c r="N2" s="722"/>
      <c r="T2" s="853" t="s">
        <v>102</v>
      </c>
      <c r="U2" s="723" t="s">
        <v>344</v>
      </c>
      <c r="V2" s="775" t="s">
        <v>345</v>
      </c>
      <c r="W2" s="724">
        <v>1</v>
      </c>
      <c r="X2" s="815">
        <f>IF(OR(F10=T7,F10=T9,F10=T13,F10=T14,F10=T15,F10=T16,F10=T17),1.16,0)</f>
        <v>0</v>
      </c>
      <c r="Y2" s="723" t="s">
        <v>373</v>
      </c>
      <c r="AF2" s="541"/>
    </row>
    <row r="3" spans="1:40">
      <c r="B3" s="854"/>
      <c r="C3" s="855"/>
      <c r="D3" s="855"/>
      <c r="E3" s="855"/>
      <c r="F3" s="856"/>
      <c r="G3" s="855"/>
      <c r="H3" s="855"/>
      <c r="I3" s="855"/>
      <c r="J3" s="855"/>
      <c r="K3" s="855"/>
      <c r="L3" s="855"/>
      <c r="M3" s="857"/>
      <c r="N3" s="726"/>
      <c r="T3" s="853" t="s">
        <v>346</v>
      </c>
      <c r="U3" s="727" t="s">
        <v>345</v>
      </c>
      <c r="V3" s="118" t="s">
        <v>123</v>
      </c>
      <c r="W3" s="814">
        <v>2</v>
      </c>
      <c r="X3" s="728">
        <v>0.16</v>
      </c>
      <c r="Y3" s="730" t="s">
        <v>236</v>
      </c>
      <c r="AK3" s="609"/>
      <c r="AL3" s="610"/>
      <c r="AM3" s="611"/>
      <c r="AN3" s="729"/>
    </row>
    <row r="4" spans="1:40">
      <c r="D4" s="562" t="s">
        <v>347</v>
      </c>
      <c r="E4" s="562"/>
      <c r="F4" s="1139"/>
      <c r="G4" s="1139"/>
      <c r="H4" s="1139"/>
      <c r="I4" s="1139"/>
      <c r="J4" s="84" t="s">
        <v>24</v>
      </c>
      <c r="K4" s="1140">
        <f ca="1">TODAY()</f>
        <v>43060</v>
      </c>
      <c r="L4" s="1140"/>
      <c r="S4" s="118"/>
      <c r="T4" s="858" t="s">
        <v>348</v>
      </c>
      <c r="U4" s="727" t="s">
        <v>349</v>
      </c>
      <c r="V4" s="541"/>
      <c r="W4" s="814">
        <v>3</v>
      </c>
      <c r="X4" s="411"/>
      <c r="Y4" s="812" t="s">
        <v>381</v>
      </c>
    </row>
    <row r="5" spans="1:40">
      <c r="D5" s="562" t="s">
        <v>350</v>
      </c>
      <c r="E5" s="562"/>
      <c r="F5" s="1139"/>
      <c r="G5" s="1139"/>
      <c r="H5" s="1139"/>
      <c r="I5" s="1139"/>
      <c r="K5" s="153" t="s">
        <v>25</v>
      </c>
      <c r="L5" s="844" t="str">
        <f ca="1">TEXT(K4,K5)</f>
        <v>21 nov 2017</v>
      </c>
      <c r="M5" s="859"/>
      <c r="S5" s="118"/>
      <c r="T5" s="858" t="s">
        <v>351</v>
      </c>
      <c r="U5" s="730" t="s">
        <v>123</v>
      </c>
      <c r="V5" s="813"/>
      <c r="W5" s="730">
        <v>4</v>
      </c>
      <c r="X5" s="411"/>
      <c r="Y5" s="723" t="s">
        <v>373</v>
      </c>
    </row>
    <row r="6" spans="1:40">
      <c r="D6" s="562" t="s">
        <v>26</v>
      </c>
      <c r="E6" s="562"/>
      <c r="F6" s="1139"/>
      <c r="G6" s="1139"/>
      <c r="H6" s="764"/>
      <c r="I6" s="764"/>
      <c r="L6" s="57"/>
      <c r="M6" s="118"/>
      <c r="T6" s="429" t="s">
        <v>213</v>
      </c>
      <c r="U6" s="717" t="s">
        <v>381</v>
      </c>
      <c r="X6" s="541"/>
      <c r="Y6" s="730" t="str">
        <f>IF(OR(F10=T11,F10=T12,F10=T13,F10=T14,F10=T15,F10=T17),"",IF(F13&lt;180,"","Crecientes"))</f>
        <v/>
      </c>
    </row>
    <row r="7" spans="1:40" ht="15" thickBot="1">
      <c r="E7" s="562"/>
      <c r="F7" s="851"/>
      <c r="G7" s="731"/>
      <c r="S7" s="541"/>
      <c r="T7" s="206" t="s">
        <v>176</v>
      </c>
      <c r="U7" s="723" t="str">
        <f>IF(OR(F10=T11,F10=T12),"","Santander Prima Unica")</f>
        <v>Santander Prima Unica</v>
      </c>
    </row>
    <row r="8" spans="1:40" ht="16" thickTop="1" thickBot="1">
      <c r="D8" s="1141" t="s">
        <v>27</v>
      </c>
      <c r="E8" s="1142"/>
      <c r="F8" s="1143"/>
      <c r="G8" s="732"/>
      <c r="J8" s="1141" t="s">
        <v>28</v>
      </c>
      <c r="K8" s="1142"/>
      <c r="L8" s="1143"/>
      <c r="T8" s="206" t="s">
        <v>352</v>
      </c>
      <c r="U8" s="727" t="s">
        <v>345</v>
      </c>
    </row>
    <row r="9" spans="1:40" ht="15" thickTop="1">
      <c r="D9" s="860" t="s">
        <v>29</v>
      </c>
      <c r="E9" s="860"/>
      <c r="F9" s="861"/>
      <c r="G9" s="118"/>
      <c r="I9" s="733"/>
      <c r="S9" s="734"/>
      <c r="T9" s="207" t="s">
        <v>353</v>
      </c>
      <c r="U9" s="727" t="s">
        <v>123</v>
      </c>
      <c r="V9" s="734"/>
      <c r="W9" s="734"/>
      <c r="X9" s="734"/>
      <c r="Y9" s="734"/>
      <c r="Z9" s="734"/>
      <c r="AA9" s="734"/>
      <c r="AB9" s="734"/>
      <c r="AC9" s="734"/>
      <c r="AD9" s="734"/>
      <c r="AE9" s="734"/>
      <c r="AF9" s="735"/>
    </row>
    <row r="10" spans="1:40">
      <c r="E10" s="862" t="s">
        <v>31</v>
      </c>
      <c r="F10" s="1144"/>
      <c r="G10" s="1144"/>
      <c r="J10" s="736" t="s">
        <v>4</v>
      </c>
      <c r="K10" s="736"/>
      <c r="L10" s="864">
        <f>IF(F10="",0,IF(OR(F10=T16,F10=T17),0,IF(OR(F10=T6,F10=T7),Adm!M8*1.16,IF(OR(F10=T8,F10=T9),Adm!M10*1.16,IF(F11*Adm!$M$3&lt;Adm!$M$5,Adm!$M$5,IF(F11*Adm!$M$3&gt;Adm!$M$6,Adm!$M$6,F11*Adm!$M$3))))))</f>
        <v>0</v>
      </c>
      <c r="O10" s="737"/>
      <c r="P10" s="737"/>
      <c r="Q10" s="737"/>
      <c r="R10" s="737"/>
      <c r="S10" s="734"/>
      <c r="T10" s="865" t="s">
        <v>103</v>
      </c>
      <c r="U10" s="730" t="str">
        <f>IF(OR(F10=T6,F10=T7,F10=T8,F10=T9),"Santander Cuota Fija","")</f>
        <v/>
      </c>
      <c r="V10" s="734"/>
      <c r="W10" s="734"/>
      <c r="X10" s="734"/>
      <c r="Y10" s="734"/>
      <c r="Z10" s="734"/>
      <c r="AA10" s="734"/>
      <c r="AB10" s="734"/>
      <c r="AC10" s="734"/>
      <c r="AD10" s="734"/>
      <c r="AE10" s="734"/>
      <c r="AF10" s="735"/>
    </row>
    <row r="11" spans="1:40">
      <c r="E11" s="862" t="str">
        <f>IF(OR(F10=T11,F10=T12),"Valor del inmueble",IF(F10=T13,"Valor del Terreno","Valor de la vivienda"))</f>
        <v>Valor de la vivienda</v>
      </c>
      <c r="F11" s="863"/>
      <c r="G11" s="966" t="str">
        <f>IF(OR(F10=T11,F10=T12),"(suma del terreno + proyecto)","")</f>
        <v/>
      </c>
      <c r="J11" s="57" t="s">
        <v>354</v>
      </c>
      <c r="K11" s="866"/>
      <c r="L11" s="867">
        <f>F11*K11</f>
        <v>0</v>
      </c>
      <c r="O11" s="737"/>
      <c r="P11" s="737"/>
      <c r="Q11" s="737"/>
      <c r="R11" s="737"/>
      <c r="S11" s="734"/>
      <c r="T11" s="738" t="s">
        <v>355</v>
      </c>
      <c r="U11" s="734"/>
      <c r="V11" s="734"/>
      <c r="X11" s="734"/>
      <c r="Y11" s="734"/>
      <c r="Z11" s="734"/>
      <c r="AA11" s="734"/>
      <c r="AB11" s="734"/>
      <c r="AC11" s="734"/>
      <c r="AD11" s="734"/>
      <c r="AE11" s="734"/>
      <c r="AF11" s="735"/>
    </row>
    <row r="12" spans="1:40">
      <c r="D12" s="868" t="s">
        <v>33</v>
      </c>
      <c r="E12" s="868"/>
      <c r="F12" s="869"/>
      <c r="G12" s="118"/>
      <c r="J12" s="57" t="s">
        <v>34</v>
      </c>
      <c r="K12" s="57"/>
      <c r="L12" s="867">
        <f>IF(X2&gt;0,F24*Adm!K3*X2,F24*Adm!K3)</f>
        <v>0</v>
      </c>
      <c r="N12" s="739"/>
      <c r="S12" s="823"/>
      <c r="T12" s="740" t="s">
        <v>356</v>
      </c>
      <c r="U12" s="823"/>
      <c r="V12" s="823"/>
      <c r="X12" s="823"/>
      <c r="Y12" s="823"/>
      <c r="Z12" s="823"/>
      <c r="AA12" s="823"/>
      <c r="AB12" s="823"/>
      <c r="AC12" s="823"/>
      <c r="AD12" s="823"/>
      <c r="AE12" s="823"/>
      <c r="AF12" s="823"/>
    </row>
    <row r="13" spans="1:40">
      <c r="A13" s="118"/>
      <c r="B13" s="118"/>
      <c r="C13" s="1035"/>
      <c r="D13" s="764" t="s">
        <v>357</v>
      </c>
      <c r="F13" s="870"/>
      <c r="G13" s="151"/>
      <c r="H13" s="57"/>
      <c r="I13" s="57"/>
      <c r="J13" s="57" t="str">
        <f>IF(OR(F10=T11,F10=T12),0,IF(F19=U2,"Prima Unica",""))</f>
        <v/>
      </c>
      <c r="L13" s="867">
        <f>IF(C34&lt;&gt;"",0,IF(OR(F10=T11,F10=T12),0,IF(AND($F$21=1,$F$19=$U$2),F22*Adm!$W$4,IF(AND($F$21=2,$F$19=$U$2),F22*Adm!$W$5,0))))</f>
        <v>0</v>
      </c>
      <c r="M13" s="741"/>
      <c r="N13" s="742"/>
      <c r="T13" s="865" t="s">
        <v>181</v>
      </c>
      <c r="U13" s="743"/>
      <c r="V13" s="743"/>
      <c r="W13" s="743"/>
      <c r="X13" s="743"/>
      <c r="Y13" s="743"/>
      <c r="Z13" s="743"/>
      <c r="AA13" s="743"/>
      <c r="AB13" s="743"/>
      <c r="AC13" s="743"/>
      <c r="AD13" s="743"/>
      <c r="AE13" s="743"/>
    </row>
    <row r="14" spans="1:40">
      <c r="A14" s="118"/>
      <c r="B14" s="118"/>
      <c r="C14" s="1037" t="b">
        <f>IF(F13=180,IF(ISNA(VLOOKUP(F14,Adm!AJ6:AJ33,1,0)),0,VLOOKUP(F14,Adm!AJ6:AJ33,1,0)),IF(F13=240,IF(ISNA(VLOOKUP(F14,Adm!AL6:AL33,1,0)),0,VLOOKUP(F14,Adm!AL6:AL33,1,0))))</f>
        <v>0</v>
      </c>
      <c r="D14" s="764" t="s">
        <v>92</v>
      </c>
      <c r="F14" s="871"/>
      <c r="G14" s="1032"/>
      <c r="H14" s="57"/>
      <c r="I14" s="57"/>
      <c r="J14" s="57" t="str">
        <f>IF(OR(F10=T11,F10=T12),"Inspección y seguimiento de Obra","")</f>
        <v/>
      </c>
      <c r="K14" s="57"/>
      <c r="L14" s="748">
        <f>IF(OR(F10=T11,F10=T12),Adm!Q4*1.16,0)</f>
        <v>0</v>
      </c>
      <c r="M14" s="118"/>
      <c r="N14" s="739"/>
      <c r="T14" s="865" t="s">
        <v>88</v>
      </c>
    </row>
    <row r="15" spans="1:40">
      <c r="A15" s="118"/>
      <c r="B15" s="118"/>
      <c r="D15" s="764" t="s">
        <v>358</v>
      </c>
      <c r="F15" s="872"/>
      <c r="G15" s="744"/>
      <c r="H15" s="57"/>
      <c r="I15" s="57"/>
      <c r="N15" s="873"/>
      <c r="S15" s="118"/>
      <c r="T15" s="874" t="s">
        <v>182</v>
      </c>
    </row>
    <row r="16" spans="1:40">
      <c r="A16" s="118"/>
      <c r="B16" s="118"/>
      <c r="D16" s="764" t="str">
        <f>IF(Adm!B3=Adm!B11,"","Pago por mil Inicial")</f>
        <v>Pago por mil Inicial</v>
      </c>
      <c r="F16" s="875">
        <f>IF(Adm!B3=Adm!B11,PMT(F14/12,F13-12,-1000),IF(F15=Y2,PMT(F14/12,F13,-1000),IF(AND(F15=Y3,F13=180),VLOOKUP(F14,Adm!AJ6:AK33,2,0),IF(AND(F15=Y3,F13=240),VLOOKUP(F14,Adm!AL6:AM33,2,0),0))))</f>
        <v>0</v>
      </c>
      <c r="G16" s="118"/>
      <c r="H16" s="57"/>
      <c r="I16" s="745"/>
      <c r="J16" s="746" t="s">
        <v>36</v>
      </c>
      <c r="K16" s="746"/>
      <c r="L16" s="876">
        <f>SUM(L10:L14)</f>
        <v>0</v>
      </c>
      <c r="N16" s="877"/>
      <c r="S16" s="118"/>
      <c r="T16" s="562" t="s">
        <v>375</v>
      </c>
    </row>
    <row r="17" spans="1:96">
      <c r="A17" s="118"/>
      <c r="B17" s="118"/>
      <c r="D17" s="764" t="str">
        <f>IF(F15=Y3,"Ajuste anual","")</f>
        <v/>
      </c>
      <c r="F17" s="878">
        <f>IF(AND(F15=Y3,F13=180),Adm!AN3,IF(AND(F15=Y3,F13=240),Adm!AO3,0))</f>
        <v>0</v>
      </c>
      <c r="G17" s="57"/>
      <c r="H17" s="57"/>
      <c r="I17" s="57"/>
      <c r="N17" s="877"/>
      <c r="S17" s="118"/>
      <c r="T17" s="562" t="s">
        <v>378</v>
      </c>
    </row>
    <row r="18" spans="1:96" ht="5" customHeight="1">
      <c r="A18" s="118"/>
      <c r="B18" s="118"/>
      <c r="D18" s="764"/>
      <c r="E18" s="879"/>
      <c r="F18" s="57"/>
      <c r="G18" s="57"/>
      <c r="H18" s="57"/>
      <c r="I18" s="57"/>
      <c r="S18" s="118"/>
    </row>
    <row r="19" spans="1:96">
      <c r="A19" s="118"/>
      <c r="B19" s="118"/>
      <c r="D19" s="880" t="s">
        <v>50</v>
      </c>
      <c r="F19" s="747"/>
      <c r="G19" s="747"/>
      <c r="H19" s="57"/>
      <c r="I19" s="57"/>
      <c r="J19" s="1145" t="str">
        <f>IF(F10=T2,"Captura el salario para simular aportaciones patronales","")</f>
        <v/>
      </c>
      <c r="K19" s="1145"/>
      <c r="L19" s="881"/>
      <c r="N19" s="882"/>
      <c r="O19" s="793"/>
      <c r="P19" s="733"/>
      <c r="Q19" s="733"/>
      <c r="R19" s="733"/>
      <c r="S19" s="118"/>
    </row>
    <row r="20" spans="1:96">
      <c r="A20" s="118"/>
      <c r="B20" s="118"/>
      <c r="D20" s="880" t="s">
        <v>359</v>
      </c>
      <c r="F20" s="747"/>
      <c r="H20" s="748"/>
      <c r="I20" s="57"/>
      <c r="J20" s="1145"/>
      <c r="K20" s="1145"/>
      <c r="O20" s="793"/>
      <c r="S20" s="118"/>
    </row>
    <row r="21" spans="1:96">
      <c r="A21" s="118"/>
      <c r="B21" s="118"/>
      <c r="D21" s="880" t="s">
        <v>360</v>
      </c>
      <c r="F21" s="940"/>
      <c r="H21" s="749"/>
      <c r="I21" s="749"/>
      <c r="N21" s="793"/>
      <c r="O21" s="793"/>
      <c r="P21" s="793"/>
      <c r="Q21" s="793"/>
      <c r="R21" s="793"/>
      <c r="S21" s="883"/>
    </row>
    <row r="22" spans="1:96">
      <c r="A22" s="118"/>
      <c r="B22" s="118"/>
      <c r="D22" s="115" t="s">
        <v>361</v>
      </c>
      <c r="F22" s="884"/>
      <c r="G22" s="57"/>
      <c r="H22" s="749"/>
      <c r="I22" s="749"/>
      <c r="L22" s="885"/>
      <c r="M22" s="886"/>
      <c r="N22" s="793"/>
      <c r="O22" s="793"/>
      <c r="P22" s="793"/>
      <c r="Q22" s="793"/>
      <c r="R22" s="793"/>
      <c r="S22" s="883"/>
      <c r="AH22" s="750"/>
    </row>
    <row r="23" spans="1:96">
      <c r="A23" s="118"/>
      <c r="B23" s="118"/>
      <c r="D23" s="764" t="str">
        <f>IF(C34&lt;&gt;"","",IF(F19=U2,"+ Prima Unica",""))</f>
        <v/>
      </c>
      <c r="F23" s="867">
        <f>IF(C34&lt;&gt;"",0,IF(OR(F10=T6,F10=T7,F10=T8,F10=T9,F10=T11,F10=T12),0,IF(AND($F$21=1,$F$19=$U$2),F22*Adm!$W$4,IF(AND($F$21=2,$F$19=$U$2),F22*Adm!$W$5,0))))</f>
        <v>0</v>
      </c>
      <c r="G23" s="751"/>
      <c r="H23" s="57"/>
      <c r="I23" s="57"/>
      <c r="J23" s="750"/>
      <c r="K23" s="750"/>
      <c r="L23" s="885"/>
      <c r="N23" s="793"/>
      <c r="O23" s="793"/>
      <c r="P23" s="793"/>
      <c r="Q23" s="793"/>
      <c r="R23" s="793"/>
      <c r="S23" s="883"/>
      <c r="AH23" s="750"/>
    </row>
    <row r="24" spans="1:96">
      <c r="A24" s="118"/>
      <c r="B24" s="118"/>
      <c r="E24" s="887" t="s">
        <v>38</v>
      </c>
      <c r="F24" s="888">
        <f>F22+F23</f>
        <v>0</v>
      </c>
      <c r="G24" s="749"/>
      <c r="H24" s="752"/>
      <c r="I24" s="752"/>
      <c r="J24" s="397" t="s">
        <v>164</v>
      </c>
      <c r="K24" s="753"/>
      <c r="L24" s="396">
        <f>INT(T30)</f>
        <v>0</v>
      </c>
      <c r="M24" s="397" t="str">
        <f>IF(L24&gt;0,"años","")</f>
        <v/>
      </c>
      <c r="N24" s="793"/>
      <c r="O24" s="793"/>
      <c r="P24" s="793"/>
      <c r="Q24" s="793"/>
      <c r="R24" s="793"/>
      <c r="S24" s="883"/>
    </row>
    <row r="25" spans="1:96">
      <c r="A25" s="623"/>
      <c r="B25" s="623"/>
      <c r="C25" s="750"/>
      <c r="D25" s="889"/>
      <c r="E25" s="845" t="str">
        <f>IF(OR(F10=T11,F10=T12),"Primer Disposición","")</f>
        <v/>
      </c>
      <c r="F25" s="890">
        <f>IF(E25="",0,IF(F10=T11,F24*0.25,IF(AND(F10=T12,F24*0.25&lt;=F11/2),F24*0.25,F11/2)))</f>
        <v>0</v>
      </c>
      <c r="G25" s="1011"/>
      <c r="H25" s="891"/>
      <c r="I25" s="753"/>
      <c r="J25" s="753"/>
      <c r="K25" s="753"/>
      <c r="L25" s="399">
        <f>T29-(L24*12)</f>
        <v>0</v>
      </c>
      <c r="M25" s="397" t="str">
        <f>IF(L25&gt;0,"meses","")</f>
        <v/>
      </c>
      <c r="N25" s="892"/>
      <c r="O25" s="893"/>
      <c r="P25" s="893"/>
      <c r="Q25" s="893"/>
      <c r="R25" s="893"/>
      <c r="S25" s="894"/>
      <c r="T25" s="750"/>
      <c r="U25" s="750"/>
      <c r="V25" s="753"/>
      <c r="W25" s="750"/>
      <c r="X25" s="750"/>
      <c r="Y25" s="750"/>
      <c r="Z25" s="750"/>
      <c r="AA25" s="750"/>
      <c r="AB25" s="750"/>
      <c r="AC25" s="750"/>
      <c r="AD25" s="750"/>
      <c r="AE25" s="750"/>
      <c r="AF25" s="623"/>
      <c r="CM25" s="750"/>
      <c r="CN25" s="750"/>
      <c r="CO25" s="750"/>
      <c r="CP25" s="750"/>
      <c r="CQ25" s="750"/>
      <c r="CR25" s="750"/>
    </row>
    <row r="26" spans="1:96">
      <c r="A26" s="623"/>
      <c r="B26" s="623"/>
      <c r="C26" s="750"/>
      <c r="D26" s="889"/>
      <c r="E26" s="845" t="str">
        <f>IF(OR(F10=T11,F10=T12),"Disposiciones Siguientes","")</f>
        <v/>
      </c>
      <c r="F26" s="890">
        <f>IF(E25="",0,IF(F10=T11,F24*0.2,IF(F10=T12,(F22-F25)/4,0)))</f>
        <v>0</v>
      </c>
      <c r="G26" s="57"/>
      <c r="H26" s="891"/>
      <c r="I26" s="753"/>
      <c r="J26" s="895"/>
      <c r="K26" s="895"/>
      <c r="L26" s="896"/>
      <c r="M26" s="754"/>
      <c r="N26" s="897"/>
      <c r="O26" s="898"/>
      <c r="P26" s="750"/>
      <c r="Q26" s="750"/>
      <c r="R26" s="750"/>
      <c r="S26" s="623"/>
      <c r="T26" s="750"/>
      <c r="U26" s="750"/>
      <c r="V26" s="753"/>
      <c r="W26" s="750"/>
      <c r="X26" s="750"/>
      <c r="Y26" s="750"/>
      <c r="Z26" s="750"/>
      <c r="AA26" s="750"/>
      <c r="AB26" s="750"/>
      <c r="AC26" s="750"/>
      <c r="AD26" s="750"/>
      <c r="AE26" s="750"/>
      <c r="AF26" s="623"/>
      <c r="CM26" s="750"/>
      <c r="CN26" s="750"/>
      <c r="CO26" s="750"/>
      <c r="CP26" s="750"/>
      <c r="CQ26" s="750"/>
      <c r="CR26" s="750"/>
    </row>
    <row r="27" spans="1:96">
      <c r="A27" s="623"/>
      <c r="B27" s="623"/>
      <c r="C27" s="750"/>
      <c r="E27" s="879" t="str">
        <f>IF(OR(F10=T11,F10=T12),"Ultima Disposición","")</f>
        <v/>
      </c>
      <c r="F27" s="890">
        <f>IF(E25="",0,IF(F10=T11,F24*0.15,IF(F10=T12,F26,0)))</f>
        <v>0</v>
      </c>
      <c r="H27" s="891"/>
      <c r="I27" s="753"/>
      <c r="J27" s="750"/>
      <c r="K27" s="750"/>
      <c r="L27" s="750"/>
      <c r="M27" s="750"/>
      <c r="N27" s="563"/>
      <c r="O27" s="750"/>
      <c r="P27" s="750"/>
      <c r="Q27" s="750"/>
      <c r="R27" s="750"/>
      <c r="S27" s="623"/>
      <c r="T27" s="750"/>
      <c r="U27" s="750"/>
      <c r="V27" s="753"/>
      <c r="W27" s="750"/>
      <c r="X27" s="750"/>
      <c r="Y27" s="750"/>
      <c r="Z27" s="750"/>
      <c r="AA27" s="750"/>
      <c r="AB27" s="750"/>
      <c r="AC27" s="750"/>
      <c r="AD27" s="750"/>
      <c r="AE27" s="750"/>
      <c r="AF27" s="623"/>
      <c r="CM27" s="750"/>
      <c r="CN27" s="750"/>
      <c r="CO27" s="750"/>
      <c r="CP27" s="750"/>
      <c r="CQ27" s="750"/>
      <c r="CR27" s="750"/>
    </row>
    <row r="28" spans="1:96">
      <c r="A28" s="623"/>
      <c r="B28" s="623"/>
      <c r="C28" s="750"/>
      <c r="D28" s="750"/>
      <c r="E28" s="750"/>
      <c r="F28" s="750"/>
      <c r="G28" s="753"/>
      <c r="H28" s="753"/>
      <c r="I28" s="753"/>
      <c r="J28" s="750"/>
      <c r="K28" s="750"/>
      <c r="L28" s="750"/>
      <c r="M28" s="750"/>
      <c r="N28" s="563"/>
      <c r="O28" s="750"/>
      <c r="P28" s="750"/>
      <c r="Q28" s="750"/>
      <c r="R28" s="750"/>
      <c r="S28" s="623"/>
      <c r="T28" s="899" t="s">
        <v>165</v>
      </c>
      <c r="U28" s="750"/>
      <c r="V28" s="753"/>
      <c r="W28" s="1007" t="s">
        <v>402</v>
      </c>
      <c r="X28" s="750"/>
      <c r="Y28" s="750"/>
      <c r="Z28" s="750"/>
      <c r="AA28" s="750"/>
      <c r="AB28" s="750"/>
      <c r="AC28" s="750"/>
      <c r="AD28" s="750"/>
      <c r="AE28" s="750"/>
      <c r="AF28" s="623"/>
      <c r="CM28" s="750"/>
      <c r="CN28" s="750"/>
      <c r="CO28" s="750"/>
      <c r="CP28" s="750"/>
      <c r="CQ28" s="750"/>
      <c r="CR28" s="750"/>
    </row>
    <row r="29" spans="1:96" ht="15">
      <c r="A29" s="623"/>
      <c r="B29" s="623"/>
      <c r="C29" s="750"/>
      <c r="D29" s="84" t="s">
        <v>362</v>
      </c>
      <c r="E29" s="937" t="e">
        <f>CAT!AK20</f>
        <v>#NUM!</v>
      </c>
      <c r="F29" s="751" t="s">
        <v>39</v>
      </c>
      <c r="G29" s="57"/>
      <c r="H29" s="753"/>
      <c r="I29" s="753"/>
      <c r="J29" s="750"/>
      <c r="K29" s="750"/>
      <c r="L29" s="750"/>
      <c r="M29" s="750"/>
      <c r="N29" s="755"/>
      <c r="O29" s="750"/>
      <c r="P29" s="750"/>
      <c r="Q29" s="750"/>
      <c r="R29" s="750"/>
      <c r="S29" s="623"/>
      <c r="T29" s="756">
        <f>MAXA(C42:C281)</f>
        <v>0</v>
      </c>
      <c r="U29" s="750"/>
      <c r="V29" s="753"/>
      <c r="W29" s="1008" t="b">
        <f>IF(F15=Y5,PMT(F14/12,F13,-1000),IF(AND(F15=Y6,F13=180),VLOOKUP(F14,Adm!AJ6:'Adm'!AK33,2,0),IF(AND(F15=Y6,F13=240),VLOOKUP(F14,Adm!AL6:'Adm'!AM33,2,0))))</f>
        <v>0</v>
      </c>
      <c r="X29" s="750"/>
      <c r="Y29" s="750"/>
      <c r="Z29" s="750"/>
      <c r="AA29" s="750"/>
      <c r="AB29" s="750"/>
      <c r="AC29" s="750"/>
      <c r="AD29" s="750"/>
      <c r="AE29" s="750"/>
      <c r="AF29" s="623"/>
      <c r="CM29" s="750"/>
      <c r="CN29" s="750"/>
      <c r="CO29" s="750"/>
      <c r="CP29" s="750"/>
      <c r="CQ29" s="750"/>
      <c r="CR29" s="750"/>
    </row>
    <row r="30" spans="1:96">
      <c r="A30" s="623"/>
      <c r="B30" s="623"/>
      <c r="C30" s="750"/>
      <c r="D30" s="1146" t="str">
        <f ca="1">CONCATENATE("Calculado al"," ",L5," ",".Para fines informativos y de comparación.")</f>
        <v>Calculado al 21 nov 2017 .Para fines informativos y de comparación.</v>
      </c>
      <c r="E30" s="1146"/>
      <c r="F30" s="1146"/>
      <c r="G30" s="1146"/>
      <c r="H30" s="891"/>
      <c r="I30" s="753"/>
      <c r="J30" s="750"/>
      <c r="K30" s="750"/>
      <c r="L30" s="750"/>
      <c r="M30" s="750"/>
      <c r="N30" s="563"/>
      <c r="O30" s="750"/>
      <c r="P30" s="750"/>
      <c r="Q30" s="750"/>
      <c r="R30" s="750"/>
      <c r="S30" s="750"/>
      <c r="T30" s="757">
        <f>T29/12</f>
        <v>0</v>
      </c>
      <c r="U30" s="750"/>
      <c r="V30" s="753"/>
      <c r="W30" s="1009" t="s">
        <v>401</v>
      </c>
      <c r="X30" s="750"/>
      <c r="Y30" s="750"/>
      <c r="Z30" s="750"/>
      <c r="AA30" s="750"/>
      <c r="AB30" s="750"/>
      <c r="AC30" s="750"/>
      <c r="AD30" s="750"/>
      <c r="AE30" s="750"/>
      <c r="AF30" s="623"/>
      <c r="CM30" s="750"/>
      <c r="CN30" s="750"/>
      <c r="CO30" s="750"/>
      <c r="CP30" s="750"/>
      <c r="CQ30" s="750"/>
      <c r="CR30" s="750"/>
    </row>
    <row r="31" spans="1:96" ht="15" thickBot="1">
      <c r="A31" s="623"/>
      <c r="B31" s="623"/>
      <c r="C31" s="750"/>
      <c r="D31" s="750"/>
      <c r="E31" s="900"/>
      <c r="F31" s="876"/>
      <c r="G31" s="743"/>
      <c r="H31" s="891"/>
      <c r="I31" s="753"/>
      <c r="J31" s="750"/>
      <c r="K31" s="750"/>
      <c r="L31" s="750"/>
      <c r="M31" s="750"/>
      <c r="N31" s="563"/>
      <c r="O31" s="750"/>
      <c r="P31" s="750"/>
      <c r="Q31" s="750"/>
      <c r="R31" s="750"/>
      <c r="S31" s="750"/>
      <c r="T31" s="758"/>
      <c r="U31" s="750"/>
      <c r="V31" s="753"/>
      <c r="W31" s="1010">
        <f>F22*W29/Adm!L3/1000</f>
        <v>0</v>
      </c>
      <c r="X31" s="750"/>
      <c r="Y31" s="750"/>
      <c r="Z31" s="819" t="s">
        <v>1</v>
      </c>
      <c r="AA31" s="750"/>
      <c r="AB31" s="750"/>
      <c r="AC31" s="750"/>
      <c r="AD31" s="750"/>
      <c r="AE31" s="750"/>
      <c r="AF31" s="623"/>
      <c r="CM31" s="750"/>
      <c r="CN31" s="750"/>
      <c r="CO31" s="750"/>
      <c r="CP31" s="750"/>
      <c r="CQ31" s="750"/>
      <c r="CR31" s="750"/>
    </row>
    <row r="32" spans="1:96">
      <c r="A32" s="623"/>
      <c r="B32" s="623"/>
      <c r="C32" s="750"/>
      <c r="D32" s="753"/>
      <c r="E32" s="901"/>
      <c r="F32" s="902"/>
      <c r="G32" s="753"/>
      <c r="H32" s="903"/>
      <c r="I32" s="903"/>
      <c r="J32" s="750"/>
      <c r="K32" s="750"/>
      <c r="L32" s="750"/>
      <c r="M32" s="750"/>
      <c r="N32" s="563"/>
      <c r="O32" s="750"/>
      <c r="P32" s="750"/>
      <c r="Q32" s="750"/>
      <c r="R32" s="750"/>
      <c r="S32" s="623"/>
      <c r="T32" s="750"/>
      <c r="U32" s="750"/>
      <c r="V32" s="753"/>
      <c r="W32" s="750"/>
      <c r="X32" s="750"/>
      <c r="Y32" s="750"/>
      <c r="Z32" s="820" t="s">
        <v>364</v>
      </c>
      <c r="AA32" s="750"/>
      <c r="AB32" s="750"/>
      <c r="AC32" s="750"/>
      <c r="AD32" s="750"/>
      <c r="AE32" s="750"/>
      <c r="AF32" s="623"/>
      <c r="CM32" s="750"/>
      <c r="CN32" s="750"/>
      <c r="CO32" s="750"/>
      <c r="CP32" s="750"/>
      <c r="CQ32" s="750"/>
      <c r="CR32" s="750"/>
    </row>
    <row r="33" spans="1:96">
      <c r="A33" s="623"/>
      <c r="B33" s="623"/>
      <c r="C33" s="750"/>
      <c r="D33" s="750"/>
      <c r="E33" s="750"/>
      <c r="F33" s="750"/>
      <c r="G33" s="750"/>
      <c r="H33" s="903"/>
      <c r="I33" s="903"/>
      <c r="J33" s="750"/>
      <c r="K33" s="750"/>
      <c r="L33" s="750"/>
      <c r="M33" s="750"/>
      <c r="N33" s="563"/>
      <c r="O33" s="750"/>
      <c r="P33" s="750"/>
      <c r="Q33" s="750"/>
      <c r="R33" s="750"/>
      <c r="S33" s="623"/>
      <c r="T33" s="750"/>
      <c r="U33" s="750"/>
      <c r="V33" s="753"/>
      <c r="W33" s="750"/>
      <c r="X33" s="750"/>
      <c r="Y33" s="750"/>
      <c r="Z33" s="750"/>
      <c r="AA33" s="750"/>
      <c r="AB33" s="750"/>
      <c r="AC33" s="750"/>
      <c r="AD33" s="750"/>
      <c r="AE33" s="750"/>
      <c r="AF33" s="623"/>
      <c r="CM33" s="750"/>
      <c r="CN33" s="750"/>
      <c r="CO33" s="750"/>
      <c r="CP33" s="750"/>
      <c r="CQ33" s="750"/>
      <c r="CR33" s="750"/>
    </row>
    <row r="34" spans="1:96">
      <c r="A34" s="623"/>
      <c r="B34" s="623"/>
      <c r="C34" s="1147" t="str">
        <f>IF(AND(F15=Y3,OR(F10=T11,F10=T12,F10=T13,F10=T14,F10=T15,F10=T17)),"Para este destino sólo aplican pagos fijos",IF(AND(OR(F19=U2,F19=U4),OR(F10=T11,F10=T12)),"Para este destino sólo aplica Prima Mensual en seguro de vida",""))</f>
        <v/>
      </c>
      <c r="D34" s="1147"/>
      <c r="E34" s="1147"/>
      <c r="F34" s="1147"/>
      <c r="G34" s="1147"/>
      <c r="H34" s="1147"/>
      <c r="I34" s="1147"/>
      <c r="J34" s="1147"/>
      <c r="K34" s="1147"/>
      <c r="L34" s="1147"/>
      <c r="M34" s="1147"/>
      <c r="N34" s="1147"/>
      <c r="O34" s="750"/>
      <c r="P34" s="750"/>
      <c r="Q34" s="750"/>
      <c r="R34" s="750"/>
      <c r="S34" s="623"/>
      <c r="T34" s="750"/>
      <c r="U34" s="750"/>
      <c r="V34" s="753"/>
      <c r="W34" s="750"/>
      <c r="X34" s="750"/>
      <c r="Y34" s="750"/>
      <c r="Z34" s="830" t="s">
        <v>363</v>
      </c>
      <c r="AA34" s="831"/>
      <c r="AB34" s="831" t="s">
        <v>291</v>
      </c>
      <c r="AC34" s="831"/>
      <c r="AD34" s="831"/>
      <c r="AE34" s="832"/>
      <c r="AF34" s="623"/>
      <c r="CM34" s="750"/>
      <c r="CN34" s="750"/>
      <c r="CO34" s="750"/>
      <c r="CP34" s="750"/>
      <c r="CQ34" s="750"/>
      <c r="CR34" s="750"/>
    </row>
    <row r="35" spans="1:96" ht="15" thickBot="1">
      <c r="A35" s="623"/>
      <c r="B35" s="623"/>
      <c r="C35" s="759"/>
      <c r="D35" s="759"/>
      <c r="E35" s="760"/>
      <c r="F35" s="761"/>
      <c r="G35" s="761"/>
      <c r="H35" s="904"/>
      <c r="I35" s="759"/>
      <c r="J35" s="759"/>
      <c r="K35" s="759"/>
      <c r="L35" s="759"/>
      <c r="M35" s="759"/>
      <c r="N35" s="762"/>
      <c r="O35" s="762"/>
      <c r="P35" s="763"/>
      <c r="Q35" s="763"/>
      <c r="R35" s="763"/>
      <c r="S35" s="623"/>
      <c r="T35" s="750"/>
      <c r="U35" s="750"/>
      <c r="V35" s="753"/>
      <c r="W35" s="750"/>
      <c r="X35" s="750"/>
      <c r="Y35" s="750"/>
      <c r="Z35" s="833"/>
      <c r="AA35" s="623"/>
      <c r="AB35" s="623"/>
      <c r="AC35" s="623"/>
      <c r="AD35" s="623"/>
      <c r="AE35" s="834"/>
      <c r="AF35" s="623"/>
      <c r="CM35" s="750"/>
      <c r="CN35" s="750"/>
      <c r="CO35" s="750"/>
      <c r="CP35" s="750"/>
      <c r="CQ35" s="750"/>
      <c r="CR35" s="750"/>
    </row>
    <row r="36" spans="1:96">
      <c r="A36" s="623"/>
      <c r="B36" s="623"/>
      <c r="C36" s="750"/>
      <c r="D36" s="750"/>
      <c r="E36" s="764"/>
      <c r="F36" s="743"/>
      <c r="G36" s="743"/>
      <c r="H36" s="891"/>
      <c r="I36" s="750"/>
      <c r="J36" s="750"/>
      <c r="K36" s="750"/>
      <c r="L36" s="750"/>
      <c r="M36" s="750"/>
      <c r="N36" s="563"/>
      <c r="O36" s="750"/>
      <c r="P36" s="750"/>
      <c r="Q36" s="750"/>
      <c r="R36" s="750"/>
      <c r="S36" s="623"/>
      <c r="T36" s="750"/>
      <c r="U36" s="750"/>
      <c r="V36" s="765"/>
      <c r="W36" s="750"/>
      <c r="X36" s="750"/>
      <c r="Y36" s="750"/>
      <c r="Z36" s="835"/>
      <c r="AA36" s="800"/>
      <c r="AB36" s="800"/>
      <c r="AC36" s="623"/>
      <c r="AD36" s="623"/>
      <c r="AE36" s="834"/>
      <c r="AF36" s="623"/>
      <c r="CM36" s="750"/>
      <c r="CN36" s="750"/>
      <c r="CO36" s="750"/>
      <c r="CP36" s="750"/>
      <c r="CQ36" s="750"/>
      <c r="CR36" s="750"/>
    </row>
    <row r="37" spans="1:96">
      <c r="A37" s="118"/>
      <c r="B37" s="118"/>
      <c r="C37" s="766"/>
      <c r="D37" s="766"/>
      <c r="E37" s="766"/>
      <c r="F37" s="766"/>
      <c r="G37" s="766"/>
      <c r="H37" s="766"/>
      <c r="I37" s="766"/>
      <c r="J37" s="766"/>
      <c r="K37" s="766"/>
      <c r="L37" s="766"/>
      <c r="M37" s="766"/>
      <c r="N37" s="766"/>
      <c r="Z37" s="836"/>
      <c r="AA37" s="118"/>
      <c r="AB37" s="118"/>
      <c r="AC37" s="118"/>
      <c r="AD37" s="118"/>
      <c r="AE37" s="837"/>
    </row>
    <row r="38" spans="1:96" ht="15">
      <c r="A38" s="118"/>
      <c r="B38" s="118"/>
      <c r="C38" s="905"/>
      <c r="D38" s="906"/>
      <c r="E38" s="907"/>
      <c r="F38" s="915" t="str">
        <f>CONCATENATE("Tabla de Amortización"," ",IF(OR(F10=T13,F10=T14),"SUPER CASA",IF(F10=T15,"HIPOTECA SANTANDER RED SALUD","HIPOTECA PERSONAL SANTANDER")))</f>
        <v>Tabla de Amortización HIPOTECA PERSONAL SANTANDER</v>
      </c>
      <c r="I38" s="726"/>
      <c r="J38" s="726"/>
      <c r="L38" s="767"/>
      <c r="M38" s="767"/>
      <c r="N38" s="767"/>
      <c r="O38" s="737"/>
      <c r="P38" s="737"/>
      <c r="Q38" s="737"/>
      <c r="R38" s="737"/>
      <c r="U38" s="737"/>
      <c r="V38" s="768"/>
      <c r="W38" s="737"/>
      <c r="X38" s="737"/>
      <c r="Y38" s="737"/>
      <c r="Z38" s="838">
        <f>IF(N40=Z31,1,IF(N40=Z32,2,0))</f>
        <v>0</v>
      </c>
      <c r="AA38" s="606" t="s">
        <v>292</v>
      </c>
      <c r="AB38" s="780">
        <f>IF(F15=Y2,1,2)</f>
        <v>2</v>
      </c>
      <c r="AC38" s="118"/>
      <c r="AD38" s="118"/>
      <c r="AE38" s="628" t="s">
        <v>294</v>
      </c>
    </row>
    <row r="39" spans="1:96" ht="46.5" customHeight="1">
      <c r="A39" s="297" t="s">
        <v>161</v>
      </c>
      <c r="B39" s="769" t="s">
        <v>40</v>
      </c>
      <c r="C39" s="908" t="s">
        <v>41</v>
      </c>
      <c r="D39" s="908" t="s">
        <v>42</v>
      </c>
      <c r="E39" s="908" t="s">
        <v>43</v>
      </c>
      <c r="F39" s="909" t="s">
        <v>44</v>
      </c>
      <c r="G39" s="910" t="str">
        <f>IF(SUM(G42:G281)&gt;0,"Seguro Vida","")</f>
        <v/>
      </c>
      <c r="H39" s="910" t="str">
        <f>IF(H42=0,"","Seguro Daños")</f>
        <v/>
      </c>
      <c r="I39" s="938" t="str">
        <f>IF(I42=0,"","Comisión por Autorización de Crédito Diferida (incluye IVA)")</f>
        <v/>
      </c>
      <c r="J39" s="910" t="str">
        <f>IF(X2&gt;0,"IVA Intereses","")</f>
        <v/>
      </c>
      <c r="K39" s="909" t="s">
        <v>46</v>
      </c>
      <c r="L39" s="911" t="str">
        <f>IF(F10=T2,"Prepago por aportaciones INFONAVIT","")</f>
        <v/>
      </c>
      <c r="M39" s="909" t="s">
        <v>47</v>
      </c>
      <c r="N39" s="939" t="s">
        <v>380</v>
      </c>
      <c r="O39" s="295" t="str">
        <f>IF(OR(F10=T11,F10=T12),"Disposiciones de Crédito para Construcción","")</f>
        <v/>
      </c>
      <c r="P39" s="770"/>
      <c r="Q39" s="770"/>
      <c r="R39" s="770"/>
      <c r="U39" s="771"/>
      <c r="V39" s="772"/>
      <c r="W39" s="296" t="s">
        <v>162</v>
      </c>
      <c r="X39" s="296" t="s">
        <v>163</v>
      </c>
      <c r="Y39" s="771"/>
      <c r="Z39" s="839" t="s">
        <v>293</v>
      </c>
      <c r="AA39" s="773"/>
      <c r="AB39" s="773"/>
      <c r="AC39" s="773"/>
      <c r="AD39" s="541"/>
      <c r="AE39" s="840">
        <f>IF(AND(F15=Y3,F13=180),VLOOKUP(F14,Adm!AP6:AQ33,2,0),IF(AND(F15=Y3,F13=240),VLOOKUP(F14,Adm!AR6:AS33,2,0),0))</f>
        <v>0</v>
      </c>
      <c r="AF39" s="731"/>
    </row>
    <row r="40" spans="1:96">
      <c r="B40" s="774"/>
      <c r="C40" s="775"/>
      <c r="D40" s="775"/>
      <c r="E40" s="776"/>
      <c r="F40" s="775"/>
      <c r="G40" s="912" t="s">
        <v>93</v>
      </c>
      <c r="H40" s="777"/>
      <c r="I40" s="777"/>
      <c r="J40" s="777"/>
      <c r="K40" s="775"/>
      <c r="L40" s="775"/>
      <c r="M40" s="775"/>
      <c r="N40" s="943"/>
      <c r="S40" s="778" t="s">
        <v>161</v>
      </c>
      <c r="T40" s="567" t="s">
        <v>274</v>
      </c>
      <c r="W40" s="779">
        <f>IF(L19&gt;0,L19,W31)</f>
        <v>0</v>
      </c>
      <c r="Z40" s="630" t="s">
        <v>285</v>
      </c>
      <c r="AA40" s="600" t="s">
        <v>286</v>
      </c>
      <c r="AB40" s="601" t="s">
        <v>172</v>
      </c>
      <c r="AC40" s="602" t="s">
        <v>287</v>
      </c>
      <c r="AD40" s="603" t="s">
        <v>288</v>
      </c>
      <c r="AE40" s="631" t="s">
        <v>289</v>
      </c>
      <c r="AF40" s="826"/>
      <c r="AG40" s="1114"/>
      <c r="AH40" s="1114"/>
      <c r="AI40" s="1114"/>
      <c r="AJ40" s="1114"/>
      <c r="AK40" s="1114"/>
    </row>
    <row r="41" spans="1:96">
      <c r="A41" s="780">
        <f ca="1">MONTH(K4)</f>
        <v>11</v>
      </c>
      <c r="B41" s="781">
        <f>F13</f>
        <v>0</v>
      </c>
      <c r="C41" s="963">
        <v>0</v>
      </c>
      <c r="D41" s="964"/>
      <c r="E41" s="964"/>
      <c r="F41" s="964"/>
      <c r="G41" s="964"/>
      <c r="H41" s="964"/>
      <c r="I41" s="964"/>
      <c r="J41" s="964"/>
      <c r="K41" s="964"/>
      <c r="L41" s="965"/>
      <c r="M41" s="945">
        <f>IF(C34&lt;&gt;"",0,IF(OR(F10=T11,F10=T12),F25,F24))</f>
        <v>0</v>
      </c>
      <c r="N41" s="946"/>
      <c r="S41" s="782">
        <v>12</v>
      </c>
      <c r="T41" s="568" t="s">
        <v>275</v>
      </c>
      <c r="W41" s="783"/>
      <c r="X41" s="783"/>
      <c r="Z41" s="841"/>
      <c r="AA41" s="821"/>
      <c r="AB41" s="821"/>
      <c r="AC41" s="821"/>
      <c r="AD41" s="821"/>
      <c r="AE41" s="632" t="s">
        <v>290</v>
      </c>
      <c r="AG41" s="918">
        <v>1</v>
      </c>
      <c r="AH41" s="918">
        <v>2</v>
      </c>
      <c r="AI41" s="918">
        <v>3</v>
      </c>
      <c r="AJ41" s="918">
        <v>4</v>
      </c>
      <c r="AK41" s="918">
        <v>5</v>
      </c>
      <c r="AL41" s="918">
        <v>6</v>
      </c>
      <c r="AM41" s="918">
        <v>7</v>
      </c>
      <c r="AN41" s="918">
        <v>8</v>
      </c>
      <c r="AO41" s="918">
        <v>9</v>
      </c>
      <c r="AP41" s="918">
        <v>10</v>
      </c>
      <c r="AQ41" s="918">
        <v>11</v>
      </c>
      <c r="AR41" s="918">
        <v>12</v>
      </c>
      <c r="AS41" s="918">
        <v>13</v>
      </c>
      <c r="AT41" s="918">
        <v>14</v>
      </c>
      <c r="AU41" s="918">
        <v>15</v>
      </c>
      <c r="AV41" s="918">
        <v>16</v>
      </c>
      <c r="AW41" s="918">
        <v>17</v>
      </c>
      <c r="AX41" s="918">
        <v>18</v>
      </c>
      <c r="AY41" s="918">
        <v>19</v>
      </c>
      <c r="AZ41" s="918">
        <v>20</v>
      </c>
      <c r="BA41" s="918">
        <v>21</v>
      </c>
      <c r="BB41" s="918">
        <v>22</v>
      </c>
      <c r="BC41" s="918">
        <v>23</v>
      </c>
      <c r="BD41" s="918">
        <v>24</v>
      </c>
      <c r="BE41" s="918">
        <v>25</v>
      </c>
      <c r="BF41" s="918">
        <v>26</v>
      </c>
      <c r="BG41" s="918">
        <v>27</v>
      </c>
      <c r="BH41" s="918">
        <v>28</v>
      </c>
      <c r="BI41" s="919">
        <v>29</v>
      </c>
      <c r="BJ41" s="919">
        <v>30</v>
      </c>
      <c r="BK41" s="919">
        <v>31</v>
      </c>
      <c r="BL41" s="919">
        <v>32</v>
      </c>
      <c r="BM41" s="919">
        <v>33</v>
      </c>
      <c r="BN41" s="919">
        <v>34</v>
      </c>
      <c r="BO41" s="919">
        <v>35</v>
      </c>
      <c r="BP41" s="919">
        <v>36</v>
      </c>
      <c r="BQ41" s="919">
        <v>37</v>
      </c>
      <c r="BR41" s="919">
        <v>38</v>
      </c>
      <c r="BS41" s="919">
        <v>39</v>
      </c>
      <c r="BT41" s="919">
        <v>40</v>
      </c>
      <c r="BU41" s="919">
        <v>41</v>
      </c>
      <c r="BV41" s="919">
        <v>42</v>
      </c>
      <c r="BW41" s="919">
        <v>43</v>
      </c>
      <c r="BX41" s="919">
        <v>44</v>
      </c>
      <c r="BY41" s="919">
        <v>45</v>
      </c>
      <c r="BZ41" s="919">
        <v>46</v>
      </c>
      <c r="CA41" s="919">
        <v>47</v>
      </c>
      <c r="CB41" s="919">
        <v>48</v>
      </c>
      <c r="CC41" s="919">
        <v>49</v>
      </c>
      <c r="CD41" s="919">
        <v>50</v>
      </c>
      <c r="CE41" s="919">
        <v>51</v>
      </c>
      <c r="CF41" s="919">
        <v>52</v>
      </c>
      <c r="CG41" s="919">
        <v>53</v>
      </c>
      <c r="CH41" s="919">
        <v>54</v>
      </c>
      <c r="CI41" s="919">
        <v>55</v>
      </c>
      <c r="CJ41" s="919">
        <v>56</v>
      </c>
    </row>
    <row r="42" spans="1:96">
      <c r="A42" s="151">
        <f ca="1">IF(A41=12,1,A41+1)</f>
        <v>12</v>
      </c>
      <c r="B42" s="784">
        <f>IF(M41&gt;0,B41-1,0)</f>
        <v>0</v>
      </c>
      <c r="C42" s="944">
        <f>IF(F24&gt;0,C41+1,0)</f>
        <v>0</v>
      </c>
      <c r="D42" s="947">
        <f>IF(M41&lt;0.01,0,M41*$F$14/12)</f>
        <v>0</v>
      </c>
      <c r="E42" s="947">
        <f>IF(M41&lt;0.01,0,IF(OR($F$10=$T$11,$F$10=$T$12),0,F42-D42))</f>
        <v>0</v>
      </c>
      <c r="F42" s="947">
        <f>IF(M41&lt;0.01,0,IF(OR(F10=T11,F10=T12),D42,IF(F15=Y3,M41*F16/1000,PMT(F14/12,F13,-M41))))</f>
        <v>0</v>
      </c>
      <c r="G42" s="947">
        <f>IF(M41&lt;0.01,0,IF($F$19=$U$4,$G$19,IF($F$19=$U$2,0,IF(AND($F$21=1,$F$19=$U$3),M41*Adm!$V$4,IF(AND($F$21=2,$F$19=$U$3),M41*Adm!$V$5,0)))))</f>
        <v>0</v>
      </c>
      <c r="H42" s="947">
        <f>IF(M41&lt;0.01,0,IF($F$20=$V$3,0,IF($F$10=$T$13,0,IF(OR($F$10=$T$16,$F$10=$T$17),0,IF(OR($F$10=$T$11,$F$10=$T$12),$F$11*Adm!$Z$3,$F$11*Adm!$AA$3)))))</f>
        <v>0</v>
      </c>
      <c r="I42" s="947">
        <f>IF(M41&lt;0.01,0,IF(OR($F$10=$T$16,$F$10=$T$17),0,250*1.16))</f>
        <v>0</v>
      </c>
      <c r="J42" s="947">
        <f t="shared" ref="J42:J105" si="0">IF(M41&lt;0.01,0,IF($X$2&gt;0,D42*$X$3,0))</f>
        <v>0</v>
      </c>
      <c r="K42" s="947">
        <f>IF(M41&lt;0.01,0,F42+G42+H42+I42+J42)</f>
        <v>0</v>
      </c>
      <c r="L42" s="947">
        <f t="shared" ref="L42:L105" si="1">IF($F$10=$T$2,MIN(M41+D42+G42+H42+I42-K42,X42),0)</f>
        <v>0</v>
      </c>
      <c r="M42" s="947">
        <f>IF(M41&lt;0.001,0,+M41-E42-L42-N42)</f>
        <v>0</v>
      </c>
      <c r="N42" s="946"/>
      <c r="P42" s="733"/>
      <c r="Q42" s="733"/>
      <c r="R42" s="733"/>
      <c r="S42" s="785">
        <f>IF(S41=12,1,S41+1)</f>
        <v>1</v>
      </c>
      <c r="T42" s="816"/>
      <c r="W42" s="787">
        <f>IF(AND(F10=T2,W40&gt;0,W40&lt;Adm!F8),W40,IF(AND(F10=T2,W40&gt;0,W40&gt;Adm!F8),Adm!F8,IF(AND(F10=T11,L19=0,W40&lt;Adm!F8),W40,IF(AND(F10=T11,L19=0,W40&gt;Adm!F8),Adm!F8,0))))</f>
        <v>0</v>
      </c>
      <c r="X42" s="817">
        <v>0</v>
      </c>
      <c r="Z42" s="842"/>
      <c r="AA42" s="822"/>
      <c r="AB42" s="822"/>
      <c r="AC42" s="789">
        <f>IF(AND(AD42&gt;0.01,$Z$38=2),AD42,0)</f>
        <v>0</v>
      </c>
      <c r="AD42" s="789">
        <f t="shared" ref="AD42:AD105" si="2">IF(AND($Z$38=2,N41&lt;0.01),0,IF($Z$38=2,(M41*AE42)+D42,0))</f>
        <v>0</v>
      </c>
      <c r="AE42" s="828" t="e">
        <f>HLOOKUP($AE$39,anticipado,2,0)</f>
        <v>#N/A</v>
      </c>
      <c r="AF42" s="827"/>
      <c r="AG42" s="614">
        <v>9.9500000000000001E-4</v>
      </c>
      <c r="AH42" s="615">
        <v>8.5499999999999997E-4</v>
      </c>
      <c r="AI42" s="616">
        <v>7.5166666666666611E-4</v>
      </c>
      <c r="AJ42" s="616">
        <v>1.075E-3</v>
      </c>
      <c r="AK42" s="617">
        <v>9.9500000000000001E-4</v>
      </c>
      <c r="AL42" s="617">
        <v>8.5499999999999997E-4</v>
      </c>
      <c r="AM42" s="617">
        <v>1.2033333333333329E-3</v>
      </c>
      <c r="AN42" s="617">
        <v>1.0966666666666661E-3</v>
      </c>
      <c r="AO42" s="617">
        <v>1.0166666666666662E-3</v>
      </c>
      <c r="AP42" s="617">
        <v>1.305E-3</v>
      </c>
      <c r="AQ42" s="617">
        <v>1.2033333333333329E-3</v>
      </c>
      <c r="AR42" s="618">
        <v>1.098333333333334E-3</v>
      </c>
      <c r="AS42" s="618">
        <v>5.5500000000000005E-4</v>
      </c>
      <c r="AT42" s="618">
        <v>4.9166666666666608E-4</v>
      </c>
      <c r="AU42" s="618">
        <v>3.9166666666666609E-4</v>
      </c>
      <c r="AV42" s="618">
        <v>6.5499999999999998E-4</v>
      </c>
      <c r="AW42" s="618">
        <v>5.5500000000000005E-4</v>
      </c>
      <c r="AX42" s="618">
        <v>4.6833333333333395E-4</v>
      </c>
      <c r="AY42" s="618">
        <v>7.2666666666666604E-4</v>
      </c>
      <c r="AZ42" s="618">
        <v>6.666666666666661E-4</v>
      </c>
      <c r="BA42" s="618">
        <v>5.5333333333333395E-4</v>
      </c>
      <c r="BB42" s="618">
        <v>8.1333333333333301E-4</v>
      </c>
      <c r="BC42" s="617">
        <v>7.6333333333333299E-4</v>
      </c>
      <c r="BD42" s="617">
        <v>6.8000000000000005E-4</v>
      </c>
      <c r="BE42" s="617">
        <v>1.143333333333333E-3</v>
      </c>
      <c r="BF42" s="617">
        <v>8.4333333333333396E-4</v>
      </c>
      <c r="BG42" s="617">
        <v>8.8500000000000004E-4</v>
      </c>
      <c r="BH42" s="617">
        <v>7.383333333333339E-4</v>
      </c>
      <c r="BI42" s="617"/>
      <c r="BJ42" s="617"/>
      <c r="BK42" s="617"/>
      <c r="BL42" s="617"/>
      <c r="BM42" s="617"/>
      <c r="BN42" s="617"/>
      <c r="BO42" s="617"/>
      <c r="BP42" s="617"/>
      <c r="BQ42" s="617"/>
      <c r="BR42" s="617"/>
      <c r="BS42" s="617"/>
      <c r="BT42" s="617"/>
      <c r="BU42" s="617"/>
      <c r="BV42" s="617"/>
      <c r="BW42" s="617"/>
      <c r="BX42" s="617"/>
      <c r="BY42" s="617"/>
      <c r="BZ42" s="617"/>
      <c r="CA42" s="617"/>
      <c r="CB42" s="617"/>
      <c r="CC42" s="617"/>
      <c r="CD42" s="617"/>
      <c r="CE42" s="617"/>
      <c r="CF42" s="617"/>
      <c r="CG42" s="617"/>
      <c r="CH42" s="617"/>
      <c r="CI42" s="617"/>
      <c r="CJ42" s="617"/>
    </row>
    <row r="43" spans="1:96">
      <c r="A43" s="151">
        <f t="shared" ref="A43:A106" ca="1" si="3">IF(A42=12,1,A42+1)</f>
        <v>1</v>
      </c>
      <c r="B43" s="784">
        <f t="shared" ref="B43:B106" si="4">IF(M42&gt;0,B42-1,0)</f>
        <v>0</v>
      </c>
      <c r="C43" s="944">
        <f>IF(M42&lt;0.01,0,C42+1)</f>
        <v>0</v>
      </c>
      <c r="D43" s="947">
        <f t="shared" ref="D43:D106" si="5">IF(M42&lt;0.01,0,M42*$F$14/12)</f>
        <v>0</v>
      </c>
      <c r="E43" s="947">
        <f t="shared" ref="E43:E53" si="6">IF(M42&lt;0.01,0,MIN(M42,IF(OR($F$10=$T$11,$F$10=$T$12),0,F43-D43)))</f>
        <v>0</v>
      </c>
      <c r="F43" s="947">
        <f t="shared" ref="F43:F53" si="7">IF(M42&lt;0.01,0,MIN(M42+D43,IF(Z43&gt;0,Z43,IF(OR($F$10=$T$11,$F$10=$T$12),D43,F42*(1+T43)))))</f>
        <v>0</v>
      </c>
      <c r="G43" s="947">
        <f>IF(M42&lt;0.01,0,IF($F$19=$U$4,$G$19,IF($F$19=$U$2,0,IF(AND($F$21=1,$F$19=$U$3),M42*Adm!$V$4,IF(AND($F$21=2,$F$19=$U$3),M42*Adm!$V$5,0)))))</f>
        <v>0</v>
      </c>
      <c r="H43" s="947">
        <f>IF(M42&lt;0.01,0,IF($F$20=$V$3,0,IF($F$10=$T$13,0,IF(OR($F$10=$T$16,$F$10=$T$17),0,IF(OR($F$10=$T$11,$F$10=$T$12),$F$11*Adm!$Z$3,$F$11*Adm!$AA$3)))))</f>
        <v>0</v>
      </c>
      <c r="I43" s="947">
        <f>IF(M42&lt;0.01,0,I42)</f>
        <v>0</v>
      </c>
      <c r="J43" s="947">
        <f t="shared" si="0"/>
        <v>0</v>
      </c>
      <c r="K43" s="947">
        <f t="shared" ref="K43:K106" si="8">IF(M42&lt;0.01,0,F43+G43+H43+I43+J43)</f>
        <v>0</v>
      </c>
      <c r="L43" s="947">
        <f t="shared" si="1"/>
        <v>0</v>
      </c>
      <c r="M43" s="947">
        <f t="shared" ref="M43:M106" si="9">IF(M42&lt;0.001,0,+M42-E43-L43-N43)</f>
        <v>0</v>
      </c>
      <c r="N43" s="946"/>
      <c r="P43" s="733"/>
      <c r="Q43" s="733"/>
      <c r="R43" s="733"/>
      <c r="S43" s="785">
        <f t="shared" ref="S43:S106" si="10">IF(S42=12,1,S42+1)</f>
        <v>2</v>
      </c>
      <c r="T43" s="786">
        <f>IF(S43=1,$F$17,0)</f>
        <v>0</v>
      </c>
      <c r="W43" s="790">
        <f>W42</f>
        <v>0</v>
      </c>
      <c r="X43" s="788">
        <f t="shared" ref="X43:X106" ca="1" si="11">IF(MOD(A43,2)=0,W43*0.05*2,0)</f>
        <v>0</v>
      </c>
      <c r="Z43" s="843">
        <f>IF(AA43&gt;1,AA43,IF(AC43&gt;1,AC43,0))</f>
        <v>0</v>
      </c>
      <c r="AA43" s="792">
        <f>IF(AND(OR($AB$38=1,$AB$38=3),N42&gt;0.1),AB43,0)</f>
        <v>0</v>
      </c>
      <c r="AB43" s="792">
        <f>IF(AND($AB$38=1,$Z$38=2),PMT($F$14/12,B42,-M42),0)</f>
        <v>0</v>
      </c>
      <c r="AC43" s="789">
        <f t="shared" ref="AC43:AC106" si="12">IF(AND(AD43&gt;0.01,$Z$38=2),AD43,0)</f>
        <v>0</v>
      </c>
      <c r="AD43" s="789">
        <f t="shared" si="2"/>
        <v>0</v>
      </c>
      <c r="AE43" s="828" t="e">
        <f>HLOOKUP($AE$39,anticipado,3,0)</f>
        <v>#N/A</v>
      </c>
      <c r="AF43" s="827"/>
      <c r="AG43" s="614">
        <v>1.0045814335263585E-3</v>
      </c>
      <c r="AH43" s="615">
        <v>8.6349741529007356E-4</v>
      </c>
      <c r="AI43" s="616">
        <v>7.5930934474635614E-4</v>
      </c>
      <c r="AJ43" s="616">
        <v>1.0851158745651577E-3</v>
      </c>
      <c r="AK43" s="617">
        <v>1.0045814335263585E-3</v>
      </c>
      <c r="AL43" s="617">
        <v>8.6349741529007356E-4</v>
      </c>
      <c r="AM43" s="617">
        <v>1.2143209551048653E-3</v>
      </c>
      <c r="AN43" s="617">
        <v>1.1069646935027624E-3</v>
      </c>
      <c r="AO43" s="617">
        <v>1.0264365994316451E-3</v>
      </c>
      <c r="AP43" s="617">
        <v>1.3166688778856411E-3</v>
      </c>
      <c r="AQ43" s="617">
        <v>1.2143209551048653E-3</v>
      </c>
      <c r="AR43" s="618">
        <v>1.1086030462346705E-3</v>
      </c>
      <c r="AS43" s="618">
        <v>5.6034761792795066E-4</v>
      </c>
      <c r="AT43" s="618">
        <v>4.9653656103139572E-4</v>
      </c>
      <c r="AU43" s="618">
        <v>3.957024140010382E-4</v>
      </c>
      <c r="AV43" s="618">
        <v>6.6108238396149564E-4</v>
      </c>
      <c r="AW43" s="618">
        <v>5.6034761792795066E-4</v>
      </c>
      <c r="AX43" s="618">
        <v>4.7300011894459517E-4</v>
      </c>
      <c r="AY43" s="618">
        <v>7.3321869447353814E-4</v>
      </c>
      <c r="AZ43" s="618">
        <v>6.7283744718701335E-4</v>
      </c>
      <c r="BA43" s="618">
        <v>5.5868702904496163E-4</v>
      </c>
      <c r="BB43" s="618">
        <v>8.2043951302614984E-4</v>
      </c>
      <c r="BC43" s="617">
        <v>7.7011691146464047E-4</v>
      </c>
      <c r="BD43" s="617">
        <v>6.8624664772045057E-4</v>
      </c>
      <c r="BE43" s="617">
        <v>1.1539327186305241E-3</v>
      </c>
      <c r="BF43" s="617">
        <v>8.5174002297493069E-4</v>
      </c>
      <c r="BG43" s="617">
        <v>8.9253802114871755E-4</v>
      </c>
      <c r="BH43" s="617">
        <v>7.4496846560599456E-4</v>
      </c>
      <c r="BI43" s="617"/>
      <c r="BJ43" s="617"/>
      <c r="BK43" s="617"/>
      <c r="BL43" s="617"/>
      <c r="BM43" s="617"/>
      <c r="BN43" s="617"/>
      <c r="BO43" s="617"/>
      <c r="BP43" s="617"/>
      <c r="BQ43" s="617"/>
      <c r="BR43" s="617"/>
      <c r="BS43" s="617"/>
      <c r="BT43" s="617"/>
      <c r="BU43" s="617"/>
      <c r="BV43" s="617"/>
      <c r="BW43" s="617"/>
      <c r="BX43" s="617"/>
      <c r="BY43" s="617"/>
      <c r="BZ43" s="617"/>
      <c r="CA43" s="617"/>
      <c r="CB43" s="617"/>
      <c r="CC43" s="617"/>
      <c r="CD43" s="617"/>
      <c r="CE43" s="617"/>
      <c r="CF43" s="617"/>
      <c r="CG43" s="617"/>
      <c r="CH43" s="617"/>
      <c r="CI43" s="617"/>
      <c r="CJ43" s="617"/>
    </row>
    <row r="44" spans="1:96">
      <c r="A44" s="151">
        <f t="shared" ca="1" si="3"/>
        <v>2</v>
      </c>
      <c r="B44" s="784">
        <f t="shared" si="4"/>
        <v>0</v>
      </c>
      <c r="C44" s="944">
        <f t="shared" ref="C44:C107" si="13">IF(M43&lt;0.01,0,C43+1)</f>
        <v>0</v>
      </c>
      <c r="D44" s="947">
        <f t="shared" si="5"/>
        <v>0</v>
      </c>
      <c r="E44" s="947">
        <f t="shared" si="6"/>
        <v>0</v>
      </c>
      <c r="F44" s="947">
        <f t="shared" si="7"/>
        <v>0</v>
      </c>
      <c r="G44" s="947">
        <f>IF(M43&lt;0.01,0,IF($F$19=$U$4,$G$19,IF($F$19=$U$2,0,IF(AND($F$21=1,$F$19=$U$3),M43*Adm!$V$4,IF(AND($F$21=2,$F$19=$U$3),M43*Adm!$V$5,0)))))</f>
        <v>0</v>
      </c>
      <c r="H44" s="947">
        <f>IF(M43&lt;0.01,0,IF($F$20=$V$3,0,IF($F$10=$T$13,0,IF(OR($F$10=$T$16,$F$10=$T$17),0,IF(OR($F$10=$T$11,$F$10=$T$12),$F$11*Adm!$Z$3,$F$11*Adm!$AA$3)))))</f>
        <v>0</v>
      </c>
      <c r="I44" s="947">
        <f t="shared" ref="I44:I107" si="14">IF(M43&lt;0.01,0,I43)</f>
        <v>0</v>
      </c>
      <c r="J44" s="947">
        <f t="shared" si="0"/>
        <v>0</v>
      </c>
      <c r="K44" s="947">
        <f t="shared" si="8"/>
        <v>0</v>
      </c>
      <c r="L44" s="947">
        <f t="shared" si="1"/>
        <v>0</v>
      </c>
      <c r="M44" s="947">
        <f>IF(M43&lt;0.001,0,+M43-E44-L44-N44+O44)</f>
        <v>0</v>
      </c>
      <c r="N44" s="946"/>
      <c r="O44" s="941">
        <f>IF(C34&lt;&gt;"",0,IF(OR(F10=T11,F10=T12),F26,0))</f>
        <v>0</v>
      </c>
      <c r="P44" s="733"/>
      <c r="Q44" s="733"/>
      <c r="R44" s="733"/>
      <c r="S44" s="785">
        <f t="shared" si="10"/>
        <v>3</v>
      </c>
      <c r="T44" s="786">
        <f t="shared" ref="T44:T107" si="15">IF(S44=1,$F$17,0)</f>
        <v>0</v>
      </c>
      <c r="W44" s="790">
        <f t="shared" ref="W44:W107" si="16">W43</f>
        <v>0</v>
      </c>
      <c r="X44" s="818">
        <f t="shared" ca="1" si="11"/>
        <v>0</v>
      </c>
      <c r="Z44" s="843">
        <f t="shared" ref="Z44:Z107" si="17">IF(AA44&gt;1,AA44,IF(AC44&gt;1,AC44,0))</f>
        <v>0</v>
      </c>
      <c r="AA44" s="792">
        <f t="shared" ref="AA44:AA107" si="18">IF(AND(OR($AB$38=1,$AB$38=3),N43&gt;0.1),AB44,0)</f>
        <v>0</v>
      </c>
      <c r="AB44" s="792">
        <f t="shared" ref="AB44:AB107" si="19">IF(AND($AB$38=1,$Z$38=2),PMT($F$14/12,B43,-M43),0)</f>
        <v>0</v>
      </c>
      <c r="AC44" s="789">
        <f t="shared" si="12"/>
        <v>0</v>
      </c>
      <c r="AD44" s="789">
        <f t="shared" si="2"/>
        <v>0</v>
      </c>
      <c r="AE44" s="828" t="e">
        <f>HLOOKUP($AE$39,anticipado,4,0)</f>
        <v>#N/A</v>
      </c>
      <c r="AF44" s="827"/>
      <c r="AG44" s="614">
        <v>1.014264860037596E-3</v>
      </c>
      <c r="AH44" s="615">
        <v>8.7208669894427886E-4</v>
      </c>
      <c r="AI44" s="616">
        <v>7.670355974617513E-4</v>
      </c>
      <c r="AJ44" s="616">
        <v>1.0953380329084353E-3</v>
      </c>
      <c r="AK44" s="617">
        <v>1.014264860037596E-3</v>
      </c>
      <c r="AL44" s="617">
        <v>8.7208669894427886E-4</v>
      </c>
      <c r="AM44" s="617">
        <v>1.2254223854142419E-3</v>
      </c>
      <c r="AN44" s="617">
        <v>1.1173709412287643E-3</v>
      </c>
      <c r="AO44" s="617">
        <v>1.0363105539910929E-3</v>
      </c>
      <c r="AP44" s="617">
        <v>1.3284576168792548E-3</v>
      </c>
      <c r="AQ44" s="617">
        <v>1.2254223854142419E-3</v>
      </c>
      <c r="AR44" s="618">
        <v>1.1189802879632998E-3</v>
      </c>
      <c r="AS44" s="618">
        <v>5.6574978910731545E-4</v>
      </c>
      <c r="AT44" s="618">
        <v>5.0145713431074196E-4</v>
      </c>
      <c r="AU44" s="618">
        <v>3.9978135986893927E-4</v>
      </c>
      <c r="AV44" s="618">
        <v>6.672253104220157E-4</v>
      </c>
      <c r="AW44" s="618">
        <v>5.6574978910731545E-4</v>
      </c>
      <c r="AX44" s="618">
        <v>4.7771563796048839E-4</v>
      </c>
      <c r="AY44" s="618">
        <v>7.3983464992223764E-4</v>
      </c>
      <c r="AZ44" s="618">
        <v>6.7906953869024435E-4</v>
      </c>
      <c r="BA44" s="618">
        <v>5.6409554532407021E-4</v>
      </c>
      <c r="BB44" s="618">
        <v>8.2761366612414905E-4</v>
      </c>
      <c r="BC44" s="617">
        <v>7.7696604842288617E-4</v>
      </c>
      <c r="BD44" s="617">
        <v>6.9255500777852454E-4</v>
      </c>
      <c r="BE44" s="617">
        <v>1.164642725209542E-3</v>
      </c>
      <c r="BF44" s="617">
        <v>8.6023775177351206E-4</v>
      </c>
      <c r="BG44" s="617">
        <v>9.0014703901692295E-4</v>
      </c>
      <c r="BH44" s="617">
        <v>7.5166821649458445E-4</v>
      </c>
      <c r="BI44" s="617"/>
      <c r="BJ44" s="617"/>
      <c r="BK44" s="617"/>
      <c r="BL44" s="617"/>
      <c r="BM44" s="617"/>
      <c r="BN44" s="617"/>
      <c r="BO44" s="617"/>
      <c r="BP44" s="617"/>
      <c r="BQ44" s="617"/>
      <c r="BR44" s="617"/>
      <c r="BS44" s="617"/>
      <c r="BT44" s="617"/>
      <c r="BU44" s="617"/>
      <c r="BV44" s="617"/>
      <c r="BW44" s="617"/>
      <c r="BX44" s="617"/>
      <c r="BY44" s="617"/>
      <c r="BZ44" s="617"/>
      <c r="CA44" s="617"/>
      <c r="CB44" s="617"/>
      <c r="CC44" s="617"/>
      <c r="CD44" s="617"/>
      <c r="CE44" s="617"/>
      <c r="CF44" s="617"/>
      <c r="CG44" s="617"/>
      <c r="CH44" s="617"/>
      <c r="CI44" s="617"/>
      <c r="CJ44" s="617"/>
    </row>
    <row r="45" spans="1:96">
      <c r="A45" s="151">
        <f t="shared" ca="1" si="3"/>
        <v>3</v>
      </c>
      <c r="B45" s="784">
        <f t="shared" si="4"/>
        <v>0</v>
      </c>
      <c r="C45" s="944">
        <f t="shared" si="13"/>
        <v>0</v>
      </c>
      <c r="D45" s="947">
        <f t="shared" si="5"/>
        <v>0</v>
      </c>
      <c r="E45" s="947">
        <f t="shared" si="6"/>
        <v>0</v>
      </c>
      <c r="F45" s="947">
        <f t="shared" si="7"/>
        <v>0</v>
      </c>
      <c r="G45" s="947">
        <f>IF(M44&lt;0.01,0,IF($F$19=$U$4,$G$19,IF($F$19=$U$2,0,IF(AND($F$21=1,$F$19=$U$3),M44*Adm!$V$4,IF(AND($F$21=2,$F$19=$U$3),M44*Adm!$V$5,0)))))</f>
        <v>0</v>
      </c>
      <c r="H45" s="947">
        <f>IF(M44&lt;0.01,0,IF($F$20=$V$3,0,IF($F$10=$T$13,0,IF(OR($F$10=$T$16,$F$10=$T$17),0,IF(OR($F$10=$T$11,$F$10=$T$12),$F$11*Adm!$Z$3,$F$11*Adm!$AA$3)))))</f>
        <v>0</v>
      </c>
      <c r="I45" s="947">
        <f t="shared" si="14"/>
        <v>0</v>
      </c>
      <c r="J45" s="947">
        <f t="shared" si="0"/>
        <v>0</v>
      </c>
      <c r="K45" s="947">
        <f t="shared" si="8"/>
        <v>0</v>
      </c>
      <c r="L45" s="947">
        <f t="shared" si="1"/>
        <v>0</v>
      </c>
      <c r="M45" s="947">
        <f t="shared" si="9"/>
        <v>0</v>
      </c>
      <c r="N45" s="946"/>
      <c r="O45" s="737"/>
      <c r="P45" s="733"/>
      <c r="Q45" s="733"/>
      <c r="R45" s="733"/>
      <c r="S45" s="785">
        <f t="shared" si="10"/>
        <v>4</v>
      </c>
      <c r="T45" s="786">
        <f t="shared" si="15"/>
        <v>0</v>
      </c>
      <c r="W45" s="790">
        <f t="shared" si="16"/>
        <v>0</v>
      </c>
      <c r="X45" s="818">
        <f t="shared" ca="1" si="11"/>
        <v>0</v>
      </c>
      <c r="Z45" s="843">
        <f t="shared" si="17"/>
        <v>0</v>
      </c>
      <c r="AA45" s="792">
        <f t="shared" si="18"/>
        <v>0</v>
      </c>
      <c r="AB45" s="792">
        <f t="shared" si="19"/>
        <v>0</v>
      </c>
      <c r="AC45" s="789">
        <f t="shared" si="12"/>
        <v>0</v>
      </c>
      <c r="AD45" s="789">
        <f t="shared" si="2"/>
        <v>0</v>
      </c>
      <c r="AE45" s="828" t="e">
        <f>HLOOKUP($AE$39,anticipado,5,0)</f>
        <v>#N/A</v>
      </c>
      <c r="AF45" s="827"/>
      <c r="AG45" s="614">
        <v>1.0240515539614707E-3</v>
      </c>
      <c r="AH45" s="615">
        <v>8.8076899266053903E-4</v>
      </c>
      <c r="AI45" s="616">
        <v>7.7484645885771369E-4</v>
      </c>
      <c r="AJ45" s="616">
        <v>1.1056678020277206E-3</v>
      </c>
      <c r="AK45" s="617">
        <v>1.0240515539614707E-3</v>
      </c>
      <c r="AL45" s="617">
        <v>8.8076899266053903E-4</v>
      </c>
      <c r="AM45" s="617">
        <v>1.2366390511413842E-3</v>
      </c>
      <c r="AN45" s="617">
        <v>1.1278867650882484E-3</v>
      </c>
      <c r="AO45" s="617">
        <v>1.0462898341104723E-3</v>
      </c>
      <c r="AP45" s="617">
        <v>1.3403677279255418E-3</v>
      </c>
      <c r="AQ45" s="617">
        <v>1.2366390511413842E-3</v>
      </c>
      <c r="AR45" s="618">
        <v>1.1294664011420581E-3</v>
      </c>
      <c r="AS45" s="618">
        <v>5.7120712875609444E-4</v>
      </c>
      <c r="AT45" s="618">
        <v>5.0642896259903137E-4</v>
      </c>
      <c r="AU45" s="618">
        <v>4.0390400013340177E-4</v>
      </c>
      <c r="AV45" s="618">
        <v>6.7342945790350376E-4</v>
      </c>
      <c r="AW45" s="618">
        <v>5.7120712875609444E-4</v>
      </c>
      <c r="AX45" s="618">
        <v>4.8248044401057541E-4</v>
      </c>
      <c r="AY45" s="618">
        <v>7.4651524478388013E-4</v>
      </c>
      <c r="AZ45" s="618">
        <v>6.853636284603476E-4</v>
      </c>
      <c r="BA45" s="618">
        <v>5.6955950235701772E-4</v>
      </c>
      <c r="BB45" s="618">
        <v>8.3485654633463197E-4</v>
      </c>
      <c r="BC45" s="617">
        <v>7.8388147213909198E-4</v>
      </c>
      <c r="BD45" s="617">
        <v>6.9892576988664248E-4</v>
      </c>
      <c r="BE45" s="617">
        <v>1.1754647384522052E-3</v>
      </c>
      <c r="BF45" s="617">
        <v>8.6882765095565079E-4</v>
      </c>
      <c r="BG45" s="617">
        <v>9.0782783873039725E-4</v>
      </c>
      <c r="BH45" s="617">
        <v>7.5843330558900287E-4</v>
      </c>
      <c r="BI45" s="617"/>
      <c r="BJ45" s="617"/>
      <c r="BK45" s="617"/>
      <c r="BL45" s="617"/>
      <c r="BM45" s="617"/>
      <c r="BN45" s="617"/>
      <c r="BO45" s="617"/>
      <c r="BP45" s="617"/>
      <c r="BQ45" s="617"/>
      <c r="BR45" s="617"/>
      <c r="BS45" s="617"/>
      <c r="BT45" s="617"/>
      <c r="BU45" s="617"/>
      <c r="BV45" s="617"/>
      <c r="BW45" s="617"/>
      <c r="BX45" s="617"/>
      <c r="BY45" s="617"/>
      <c r="BZ45" s="617"/>
      <c r="CA45" s="617"/>
      <c r="CB45" s="617"/>
      <c r="CC45" s="617"/>
      <c r="CD45" s="617"/>
      <c r="CE45" s="617"/>
      <c r="CF45" s="617"/>
      <c r="CG45" s="617"/>
      <c r="CH45" s="617"/>
      <c r="CI45" s="617"/>
      <c r="CJ45" s="617"/>
    </row>
    <row r="46" spans="1:96">
      <c r="A46" s="151">
        <f t="shared" ca="1" si="3"/>
        <v>4</v>
      </c>
      <c r="B46" s="784">
        <f t="shared" si="4"/>
        <v>0</v>
      </c>
      <c r="C46" s="944">
        <f t="shared" si="13"/>
        <v>0</v>
      </c>
      <c r="D46" s="947">
        <f t="shared" si="5"/>
        <v>0</v>
      </c>
      <c r="E46" s="947">
        <f t="shared" si="6"/>
        <v>0</v>
      </c>
      <c r="F46" s="947">
        <f t="shared" si="7"/>
        <v>0</v>
      </c>
      <c r="G46" s="947">
        <f>IF(M45&lt;0.01,0,IF($F$19=$U$4,$G$19,IF($F$19=$U$2,0,IF(AND($F$21=1,$F$19=$U$3),M45*Adm!$V$4,IF(AND($F$21=2,$F$19=$U$3),M45*Adm!$V$5,0)))))</f>
        <v>0</v>
      </c>
      <c r="H46" s="947">
        <f>IF(M45&lt;0.01,0,IF($F$20=$V$3,0,IF($F$10=$T$13,0,IF(OR($F$10=$T$16,$F$10=$T$17),0,IF(OR($F$10=$T$11,$F$10=$T$12),$F$11*Adm!$Z$3,$F$11*Adm!$AA$3)))))</f>
        <v>0</v>
      </c>
      <c r="I46" s="947">
        <f t="shared" si="14"/>
        <v>0</v>
      </c>
      <c r="J46" s="947">
        <f t="shared" si="0"/>
        <v>0</v>
      </c>
      <c r="K46" s="947">
        <f t="shared" si="8"/>
        <v>0</v>
      </c>
      <c r="L46" s="947">
        <f t="shared" si="1"/>
        <v>0</v>
      </c>
      <c r="M46" s="947">
        <f>IF(M45&lt;0.001,0,+M45-E46-L46-N46+O46)</f>
        <v>0</v>
      </c>
      <c r="N46" s="946"/>
      <c r="O46" s="941">
        <f>IF(C34&lt;&gt;"",0,IF(OR(F10=T11,F10=T12),F26,0))</f>
        <v>0</v>
      </c>
      <c r="P46" s="733"/>
      <c r="Q46" s="733"/>
      <c r="R46" s="733"/>
      <c r="S46" s="785">
        <f t="shared" si="10"/>
        <v>5</v>
      </c>
      <c r="T46" s="786">
        <f t="shared" si="15"/>
        <v>0</v>
      </c>
      <c r="W46" s="790">
        <f t="shared" si="16"/>
        <v>0</v>
      </c>
      <c r="X46" s="818">
        <f t="shared" ca="1" si="11"/>
        <v>0</v>
      </c>
      <c r="Z46" s="843">
        <f t="shared" si="17"/>
        <v>0</v>
      </c>
      <c r="AA46" s="792">
        <f t="shared" si="18"/>
        <v>0</v>
      </c>
      <c r="AB46" s="792">
        <f t="shared" si="19"/>
        <v>0</v>
      </c>
      <c r="AC46" s="789">
        <f t="shared" si="12"/>
        <v>0</v>
      </c>
      <c r="AD46" s="789">
        <f t="shared" si="2"/>
        <v>0</v>
      </c>
      <c r="AE46" s="828" t="e">
        <f>HLOOKUP($AE$39,anticipado,6,0)</f>
        <v>#N/A</v>
      </c>
      <c r="AF46" s="827"/>
      <c r="AG46" s="614">
        <v>1.033942809355015E-3</v>
      </c>
      <c r="AH46" s="615">
        <v>8.8954545532354433E-4</v>
      </c>
      <c r="AI46" s="616">
        <v>7.8274297824969187E-4</v>
      </c>
      <c r="AJ46" s="616">
        <v>1.1161065295329389E-3</v>
      </c>
      <c r="AK46" s="617">
        <v>1.033942809355015E-3</v>
      </c>
      <c r="AL46" s="617">
        <v>8.8954545532354433E-4</v>
      </c>
      <c r="AM46" s="617">
        <v>1.2479724017029463E-3</v>
      </c>
      <c r="AN46" s="617">
        <v>1.1385135414810387E-3</v>
      </c>
      <c r="AO46" s="617">
        <v>1.0563757637425254E-3</v>
      </c>
      <c r="AP46" s="617">
        <v>1.3524007461663582E-3</v>
      </c>
      <c r="AQ46" s="617">
        <v>1.2479724017029463E-3</v>
      </c>
      <c r="AR46" s="618">
        <v>1.1400627493020027E-3</v>
      </c>
      <c r="AS46" s="618">
        <v>5.767202601734652E-4</v>
      </c>
      <c r="AT46" s="618">
        <v>5.1145262951340074E-4</v>
      </c>
      <c r="AU46" s="618">
        <v>4.0807083704481043E-4</v>
      </c>
      <c r="AV46" s="618">
        <v>6.7969551395942571E-4</v>
      </c>
      <c r="AW46" s="618">
        <v>5.767202601734652E-4</v>
      </c>
      <c r="AX46" s="618">
        <v>4.8729509791351405E-4</v>
      </c>
      <c r="AY46" s="618">
        <v>7.5326120036421423E-4</v>
      </c>
      <c r="AZ46" s="618">
        <v>6.9172041295006612E-4</v>
      </c>
      <c r="BA46" s="618">
        <v>5.7507952849690448E-4</v>
      </c>
      <c r="BB46" s="618">
        <v>8.4216891756039205E-4</v>
      </c>
      <c r="BC46" s="617">
        <v>7.9086392032875054E-4</v>
      </c>
      <c r="BD46" s="617">
        <v>7.0535963295518883E-4</v>
      </c>
      <c r="BE46" s="617">
        <v>1.18640016547285E-3</v>
      </c>
      <c r="BF46" s="617">
        <v>8.7751086874697797E-4</v>
      </c>
      <c r="BG46" s="617">
        <v>9.1558121611732624E-4</v>
      </c>
      <c r="BH46" s="617">
        <v>7.6526446213823435E-4</v>
      </c>
      <c r="BI46" s="617"/>
      <c r="BJ46" s="617"/>
      <c r="BK46" s="617"/>
      <c r="BL46" s="617"/>
      <c r="BM46" s="617"/>
      <c r="BN46" s="617"/>
      <c r="BO46" s="617"/>
      <c r="BP46" s="617"/>
      <c r="BQ46" s="617"/>
      <c r="BR46" s="617"/>
      <c r="BS46" s="617"/>
      <c r="BT46" s="617"/>
      <c r="BU46" s="617"/>
      <c r="BV46" s="617"/>
      <c r="BW46" s="617"/>
      <c r="BX46" s="617"/>
      <c r="BY46" s="617"/>
      <c r="BZ46" s="617"/>
      <c r="CA46" s="617"/>
      <c r="CB46" s="617"/>
      <c r="CC46" s="617"/>
      <c r="CD46" s="617"/>
      <c r="CE46" s="617"/>
      <c r="CF46" s="617"/>
      <c r="CG46" s="617"/>
      <c r="CH46" s="617"/>
      <c r="CI46" s="617"/>
      <c r="CJ46" s="617"/>
    </row>
    <row r="47" spans="1:96">
      <c r="A47" s="151">
        <f t="shared" ca="1" si="3"/>
        <v>5</v>
      </c>
      <c r="B47" s="784">
        <f t="shared" si="4"/>
        <v>0</v>
      </c>
      <c r="C47" s="944">
        <f t="shared" si="13"/>
        <v>0</v>
      </c>
      <c r="D47" s="947">
        <f t="shared" si="5"/>
        <v>0</v>
      </c>
      <c r="E47" s="947">
        <f t="shared" si="6"/>
        <v>0</v>
      </c>
      <c r="F47" s="947">
        <f t="shared" si="7"/>
        <v>0</v>
      </c>
      <c r="G47" s="947">
        <f>IF(M46&lt;0.01,0,IF($F$19=$U$4,$G$19,IF($F$19=$U$2,0,IF(AND($F$21=1,$F$19=$U$3),M46*Adm!$V$4,IF(AND($F$21=2,$F$19=$U$3),M46*Adm!$V$5,0)))))</f>
        <v>0</v>
      </c>
      <c r="H47" s="947">
        <f>IF(M46&lt;0.01,0,IF($F$20=$V$3,0,IF($F$10=$T$13,0,IF(OR($F$10=$T$16,$F$10=$T$17),0,IF(OR($F$10=$T$11,$F$10=$T$12),$F$11*Adm!$Z$3,$F$11*Adm!$AA$3)))))</f>
        <v>0</v>
      </c>
      <c r="I47" s="947">
        <f t="shared" si="14"/>
        <v>0</v>
      </c>
      <c r="J47" s="947">
        <f t="shared" si="0"/>
        <v>0</v>
      </c>
      <c r="K47" s="947">
        <f t="shared" si="8"/>
        <v>0</v>
      </c>
      <c r="L47" s="947">
        <f t="shared" si="1"/>
        <v>0</v>
      </c>
      <c r="M47" s="947">
        <f t="shared" si="9"/>
        <v>0</v>
      </c>
      <c r="N47" s="946"/>
      <c r="O47" s="791"/>
      <c r="P47" s="733"/>
      <c r="Q47" s="733"/>
      <c r="R47" s="733"/>
      <c r="S47" s="785">
        <f t="shared" si="10"/>
        <v>6</v>
      </c>
      <c r="T47" s="786">
        <f t="shared" si="15"/>
        <v>0</v>
      </c>
      <c r="W47" s="790">
        <f t="shared" si="16"/>
        <v>0</v>
      </c>
      <c r="X47" s="818">
        <f t="shared" ca="1" si="11"/>
        <v>0</v>
      </c>
      <c r="Z47" s="843">
        <f t="shared" si="17"/>
        <v>0</v>
      </c>
      <c r="AA47" s="792">
        <f t="shared" si="18"/>
        <v>0</v>
      </c>
      <c r="AB47" s="792">
        <f t="shared" si="19"/>
        <v>0</v>
      </c>
      <c r="AC47" s="789">
        <f t="shared" si="12"/>
        <v>0</v>
      </c>
      <c r="AD47" s="789">
        <f t="shared" si="2"/>
        <v>0</v>
      </c>
      <c r="AE47" s="828" t="e">
        <f>HLOOKUP($AE$39,anticipado,7,0)</f>
        <v>#N/A</v>
      </c>
      <c r="AF47" s="827"/>
      <c r="AG47" s="614">
        <v>1.0439399402803532E-3</v>
      </c>
      <c r="AH47" s="615">
        <v>8.9841726332417896E-4</v>
      </c>
      <c r="AI47" s="616">
        <v>7.9072622050020734E-4</v>
      </c>
      <c r="AJ47" s="616">
        <v>1.1266555840451901E-3</v>
      </c>
      <c r="AK47" s="617">
        <v>1.0439399402803532E-3</v>
      </c>
      <c r="AL47" s="617">
        <v>8.9841726332417896E-4</v>
      </c>
      <c r="AM47" s="617">
        <v>1.2594239094975261E-3</v>
      </c>
      <c r="AN47" s="617">
        <v>1.1492526683751691E-3</v>
      </c>
      <c r="AO47" s="617">
        <v>1.0665696874161111E-3</v>
      </c>
      <c r="AP47" s="617">
        <v>1.3645582314262439E-3</v>
      </c>
      <c r="AQ47" s="617">
        <v>1.2594239094975261E-3</v>
      </c>
      <c r="AR47" s="618">
        <v>1.1507707172886009E-3</v>
      </c>
      <c r="AS47" s="618">
        <v>5.8228981486806554E-4</v>
      </c>
      <c r="AT47" s="618">
        <v>5.1652872631136396E-4</v>
      </c>
      <c r="AU47" s="618">
        <v>4.1228237933749743E-4</v>
      </c>
      <c r="AV47" s="618">
        <v>6.8602417532175942E-4</v>
      </c>
      <c r="AW47" s="618">
        <v>5.8228981486806554E-4</v>
      </c>
      <c r="AX47" s="618">
        <v>4.9216016778836128E-4</v>
      </c>
      <c r="AY47" s="618">
        <v>7.6007324766079638E-4</v>
      </c>
      <c r="AZ47" s="618">
        <v>6.9814059793058545E-4</v>
      </c>
      <c r="BA47" s="618">
        <v>5.8065626039348057E-4</v>
      </c>
      <c r="BB47" s="618">
        <v>8.4955155407044798E-4</v>
      </c>
      <c r="BC47" s="617">
        <v>7.9791414065411557E-4</v>
      </c>
      <c r="BD47" s="617">
        <v>7.1185730524284997E-4</v>
      </c>
      <c r="BE47" s="617">
        <v>1.1974504355441466E-3</v>
      </c>
      <c r="BF47" s="617">
        <v>8.8628857068734433E-4</v>
      </c>
      <c r="BG47" s="617">
        <v>9.2340797788959038E-4</v>
      </c>
      <c r="BH47" s="617">
        <v>7.7216242521003684E-4</v>
      </c>
      <c r="BI47" s="617"/>
      <c r="BJ47" s="617"/>
      <c r="BK47" s="617"/>
      <c r="BL47" s="617"/>
      <c r="BM47" s="617"/>
      <c r="BN47" s="617"/>
      <c r="BO47" s="617"/>
      <c r="BP47" s="617"/>
      <c r="BQ47" s="617"/>
      <c r="BR47" s="617"/>
      <c r="BS47" s="617"/>
      <c r="BT47" s="617"/>
      <c r="BU47" s="617"/>
      <c r="BV47" s="617"/>
      <c r="BW47" s="617"/>
      <c r="BX47" s="617"/>
      <c r="BY47" s="617"/>
      <c r="BZ47" s="617"/>
      <c r="CA47" s="617"/>
      <c r="CB47" s="617"/>
      <c r="CC47" s="617"/>
      <c r="CD47" s="617"/>
      <c r="CE47" s="617"/>
      <c r="CF47" s="617"/>
      <c r="CG47" s="617"/>
      <c r="CH47" s="617"/>
      <c r="CI47" s="617"/>
      <c r="CJ47" s="617"/>
    </row>
    <row r="48" spans="1:96">
      <c r="A48" s="151">
        <f t="shared" ca="1" si="3"/>
        <v>6</v>
      </c>
      <c r="B48" s="784">
        <f t="shared" si="4"/>
        <v>0</v>
      </c>
      <c r="C48" s="944">
        <f t="shared" si="13"/>
        <v>0</v>
      </c>
      <c r="D48" s="947">
        <f t="shared" si="5"/>
        <v>0</v>
      </c>
      <c r="E48" s="947">
        <f t="shared" si="6"/>
        <v>0</v>
      </c>
      <c r="F48" s="947">
        <f t="shared" si="7"/>
        <v>0</v>
      </c>
      <c r="G48" s="947">
        <f>IF(M47&lt;0.01,0,IF($F$19=$U$4,$G$19,IF($F$19=$U$2,0,IF(AND($F$21=1,$F$19=$U$3),M47*Adm!$V$4,IF(AND($F$21=2,$F$19=$U$3),M47*Adm!$V$5,0)))))</f>
        <v>0</v>
      </c>
      <c r="H48" s="947">
        <f>IF(M47&lt;0.01,0,IF($F$20=$V$3,0,IF($F$10=$T$13,0,IF(OR($F$10=$T$16,$F$10=$T$17),0,IF(OR($F$10=$T$11,$F$10=$T$12),$F$11*Adm!$Z$3,$F$11*Adm!$AA$3)))))</f>
        <v>0</v>
      </c>
      <c r="I48" s="947">
        <f t="shared" si="14"/>
        <v>0</v>
      </c>
      <c r="J48" s="947">
        <f t="shared" si="0"/>
        <v>0</v>
      </c>
      <c r="K48" s="947">
        <f t="shared" si="8"/>
        <v>0</v>
      </c>
      <c r="L48" s="947">
        <f t="shared" si="1"/>
        <v>0</v>
      </c>
      <c r="M48" s="947">
        <f>IF(M47&lt;0.001,0,+M47-E48-L48-N48+O48)</f>
        <v>0</v>
      </c>
      <c r="N48" s="946"/>
      <c r="O48" s="941">
        <f>IF(C34&lt;&gt;"",0,IF(OR(F10=T11,F10=T12),F26,0))</f>
        <v>0</v>
      </c>
      <c r="P48" s="733"/>
      <c r="Q48" s="733"/>
      <c r="R48" s="733"/>
      <c r="S48" s="785">
        <f t="shared" si="10"/>
        <v>7</v>
      </c>
      <c r="T48" s="786">
        <f t="shared" si="15"/>
        <v>0</v>
      </c>
      <c r="W48" s="790">
        <f t="shared" si="16"/>
        <v>0</v>
      </c>
      <c r="X48" s="818">
        <f t="shared" ca="1" si="11"/>
        <v>0</v>
      </c>
      <c r="Z48" s="843">
        <f t="shared" si="17"/>
        <v>0</v>
      </c>
      <c r="AA48" s="792">
        <f t="shared" si="18"/>
        <v>0</v>
      </c>
      <c r="AB48" s="792">
        <f t="shared" si="19"/>
        <v>0</v>
      </c>
      <c r="AC48" s="789">
        <f t="shared" si="12"/>
        <v>0</v>
      </c>
      <c r="AD48" s="789">
        <f t="shared" si="2"/>
        <v>0</v>
      </c>
      <c r="AE48" s="828" t="e">
        <f>HLOOKUP($AE$39,anticipado,8,0)</f>
        <v>#N/A</v>
      </c>
      <c r="AF48" s="827"/>
      <c r="AG48" s="614">
        <v>1.0540442811892274E-3</v>
      </c>
      <c r="AH48" s="615">
        <v>9.073856108861595E-4</v>
      </c>
      <c r="AI48" s="616">
        <v>7.9879726630140743E-4</v>
      </c>
      <c r="AJ48" s="616">
        <v>1.1373163556052343E-3</v>
      </c>
      <c r="AK48" s="617">
        <v>1.0540442811892274E-3</v>
      </c>
      <c r="AL48" s="617">
        <v>9.073856108861595E-4</v>
      </c>
      <c r="AM48" s="617">
        <v>1.270995070361515E-3</v>
      </c>
      <c r="AN48" s="617">
        <v>1.1601055657285547E-3</v>
      </c>
      <c r="AO48" s="617">
        <v>1.076872970634108E-3</v>
      </c>
      <c r="AP48" s="617">
        <v>1.3768417687097338E-3</v>
      </c>
      <c r="AQ48" s="617">
        <v>1.270995070361515E-3</v>
      </c>
      <c r="AR48" s="618">
        <v>1.1615917116774975E-3</v>
      </c>
      <c r="AS48" s="618">
        <v>5.8791643268874276E-4</v>
      </c>
      <c r="AT48" s="618">
        <v>5.2165785201061183E-4</v>
      </c>
      <c r="AU48" s="618">
        <v>4.1653914232812114E-4</v>
      </c>
      <c r="AV48" s="618">
        <v>6.9241614805085592E-4</v>
      </c>
      <c r="AW48" s="618">
        <v>5.8791643268874276E-4</v>
      </c>
      <c r="AX48" s="618">
        <v>4.9707622916796937E-4</v>
      </c>
      <c r="AY48" s="618">
        <v>7.6695212752328609E-4</v>
      </c>
      <c r="AZ48" s="618">
        <v>7.0462489864421269E-4</v>
      </c>
      <c r="BA48" s="618">
        <v>5.8629034312554474E-4</v>
      </c>
      <c r="BB48" s="618">
        <v>8.5700524067423454E-4</v>
      </c>
      <c r="BC48" s="617">
        <v>8.0503289088975846E-4</v>
      </c>
      <c r="BD48" s="617">
        <v>7.1841950450992839E-4</v>
      </c>
      <c r="BE48" s="617">
        <v>1.2086170005330072E-3</v>
      </c>
      <c r="BF48" s="617">
        <v>8.9516193995307295E-4</v>
      </c>
      <c r="BG48" s="617">
        <v>9.3130894182776188E-4</v>
      </c>
      <c r="BH48" s="617">
        <v>7.7912794385381694E-4</v>
      </c>
      <c r="BI48" s="617"/>
      <c r="BJ48" s="617"/>
      <c r="BK48" s="617"/>
      <c r="BL48" s="617"/>
      <c r="BM48" s="617"/>
      <c r="BN48" s="617"/>
      <c r="BO48" s="617"/>
      <c r="BP48" s="617"/>
      <c r="BQ48" s="617"/>
      <c r="BR48" s="617"/>
      <c r="BS48" s="617"/>
      <c r="BT48" s="617"/>
      <c r="BU48" s="617"/>
      <c r="BV48" s="617"/>
      <c r="BW48" s="617"/>
      <c r="BX48" s="617"/>
      <c r="BY48" s="617"/>
      <c r="BZ48" s="617"/>
      <c r="CA48" s="617"/>
      <c r="CB48" s="617"/>
      <c r="CC48" s="617"/>
      <c r="CD48" s="617"/>
      <c r="CE48" s="617"/>
      <c r="CF48" s="617"/>
      <c r="CG48" s="617"/>
      <c r="CH48" s="617"/>
      <c r="CI48" s="617"/>
      <c r="CJ48" s="617"/>
    </row>
    <row r="49" spans="1:88">
      <c r="A49" s="151">
        <f t="shared" ca="1" si="3"/>
        <v>7</v>
      </c>
      <c r="B49" s="784">
        <f t="shared" si="4"/>
        <v>0</v>
      </c>
      <c r="C49" s="944">
        <f t="shared" si="13"/>
        <v>0</v>
      </c>
      <c r="D49" s="947">
        <f t="shared" si="5"/>
        <v>0</v>
      </c>
      <c r="E49" s="947">
        <f t="shared" si="6"/>
        <v>0</v>
      </c>
      <c r="F49" s="947">
        <f t="shared" si="7"/>
        <v>0</v>
      </c>
      <c r="G49" s="947">
        <f>IF(M48&lt;0.01,0,IF($F$19=$U$4,$G$19,IF($F$19=$U$2,0,IF(AND($F$21=1,$F$19=$U$3),M48*Adm!$V$4,IF(AND($F$21=2,$F$19=$U$3),M48*Adm!$V$5,0)))))</f>
        <v>0</v>
      </c>
      <c r="H49" s="947">
        <f>IF(M48&lt;0.01,0,IF($F$20=$V$3,0,IF($F$10=$T$13,0,IF(OR($F$10=$T$16,$F$10=$T$17),0,IF(OR($F$10=$T$11,$F$10=$T$12),$F$11*Adm!$Z$3,$F$11*Adm!$AA$3)))))</f>
        <v>0</v>
      </c>
      <c r="I49" s="947">
        <f t="shared" si="14"/>
        <v>0</v>
      </c>
      <c r="J49" s="947">
        <f t="shared" si="0"/>
        <v>0</v>
      </c>
      <c r="K49" s="947">
        <f t="shared" si="8"/>
        <v>0</v>
      </c>
      <c r="L49" s="947">
        <f t="shared" si="1"/>
        <v>0</v>
      </c>
      <c r="M49" s="947">
        <f t="shared" si="9"/>
        <v>0</v>
      </c>
      <c r="N49" s="946"/>
      <c r="O49" s="791"/>
      <c r="P49" s="733"/>
      <c r="Q49" s="733"/>
      <c r="R49" s="733"/>
      <c r="S49" s="785">
        <f t="shared" si="10"/>
        <v>8</v>
      </c>
      <c r="T49" s="786">
        <f t="shared" si="15"/>
        <v>0</v>
      </c>
      <c r="W49" s="790">
        <f t="shared" si="16"/>
        <v>0</v>
      </c>
      <c r="X49" s="818">
        <f t="shared" ca="1" si="11"/>
        <v>0</v>
      </c>
      <c r="Z49" s="843">
        <f t="shared" si="17"/>
        <v>0</v>
      </c>
      <c r="AA49" s="792">
        <f t="shared" si="18"/>
        <v>0</v>
      </c>
      <c r="AB49" s="792">
        <f t="shared" si="19"/>
        <v>0</v>
      </c>
      <c r="AC49" s="789">
        <f t="shared" si="12"/>
        <v>0</v>
      </c>
      <c r="AD49" s="789">
        <f t="shared" si="2"/>
        <v>0</v>
      </c>
      <c r="AE49" s="828" t="e">
        <f>HLOOKUP($AE$39,anticipado,9,0)</f>
        <v>#N/A</v>
      </c>
      <c r="AF49" s="827"/>
      <c r="AG49" s="614">
        <v>1.064257187316491E-3</v>
      </c>
      <c r="AH49" s="615">
        <v>9.1645171040003989E-4</v>
      </c>
      <c r="AI49" s="616">
        <v>8.0695721246386504E-4</v>
      </c>
      <c r="AJ49" s="616">
        <v>1.1480902560916117E-3</v>
      </c>
      <c r="AK49" s="617">
        <v>1.064257187316491E-3</v>
      </c>
      <c r="AL49" s="617">
        <v>9.1645171040003989E-4</v>
      </c>
      <c r="AM49" s="617">
        <v>1.2826874040358879E-3</v>
      </c>
      <c r="AN49" s="617">
        <v>1.171073675920652E-3</v>
      </c>
      <c r="AO49" s="617">
        <v>1.0872870002806426E-3</v>
      </c>
      <c r="AP49" s="617">
        <v>1.3892529687107703E-3</v>
      </c>
      <c r="AQ49" s="617">
        <v>1.2826874040358879E-3</v>
      </c>
      <c r="AR49" s="618">
        <v>1.1725271612000742E-3</v>
      </c>
      <c r="AS49" s="618">
        <v>5.936007619578048E-4</v>
      </c>
      <c r="AT49" s="618">
        <v>5.2684061351107494E-4</v>
      </c>
      <c r="AU49" s="618">
        <v>4.2084164801581059E-4</v>
      </c>
      <c r="AV49" s="618">
        <v>6.9887214768827818E-4</v>
      </c>
      <c r="AW49" s="618">
        <v>5.936007619578048E-4</v>
      </c>
      <c r="AX49" s="618">
        <v>5.0204386511450215E-4</v>
      </c>
      <c r="AY49" s="618">
        <v>7.7389859081698612E-4</v>
      </c>
      <c r="AZ49" s="618">
        <v>7.1117403996006723E-4</v>
      </c>
      <c r="BA49" s="618">
        <v>5.9198243033591286E-4</v>
      </c>
      <c r="BB49" s="618">
        <v>8.6453077289933673E-4</v>
      </c>
      <c r="BC49" s="617">
        <v>8.1222093909145163E-4</v>
      </c>
      <c r="BD49" s="617">
        <v>7.250469581747015E-4</v>
      </c>
      <c r="BE49" s="617">
        <v>1.2199013353468725E-3</v>
      </c>
      <c r="BF49" s="617">
        <v>9.0413217768646405E-4</v>
      </c>
      <c r="BG49" s="617">
        <v>9.392849369699223E-4</v>
      </c>
      <c r="BH49" s="617">
        <v>7.8616177726680404E-4</v>
      </c>
      <c r="BI49" s="617"/>
      <c r="BJ49" s="617"/>
      <c r="BK49" s="617"/>
      <c r="BL49" s="617"/>
      <c r="BM49" s="617"/>
      <c r="BN49" s="617"/>
      <c r="BO49" s="617"/>
      <c r="BP49" s="617"/>
      <c r="BQ49" s="617"/>
      <c r="BR49" s="617"/>
      <c r="BS49" s="617"/>
      <c r="BT49" s="617"/>
      <c r="BU49" s="617"/>
      <c r="BV49" s="617"/>
      <c r="BW49" s="617"/>
      <c r="BX49" s="617"/>
      <c r="BY49" s="617"/>
      <c r="BZ49" s="617"/>
      <c r="CA49" s="617"/>
      <c r="CB49" s="617"/>
      <c r="CC49" s="617"/>
      <c r="CD49" s="617"/>
      <c r="CE49" s="617"/>
      <c r="CF49" s="617"/>
      <c r="CG49" s="617"/>
      <c r="CH49" s="617"/>
      <c r="CI49" s="617"/>
      <c r="CJ49" s="617"/>
    </row>
    <row r="50" spans="1:88">
      <c r="A50" s="151">
        <f t="shared" ca="1" si="3"/>
        <v>8</v>
      </c>
      <c r="B50" s="784">
        <f t="shared" si="4"/>
        <v>0</v>
      </c>
      <c r="C50" s="944">
        <f t="shared" si="13"/>
        <v>0</v>
      </c>
      <c r="D50" s="947">
        <f t="shared" si="5"/>
        <v>0</v>
      </c>
      <c r="E50" s="947">
        <f t="shared" si="6"/>
        <v>0</v>
      </c>
      <c r="F50" s="947">
        <f t="shared" si="7"/>
        <v>0</v>
      </c>
      <c r="G50" s="947">
        <f>IF(M49&lt;0.01,0,IF($F$19=$U$4,$G$19,IF($F$19=$U$2,0,IF(AND($F$21=1,$F$19=$U$3),M49*Adm!$V$4,IF(AND($F$21=2,$F$19=$U$3),M49*Adm!$V$5,0)))))</f>
        <v>0</v>
      </c>
      <c r="H50" s="947">
        <f>IF(M49&lt;0.01,0,IF($F$20=$V$3,0,IF($F$10=$T$13,0,IF(OR($F$10=$T$16,$F$10=$T$17),0,IF(OR($F$10=$T$11,$F$10=$T$12),$F$11*Adm!$Z$3,$F$11*Adm!$AA$3)))))</f>
        <v>0</v>
      </c>
      <c r="I50" s="947">
        <f t="shared" si="14"/>
        <v>0</v>
      </c>
      <c r="J50" s="947">
        <f t="shared" si="0"/>
        <v>0</v>
      </c>
      <c r="K50" s="947">
        <f t="shared" si="8"/>
        <v>0</v>
      </c>
      <c r="L50" s="947">
        <f t="shared" si="1"/>
        <v>0</v>
      </c>
      <c r="M50" s="947">
        <f>IF(M49&lt;0.001,0,+M49-E50-L50-N50+O50)</f>
        <v>0</v>
      </c>
      <c r="N50" s="946"/>
      <c r="O50" s="941">
        <f>IF(C34&lt;&gt;"",0,IF(OR(F10=T11,F10=T12),F27,0))</f>
        <v>0</v>
      </c>
      <c r="P50" s="733"/>
      <c r="Q50" s="733"/>
      <c r="R50" s="733"/>
      <c r="S50" s="785">
        <f t="shared" si="10"/>
        <v>9</v>
      </c>
      <c r="T50" s="786">
        <f t="shared" si="15"/>
        <v>0</v>
      </c>
      <c r="W50" s="790">
        <f t="shared" si="16"/>
        <v>0</v>
      </c>
      <c r="X50" s="818">
        <f t="shared" ca="1" si="11"/>
        <v>0</v>
      </c>
      <c r="Z50" s="843">
        <f t="shared" si="17"/>
        <v>0</v>
      </c>
      <c r="AA50" s="792">
        <f t="shared" si="18"/>
        <v>0</v>
      </c>
      <c r="AB50" s="792">
        <f t="shared" si="19"/>
        <v>0</v>
      </c>
      <c r="AC50" s="789">
        <f t="shared" si="12"/>
        <v>0</v>
      </c>
      <c r="AD50" s="789">
        <f t="shared" si="2"/>
        <v>0</v>
      </c>
      <c r="AE50" s="828" t="e">
        <f>HLOOKUP($AE$39,anticipado,10,0)</f>
        <v>#N/A</v>
      </c>
      <c r="AF50" s="827"/>
      <c r="AG50" s="614">
        <v>1.0745800350827805E-3</v>
      </c>
      <c r="AH50" s="615">
        <v>9.2561679276482523E-4</v>
      </c>
      <c r="AI50" s="616">
        <v>8.1520717221173118E-4</v>
      </c>
      <c r="AJ50" s="616">
        <v>1.1589787196486202E-3</v>
      </c>
      <c r="AK50" s="617">
        <v>1.0745800350827805E-3</v>
      </c>
      <c r="AL50" s="617">
        <v>9.2561679276482523E-4</v>
      </c>
      <c r="AM50" s="617">
        <v>1.2945024546442382E-3</v>
      </c>
      <c r="AN50" s="617">
        <v>1.1821584641943811E-3</v>
      </c>
      <c r="AO50" s="617">
        <v>1.0978131850378796E-3</v>
      </c>
      <c r="AP50" s="617">
        <v>1.4017934683345928E-3</v>
      </c>
      <c r="AQ50" s="617">
        <v>1.2945024546442382E-3</v>
      </c>
      <c r="AR50" s="618">
        <v>1.1835785171791036E-3</v>
      </c>
      <c r="AS50" s="618">
        <v>5.9934345960687015E-4</v>
      </c>
      <c r="AT50" s="618">
        <v>5.3207762571929435E-4</v>
      </c>
      <c r="AU50" s="618">
        <v>4.2519042518415485E-4</v>
      </c>
      <c r="AV50" s="618">
        <v>7.0539289941266479E-4</v>
      </c>
      <c r="AW50" s="618">
        <v>5.9934345960687015E-4</v>
      </c>
      <c r="AX50" s="618">
        <v>5.070636663371225E-4</v>
      </c>
      <c r="AY50" s="618">
        <v>7.8091339858963878E-4</v>
      </c>
      <c r="AZ50" s="618">
        <v>7.1778875653287987E-4</v>
      </c>
      <c r="BA50" s="618">
        <v>5.9773318436898311E-4</v>
      </c>
      <c r="BB50" s="618">
        <v>8.7212895717286929E-4</v>
      </c>
      <c r="BC50" s="617">
        <v>8.1947906376848346E-4</v>
      </c>
      <c r="BD50" s="617">
        <v>7.3174040347289727E-4</v>
      </c>
      <c r="BE50" s="617">
        <v>1.2313049383906667E-3</v>
      </c>
      <c r="BF50" s="617">
        <v>9.1320050333278124E-4</v>
      </c>
      <c r="BG50" s="617">
        <v>9.4733680380436791E-4</v>
      </c>
      <c r="BH50" s="617">
        <v>7.9326469496354712E-4</v>
      </c>
      <c r="BI50" s="617"/>
      <c r="BJ50" s="617"/>
      <c r="BK50" s="617"/>
      <c r="BL50" s="617"/>
      <c r="BM50" s="617"/>
      <c r="BN50" s="617"/>
      <c r="BO50" s="617"/>
      <c r="BP50" s="617"/>
      <c r="BQ50" s="617"/>
      <c r="BR50" s="617"/>
      <c r="BS50" s="617"/>
      <c r="BT50" s="617"/>
      <c r="BU50" s="617"/>
      <c r="BV50" s="617"/>
      <c r="BW50" s="617"/>
      <c r="BX50" s="617"/>
      <c r="BY50" s="617"/>
      <c r="BZ50" s="617"/>
      <c r="CA50" s="617"/>
      <c r="CB50" s="617"/>
      <c r="CC50" s="617"/>
      <c r="CD50" s="617"/>
      <c r="CE50" s="617"/>
      <c r="CF50" s="617"/>
      <c r="CG50" s="617"/>
      <c r="CH50" s="617"/>
      <c r="CI50" s="617"/>
      <c r="CJ50" s="617"/>
    </row>
    <row r="51" spans="1:88">
      <c r="A51" s="151">
        <f t="shared" ca="1" si="3"/>
        <v>9</v>
      </c>
      <c r="B51" s="784">
        <f t="shared" si="4"/>
        <v>0</v>
      </c>
      <c r="C51" s="944">
        <f t="shared" si="13"/>
        <v>0</v>
      </c>
      <c r="D51" s="947">
        <f t="shared" si="5"/>
        <v>0</v>
      </c>
      <c r="E51" s="947">
        <f t="shared" si="6"/>
        <v>0</v>
      </c>
      <c r="F51" s="947">
        <f t="shared" si="7"/>
        <v>0</v>
      </c>
      <c r="G51" s="947">
        <f>IF(M50&lt;0.01,0,IF($F$19=$U$4,$G$19,IF($F$19=$U$2,0,IF(AND($F$21=1,$F$19=$U$3),M50*Adm!$V$4,IF(AND($F$21=2,$F$19=$U$3),M50*Adm!$V$5,0)))))</f>
        <v>0</v>
      </c>
      <c r="H51" s="947">
        <f>IF(M50&lt;0.01,0,IF($F$20=$V$3,0,IF($F$10=$T$13,0,IF(OR($F$10=$T$16,$F$10=$T$17),0,IF(OR($F$10=$T$11,$F$10=$T$12),$F$11*Adm!$Z$3,$F$11*Adm!$AA$3)))))</f>
        <v>0</v>
      </c>
      <c r="I51" s="947">
        <f t="shared" si="14"/>
        <v>0</v>
      </c>
      <c r="J51" s="947">
        <f t="shared" si="0"/>
        <v>0</v>
      </c>
      <c r="K51" s="947">
        <f t="shared" si="8"/>
        <v>0</v>
      </c>
      <c r="L51" s="947">
        <f t="shared" si="1"/>
        <v>0</v>
      </c>
      <c r="M51" s="947">
        <f t="shared" si="9"/>
        <v>0</v>
      </c>
      <c r="N51" s="946"/>
      <c r="O51" s="793"/>
      <c r="P51" s="733"/>
      <c r="Q51" s="733"/>
      <c r="R51" s="733"/>
      <c r="S51" s="785">
        <f t="shared" si="10"/>
        <v>10</v>
      </c>
      <c r="T51" s="786">
        <f t="shared" si="15"/>
        <v>0</v>
      </c>
      <c r="W51" s="790">
        <f t="shared" si="16"/>
        <v>0</v>
      </c>
      <c r="X51" s="818">
        <f t="shared" ca="1" si="11"/>
        <v>0</v>
      </c>
      <c r="Z51" s="843">
        <f t="shared" si="17"/>
        <v>0</v>
      </c>
      <c r="AA51" s="792">
        <f t="shared" si="18"/>
        <v>0</v>
      </c>
      <c r="AB51" s="792">
        <f t="shared" si="19"/>
        <v>0</v>
      </c>
      <c r="AC51" s="789">
        <f t="shared" si="12"/>
        <v>0</v>
      </c>
      <c r="AD51" s="789">
        <f t="shared" si="2"/>
        <v>0</v>
      </c>
      <c r="AE51" s="828" t="e">
        <f>HLOOKUP($AE$39,anticipado,11,0)</f>
        <v>#N/A</v>
      </c>
      <c r="AF51" s="827"/>
      <c r="AG51" s="614">
        <v>1.0850142225066555E-3</v>
      </c>
      <c r="AH51" s="615">
        <v>9.3488210773734438E-4</v>
      </c>
      <c r="AI51" s="616">
        <v>8.235482754844611E-4</v>
      </c>
      <c r="AJ51" s="616">
        <v>1.1699832031244616E-3</v>
      </c>
      <c r="AK51" s="617">
        <v>1.0850142225066555E-3</v>
      </c>
      <c r="AL51" s="617">
        <v>9.3488210773734438E-4</v>
      </c>
      <c r="AM51" s="617">
        <v>1.3064417911823726E-3</v>
      </c>
      <c r="AN51" s="617">
        <v>1.1933614191085668E-3</v>
      </c>
      <c r="AO51" s="617">
        <v>1.1084529558126727E-3</v>
      </c>
      <c r="AP51" s="617">
        <v>1.4144649312324343E-3</v>
      </c>
      <c r="AQ51" s="617">
        <v>1.3064417911823726E-3</v>
      </c>
      <c r="AR51" s="618">
        <v>1.1947472539747845E-3</v>
      </c>
      <c r="AS51" s="618">
        <v>6.0514519131532813E-4</v>
      </c>
      <c r="AT51" s="618">
        <v>5.3736951167517543E-4</v>
      </c>
      <c r="AU51" s="618">
        <v>4.2958600950505601E-4</v>
      </c>
      <c r="AV51" s="618">
        <v>7.1197913819871501E-4</v>
      </c>
      <c r="AW51" s="618">
        <v>6.0514519131532813E-4</v>
      </c>
      <c r="AX51" s="618">
        <v>5.1213623131188561E-4</v>
      </c>
      <c r="AY51" s="618">
        <v>7.8799732224161363E-4</v>
      </c>
      <c r="AZ51" s="618">
        <v>7.2446979296495752E-4</v>
      </c>
      <c r="BA51" s="618">
        <v>6.0354327641099425E-4</v>
      </c>
      <c r="BB51" s="618">
        <v>8.7980061100655224E-4</v>
      </c>
      <c r="BC51" s="617">
        <v>8.2680805405946074E-4</v>
      </c>
      <c r="BD51" s="617">
        <v>7.3850058762036676E-4</v>
      </c>
      <c r="BE51" s="617">
        <v>1.2428293320347146E-3</v>
      </c>
      <c r="BF51" s="617">
        <v>9.223681549848893E-4</v>
      </c>
      <c r="BG51" s="617">
        <v>9.5546539446631656E-4</v>
      </c>
      <c r="BH51" s="617">
        <v>8.0043747694886016E-4</v>
      </c>
      <c r="BI51" s="617"/>
      <c r="BJ51" s="617"/>
      <c r="BK51" s="617"/>
      <c r="BL51" s="617"/>
      <c r="BM51" s="617"/>
      <c r="BN51" s="617"/>
      <c r="BO51" s="617"/>
      <c r="BP51" s="617"/>
      <c r="BQ51" s="617"/>
      <c r="BR51" s="617"/>
      <c r="BS51" s="617"/>
      <c r="BT51" s="617"/>
      <c r="BU51" s="617"/>
      <c r="BV51" s="617"/>
      <c r="BW51" s="617"/>
      <c r="BX51" s="617"/>
      <c r="BY51" s="617"/>
      <c r="BZ51" s="617"/>
      <c r="CA51" s="617"/>
      <c r="CB51" s="617"/>
      <c r="CC51" s="617"/>
      <c r="CD51" s="617"/>
      <c r="CE51" s="617"/>
      <c r="CF51" s="617"/>
      <c r="CG51" s="617"/>
      <c r="CH51" s="617"/>
      <c r="CI51" s="617"/>
      <c r="CJ51" s="617"/>
    </row>
    <row r="52" spans="1:88">
      <c r="A52" s="151">
        <f t="shared" ca="1" si="3"/>
        <v>10</v>
      </c>
      <c r="B52" s="784">
        <f t="shared" si="4"/>
        <v>0</v>
      </c>
      <c r="C52" s="944">
        <f t="shared" si="13"/>
        <v>0</v>
      </c>
      <c r="D52" s="947">
        <f t="shared" si="5"/>
        <v>0</v>
      </c>
      <c r="E52" s="947">
        <f t="shared" si="6"/>
        <v>0</v>
      </c>
      <c r="F52" s="947">
        <f t="shared" si="7"/>
        <v>0</v>
      </c>
      <c r="G52" s="947">
        <f>IF(M51&lt;0.01,0,IF($F$19=$U$4,$G$19,IF($F$19=$U$2,0,IF(AND($F$21=1,$F$19=$U$3),M51*Adm!$V$4,IF(AND($F$21=2,$F$19=$U$3),M51*Adm!$V$5,0)))))</f>
        <v>0</v>
      </c>
      <c r="H52" s="947">
        <f>IF(M51&lt;0.01,0,IF($F$20=$V$3,0,IF($F$10=$T$13,0,IF(OR($F$10=$T$16,$F$10=$T$17),0,IF(OR($F$10=$T$11,$F$10=$T$12),$F$11*Adm!$Z$3,$F$11*Adm!$AA$3)))))</f>
        <v>0</v>
      </c>
      <c r="I52" s="947">
        <f t="shared" si="14"/>
        <v>0</v>
      </c>
      <c r="J52" s="947">
        <f t="shared" si="0"/>
        <v>0</v>
      </c>
      <c r="K52" s="947">
        <f t="shared" si="8"/>
        <v>0</v>
      </c>
      <c r="L52" s="947">
        <f t="shared" si="1"/>
        <v>0</v>
      </c>
      <c r="M52" s="947">
        <f t="shared" si="9"/>
        <v>0</v>
      </c>
      <c r="N52" s="946"/>
      <c r="O52" s="793"/>
      <c r="P52" s="733"/>
      <c r="Q52" s="733"/>
      <c r="R52" s="733"/>
      <c r="S52" s="785">
        <f t="shared" si="10"/>
        <v>11</v>
      </c>
      <c r="T52" s="786">
        <f t="shared" si="15"/>
        <v>0</v>
      </c>
      <c r="W52" s="790">
        <f t="shared" si="16"/>
        <v>0</v>
      </c>
      <c r="X52" s="818">
        <f t="shared" ca="1" si="11"/>
        <v>0</v>
      </c>
      <c r="Y52" s="794"/>
      <c r="Z52" s="843">
        <f t="shared" si="17"/>
        <v>0</v>
      </c>
      <c r="AA52" s="792">
        <f t="shared" si="18"/>
        <v>0</v>
      </c>
      <c r="AB52" s="792">
        <f t="shared" si="19"/>
        <v>0</v>
      </c>
      <c r="AC52" s="789">
        <f t="shared" si="12"/>
        <v>0</v>
      </c>
      <c r="AD52" s="789">
        <f t="shared" si="2"/>
        <v>0</v>
      </c>
      <c r="AE52" s="828" t="e">
        <f>HLOOKUP($AE$39,anticipado,12,0)</f>
        <v>#N/A</v>
      </c>
      <c r="AF52" s="827"/>
      <c r="AG52" s="614">
        <v>1.0955611696264454E-3</v>
      </c>
      <c r="AH52" s="615">
        <v>9.4424892428962895E-4</v>
      </c>
      <c r="AI52" s="616">
        <v>8.3198166924525131E-4</v>
      </c>
      <c r="AJ52" s="616">
        <v>1.1811051865198256E-3</v>
      </c>
      <c r="AK52" s="617">
        <v>1.0955611696264454E-3</v>
      </c>
      <c r="AL52" s="617">
        <v>9.4424892428962895E-4</v>
      </c>
      <c r="AM52" s="617">
        <v>1.3185070080198105E-3</v>
      </c>
      <c r="AN52" s="617">
        <v>1.2046840530012487E-3</v>
      </c>
      <c r="AO52" s="617">
        <v>1.1192077661733143E-3</v>
      </c>
      <c r="AP52" s="617">
        <v>1.4272690483494073E-3</v>
      </c>
      <c r="AQ52" s="617">
        <v>1.3185070080198105E-3</v>
      </c>
      <c r="AR52" s="618">
        <v>1.2060348694414233E-3</v>
      </c>
      <c r="AS52" s="618">
        <v>6.1100663165152089E-4</v>
      </c>
      <c r="AT52" s="618">
        <v>5.4271690268115741E-4</v>
      </c>
      <c r="AU52" s="618">
        <v>4.3402894364447711E-4</v>
      </c>
      <c r="AV52" s="618">
        <v>7.1863160897932298E-4</v>
      </c>
      <c r="AW52" s="618">
        <v>6.1100663165152089E-4</v>
      </c>
      <c r="AX52" s="618">
        <v>5.1726216640392395E-4</v>
      </c>
      <c r="AY52" s="618">
        <v>7.9515114369952766E-4</v>
      </c>
      <c r="AZ52" s="618">
        <v>7.3121790397140949E-4</v>
      </c>
      <c r="BA52" s="618">
        <v>6.0941338663299716E-4</v>
      </c>
      <c r="BB52" s="618">
        <v>8.8754656318560895E-4</v>
      </c>
      <c r="BC52" s="617">
        <v>8.3420870991169846E-4</v>
      </c>
      <c r="BD52" s="617">
        <v>7.4532826797901199E-4</v>
      </c>
      <c r="BE52" s="617">
        <v>1.2544760630939455E-3</v>
      </c>
      <c r="BF52" s="617">
        <v>9.3163638973575138E-4</v>
      </c>
      <c r="BG52" s="617">
        <v>9.6367157293869555E-4</v>
      </c>
      <c r="BH52" s="617">
        <v>8.0768091389427847E-4</v>
      </c>
      <c r="BI52" s="617"/>
      <c r="BJ52" s="617"/>
      <c r="BK52" s="617"/>
      <c r="BL52" s="617"/>
      <c r="BM52" s="617"/>
      <c r="BN52" s="617"/>
      <c r="BO52" s="617"/>
      <c r="BP52" s="617"/>
      <c r="BQ52" s="617"/>
      <c r="BR52" s="617"/>
      <c r="BS52" s="617"/>
      <c r="BT52" s="617"/>
      <c r="BU52" s="617"/>
      <c r="BV52" s="617"/>
      <c r="BW52" s="617"/>
      <c r="BX52" s="617"/>
      <c r="BY52" s="617"/>
      <c r="BZ52" s="617"/>
      <c r="CA52" s="617"/>
      <c r="CB52" s="617"/>
      <c r="CC52" s="617"/>
      <c r="CD52" s="617"/>
      <c r="CE52" s="617"/>
      <c r="CF52" s="617"/>
      <c r="CG52" s="617"/>
      <c r="CH52" s="617"/>
      <c r="CI52" s="617"/>
      <c r="CJ52" s="617"/>
    </row>
    <row r="53" spans="1:88">
      <c r="A53" s="151">
        <f t="shared" ca="1" si="3"/>
        <v>11</v>
      </c>
      <c r="B53" s="784">
        <f t="shared" si="4"/>
        <v>0</v>
      </c>
      <c r="C53" s="944">
        <f t="shared" si="13"/>
        <v>0</v>
      </c>
      <c r="D53" s="947">
        <f t="shared" si="5"/>
        <v>0</v>
      </c>
      <c r="E53" s="947">
        <f t="shared" si="6"/>
        <v>0</v>
      </c>
      <c r="F53" s="947">
        <f t="shared" si="7"/>
        <v>0</v>
      </c>
      <c r="G53" s="947">
        <f>IF(M52&lt;0.01,0,IF($F$19=$U$4,$G$19,IF($F$19=$U$2,0,IF(AND($F$21=1,$F$19=$U$3),M52*Adm!$V$4,IF(AND($F$21=2,$F$19=$U$3),M52*Adm!$V$5,0)))))</f>
        <v>0</v>
      </c>
      <c r="H53" s="947">
        <f>IF(M52&lt;0.01,0,IF($F$20=$V$3,0,IF($F$10=$T$13,0,IF(OR($F$10=$T$16,$F$10=$T$17),0,IF(OR($F$10=$T$11,$F$10=$T$12),$F$11*Adm!$Z$3,$F$11*Adm!$AA$3)))))</f>
        <v>0</v>
      </c>
      <c r="I53" s="947">
        <f t="shared" si="14"/>
        <v>0</v>
      </c>
      <c r="J53" s="947">
        <f t="shared" si="0"/>
        <v>0</v>
      </c>
      <c r="K53" s="947">
        <f t="shared" si="8"/>
        <v>0</v>
      </c>
      <c r="L53" s="947">
        <f t="shared" si="1"/>
        <v>0</v>
      </c>
      <c r="M53" s="947">
        <f t="shared" si="9"/>
        <v>0</v>
      </c>
      <c r="N53" s="946"/>
      <c r="P53" s="733"/>
      <c r="Q53" s="733"/>
      <c r="R53" s="733"/>
      <c r="S53" s="785">
        <f t="shared" si="10"/>
        <v>12</v>
      </c>
      <c r="T53" s="786">
        <f t="shared" si="15"/>
        <v>0</v>
      </c>
      <c r="U53" s="562" t="s">
        <v>276</v>
      </c>
      <c r="W53" s="790">
        <f t="shared" si="16"/>
        <v>0</v>
      </c>
      <c r="X53" s="818">
        <f t="shared" ca="1" si="11"/>
        <v>0</v>
      </c>
      <c r="Z53" s="843">
        <f t="shared" si="17"/>
        <v>0</v>
      </c>
      <c r="AA53" s="792">
        <f t="shared" si="18"/>
        <v>0</v>
      </c>
      <c r="AB53" s="792">
        <f t="shared" si="19"/>
        <v>0</v>
      </c>
      <c r="AC53" s="789">
        <f t="shared" si="12"/>
        <v>0</v>
      </c>
      <c r="AD53" s="789">
        <f t="shared" si="2"/>
        <v>0</v>
      </c>
      <c r="AE53" s="828" t="e">
        <f>HLOOKUP($AE$39,anticipado,13,0)</f>
        <v>#N/A</v>
      </c>
      <c r="AF53" s="827"/>
      <c r="AG53" s="614">
        <v>1.1062223189320691E-3</v>
      </c>
      <c r="AH53" s="615">
        <v>9.5371853097450416E-4</v>
      </c>
      <c r="AI53" s="616">
        <v>8.4050851779638445E-4</v>
      </c>
      <c r="AJ53" s="616">
        <v>1.1923461734471878E-3</v>
      </c>
      <c r="AK53" s="617">
        <v>1.1062223189320691E-3</v>
      </c>
      <c r="AL53" s="617">
        <v>9.5371853097450416E-4</v>
      </c>
      <c r="AM53" s="617">
        <v>1.3306997254134965E-3</v>
      </c>
      <c r="AN53" s="617">
        <v>1.2161279024641175E-3</v>
      </c>
      <c r="AO53" s="617">
        <v>1.1300790927966835E-3</v>
      </c>
      <c r="AP53" s="617">
        <v>1.4402075384859511E-3</v>
      </c>
      <c r="AQ53" s="617">
        <v>1.3306997254134965E-3</v>
      </c>
      <c r="AR53" s="618">
        <v>1.2174428853950765E-3</v>
      </c>
      <c r="AS53" s="618">
        <v>6.1692846421664959E-4</v>
      </c>
      <c r="AT53" s="618">
        <v>5.4812043843385945E-4</v>
      </c>
      <c r="AU53" s="618">
        <v>4.3851977737016179E-4</v>
      </c>
      <c r="AV53" s="618">
        <v>7.2535106681098746E-4</v>
      </c>
      <c r="AW53" s="618">
        <v>6.1692846421664959E-4</v>
      </c>
      <c r="AX53" s="618">
        <v>5.2244208599192845E-4</v>
      </c>
      <c r="AY53" s="618">
        <v>8.0237565559339243E-4</v>
      </c>
      <c r="AZ53" s="618">
        <v>7.3803385454867968E-4</v>
      </c>
      <c r="BA53" s="618">
        <v>6.1534420433664394E-4</v>
      </c>
      <c r="BB53" s="618">
        <v>8.953676539615558E-4</v>
      </c>
      <c r="BC53" s="617">
        <v>8.4168184226427237E-4</v>
      </c>
      <c r="BD53" s="617">
        <v>7.5222421222606453E-4</v>
      </c>
      <c r="BE53" s="617">
        <v>1.2662467033186754E-3</v>
      </c>
      <c r="BF53" s="617">
        <v>9.4100648403901848E-4</v>
      </c>
      <c r="BG53" s="617">
        <v>9.719562152571378E-4</v>
      </c>
      <c r="BH53" s="617">
        <v>8.1499580731809801E-4</v>
      </c>
      <c r="BI53" s="617"/>
      <c r="BJ53" s="617"/>
      <c r="BK53" s="617"/>
      <c r="BL53" s="617"/>
      <c r="BM53" s="617"/>
      <c r="BN53" s="617"/>
      <c r="BO53" s="617"/>
      <c r="BP53" s="617"/>
      <c r="BQ53" s="617"/>
      <c r="BR53" s="617"/>
      <c r="BS53" s="617"/>
      <c r="BT53" s="617"/>
      <c r="BU53" s="617"/>
      <c r="BV53" s="617"/>
      <c r="BW53" s="617"/>
      <c r="BX53" s="617"/>
      <c r="BY53" s="617"/>
      <c r="BZ53" s="617"/>
      <c r="CA53" s="617"/>
      <c r="CB53" s="617"/>
      <c r="CC53" s="617"/>
      <c r="CD53" s="617"/>
      <c r="CE53" s="617"/>
      <c r="CF53" s="617"/>
      <c r="CG53" s="617"/>
      <c r="CH53" s="617"/>
      <c r="CI53" s="617"/>
      <c r="CJ53" s="617"/>
    </row>
    <row r="54" spans="1:88">
      <c r="A54" s="151">
        <f t="shared" ca="1" si="3"/>
        <v>12</v>
      </c>
      <c r="B54" s="784">
        <f t="shared" si="4"/>
        <v>0</v>
      </c>
      <c r="C54" s="944">
        <f t="shared" si="13"/>
        <v>0</v>
      </c>
      <c r="D54" s="947">
        <f t="shared" si="5"/>
        <v>0</v>
      </c>
      <c r="E54" s="947">
        <f>IF(M53&lt;0.01,0,MIN(M53,F54-D54))</f>
        <v>0</v>
      </c>
      <c r="F54" s="947">
        <f>IF(M53&lt;0.01,0,MIN(M53+D54,IF(Z54&gt;0,Z54,IF(OR(F10=T11,F10=T12),U54,F53*(1+T54)))))</f>
        <v>0</v>
      </c>
      <c r="G54" s="947">
        <f>IF(M53&lt;0.01,0,IF($F$19=$U$4,$G$19,IF($F$19=$U$2,0,IF(AND($F$21=1,$F$19=$U$3),M53*Adm!$V$4,IF(AND($F$21=2,$F$19=$U$3),M53*Adm!$V$5,0)))))</f>
        <v>0</v>
      </c>
      <c r="H54" s="947">
        <f>IF(M53&lt;0.01,0,IF($F$20=$V$3,0,IF(OR($F$10=$T$16,$F$10=$T$17),0,IF($F$10=$T$13,0,$F$11*Adm!$AA$3))))</f>
        <v>0</v>
      </c>
      <c r="I54" s="947">
        <f t="shared" si="14"/>
        <v>0</v>
      </c>
      <c r="J54" s="947">
        <f t="shared" si="0"/>
        <v>0</v>
      </c>
      <c r="K54" s="947">
        <f t="shared" si="8"/>
        <v>0</v>
      </c>
      <c r="L54" s="947">
        <f t="shared" si="1"/>
        <v>0</v>
      </c>
      <c r="M54" s="947">
        <f t="shared" si="9"/>
        <v>0</v>
      </c>
      <c r="N54" s="946"/>
      <c r="P54" s="733"/>
      <c r="Q54" s="733"/>
      <c r="R54" s="733"/>
      <c r="S54" s="785">
        <f t="shared" si="10"/>
        <v>1</v>
      </c>
      <c r="T54" s="786">
        <f t="shared" si="15"/>
        <v>0</v>
      </c>
      <c r="U54" s="795" t="b">
        <f>IF(OR(F10=T11,F10=T12),PMT(F14/12,F13-12,-M53))</f>
        <v>0</v>
      </c>
      <c r="V54" s="796"/>
      <c r="W54" s="790">
        <f t="shared" si="16"/>
        <v>0</v>
      </c>
      <c r="X54" s="818">
        <f t="shared" ca="1" si="11"/>
        <v>0</v>
      </c>
      <c r="Z54" s="843">
        <f t="shared" si="17"/>
        <v>0</v>
      </c>
      <c r="AA54" s="792">
        <f t="shared" si="18"/>
        <v>0</v>
      </c>
      <c r="AB54" s="792">
        <f t="shared" si="19"/>
        <v>0</v>
      </c>
      <c r="AC54" s="789">
        <f t="shared" si="12"/>
        <v>0</v>
      </c>
      <c r="AD54" s="789">
        <f t="shared" si="2"/>
        <v>0</v>
      </c>
      <c r="AE54" s="828" t="e">
        <f>HLOOKUP($AE$39,anticipado,14,0)</f>
        <v>#N/A</v>
      </c>
      <c r="AF54" s="827"/>
      <c r="AG54" s="614">
        <v>1.3605491142022943E-3</v>
      </c>
      <c r="AH54" s="615">
        <v>1.2142495422070904E-3</v>
      </c>
      <c r="AI54" s="616">
        <v>1.105566586512519E-3</v>
      </c>
      <c r="AJ54" s="616">
        <v>1.4419253838911935E-3</v>
      </c>
      <c r="AK54" s="617">
        <v>1.3605491142022943E-3</v>
      </c>
      <c r="AL54" s="617">
        <v>1.2142495422070904E-3</v>
      </c>
      <c r="AM54" s="617">
        <v>1.5745137964516213E-3</v>
      </c>
      <c r="AN54" s="617">
        <v>1.465470225382449E-3</v>
      </c>
      <c r="AO54" s="617">
        <v>1.3841784801575645E-3</v>
      </c>
      <c r="AP54" s="617">
        <v>1.6802392025950916E-3</v>
      </c>
      <c r="AQ54" s="617">
        <v>1.5745137964516213E-3</v>
      </c>
      <c r="AR54" s="618">
        <v>1.4657388359614392E-3</v>
      </c>
      <c r="AS54" s="618">
        <v>7.1989049560944112E-4</v>
      </c>
      <c r="AT54" s="618">
        <v>6.531999081631762E-4</v>
      </c>
      <c r="AU54" s="618">
        <v>5.4657299167126393E-4</v>
      </c>
      <c r="AV54" s="618">
        <v>8.2570965981296164E-4</v>
      </c>
      <c r="AW54" s="618">
        <v>7.1989049560944112E-4</v>
      </c>
      <c r="AX54" s="618">
        <v>6.2787004538763201E-4</v>
      </c>
      <c r="AY54" s="618">
        <v>9.0060171138509439E-4</v>
      </c>
      <c r="AZ54" s="618">
        <v>8.3820093768130044E-4</v>
      </c>
      <c r="BA54" s="618">
        <v>7.1871645905052046E-4</v>
      </c>
      <c r="BB54" s="618">
        <v>9.9146404926814735E-4</v>
      </c>
      <c r="BC54" s="617">
        <v>9.3888722263385114E-4</v>
      </c>
      <c r="BD54" s="617">
        <v>8.5178109051204666E-4</v>
      </c>
      <c r="BE54" s="617">
        <v>1.5130130878114314E-3</v>
      </c>
      <c r="BF54" s="617">
        <v>1.2021583940965035E-3</v>
      </c>
      <c r="BG54" s="617">
        <v>1.0663734118164447E-3</v>
      </c>
      <c r="BH54" s="617">
        <v>9.130234661334747E-4</v>
      </c>
      <c r="BI54" s="617"/>
      <c r="BJ54" s="617"/>
      <c r="BK54" s="617"/>
      <c r="BL54" s="617"/>
      <c r="BM54" s="617"/>
      <c r="BN54" s="617"/>
      <c r="BO54" s="617"/>
      <c r="BP54" s="617"/>
      <c r="BQ54" s="617"/>
      <c r="BR54" s="617"/>
      <c r="BS54" s="617"/>
      <c r="BT54" s="617"/>
      <c r="BU54" s="617"/>
      <c r="BV54" s="617"/>
      <c r="BW54" s="617"/>
      <c r="BX54" s="617"/>
      <c r="BY54" s="617"/>
      <c r="BZ54" s="617"/>
      <c r="CA54" s="617"/>
      <c r="CB54" s="617"/>
      <c r="CC54" s="617"/>
      <c r="CD54" s="617"/>
      <c r="CE54" s="617"/>
      <c r="CF54" s="617"/>
      <c r="CG54" s="617"/>
      <c r="CH54" s="617"/>
      <c r="CI54" s="617"/>
      <c r="CJ54" s="617"/>
    </row>
    <row r="55" spans="1:88">
      <c r="A55" s="151">
        <f t="shared" ca="1" si="3"/>
        <v>1</v>
      </c>
      <c r="B55" s="784">
        <f t="shared" si="4"/>
        <v>0</v>
      </c>
      <c r="C55" s="944">
        <f t="shared" si="13"/>
        <v>0</v>
      </c>
      <c r="D55" s="947">
        <f t="shared" si="5"/>
        <v>0</v>
      </c>
      <c r="E55" s="947">
        <f t="shared" ref="E55:E118" si="20">IF(M54&lt;0.01,0,MIN(M54,F55-D55))</f>
        <v>0</v>
      </c>
      <c r="F55" s="947">
        <f t="shared" ref="F55:F118" si="21">IF(M54&lt;0.01,0,MIN(M54+D55,IF(Z55&gt;0,Z55,F54*(1+T55))))</f>
        <v>0</v>
      </c>
      <c r="G55" s="947">
        <f>IF(M54&lt;0.01,0,IF($F$19=$U$4,$G$19,IF($F$19=$U$2,0,IF(AND($F$21=1,$F$19=$U$3),M54*Adm!$V$4,IF(AND($F$21=2,$F$19=$U$3),M54*Adm!$V$5,0)))))</f>
        <v>0</v>
      </c>
      <c r="H55" s="947">
        <f>IF(M54&lt;0.01,0,IF($F$20=$V$3,0,IF(OR($F$10=$T$16,$F$10=$T$17),0,IF($F$10=$T$13,0,$F$11*Adm!$AA$3))))</f>
        <v>0</v>
      </c>
      <c r="I55" s="947">
        <f t="shared" si="14"/>
        <v>0</v>
      </c>
      <c r="J55" s="947">
        <f t="shared" si="0"/>
        <v>0</v>
      </c>
      <c r="K55" s="947">
        <f t="shared" si="8"/>
        <v>0</v>
      </c>
      <c r="L55" s="947">
        <f t="shared" si="1"/>
        <v>0</v>
      </c>
      <c r="M55" s="947">
        <f t="shared" si="9"/>
        <v>0</v>
      </c>
      <c r="N55" s="946"/>
      <c r="P55" s="733"/>
      <c r="Q55" s="733"/>
      <c r="R55" s="733"/>
      <c r="S55" s="785">
        <f t="shared" si="10"/>
        <v>2</v>
      </c>
      <c r="T55" s="786">
        <f t="shared" si="15"/>
        <v>0</v>
      </c>
      <c r="W55" s="790">
        <f t="shared" si="16"/>
        <v>0</v>
      </c>
      <c r="X55" s="818">
        <f t="shared" ca="1" si="11"/>
        <v>0</v>
      </c>
      <c r="Z55" s="843">
        <f t="shared" si="17"/>
        <v>0</v>
      </c>
      <c r="AA55" s="792">
        <f t="shared" si="18"/>
        <v>0</v>
      </c>
      <c r="AB55" s="792">
        <f t="shared" si="19"/>
        <v>0</v>
      </c>
      <c r="AC55" s="789">
        <f t="shared" si="12"/>
        <v>0</v>
      </c>
      <c r="AD55" s="789">
        <f t="shared" si="2"/>
        <v>0</v>
      </c>
      <c r="AE55" s="828" t="e">
        <f>HLOOKUP($AE$39,anticipado,15,0)</f>
        <v>#N/A</v>
      </c>
      <c r="AF55" s="827"/>
      <c r="AG55" s="614">
        <v>1.3741534535763322E-3</v>
      </c>
      <c r="AH55" s="615">
        <v>1.2267584476861211E-3</v>
      </c>
      <c r="AI55" s="616">
        <v>1.1172032680841592E-3</v>
      </c>
      <c r="AJ55" s="616">
        <v>1.4560288977394176E-3</v>
      </c>
      <c r="AK55" s="617">
        <v>1.3741534535763322E-3</v>
      </c>
      <c r="AL55" s="617">
        <v>1.2267584476861211E-3</v>
      </c>
      <c r="AM55" s="617">
        <v>1.5894813576670457E-3</v>
      </c>
      <c r="AN55" s="617">
        <v>1.4797777740173735E-3</v>
      </c>
      <c r="AO55" s="617">
        <v>1.3979944192360695E-3</v>
      </c>
      <c r="AP55" s="617">
        <v>1.6959005450944498E-3</v>
      </c>
      <c r="AQ55" s="617">
        <v>1.5894813576670457E-3</v>
      </c>
      <c r="AR55" s="618">
        <v>1.4799882431125178E-3</v>
      </c>
      <c r="AS55" s="618">
        <v>7.2694682396648436E-4</v>
      </c>
      <c r="AT55" s="618">
        <v>6.5977639651408962E-4</v>
      </c>
      <c r="AU55" s="618">
        <v>5.5229048612701374E-4</v>
      </c>
      <c r="AV55" s="618">
        <v>8.3351965085620597E-4</v>
      </c>
      <c r="AW55" s="618">
        <v>7.2694682396648436E-4</v>
      </c>
      <c r="AX55" s="618">
        <v>6.3422779120048426E-4</v>
      </c>
      <c r="AY55" s="618">
        <v>9.0888023465584254E-4</v>
      </c>
      <c r="AZ55" s="618">
        <v>8.4610470148389167E-4</v>
      </c>
      <c r="BA55" s="618">
        <v>7.2579039493819405E-4</v>
      </c>
      <c r="BB55" s="618">
        <v>1.0003049060108031E-3</v>
      </c>
      <c r="BC55" s="617">
        <v>9.4739735653036653E-4</v>
      </c>
      <c r="BD55" s="617">
        <v>8.597535515991497E-4</v>
      </c>
      <c r="BE55" s="617">
        <v>1.5276049970610608E-3</v>
      </c>
      <c r="BF55" s="617">
        <v>1.2145781868185862E-3</v>
      </c>
      <c r="BG55" s="617">
        <v>1.0756515553004961E-3</v>
      </c>
      <c r="BH55" s="617">
        <v>9.2138955148214456E-4</v>
      </c>
      <c r="BI55" s="617"/>
      <c r="BJ55" s="617"/>
      <c r="BK55" s="617"/>
      <c r="BL55" s="617"/>
      <c r="BM55" s="617"/>
      <c r="BN55" s="617"/>
      <c r="BO55" s="617"/>
      <c r="BP55" s="617"/>
      <c r="BQ55" s="617"/>
      <c r="BR55" s="617"/>
      <c r="BS55" s="617"/>
      <c r="BT55" s="617"/>
      <c r="BU55" s="617"/>
      <c r="BV55" s="617"/>
      <c r="BW55" s="617"/>
      <c r="BX55" s="617"/>
      <c r="BY55" s="617"/>
      <c r="BZ55" s="617"/>
      <c r="CA55" s="617"/>
      <c r="CB55" s="617"/>
      <c r="CC55" s="617"/>
      <c r="CD55" s="617"/>
      <c r="CE55" s="617"/>
      <c r="CF55" s="617"/>
      <c r="CG55" s="617"/>
      <c r="CH55" s="617"/>
      <c r="CI55" s="617"/>
      <c r="CJ55" s="617"/>
    </row>
    <row r="56" spans="1:88">
      <c r="A56" s="151">
        <f t="shared" ca="1" si="3"/>
        <v>2</v>
      </c>
      <c r="B56" s="784">
        <f t="shared" si="4"/>
        <v>0</v>
      </c>
      <c r="C56" s="944">
        <f t="shared" si="13"/>
        <v>0</v>
      </c>
      <c r="D56" s="947">
        <f t="shared" si="5"/>
        <v>0</v>
      </c>
      <c r="E56" s="947">
        <f t="shared" si="20"/>
        <v>0</v>
      </c>
      <c r="F56" s="947">
        <f t="shared" si="21"/>
        <v>0</v>
      </c>
      <c r="G56" s="947">
        <f>IF(M55&lt;0.01,0,IF($F$19=$U$4,$G$19,IF($F$19=$U$2,0,IF(AND($F$21=1,$F$19=$U$3),M55*Adm!$V$4,IF(AND($F$21=2,$F$19=$U$3),M55*Adm!$V$5,0)))))</f>
        <v>0</v>
      </c>
      <c r="H56" s="947">
        <f>IF(M55&lt;0.01,0,IF($F$20=$V$3,0,IF(OR($F$10=$T$16,$F$10=$T$17),0,IF($F$10=$T$13,0,$F$11*Adm!$AA$3))))</f>
        <v>0</v>
      </c>
      <c r="I56" s="947">
        <f t="shared" si="14"/>
        <v>0</v>
      </c>
      <c r="J56" s="947">
        <f t="shared" si="0"/>
        <v>0</v>
      </c>
      <c r="K56" s="947">
        <f t="shared" si="8"/>
        <v>0</v>
      </c>
      <c r="L56" s="947">
        <f t="shared" si="1"/>
        <v>0</v>
      </c>
      <c r="M56" s="947">
        <f t="shared" si="9"/>
        <v>0</v>
      </c>
      <c r="N56" s="946"/>
      <c r="P56" s="733"/>
      <c r="Q56" s="733"/>
      <c r="R56" s="733"/>
      <c r="S56" s="785">
        <f t="shared" si="10"/>
        <v>3</v>
      </c>
      <c r="T56" s="786">
        <f t="shared" si="15"/>
        <v>0</v>
      </c>
      <c r="W56" s="790">
        <f t="shared" si="16"/>
        <v>0</v>
      </c>
      <c r="X56" s="818">
        <f t="shared" ca="1" si="11"/>
        <v>0</v>
      </c>
      <c r="Z56" s="843">
        <f t="shared" si="17"/>
        <v>0</v>
      </c>
      <c r="AA56" s="792">
        <f t="shared" si="18"/>
        <v>0</v>
      </c>
      <c r="AB56" s="792">
        <f t="shared" si="19"/>
        <v>0</v>
      </c>
      <c r="AC56" s="789">
        <f t="shared" si="12"/>
        <v>0</v>
      </c>
      <c r="AD56" s="789">
        <f t="shared" si="2"/>
        <v>0</v>
      </c>
      <c r="AE56" s="828" t="e">
        <f>HLOOKUP($AE$39,anticipado,16,0)</f>
        <v>#N/A</v>
      </c>
      <c r="AF56" s="827"/>
      <c r="AG56" s="614">
        <v>1.3879127321876248E-3</v>
      </c>
      <c r="AH56" s="615">
        <v>1.2394117394203684E-3</v>
      </c>
      <c r="AI56" s="616">
        <v>1.1289755840434652E-3</v>
      </c>
      <c r="AJ56" s="616">
        <v>1.4702911246787186E-3</v>
      </c>
      <c r="AK56" s="617">
        <v>1.3879127321876248E-3</v>
      </c>
      <c r="AL56" s="617">
        <v>1.2394117394203684E-3</v>
      </c>
      <c r="AM56" s="617">
        <v>1.6046152577870573E-3</v>
      </c>
      <c r="AN56" s="617">
        <v>1.4942464192188821E-3</v>
      </c>
      <c r="AO56" s="617">
        <v>1.4119677944312693E-3</v>
      </c>
      <c r="AP56" s="617">
        <v>1.711734718593115E-3</v>
      </c>
      <c r="AQ56" s="617">
        <v>1.6046152577870573E-3</v>
      </c>
      <c r="AR56" s="618">
        <v>1.4943975036187291E-3</v>
      </c>
      <c r="AS56" s="618">
        <v>7.3407750170238946E-4</v>
      </c>
      <c r="AT56" s="618">
        <v>6.6642348326229972E-4</v>
      </c>
      <c r="AU56" s="618">
        <v>5.5807098165413973E-4</v>
      </c>
      <c r="AV56" s="618">
        <v>8.4141008968902445E-4</v>
      </c>
      <c r="AW56" s="618">
        <v>7.3407750170238946E-4</v>
      </c>
      <c r="AX56" s="618">
        <v>6.4065399055064566E-4</v>
      </c>
      <c r="AY56" s="618">
        <v>9.1724245613834712E-4</v>
      </c>
      <c r="AZ56" s="618">
        <v>8.5408974952418972E-4</v>
      </c>
      <c r="BA56" s="618">
        <v>7.3293914422966949E-4</v>
      </c>
      <c r="BB56" s="618">
        <v>1.0092335277658568E-3</v>
      </c>
      <c r="BC56" s="617">
        <v>9.5599277009745739E-4</v>
      </c>
      <c r="BD56" s="617">
        <v>8.6780755741733804E-4</v>
      </c>
      <c r="BE56" s="617">
        <v>1.5423601747307268E-3</v>
      </c>
      <c r="BF56" s="617">
        <v>1.2271415506479701E-3</v>
      </c>
      <c r="BG56" s="617">
        <v>1.0850205024006017E-3</v>
      </c>
      <c r="BH56" s="617">
        <v>9.2984008197168717E-4</v>
      </c>
      <c r="BI56" s="617"/>
      <c r="BJ56" s="617"/>
      <c r="BK56" s="617"/>
      <c r="BL56" s="617"/>
      <c r="BM56" s="617"/>
      <c r="BN56" s="617"/>
      <c r="BO56" s="617"/>
      <c r="BP56" s="617"/>
      <c r="BQ56" s="617"/>
      <c r="BR56" s="617"/>
      <c r="BS56" s="617"/>
      <c r="BT56" s="617"/>
      <c r="BU56" s="617"/>
      <c r="BV56" s="617"/>
      <c r="BW56" s="617"/>
      <c r="BX56" s="617"/>
      <c r="BY56" s="617"/>
      <c r="BZ56" s="617"/>
      <c r="CA56" s="617"/>
      <c r="CB56" s="617"/>
      <c r="CC56" s="617"/>
      <c r="CD56" s="617"/>
      <c r="CE56" s="617"/>
      <c r="CF56" s="617"/>
      <c r="CG56" s="617"/>
      <c r="CH56" s="617"/>
      <c r="CI56" s="617"/>
      <c r="CJ56" s="617"/>
    </row>
    <row r="57" spans="1:88">
      <c r="A57" s="151">
        <f t="shared" ca="1" si="3"/>
        <v>3</v>
      </c>
      <c r="B57" s="784">
        <f t="shared" si="4"/>
        <v>0</v>
      </c>
      <c r="C57" s="944">
        <f t="shared" si="13"/>
        <v>0</v>
      </c>
      <c r="D57" s="947">
        <f t="shared" si="5"/>
        <v>0</v>
      </c>
      <c r="E57" s="947">
        <f t="shared" si="20"/>
        <v>0</v>
      </c>
      <c r="F57" s="947">
        <f t="shared" si="21"/>
        <v>0</v>
      </c>
      <c r="G57" s="947">
        <f>IF(M56&lt;0.01,0,IF($F$19=$U$4,$G$19,IF($F$19=$U$2,0,IF(AND($F$21=1,$F$19=$U$3),M56*Adm!$V$4,IF(AND($F$21=2,$F$19=$U$3),M56*Adm!$V$5,0)))))</f>
        <v>0</v>
      </c>
      <c r="H57" s="947">
        <f>IF(M56&lt;0.01,0,IF($F$20=$V$3,0,IF(OR($F$10=$T$16,$F$10=$T$17),0,IF($F$10=$T$13,0,$F$11*Adm!$AA$3))))</f>
        <v>0</v>
      </c>
      <c r="I57" s="947">
        <f t="shared" si="14"/>
        <v>0</v>
      </c>
      <c r="J57" s="947">
        <f t="shared" si="0"/>
        <v>0</v>
      </c>
      <c r="K57" s="947">
        <f t="shared" si="8"/>
        <v>0</v>
      </c>
      <c r="L57" s="947">
        <f t="shared" si="1"/>
        <v>0</v>
      </c>
      <c r="M57" s="947">
        <f t="shared" si="9"/>
        <v>0</v>
      </c>
      <c r="N57" s="946"/>
      <c r="P57" s="733"/>
      <c r="Q57" s="733"/>
      <c r="R57" s="733"/>
      <c r="S57" s="785">
        <f t="shared" si="10"/>
        <v>4</v>
      </c>
      <c r="T57" s="786">
        <f t="shared" si="15"/>
        <v>0</v>
      </c>
      <c r="W57" s="790">
        <f t="shared" si="16"/>
        <v>0</v>
      </c>
      <c r="X57" s="818">
        <f t="shared" ca="1" si="11"/>
        <v>0</v>
      </c>
      <c r="Z57" s="843">
        <f t="shared" si="17"/>
        <v>0</v>
      </c>
      <c r="AA57" s="792">
        <f t="shared" si="18"/>
        <v>0</v>
      </c>
      <c r="AB57" s="792">
        <f t="shared" si="19"/>
        <v>0</v>
      </c>
      <c r="AC57" s="789">
        <f t="shared" si="12"/>
        <v>0</v>
      </c>
      <c r="AD57" s="789">
        <f t="shared" si="2"/>
        <v>0</v>
      </c>
      <c r="AE57" s="828" t="e">
        <f>HLOOKUP($AE$39,anticipado,17,0)</f>
        <v>#N/A</v>
      </c>
      <c r="AF57" s="827"/>
      <c r="AG57" s="614">
        <v>1.4018290959533677E-3</v>
      </c>
      <c r="AH57" s="615">
        <v>1.2522114064730265E-3</v>
      </c>
      <c r="AI57" s="616">
        <v>1.1408853944178295E-3</v>
      </c>
      <c r="AJ57" s="616">
        <v>1.4847142604915544E-3</v>
      </c>
      <c r="AK57" s="617">
        <v>1.4018290959533677E-3</v>
      </c>
      <c r="AL57" s="617">
        <v>1.2522114064730265E-3</v>
      </c>
      <c r="AM57" s="617">
        <v>1.619917806740261E-3</v>
      </c>
      <c r="AN57" s="617">
        <v>1.5088783965324663E-3</v>
      </c>
      <c r="AO57" s="617">
        <v>1.4261007930582159E-3</v>
      </c>
      <c r="AP57" s="617">
        <v>1.7277441354438712E-3</v>
      </c>
      <c r="AQ57" s="617">
        <v>1.619917806740261E-3</v>
      </c>
      <c r="AR57" s="618">
        <v>1.5089688289620924E-3</v>
      </c>
      <c r="AS57" s="618">
        <v>7.412834145073112E-4</v>
      </c>
      <c r="AT57" s="618">
        <v>6.7314201518047987E-4</v>
      </c>
      <c r="AU57" s="618">
        <v>5.6391523969541555E-4</v>
      </c>
      <c r="AV57" s="618">
        <v>8.4938193023869366E-4</v>
      </c>
      <c r="AW57" s="618">
        <v>7.412834145073112E-4</v>
      </c>
      <c r="AX57" s="618">
        <v>6.4714946356393688E-4</v>
      </c>
      <c r="AY57" s="618">
        <v>9.2568936273472186E-4</v>
      </c>
      <c r="AZ57" s="618">
        <v>8.6215704603643856E-4</v>
      </c>
      <c r="BA57" s="618">
        <v>7.4016360097084758E-4</v>
      </c>
      <c r="BB57" s="618">
        <v>1.0182509461885748E-3</v>
      </c>
      <c r="BC57" s="617">
        <v>9.6467446656361326E-4</v>
      </c>
      <c r="BD57" s="617">
        <v>8.7594407254141279E-4</v>
      </c>
      <c r="BE57" s="617">
        <v>1.5572808861686533E-3</v>
      </c>
      <c r="BF57" s="617">
        <v>1.239850463137951E-3</v>
      </c>
      <c r="BG57" s="617">
        <v>1.0944813184013669E-3</v>
      </c>
      <c r="BH57" s="617">
        <v>9.3837605364724777E-4</v>
      </c>
      <c r="BI57" s="617"/>
      <c r="BJ57" s="617"/>
      <c r="BK57" s="617"/>
      <c r="BL57" s="617"/>
      <c r="BM57" s="617"/>
      <c r="BN57" s="617"/>
      <c r="BO57" s="617"/>
      <c r="BP57" s="617"/>
      <c r="BQ57" s="617"/>
      <c r="BR57" s="617"/>
      <c r="BS57" s="617"/>
      <c r="BT57" s="617"/>
      <c r="BU57" s="617"/>
      <c r="BV57" s="617"/>
      <c r="BW57" s="617"/>
      <c r="BX57" s="617"/>
      <c r="BY57" s="617"/>
      <c r="BZ57" s="617"/>
      <c r="CA57" s="617"/>
      <c r="CB57" s="617"/>
      <c r="CC57" s="617"/>
      <c r="CD57" s="617"/>
      <c r="CE57" s="617"/>
      <c r="CF57" s="617"/>
      <c r="CG57" s="617"/>
      <c r="CH57" s="617"/>
      <c r="CI57" s="617"/>
      <c r="CJ57" s="617"/>
    </row>
    <row r="58" spans="1:88">
      <c r="A58" s="151">
        <f t="shared" ca="1" si="3"/>
        <v>4</v>
      </c>
      <c r="B58" s="784">
        <f t="shared" si="4"/>
        <v>0</v>
      </c>
      <c r="C58" s="944">
        <f t="shared" si="13"/>
        <v>0</v>
      </c>
      <c r="D58" s="947">
        <f t="shared" si="5"/>
        <v>0</v>
      </c>
      <c r="E58" s="947">
        <f t="shared" si="20"/>
        <v>0</v>
      </c>
      <c r="F58" s="947">
        <f t="shared" si="21"/>
        <v>0</v>
      </c>
      <c r="G58" s="947">
        <f>IF(M57&lt;0.01,0,IF($F$19=$U$4,$G$19,IF($F$19=$U$2,0,IF(AND($F$21=1,$F$19=$U$3),M57*Adm!$V$4,IF(AND($F$21=2,$F$19=$U$3),M57*Adm!$V$5,0)))))</f>
        <v>0</v>
      </c>
      <c r="H58" s="947">
        <f>IF(M57&lt;0.01,0,IF($F$20=$V$3,0,IF(OR($F$10=$T$16,$F$10=$T$17),0,IF($F$10=$T$13,0,$F$11*Adm!$AA$3))))</f>
        <v>0</v>
      </c>
      <c r="I58" s="947">
        <f t="shared" si="14"/>
        <v>0</v>
      </c>
      <c r="J58" s="947">
        <f t="shared" si="0"/>
        <v>0</v>
      </c>
      <c r="K58" s="947">
        <f t="shared" si="8"/>
        <v>0</v>
      </c>
      <c r="L58" s="947">
        <f t="shared" si="1"/>
        <v>0</v>
      </c>
      <c r="M58" s="947">
        <f t="shared" si="9"/>
        <v>0</v>
      </c>
      <c r="N58" s="946"/>
      <c r="P58" s="733"/>
      <c r="Q58" s="733"/>
      <c r="R58" s="733"/>
      <c r="S58" s="785">
        <f t="shared" si="10"/>
        <v>5</v>
      </c>
      <c r="T58" s="786">
        <f t="shared" si="15"/>
        <v>0</v>
      </c>
      <c r="W58" s="790">
        <f t="shared" si="16"/>
        <v>0</v>
      </c>
      <c r="X58" s="818">
        <f t="shared" ca="1" si="11"/>
        <v>0</v>
      </c>
      <c r="Z58" s="843">
        <f t="shared" si="17"/>
        <v>0</v>
      </c>
      <c r="AA58" s="792">
        <f t="shared" si="18"/>
        <v>0</v>
      </c>
      <c r="AB58" s="792">
        <f t="shared" si="19"/>
        <v>0</v>
      </c>
      <c r="AC58" s="789">
        <f t="shared" si="12"/>
        <v>0</v>
      </c>
      <c r="AD58" s="789">
        <f t="shared" si="2"/>
        <v>0</v>
      </c>
      <c r="AE58" s="828" t="e">
        <f>HLOOKUP($AE$39,anticipado,18,0)</f>
        <v>#N/A</v>
      </c>
      <c r="AF58" s="827"/>
      <c r="AG58" s="614">
        <v>1.4159047283512666E-3</v>
      </c>
      <c r="AH58" s="615">
        <v>1.2651594721087508E-3</v>
      </c>
      <c r="AI58" s="616">
        <v>1.1529345907389395E-3</v>
      </c>
      <c r="AJ58" s="616">
        <v>1.4993005396020554E-3</v>
      </c>
      <c r="AK58" s="617">
        <v>1.4159047283512666E-3</v>
      </c>
      <c r="AL58" s="617">
        <v>1.2651594721087508E-3</v>
      </c>
      <c r="AM58" s="617">
        <v>1.6353913556215822E-3</v>
      </c>
      <c r="AN58" s="617">
        <v>1.5236759810214895E-3</v>
      </c>
      <c r="AO58" s="617">
        <v>1.4403956408977664E-3</v>
      </c>
      <c r="AP58" s="617">
        <v>1.7439312514689735E-3</v>
      </c>
      <c r="AQ58" s="617">
        <v>1.6353913556215822E-3</v>
      </c>
      <c r="AR58" s="618">
        <v>1.5237044696099808E-3</v>
      </c>
      <c r="AS58" s="618">
        <v>7.4856546065462184E-4</v>
      </c>
      <c r="AT58" s="618">
        <v>6.7993285100948419E-4</v>
      </c>
      <c r="AU58" s="618">
        <v>5.6982403231783344E-4</v>
      </c>
      <c r="AV58" s="618">
        <v>8.5743614015078035E-4</v>
      </c>
      <c r="AW58" s="618">
        <v>7.4856546065462184E-4</v>
      </c>
      <c r="AX58" s="618">
        <v>6.5371504189428277E-4</v>
      </c>
      <c r="AY58" s="618">
        <v>9.3422195561612101E-4</v>
      </c>
      <c r="AZ58" s="618">
        <v>8.7030756915121407E-4</v>
      </c>
      <c r="BA58" s="618">
        <v>7.4746467194288424E-4</v>
      </c>
      <c r="BB58" s="618">
        <v>1.0273582079799179E-3</v>
      </c>
      <c r="BC58" s="617">
        <v>9.734434637046341E-4</v>
      </c>
      <c r="BD58" s="617">
        <v>8.8416407543904965E-4</v>
      </c>
      <c r="BE58" s="617">
        <v>1.5723694368981324E-3</v>
      </c>
      <c r="BF58" s="617">
        <v>1.2527069358014211E-3</v>
      </c>
      <c r="BG58" s="617">
        <v>1.1040350842287253E-3</v>
      </c>
      <c r="BH58" s="617">
        <v>9.4699847698303066E-4</v>
      </c>
      <c r="BI58" s="617"/>
      <c r="BJ58" s="617"/>
      <c r="BK58" s="617"/>
      <c r="BL58" s="617"/>
      <c r="BM58" s="617"/>
      <c r="BN58" s="617"/>
      <c r="BO58" s="617"/>
      <c r="BP58" s="617"/>
      <c r="BQ58" s="617"/>
      <c r="BR58" s="617"/>
      <c r="BS58" s="617"/>
      <c r="BT58" s="617"/>
      <c r="BU58" s="617"/>
      <c r="BV58" s="617"/>
      <c r="BW58" s="617"/>
      <c r="BX58" s="617"/>
      <c r="BY58" s="617"/>
      <c r="BZ58" s="617"/>
      <c r="CA58" s="617"/>
      <c r="CB58" s="617"/>
      <c r="CC58" s="617"/>
      <c r="CD58" s="617"/>
      <c r="CE58" s="617"/>
      <c r="CF58" s="617"/>
      <c r="CG58" s="617"/>
      <c r="CH58" s="617"/>
      <c r="CI58" s="617"/>
      <c r="CJ58" s="617"/>
    </row>
    <row r="59" spans="1:88">
      <c r="A59" s="151">
        <f t="shared" ca="1" si="3"/>
        <v>5</v>
      </c>
      <c r="B59" s="784">
        <f t="shared" si="4"/>
        <v>0</v>
      </c>
      <c r="C59" s="944">
        <f t="shared" si="13"/>
        <v>0</v>
      </c>
      <c r="D59" s="947">
        <f t="shared" si="5"/>
        <v>0</v>
      </c>
      <c r="E59" s="947">
        <f t="shared" si="20"/>
        <v>0</v>
      </c>
      <c r="F59" s="947">
        <f t="shared" si="21"/>
        <v>0</v>
      </c>
      <c r="G59" s="947">
        <f>IF(M58&lt;0.01,0,IF($F$19=$U$4,$G$19,IF($F$19=$U$2,0,IF(AND($F$21=1,$F$19=$U$3),M58*Adm!$V$4,IF(AND($F$21=2,$F$19=$U$3),M58*Adm!$V$5,0)))))</f>
        <v>0</v>
      </c>
      <c r="H59" s="947">
        <f>IF(M58&lt;0.01,0,IF($F$20=$V$3,0,IF(OR($F$10=$T$16,$F$10=$T$17),0,IF($F$10=$T$13,0,$F$11*Adm!$AA$3))))</f>
        <v>0</v>
      </c>
      <c r="I59" s="947">
        <f t="shared" si="14"/>
        <v>0</v>
      </c>
      <c r="J59" s="947">
        <f t="shared" si="0"/>
        <v>0</v>
      </c>
      <c r="K59" s="947">
        <f t="shared" si="8"/>
        <v>0</v>
      </c>
      <c r="L59" s="947">
        <f t="shared" si="1"/>
        <v>0</v>
      </c>
      <c r="M59" s="947">
        <f t="shared" si="9"/>
        <v>0</v>
      </c>
      <c r="N59" s="946"/>
      <c r="P59" s="733"/>
      <c r="Q59" s="733"/>
      <c r="R59" s="733"/>
      <c r="S59" s="785">
        <f t="shared" si="10"/>
        <v>6</v>
      </c>
      <c r="T59" s="786">
        <f t="shared" si="15"/>
        <v>0</v>
      </c>
      <c r="W59" s="790">
        <f t="shared" si="16"/>
        <v>0</v>
      </c>
      <c r="X59" s="818">
        <f t="shared" ca="1" si="11"/>
        <v>0</v>
      </c>
      <c r="Z59" s="843">
        <f t="shared" si="17"/>
        <v>0</v>
      </c>
      <c r="AA59" s="792">
        <f t="shared" si="18"/>
        <v>0</v>
      </c>
      <c r="AB59" s="792">
        <f t="shared" si="19"/>
        <v>0</v>
      </c>
      <c r="AC59" s="789">
        <f t="shared" si="12"/>
        <v>0</v>
      </c>
      <c r="AD59" s="789">
        <f t="shared" si="2"/>
        <v>0</v>
      </c>
      <c r="AE59" s="828" t="e">
        <f>HLOOKUP($AE$39,anticipado,19,0)</f>
        <v>#N/A</v>
      </c>
      <c r="AF59" s="827"/>
      <c r="AG59" s="614">
        <v>1.4301418512426844E-3</v>
      </c>
      <c r="AH59" s="615">
        <v>1.278257994527712E-3</v>
      </c>
      <c r="AI59" s="616">
        <v>1.1651250967066725E-3</v>
      </c>
      <c r="AJ59" s="616">
        <v>1.514052235928557E-3</v>
      </c>
      <c r="AK59" s="619">
        <v>1.4301418512426844E-3</v>
      </c>
      <c r="AL59" s="617">
        <v>1.278257994527712E-3</v>
      </c>
      <c r="AM59" s="617">
        <v>1.6510382976133045E-3</v>
      </c>
      <c r="AN59" s="617">
        <v>1.5386414881431703E-3</v>
      </c>
      <c r="AO59" s="617">
        <v>1.4548546030438364E-3</v>
      </c>
      <c r="AP59" s="617">
        <v>1.7602985669442357E-3</v>
      </c>
      <c r="AQ59" s="617">
        <v>1.6510382976133045E-3</v>
      </c>
      <c r="AR59" s="618">
        <v>1.5386067158769696E-3</v>
      </c>
      <c r="AS59" s="618">
        <v>7.5592455121996718E-4</v>
      </c>
      <c r="AT59" s="618">
        <v>6.8679686166428088E-4</v>
      </c>
      <c r="AU59" s="618">
        <v>5.7579814239068093E-4</v>
      </c>
      <c r="AV59" s="618">
        <v>8.6557370103280951E-4</v>
      </c>
      <c r="AW59" s="618">
        <v>7.5592455121996718E-4</v>
      </c>
      <c r="AX59" s="618">
        <v>6.6035156892047171E-4</v>
      </c>
      <c r="AY59" s="618">
        <v>9.4284125047866551E-4</v>
      </c>
      <c r="AZ59" s="618">
        <v>8.7854231114296822E-4</v>
      </c>
      <c r="BA59" s="618">
        <v>7.5484327688442006E-4</v>
      </c>
      <c r="BB59" s="618">
        <v>1.0365563751598139E-3</v>
      </c>
      <c r="BC59" s="617">
        <v>9.8230079410578392E-4</v>
      </c>
      <c r="BD59" s="617">
        <v>8.9246855871835912E-4</v>
      </c>
      <c r="BE59" s="617">
        <v>1.5876281735114769E-3</v>
      </c>
      <c r="BF59" s="617">
        <v>1.265713014838568E-3</v>
      </c>
      <c r="BG59" s="617">
        <v>1.1136828967366716E-3</v>
      </c>
      <c r="BH59" s="617">
        <v>9.55708377141759E-4</v>
      </c>
      <c r="BI59" s="617"/>
      <c r="BJ59" s="617"/>
      <c r="BK59" s="617"/>
      <c r="BL59" s="617"/>
      <c r="BM59" s="617"/>
      <c r="BN59" s="617"/>
      <c r="BO59" s="617"/>
      <c r="BP59" s="617"/>
      <c r="BQ59" s="617"/>
      <c r="BR59" s="617"/>
      <c r="BS59" s="617"/>
      <c r="BT59" s="617"/>
      <c r="BU59" s="617"/>
      <c r="BV59" s="617"/>
      <c r="BW59" s="617"/>
      <c r="BX59" s="617"/>
      <c r="BY59" s="617"/>
      <c r="BZ59" s="617"/>
      <c r="CA59" s="617"/>
      <c r="CB59" s="617"/>
      <c r="CC59" s="617"/>
      <c r="CD59" s="617"/>
      <c r="CE59" s="617"/>
      <c r="CF59" s="617"/>
      <c r="CG59" s="617"/>
      <c r="CH59" s="617"/>
      <c r="CI59" s="617"/>
      <c r="CJ59" s="617"/>
    </row>
    <row r="60" spans="1:88">
      <c r="A60" s="151">
        <f t="shared" ca="1" si="3"/>
        <v>6</v>
      </c>
      <c r="B60" s="784">
        <f t="shared" si="4"/>
        <v>0</v>
      </c>
      <c r="C60" s="944">
        <f t="shared" si="13"/>
        <v>0</v>
      </c>
      <c r="D60" s="947">
        <f t="shared" si="5"/>
        <v>0</v>
      </c>
      <c r="E60" s="947">
        <f t="shared" si="20"/>
        <v>0</v>
      </c>
      <c r="F60" s="947">
        <f t="shared" si="21"/>
        <v>0</v>
      </c>
      <c r="G60" s="947">
        <f>IF(M59&lt;0.01,0,IF($F$19=$U$4,$G$19,IF($F$19=$U$2,0,IF(AND($F$21=1,$F$19=$U$3),M59*Adm!$V$4,IF(AND($F$21=2,$F$19=$U$3),M59*Adm!$V$5,0)))))</f>
        <v>0</v>
      </c>
      <c r="H60" s="947">
        <f>IF(M59&lt;0.01,0,IF($F$20=$V$3,0,IF(OR($F$10=$T$16,$F$10=$T$17),0,IF($F$10=$T$13,0,$F$11*Adm!$AA$3))))</f>
        <v>0</v>
      </c>
      <c r="I60" s="947">
        <f t="shared" si="14"/>
        <v>0</v>
      </c>
      <c r="J60" s="947">
        <f t="shared" si="0"/>
        <v>0</v>
      </c>
      <c r="K60" s="947">
        <f t="shared" si="8"/>
        <v>0</v>
      </c>
      <c r="L60" s="947">
        <f t="shared" si="1"/>
        <v>0</v>
      </c>
      <c r="M60" s="947">
        <f t="shared" si="9"/>
        <v>0</v>
      </c>
      <c r="N60" s="946"/>
      <c r="P60" s="733"/>
      <c r="Q60" s="733"/>
      <c r="R60" s="733"/>
      <c r="S60" s="785">
        <f t="shared" si="10"/>
        <v>7</v>
      </c>
      <c r="T60" s="786">
        <f t="shared" si="15"/>
        <v>0</v>
      </c>
      <c r="W60" s="790">
        <f t="shared" si="16"/>
        <v>0</v>
      </c>
      <c r="X60" s="818">
        <f t="shared" ca="1" si="11"/>
        <v>0</v>
      </c>
      <c r="Z60" s="843">
        <f t="shared" si="17"/>
        <v>0</v>
      </c>
      <c r="AA60" s="792">
        <f t="shared" si="18"/>
        <v>0</v>
      </c>
      <c r="AB60" s="792">
        <f t="shared" si="19"/>
        <v>0</v>
      </c>
      <c r="AC60" s="789">
        <f t="shared" si="12"/>
        <v>0</v>
      </c>
      <c r="AD60" s="789">
        <f t="shared" si="2"/>
        <v>0</v>
      </c>
      <c r="AE60" s="828" t="e">
        <f>HLOOKUP($AE$39,anticipado,20,0)</f>
        <v>#N/A</v>
      </c>
      <c r="AF60" s="827"/>
      <c r="AG60" s="614">
        <v>1.44454272571761E-3</v>
      </c>
      <c r="AH60" s="615">
        <v>1.2915090676187404E-3</v>
      </c>
      <c r="AI60" s="616">
        <v>1.1774588688699807E-3</v>
      </c>
      <c r="AJ60" s="616">
        <v>1.5289716637588474E-3</v>
      </c>
      <c r="AK60" s="619">
        <v>1.44454272571761E-3</v>
      </c>
      <c r="AL60" s="617">
        <v>1.2915090676187404E-3</v>
      </c>
      <c r="AM60" s="617">
        <v>1.6668610689310147E-3</v>
      </c>
      <c r="AN60" s="617">
        <v>1.5537772746480639E-3</v>
      </c>
      <c r="AO60" s="617">
        <v>1.4694799847732242E-3</v>
      </c>
      <c r="AP60" s="617">
        <v>1.7768486276100439E-3</v>
      </c>
      <c r="AQ60" s="617">
        <v>1.6668610689310147E-3</v>
      </c>
      <c r="AR60" s="618">
        <v>1.5536778988097413E-3</v>
      </c>
      <c r="AS60" s="618">
        <v>7.6336161030497707E-4</v>
      </c>
      <c r="AT60" s="618">
        <v>6.9373493044416225E-4</v>
      </c>
      <c r="AU60" s="618">
        <v>5.8183836376723226E-4</v>
      </c>
      <c r="AV60" s="618">
        <v>8.7379560870318976E-4</v>
      </c>
      <c r="AW60" s="618">
        <v>7.6336161030497707E-4</v>
      </c>
      <c r="AX60" s="618">
        <v>6.6705989994696874E-4</v>
      </c>
      <c r="AY60" s="618">
        <v>9.5154827780493322E-4</v>
      </c>
      <c r="AZ60" s="618">
        <v>8.8686227868292611E-4</v>
      </c>
      <c r="BA60" s="618">
        <v>7.623003487185466E-4</v>
      </c>
      <c r="BB60" s="618">
        <v>1.0458465253464504E-3</v>
      </c>
      <c r="BC60" s="617">
        <v>9.9124750542968032E-4</v>
      </c>
      <c r="BD60" s="617">
        <v>9.0085852938079011E-4</v>
      </c>
      <c r="BE60" s="617">
        <v>1.6030594845880242E-3</v>
      </c>
      <c r="BF60" s="617">
        <v>1.2788707818834389E-3</v>
      </c>
      <c r="BG60" s="617">
        <v>1.1234258690003467E-3</v>
      </c>
      <c r="BH60" s="617">
        <v>9.6450679423976755E-4</v>
      </c>
      <c r="BI60" s="617"/>
      <c r="BJ60" s="617"/>
      <c r="BK60" s="617"/>
      <c r="BL60" s="617"/>
      <c r="BM60" s="617"/>
      <c r="BN60" s="617"/>
      <c r="BO60" s="617"/>
      <c r="BP60" s="617"/>
      <c r="BQ60" s="617"/>
      <c r="BR60" s="617"/>
      <c r="BS60" s="617"/>
      <c r="BT60" s="617"/>
      <c r="BU60" s="617"/>
      <c r="BV60" s="617"/>
      <c r="BW60" s="617"/>
      <c r="BX60" s="617"/>
      <c r="BY60" s="617"/>
      <c r="BZ60" s="617"/>
      <c r="CA60" s="617"/>
      <c r="CB60" s="617"/>
      <c r="CC60" s="617"/>
      <c r="CD60" s="617"/>
      <c r="CE60" s="617"/>
      <c r="CF60" s="617"/>
      <c r="CG60" s="617"/>
      <c r="CH60" s="617"/>
      <c r="CI60" s="617"/>
      <c r="CJ60" s="617"/>
    </row>
    <row r="61" spans="1:88">
      <c r="A61" s="151">
        <f t="shared" ca="1" si="3"/>
        <v>7</v>
      </c>
      <c r="B61" s="784">
        <f t="shared" si="4"/>
        <v>0</v>
      </c>
      <c r="C61" s="944">
        <f t="shared" si="13"/>
        <v>0</v>
      </c>
      <c r="D61" s="947">
        <f t="shared" si="5"/>
        <v>0</v>
      </c>
      <c r="E61" s="947">
        <f t="shared" si="20"/>
        <v>0</v>
      </c>
      <c r="F61" s="947">
        <f t="shared" si="21"/>
        <v>0</v>
      </c>
      <c r="G61" s="947">
        <f>IF(M60&lt;0.01,0,IF($F$19=$U$4,$G$19,IF($F$19=$U$2,0,IF(AND($F$21=1,$F$19=$U$3),M60*Adm!$V$4,IF(AND($F$21=2,$F$19=$U$3),M60*Adm!$V$5,0)))))</f>
        <v>0</v>
      </c>
      <c r="H61" s="947">
        <f>IF(M60&lt;0.01,0,IF($F$20=$V$3,0,IF(OR($F$10=$T$16,$F$10=$T$17),0,IF($F$10=$T$13,0,$F$11*Adm!$AA$3))))</f>
        <v>0</v>
      </c>
      <c r="I61" s="947">
        <f t="shared" si="14"/>
        <v>0</v>
      </c>
      <c r="J61" s="947">
        <f t="shared" si="0"/>
        <v>0</v>
      </c>
      <c r="K61" s="947">
        <f t="shared" si="8"/>
        <v>0</v>
      </c>
      <c r="L61" s="947">
        <f t="shared" si="1"/>
        <v>0</v>
      </c>
      <c r="M61" s="947">
        <f t="shared" si="9"/>
        <v>0</v>
      </c>
      <c r="N61" s="946"/>
      <c r="P61" s="733"/>
      <c r="Q61" s="733"/>
      <c r="R61" s="733"/>
      <c r="S61" s="785">
        <f t="shared" si="10"/>
        <v>8</v>
      </c>
      <c r="T61" s="786">
        <f t="shared" si="15"/>
        <v>0</v>
      </c>
      <c r="W61" s="790">
        <f t="shared" si="16"/>
        <v>0</v>
      </c>
      <c r="X61" s="818">
        <f t="shared" ca="1" si="11"/>
        <v>0</v>
      </c>
      <c r="Z61" s="843">
        <f t="shared" si="17"/>
        <v>0</v>
      </c>
      <c r="AA61" s="792">
        <f t="shared" si="18"/>
        <v>0</v>
      </c>
      <c r="AB61" s="792">
        <f t="shared" si="19"/>
        <v>0</v>
      </c>
      <c r="AC61" s="789">
        <f t="shared" si="12"/>
        <v>0</v>
      </c>
      <c r="AD61" s="789">
        <f t="shared" si="2"/>
        <v>0</v>
      </c>
      <c r="AE61" s="828" t="e">
        <f>HLOOKUP($AE$39,anticipado,21,0)</f>
        <v>#N/A</v>
      </c>
      <c r="AF61" s="827"/>
      <c r="AG61" s="614">
        <v>1.4591096529621352E-3</v>
      </c>
      <c r="AH61" s="615">
        <v>1.3049148217321182E-3</v>
      </c>
      <c r="AI61" s="616">
        <v>1.1899378973252092E-3</v>
      </c>
      <c r="AJ61" s="616">
        <v>1.5440611786489043E-3</v>
      </c>
      <c r="AK61" s="617">
        <v>1.4591096529621352E-3</v>
      </c>
      <c r="AL61" s="617">
        <v>1.3049148217321182E-3</v>
      </c>
      <c r="AM61" s="617">
        <v>1.6828621497952561E-3</v>
      </c>
      <c r="AN61" s="617">
        <v>1.5690857395037464E-3</v>
      </c>
      <c r="AO61" s="617">
        <v>1.4842741324387287E-3</v>
      </c>
      <c r="AP61" s="617">
        <v>1.7935840257101566E-3</v>
      </c>
      <c r="AQ61" s="617">
        <v>1.6828621497952561E-3</v>
      </c>
      <c r="AR61" s="618">
        <v>1.5689203910957343E-3</v>
      </c>
      <c r="AS61" s="618">
        <v>7.7087757526569825E-4</v>
      </c>
      <c r="AT61" s="618">
        <v>7.0074795324736119E-4</v>
      </c>
      <c r="AU61" s="618">
        <v>5.8794550147011769E-4</v>
      </c>
      <c r="AV61" s="618">
        <v>8.8210287344549633E-4</v>
      </c>
      <c r="AW61" s="618">
        <v>7.7087757526569825E-4</v>
      </c>
      <c r="AX61" s="618">
        <v>6.7384090240890659E-4</v>
      </c>
      <c r="AY61" s="618">
        <v>9.6034408313115389E-4</v>
      </c>
      <c r="AZ61" s="618">
        <v>8.9526849309744163E-4</v>
      </c>
      <c r="BA61" s="618">
        <v>7.6983683378454789E-4</v>
      </c>
      <c r="BB61" s="618">
        <v>1.0552297520417242E-3</v>
      </c>
      <c r="BC61" s="617">
        <v>1.0002846606900471E-3</v>
      </c>
      <c r="BD61" s="617">
        <v>9.093350090795219E-4</v>
      </c>
      <c r="BE61" s="617">
        <v>1.6186658016369565E-3</v>
      </c>
      <c r="BF61" s="617">
        <v>1.2921823547699912E-3</v>
      </c>
      <c r="BG61" s="617">
        <v>1.1332651306156449E-3</v>
      </c>
      <c r="BH61" s="617">
        <v>9.7339478361790346E-4</v>
      </c>
      <c r="BI61" s="617"/>
      <c r="BJ61" s="617"/>
      <c r="BK61" s="617"/>
      <c r="BL61" s="617"/>
      <c r="BM61" s="617"/>
      <c r="BN61" s="617"/>
      <c r="BO61" s="617"/>
      <c r="BP61" s="617"/>
      <c r="BQ61" s="617"/>
      <c r="BR61" s="617"/>
      <c r="BS61" s="617"/>
      <c r="BT61" s="617"/>
      <c r="BU61" s="617"/>
      <c r="BV61" s="617"/>
      <c r="BW61" s="617"/>
      <c r="BX61" s="617"/>
      <c r="BY61" s="617"/>
      <c r="BZ61" s="617"/>
      <c r="CA61" s="617"/>
      <c r="CB61" s="617"/>
      <c r="CC61" s="617"/>
      <c r="CD61" s="617"/>
      <c r="CE61" s="617"/>
      <c r="CF61" s="617"/>
      <c r="CG61" s="617"/>
      <c r="CH61" s="617"/>
      <c r="CI61" s="617"/>
      <c r="CJ61" s="617"/>
    </row>
    <row r="62" spans="1:88">
      <c r="A62" s="151">
        <f t="shared" ca="1" si="3"/>
        <v>8</v>
      </c>
      <c r="B62" s="784">
        <f t="shared" si="4"/>
        <v>0</v>
      </c>
      <c r="C62" s="944">
        <f t="shared" si="13"/>
        <v>0</v>
      </c>
      <c r="D62" s="947">
        <f t="shared" si="5"/>
        <v>0</v>
      </c>
      <c r="E62" s="947">
        <f t="shared" si="20"/>
        <v>0</v>
      </c>
      <c r="F62" s="947">
        <f t="shared" si="21"/>
        <v>0</v>
      </c>
      <c r="G62" s="947">
        <f>IF(M61&lt;0.01,0,IF($F$19=$U$4,$G$19,IF($F$19=$U$2,0,IF(AND($F$21=1,$F$19=$U$3),M61*Adm!$V$4,IF(AND($F$21=2,$F$19=$U$3),M61*Adm!$V$5,0)))))</f>
        <v>0</v>
      </c>
      <c r="H62" s="947">
        <f>IF(M61&lt;0.01,0,IF($F$20=$V$3,0,IF(OR($F$10=$T$16,$F$10=$T$17),0,IF($F$10=$T$13,0,$F$11*Adm!$AA$3))))</f>
        <v>0</v>
      </c>
      <c r="I62" s="947">
        <f t="shared" si="14"/>
        <v>0</v>
      </c>
      <c r="J62" s="947">
        <f t="shared" si="0"/>
        <v>0</v>
      </c>
      <c r="K62" s="947">
        <f t="shared" si="8"/>
        <v>0</v>
      </c>
      <c r="L62" s="947">
        <f t="shared" si="1"/>
        <v>0</v>
      </c>
      <c r="M62" s="947">
        <f t="shared" si="9"/>
        <v>0</v>
      </c>
      <c r="N62" s="946"/>
      <c r="P62" s="733"/>
      <c r="Q62" s="733"/>
      <c r="R62" s="733"/>
      <c r="S62" s="785">
        <f t="shared" si="10"/>
        <v>9</v>
      </c>
      <c r="T62" s="786">
        <f t="shared" si="15"/>
        <v>0</v>
      </c>
      <c r="W62" s="790">
        <f t="shared" si="16"/>
        <v>0</v>
      </c>
      <c r="X62" s="818">
        <f t="shared" ca="1" si="11"/>
        <v>0</v>
      </c>
      <c r="Z62" s="843">
        <f t="shared" si="17"/>
        <v>0</v>
      </c>
      <c r="AA62" s="792">
        <f t="shared" si="18"/>
        <v>0</v>
      </c>
      <c r="AB62" s="792">
        <f t="shared" si="19"/>
        <v>0</v>
      </c>
      <c r="AC62" s="789">
        <f t="shared" si="12"/>
        <v>0</v>
      </c>
      <c r="AD62" s="789">
        <f t="shared" si="2"/>
        <v>0</v>
      </c>
      <c r="AE62" s="828" t="e">
        <f>HLOOKUP($AE$39,anticipado,22,0)</f>
        <v>#N/A</v>
      </c>
      <c r="AF62" s="827"/>
      <c r="AG62" s="614">
        <v>1.4738449751491437E-3</v>
      </c>
      <c r="AH62" s="615">
        <v>1.3184774244726493E-3</v>
      </c>
      <c r="AI62" s="616">
        <v>1.2025642064324117E-3</v>
      </c>
      <c r="AJ62" s="616">
        <v>1.5593231783458058E-3</v>
      </c>
      <c r="AK62" s="617">
        <v>1.4738449751491437E-3</v>
      </c>
      <c r="AL62" s="617">
        <v>1.3184774244726493E-3</v>
      </c>
      <c r="AM62" s="617">
        <v>1.6990440654296808E-3</v>
      </c>
      <c r="AN62" s="617">
        <v>1.5845693248435042E-3</v>
      </c>
      <c r="AO62" s="617">
        <v>1.4992394343862881E-3</v>
      </c>
      <c r="AP62" s="617">
        <v>1.8105074010591673E-3</v>
      </c>
      <c r="AQ62" s="617">
        <v>1.6990440654296808E-3</v>
      </c>
      <c r="AR62" s="618">
        <v>1.5843366079963269E-3</v>
      </c>
      <c r="AS62" s="618">
        <v>7.784733969458808E-4</v>
      </c>
      <c r="AT62" s="618">
        <v>7.0783683879017934E-4</v>
      </c>
      <c r="AU62" s="618">
        <v>5.9412037188049597E-4</v>
      </c>
      <c r="AV62" s="618">
        <v>8.904965202682863E-4</v>
      </c>
      <c r="AW62" s="618">
        <v>7.784733969458808E-4</v>
      </c>
      <c r="AX62" s="618">
        <v>6.8069545608133095E-4</v>
      </c>
      <c r="AY62" s="618">
        <v>9.6922972732025193E-4</v>
      </c>
      <c r="AZ62" s="618">
        <v>9.0376199063199906E-4</v>
      </c>
      <c r="BA62" s="618">
        <v>7.7745369207460498E-4</v>
      </c>
      <c r="BB62" s="618">
        <v>1.0647071649230273E-3</v>
      </c>
      <c r="BC62" s="617">
        <v>1.0094133385314772E-3</v>
      </c>
      <c r="BD62" s="617">
        <v>9.178990343834618E-4</v>
      </c>
      <c r="BE62" s="617">
        <v>1.6344496000657014E-3</v>
      </c>
      <c r="BF62" s="617">
        <v>1.3056498883181685E-3</v>
      </c>
      <c r="BG62" s="617">
        <v>1.1432018280055232E-3</v>
      </c>
      <c r="BH62" s="617">
        <v>9.8237341611836842E-4</v>
      </c>
      <c r="BI62" s="617"/>
      <c r="BJ62" s="617"/>
      <c r="BK62" s="617"/>
      <c r="BL62" s="617"/>
      <c r="BM62" s="617"/>
      <c r="BN62" s="617"/>
      <c r="BO62" s="617"/>
      <c r="BP62" s="617"/>
      <c r="BQ62" s="617"/>
      <c r="BR62" s="617"/>
      <c r="BS62" s="617"/>
      <c r="BT62" s="617"/>
      <c r="BU62" s="617"/>
      <c r="BV62" s="617"/>
      <c r="BW62" s="617"/>
      <c r="BX62" s="617"/>
      <c r="BY62" s="617"/>
      <c r="BZ62" s="617"/>
      <c r="CA62" s="617"/>
      <c r="CB62" s="617"/>
      <c r="CC62" s="617"/>
      <c r="CD62" s="617"/>
      <c r="CE62" s="617"/>
      <c r="CF62" s="617"/>
      <c r="CG62" s="617"/>
      <c r="CH62" s="617"/>
      <c r="CI62" s="617"/>
      <c r="CJ62" s="617"/>
    </row>
    <row r="63" spans="1:88">
      <c r="A63" s="151">
        <f t="shared" ca="1" si="3"/>
        <v>9</v>
      </c>
      <c r="B63" s="784">
        <f t="shared" si="4"/>
        <v>0</v>
      </c>
      <c r="C63" s="944">
        <f t="shared" si="13"/>
        <v>0</v>
      </c>
      <c r="D63" s="947">
        <f t="shared" si="5"/>
        <v>0</v>
      </c>
      <c r="E63" s="947">
        <f t="shared" si="20"/>
        <v>0</v>
      </c>
      <c r="F63" s="947">
        <f t="shared" si="21"/>
        <v>0</v>
      </c>
      <c r="G63" s="947">
        <f>IF(M62&lt;0.01,0,IF($F$19=$U$4,$G$19,IF($F$19=$U$2,0,IF(AND($F$21=1,$F$19=$U$3),M62*Adm!$V$4,IF(AND($F$21=2,$F$19=$U$3),M62*Adm!$V$5,0)))))</f>
        <v>0</v>
      </c>
      <c r="H63" s="947">
        <f>IF(M62&lt;0.01,0,IF($F$20=$V$3,0,IF(OR($F$10=$T$16,$F$10=$T$17),0,IF($F$10=$T$13,0,$F$11*Adm!$AA$3))))</f>
        <v>0</v>
      </c>
      <c r="I63" s="947">
        <f t="shared" si="14"/>
        <v>0</v>
      </c>
      <c r="J63" s="947">
        <f t="shared" si="0"/>
        <v>0</v>
      </c>
      <c r="K63" s="947">
        <f t="shared" si="8"/>
        <v>0</v>
      </c>
      <c r="L63" s="947">
        <f t="shared" si="1"/>
        <v>0</v>
      </c>
      <c r="M63" s="947">
        <f t="shared" si="9"/>
        <v>0</v>
      </c>
      <c r="N63" s="946"/>
      <c r="P63" s="733"/>
      <c r="Q63" s="733"/>
      <c r="R63" s="733"/>
      <c r="S63" s="785">
        <f t="shared" si="10"/>
        <v>10</v>
      </c>
      <c r="T63" s="786">
        <f t="shared" si="15"/>
        <v>0</v>
      </c>
      <c r="W63" s="790">
        <f t="shared" si="16"/>
        <v>0</v>
      </c>
      <c r="X63" s="818">
        <f t="shared" ca="1" si="11"/>
        <v>0</v>
      </c>
      <c r="Z63" s="843">
        <f t="shared" si="17"/>
        <v>0</v>
      </c>
      <c r="AA63" s="792">
        <f t="shared" si="18"/>
        <v>0</v>
      </c>
      <c r="AB63" s="792">
        <f t="shared" si="19"/>
        <v>0</v>
      </c>
      <c r="AC63" s="789">
        <f t="shared" si="12"/>
        <v>0</v>
      </c>
      <c r="AD63" s="789">
        <f t="shared" si="2"/>
        <v>0</v>
      </c>
      <c r="AE63" s="828" t="e">
        <f>HLOOKUP($AE$39,anticipado,23,0)</f>
        <v>#N/A</v>
      </c>
      <c r="AF63" s="827"/>
      <c r="AG63" s="614">
        <v>1.488751076352935E-3</v>
      </c>
      <c r="AH63" s="615">
        <v>1.3321990815136195E-3</v>
      </c>
      <c r="AI63" s="616">
        <v>1.2153398555501988E-3</v>
      </c>
      <c r="AJ63" s="616">
        <v>1.5747601037356253E-3</v>
      </c>
      <c r="AK63" s="617">
        <v>1.488751076352935E-3</v>
      </c>
      <c r="AL63" s="619">
        <v>1.3321990815136195E-3</v>
      </c>
      <c r="AM63" s="619">
        <v>1.715409387086577E-3</v>
      </c>
      <c r="AN63" s="619">
        <v>1.6002305169407799E-3</v>
      </c>
      <c r="AO63" s="619">
        <v>1.514378321896872E-3</v>
      </c>
      <c r="AP63" s="619">
        <v>1.827621442139571E-3</v>
      </c>
      <c r="AQ63" s="619">
        <v>1.715409387086577E-3</v>
      </c>
      <c r="AR63" s="619">
        <v>1.5999290083052835E-3</v>
      </c>
      <c r="AS63" s="619">
        <v>7.8615003991524754E-4</v>
      </c>
      <c r="AT63" s="619">
        <v>7.150025088307081E-4</v>
      </c>
      <c r="AU63" s="619">
        <v>6.0036380293107311E-4</v>
      </c>
      <c r="AV63" s="619">
        <v>8.9897758917055438E-4</v>
      </c>
      <c r="AW63" s="619">
        <v>7.8615003991524754E-4</v>
      </c>
      <c r="AX63" s="619">
        <v>6.8762445329281665E-4</v>
      </c>
      <c r="AY63" s="619">
        <v>9.7820628684087887E-4</v>
      </c>
      <c r="AZ63" s="619">
        <v>9.1234382272095498E-4</v>
      </c>
      <c r="BA63" s="619">
        <v>7.8515189747554895E-4</v>
      </c>
      <c r="BB63" s="619">
        <v>1.0742798901414998E-3</v>
      </c>
      <c r="BC63" s="619">
        <v>1.0186346335153845E-3</v>
      </c>
      <c r="BD63" s="619">
        <v>9.2655165704703176E-4</v>
      </c>
      <c r="BE63" s="619">
        <v>1.6504134001747604E-3</v>
      </c>
      <c r="BF63" s="619">
        <v>1.3192755751406798E-3</v>
      </c>
      <c r="BG63" s="619">
        <v>1.1532371247331842E-3</v>
      </c>
      <c r="BH63" s="619">
        <v>9.9144377836765597E-4</v>
      </c>
      <c r="BI63" s="619"/>
      <c r="BJ63" s="619"/>
      <c r="BK63" s="619"/>
      <c r="BL63" s="619"/>
      <c r="BM63" s="619"/>
      <c r="BN63" s="619"/>
      <c r="BO63" s="619"/>
      <c r="BP63" s="619"/>
      <c r="BQ63" s="619"/>
      <c r="BR63" s="619"/>
      <c r="BS63" s="619"/>
      <c r="BT63" s="619"/>
      <c r="BU63" s="619"/>
      <c r="BV63" s="619"/>
      <c r="BW63" s="619"/>
      <c r="BX63" s="619"/>
      <c r="BY63" s="619"/>
      <c r="BZ63" s="619"/>
      <c r="CA63" s="619"/>
      <c r="CB63" s="619"/>
      <c r="CC63" s="619"/>
      <c r="CD63" s="619"/>
      <c r="CE63" s="619"/>
      <c r="CF63" s="619"/>
      <c r="CG63" s="619"/>
      <c r="CH63" s="619"/>
      <c r="CI63" s="619"/>
      <c r="CJ63" s="619"/>
    </row>
    <row r="64" spans="1:88">
      <c r="A64" s="151">
        <f t="shared" ca="1" si="3"/>
        <v>10</v>
      </c>
      <c r="B64" s="784">
        <f t="shared" si="4"/>
        <v>0</v>
      </c>
      <c r="C64" s="944">
        <f t="shared" si="13"/>
        <v>0</v>
      </c>
      <c r="D64" s="947">
        <f t="shared" si="5"/>
        <v>0</v>
      </c>
      <c r="E64" s="947">
        <f t="shared" si="20"/>
        <v>0</v>
      </c>
      <c r="F64" s="947">
        <f t="shared" si="21"/>
        <v>0</v>
      </c>
      <c r="G64" s="947">
        <f>IF(M63&lt;0.01,0,IF($F$19=$U$4,$G$19,IF($F$19=$U$2,0,IF(AND($F$21=1,$F$19=$U$3),M63*Adm!$V$4,IF(AND($F$21=2,$F$19=$U$3),M63*Adm!$V$5,0)))))</f>
        <v>0</v>
      </c>
      <c r="H64" s="947">
        <f>IF(M63&lt;0.01,0,IF($F$20=$V$3,0,IF(OR($F$10=$T$16,$F$10=$T$17),0,IF($F$10=$T$13,0,$F$11*Adm!$AA$3))))</f>
        <v>0</v>
      </c>
      <c r="I64" s="947">
        <f t="shared" si="14"/>
        <v>0</v>
      </c>
      <c r="J64" s="947">
        <f t="shared" si="0"/>
        <v>0</v>
      </c>
      <c r="K64" s="947">
        <f t="shared" si="8"/>
        <v>0</v>
      </c>
      <c r="L64" s="947">
        <f t="shared" si="1"/>
        <v>0</v>
      </c>
      <c r="M64" s="947">
        <f t="shared" si="9"/>
        <v>0</v>
      </c>
      <c r="N64" s="946"/>
      <c r="P64" s="733"/>
      <c r="Q64" s="733"/>
      <c r="R64" s="733"/>
      <c r="S64" s="785">
        <f t="shared" si="10"/>
        <v>11</v>
      </c>
      <c r="T64" s="786">
        <f t="shared" si="15"/>
        <v>0</v>
      </c>
      <c r="W64" s="790">
        <f t="shared" si="16"/>
        <v>0</v>
      </c>
      <c r="X64" s="818">
        <f t="shared" ca="1" si="11"/>
        <v>0</v>
      </c>
      <c r="Z64" s="843">
        <f t="shared" si="17"/>
        <v>0</v>
      </c>
      <c r="AA64" s="792">
        <f t="shared" si="18"/>
        <v>0</v>
      </c>
      <c r="AB64" s="792">
        <f t="shared" si="19"/>
        <v>0</v>
      </c>
      <c r="AC64" s="789">
        <f t="shared" si="12"/>
        <v>0</v>
      </c>
      <c r="AD64" s="789">
        <f t="shared" si="2"/>
        <v>0</v>
      </c>
      <c r="AE64" s="828" t="e">
        <f>HLOOKUP($AE$39,anticipado,24,0)</f>
        <v>#N/A</v>
      </c>
      <c r="AF64" s="827"/>
      <c r="AG64" s="614">
        <v>1.5038303834885509E-3</v>
      </c>
      <c r="AH64" s="615">
        <v>1.3460820374322639E-3</v>
      </c>
      <c r="AI64" s="616">
        <v>1.2282669397896816E-3</v>
      </c>
      <c r="AJ64" s="616">
        <v>1.590374439817049E-3</v>
      </c>
      <c r="AK64" s="617">
        <v>1.5038303834885509E-3</v>
      </c>
      <c r="AL64" s="619">
        <v>1.3460820374322639E-3</v>
      </c>
      <c r="AM64" s="619">
        <v>1.7319607331006393E-3</v>
      </c>
      <c r="AN64" s="619">
        <v>1.6160718472102481E-3</v>
      </c>
      <c r="AO64" s="619">
        <v>1.529693270153958E-3</v>
      </c>
      <c r="AP64" s="619">
        <v>1.84492888722941E-3</v>
      </c>
      <c r="AQ64" s="619">
        <v>1.7319607331006393E-3</v>
      </c>
      <c r="AR64" s="619">
        <v>1.6157000953333114E-3</v>
      </c>
      <c r="AS64" s="619">
        <v>7.9390848271285305E-4</v>
      </c>
      <c r="AT64" s="619">
        <v>7.2224589839730397E-4</v>
      </c>
      <c r="AU64" s="619">
        <v>6.0667663430310115E-4</v>
      </c>
      <c r="AV64" s="619">
        <v>9.0754713541300349E-4</v>
      </c>
      <c r="AW64" s="619">
        <v>7.9390848271285305E-4</v>
      </c>
      <c r="AX64" s="619">
        <v>6.9462879914357312E-4</v>
      </c>
      <c r="AY64" s="619">
        <v>9.8727485405261748E-4</v>
      </c>
      <c r="AZ64" s="619">
        <v>9.2101505626319058E-4</v>
      </c>
      <c r="BA64" s="619">
        <v>7.9293243801581198E-4</v>
      </c>
      <c r="BB64" s="619">
        <v>1.0839490706269655E-3</v>
      </c>
      <c r="BC64" s="619">
        <v>1.0279496564122841E-3</v>
      </c>
      <c r="BD64" s="619">
        <v>9.3529394428583509E-4</v>
      </c>
      <c r="BE64" s="619">
        <v>1.6665597681797752E-3</v>
      </c>
      <c r="BF64" s="619">
        <v>1.3330616464710563E-3</v>
      </c>
      <c r="BG64" s="619">
        <v>1.1633722018222999E-3</v>
      </c>
      <c r="BH64" s="619">
        <v>1.0006069730657406E-3</v>
      </c>
      <c r="BI64" s="619"/>
      <c r="BJ64" s="619"/>
      <c r="BK64" s="619"/>
      <c r="BL64" s="619"/>
      <c r="BM64" s="619"/>
      <c r="BN64" s="619"/>
      <c r="BO64" s="619"/>
      <c r="BP64" s="619"/>
      <c r="BQ64" s="619"/>
      <c r="BR64" s="619"/>
      <c r="BS64" s="619"/>
      <c r="BT64" s="619"/>
      <c r="BU64" s="619"/>
      <c r="BV64" s="619"/>
      <c r="BW64" s="619"/>
      <c r="BX64" s="619"/>
      <c r="BY64" s="619"/>
      <c r="BZ64" s="619"/>
      <c r="CA64" s="619"/>
      <c r="CB64" s="619"/>
      <c r="CC64" s="619"/>
      <c r="CD64" s="619"/>
      <c r="CE64" s="619"/>
      <c r="CF64" s="619"/>
      <c r="CG64" s="619"/>
      <c r="CH64" s="619"/>
      <c r="CI64" s="619"/>
      <c r="CJ64" s="619"/>
    </row>
    <row r="65" spans="1:88">
      <c r="A65" s="151">
        <f t="shared" ca="1" si="3"/>
        <v>11</v>
      </c>
      <c r="B65" s="784">
        <f t="shared" si="4"/>
        <v>0</v>
      </c>
      <c r="C65" s="944">
        <f t="shared" si="13"/>
        <v>0</v>
      </c>
      <c r="D65" s="947">
        <f t="shared" si="5"/>
        <v>0</v>
      </c>
      <c r="E65" s="947">
        <f t="shared" si="20"/>
        <v>0</v>
      </c>
      <c r="F65" s="947">
        <f t="shared" si="21"/>
        <v>0</v>
      </c>
      <c r="G65" s="947">
        <f>IF(M64&lt;0.01,0,IF($F$19=$U$4,$G$19,IF($F$19=$U$2,0,IF(AND($F$21=1,$F$19=$U$3),M64*Adm!$V$4,IF(AND($F$21=2,$F$19=$U$3),M64*Adm!$V$5,0)))))</f>
        <v>0</v>
      </c>
      <c r="H65" s="947">
        <f>IF(M64&lt;0.01,0,IF($F$20=$V$3,0,IF(OR($F$10=$T$16,$F$10=$T$17),0,IF($F$10=$T$13,0,$F$11*Adm!$AA$3))))</f>
        <v>0</v>
      </c>
      <c r="I65" s="947">
        <f t="shared" si="14"/>
        <v>0</v>
      </c>
      <c r="J65" s="947">
        <f t="shared" si="0"/>
        <v>0</v>
      </c>
      <c r="K65" s="947">
        <f t="shared" si="8"/>
        <v>0</v>
      </c>
      <c r="L65" s="947">
        <f t="shared" si="1"/>
        <v>0</v>
      </c>
      <c r="M65" s="947">
        <f t="shared" si="9"/>
        <v>0</v>
      </c>
      <c r="N65" s="946"/>
      <c r="P65" s="733"/>
      <c r="Q65" s="733"/>
      <c r="R65" s="733"/>
      <c r="S65" s="785">
        <f t="shared" si="10"/>
        <v>12</v>
      </c>
      <c r="T65" s="786">
        <f t="shared" si="15"/>
        <v>0</v>
      </c>
      <c r="W65" s="790">
        <f t="shared" si="16"/>
        <v>0</v>
      </c>
      <c r="X65" s="818">
        <f t="shared" ca="1" si="11"/>
        <v>0</v>
      </c>
      <c r="Z65" s="843">
        <f t="shared" si="17"/>
        <v>0</v>
      </c>
      <c r="AA65" s="792">
        <f t="shared" si="18"/>
        <v>0</v>
      </c>
      <c r="AB65" s="792">
        <f t="shared" si="19"/>
        <v>0</v>
      </c>
      <c r="AC65" s="789">
        <f t="shared" si="12"/>
        <v>0</v>
      </c>
      <c r="AD65" s="789">
        <f t="shared" si="2"/>
        <v>0</v>
      </c>
      <c r="AE65" s="828" t="e">
        <f>HLOOKUP($AE$39,anticipado,25,0)</f>
        <v>#N/A</v>
      </c>
      <c r="AF65" s="827"/>
      <c r="AG65" s="614">
        <v>1.5190853672765626E-3</v>
      </c>
      <c r="AH65" s="615">
        <v>1.360128576567479E-3</v>
      </c>
      <c r="AI65" s="616">
        <v>1.2413475907880876E-3</v>
      </c>
      <c r="AJ65" s="616">
        <v>1.6061687167016018E-3</v>
      </c>
      <c r="AK65" s="617">
        <v>1.5190853672765626E-3</v>
      </c>
      <c r="AL65" s="619">
        <v>1.360128576567479E-3</v>
      </c>
      <c r="AM65" s="619">
        <v>1.7487007699718855E-3</v>
      </c>
      <c r="AN65" s="619">
        <v>1.632095893236312E-3</v>
      </c>
      <c r="AO65" s="619">
        <v>1.5451867992373697E-3</v>
      </c>
      <c r="AP65" s="619">
        <v>1.8624325255614557E-3</v>
      </c>
      <c r="AQ65" s="619">
        <v>1.7487007699718855E-3</v>
      </c>
      <c r="AR65" s="619">
        <v>1.6316524179195344E-3</v>
      </c>
      <c r="AS65" s="619">
        <v>8.0174971809568191E-4</v>
      </c>
      <c r="AT65" s="619">
        <v>7.2956795602189747E-4</v>
      </c>
      <c r="AU65" s="619">
        <v>6.1305971762743773E-4</v>
      </c>
      <c r="AV65" s="619">
        <v>9.1620622979523907E-4</v>
      </c>
      <c r="AW65" s="619">
        <v>8.0174971809568191E-4</v>
      </c>
      <c r="AX65" s="619">
        <v>7.0170941172812665E-4</v>
      </c>
      <c r="AY65" s="619">
        <v>9.9643653749748409E-4</v>
      </c>
      <c r="AZ65" s="619">
        <v>9.2977677390384541E-4</v>
      </c>
      <c r="BA65" s="619">
        <v>8.0079631611768324E-4</v>
      </c>
      <c r="BB65" s="619">
        <v>1.0937158663996774E-3</v>
      </c>
      <c r="BC65" s="619">
        <v>1.0373595345005615E-3</v>
      </c>
      <c r="BD65" s="619">
        <v>9.4412697905841528E-4</v>
      </c>
      <c r="BE65" s="619">
        <v>1.6828913172617346E-3</v>
      </c>
      <c r="BF65" s="619">
        <v>1.347010373013715E-3</v>
      </c>
      <c r="BG65" s="619">
        <v>1.1736082580844789E-3</v>
      </c>
      <c r="BH65" s="619">
        <v>1.0098641192816925E-3</v>
      </c>
      <c r="BI65" s="619"/>
      <c r="BJ65" s="619"/>
      <c r="BK65" s="619"/>
      <c r="BL65" s="619"/>
      <c r="BM65" s="619"/>
      <c r="BN65" s="619"/>
      <c r="BO65" s="619"/>
      <c r="BP65" s="619"/>
      <c r="BQ65" s="619"/>
      <c r="BR65" s="619"/>
      <c r="BS65" s="619"/>
      <c r="BT65" s="619"/>
      <c r="BU65" s="619"/>
      <c r="BV65" s="619"/>
      <c r="BW65" s="619"/>
      <c r="BX65" s="619"/>
      <c r="BY65" s="619"/>
      <c r="BZ65" s="619"/>
      <c r="CA65" s="619"/>
      <c r="CB65" s="619"/>
      <c r="CC65" s="619"/>
      <c r="CD65" s="619"/>
      <c r="CE65" s="619"/>
      <c r="CF65" s="619"/>
      <c r="CG65" s="619"/>
      <c r="CH65" s="619"/>
      <c r="CI65" s="619"/>
      <c r="CJ65" s="619"/>
    </row>
    <row r="66" spans="1:88">
      <c r="A66" s="151">
        <f t="shared" ca="1" si="3"/>
        <v>12</v>
      </c>
      <c r="B66" s="784">
        <f t="shared" si="4"/>
        <v>0</v>
      </c>
      <c r="C66" s="944">
        <f t="shared" si="13"/>
        <v>0</v>
      </c>
      <c r="D66" s="947">
        <f t="shared" si="5"/>
        <v>0</v>
      </c>
      <c r="E66" s="947">
        <f t="shared" si="20"/>
        <v>0</v>
      </c>
      <c r="F66" s="947">
        <f t="shared" si="21"/>
        <v>0</v>
      </c>
      <c r="G66" s="947">
        <f>IF(M65&lt;0.01,0,IF($F$19=$U$4,$G$19,IF($F$19=$U$2,0,IF(AND($F$21=1,$F$19=$U$3),M65*Adm!$V$4,IF(AND($F$21=2,$F$19=$U$3),M65*Adm!$V$5,0)))))</f>
        <v>0</v>
      </c>
      <c r="H66" s="947">
        <f>IF(M65&lt;0.01,0,IF($F$20=$V$3,0,IF(OR($F$10=$T$16,$F$10=$T$17),0,IF($F$10=$T$13,0,$F$11*Adm!$AA$3))))</f>
        <v>0</v>
      </c>
      <c r="I66" s="947">
        <f t="shared" si="14"/>
        <v>0</v>
      </c>
      <c r="J66" s="947">
        <f t="shared" si="0"/>
        <v>0</v>
      </c>
      <c r="K66" s="947">
        <f t="shared" si="8"/>
        <v>0</v>
      </c>
      <c r="L66" s="947">
        <f t="shared" si="1"/>
        <v>0</v>
      </c>
      <c r="M66" s="947">
        <f t="shared" si="9"/>
        <v>0</v>
      </c>
      <c r="N66" s="946"/>
      <c r="P66" s="733"/>
      <c r="Q66" s="733"/>
      <c r="R66" s="733"/>
      <c r="S66" s="785">
        <f t="shared" si="10"/>
        <v>1</v>
      </c>
      <c r="T66" s="786">
        <f t="shared" si="15"/>
        <v>0</v>
      </c>
      <c r="W66" s="790">
        <f t="shared" si="16"/>
        <v>0</v>
      </c>
      <c r="X66" s="818">
        <f t="shared" ca="1" si="11"/>
        <v>0</v>
      </c>
      <c r="Z66" s="843">
        <f t="shared" si="17"/>
        <v>0</v>
      </c>
      <c r="AA66" s="792">
        <f t="shared" si="18"/>
        <v>0</v>
      </c>
      <c r="AB66" s="792">
        <f t="shared" si="19"/>
        <v>0</v>
      </c>
      <c r="AC66" s="789">
        <f t="shared" si="12"/>
        <v>0</v>
      </c>
      <c r="AD66" s="789">
        <f t="shared" si="2"/>
        <v>0</v>
      </c>
      <c r="AE66" s="828" t="e">
        <f>HLOOKUP($AE$39,anticipado,26,0)</f>
        <v>#N/A</v>
      </c>
      <c r="AF66" s="827"/>
      <c r="AG66" s="614">
        <v>1.7885065068150171E-3</v>
      </c>
      <c r="AH66" s="615">
        <v>1.6355745494978926E-3</v>
      </c>
      <c r="AI66" s="616">
        <v>1.5211569102735667E-3</v>
      </c>
      <c r="AJ66" s="616">
        <v>1.8708241484073048E-3</v>
      </c>
      <c r="AK66" s="617">
        <v>1.7885065068150171E-3</v>
      </c>
      <c r="AL66" s="619">
        <v>1.6355745494978926E-3</v>
      </c>
      <c r="AM66" s="619">
        <v>2.0076896854823263E-3</v>
      </c>
      <c r="AN66" s="619">
        <v>1.8965962451590449E-3</v>
      </c>
      <c r="AO66" s="619">
        <v>1.814466345356264E-3</v>
      </c>
      <c r="AP66" s="619">
        <v>2.1177635784779048E-3</v>
      </c>
      <c r="AQ66" s="619">
        <v>2.0076896854823263E-3</v>
      </c>
      <c r="AR66" s="619">
        <v>1.8950249524241837E-3</v>
      </c>
      <c r="AS66" s="619">
        <v>9.0852150082552799E-4</v>
      </c>
      <c r="AT66" s="619">
        <v>8.3842267375139345E-4</v>
      </c>
      <c r="AU66" s="619">
        <v>7.2479238918999375E-4</v>
      </c>
      <c r="AV66" s="619">
        <v>1.0204555185284814E-3</v>
      </c>
      <c r="AW66" s="619">
        <v>9.0852150082552799E-4</v>
      </c>
      <c r="AX66" s="619">
        <v>8.1087256125300287E-4</v>
      </c>
      <c r="AY66" s="619">
        <v>1.0985827201532208E-3</v>
      </c>
      <c r="AZ66" s="619">
        <v>1.0338497083988011E-3</v>
      </c>
      <c r="BA66" s="619">
        <v>9.0799866101024397E-4</v>
      </c>
      <c r="BB66" s="619">
        <v>1.1937839361046418E-3</v>
      </c>
      <c r="BC66" s="619">
        <v>1.1385007326573222E-3</v>
      </c>
      <c r="BD66" s="619">
        <v>1.0475823789577556E-3</v>
      </c>
      <c r="BE66" s="619">
        <v>1.9448126430290399E-3</v>
      </c>
      <c r="BF66" s="619">
        <v>1.623068834128718E-3</v>
      </c>
      <c r="BG66" s="619">
        <v>1.2720359755587147E-3</v>
      </c>
      <c r="BH66" s="619">
        <v>1.1118251829500987E-3</v>
      </c>
      <c r="BI66" s="619"/>
      <c r="BJ66" s="619"/>
      <c r="BK66" s="619"/>
      <c r="BL66" s="619"/>
      <c r="BM66" s="619"/>
      <c r="BN66" s="619"/>
      <c r="BO66" s="619"/>
      <c r="BP66" s="619"/>
      <c r="BQ66" s="619"/>
      <c r="BR66" s="619"/>
      <c r="BS66" s="619"/>
      <c r="BT66" s="619"/>
      <c r="BU66" s="619"/>
      <c r="BV66" s="619"/>
      <c r="BW66" s="619"/>
      <c r="BX66" s="619"/>
      <c r="BY66" s="619"/>
      <c r="BZ66" s="619"/>
      <c r="CA66" s="619"/>
      <c r="CB66" s="619"/>
      <c r="CC66" s="619"/>
      <c r="CD66" s="619"/>
      <c r="CE66" s="619"/>
      <c r="CF66" s="619"/>
      <c r="CG66" s="619"/>
      <c r="CH66" s="619"/>
      <c r="CI66" s="619"/>
      <c r="CJ66" s="619"/>
    </row>
    <row r="67" spans="1:88">
      <c r="A67" s="151">
        <f t="shared" ca="1" si="3"/>
        <v>1</v>
      </c>
      <c r="B67" s="784">
        <f t="shared" si="4"/>
        <v>0</v>
      </c>
      <c r="C67" s="944">
        <f t="shared" si="13"/>
        <v>0</v>
      </c>
      <c r="D67" s="947">
        <f t="shared" si="5"/>
        <v>0</v>
      </c>
      <c r="E67" s="947">
        <f t="shared" si="20"/>
        <v>0</v>
      </c>
      <c r="F67" s="947">
        <f t="shared" si="21"/>
        <v>0</v>
      </c>
      <c r="G67" s="947">
        <f>IF(M66&lt;0.01,0,IF($F$19=$U$4,$G$19,IF($F$19=$U$2,0,IF(AND($F$21=1,$F$19=$U$3),M66*Adm!$V$4,IF(AND($F$21=2,$F$19=$U$3),M66*Adm!$V$5,0)))))</f>
        <v>0</v>
      </c>
      <c r="H67" s="947">
        <f>IF(M66&lt;0.01,0,IF($F$20=$V$3,0,IF(OR($F$10=$T$16,$F$10=$T$17),0,IF($F$10=$T$13,0,$F$11*Adm!$AA$3))))</f>
        <v>0</v>
      </c>
      <c r="I67" s="947">
        <f t="shared" si="14"/>
        <v>0</v>
      </c>
      <c r="J67" s="947">
        <f t="shared" si="0"/>
        <v>0</v>
      </c>
      <c r="K67" s="947">
        <f t="shared" si="8"/>
        <v>0</v>
      </c>
      <c r="L67" s="947">
        <f t="shared" si="1"/>
        <v>0</v>
      </c>
      <c r="M67" s="947">
        <f t="shared" si="9"/>
        <v>0</v>
      </c>
      <c r="N67" s="946"/>
      <c r="P67" s="733"/>
      <c r="Q67" s="733"/>
      <c r="R67" s="733"/>
      <c r="S67" s="785">
        <f t="shared" si="10"/>
        <v>2</v>
      </c>
      <c r="T67" s="786">
        <f t="shared" si="15"/>
        <v>0</v>
      </c>
      <c r="W67" s="790">
        <f t="shared" si="16"/>
        <v>0</v>
      </c>
      <c r="X67" s="818">
        <f t="shared" ca="1" si="11"/>
        <v>0</v>
      </c>
      <c r="Z67" s="843">
        <f t="shared" si="17"/>
        <v>0</v>
      </c>
      <c r="AA67" s="792">
        <f t="shared" si="18"/>
        <v>0</v>
      </c>
      <c r="AB67" s="792">
        <f t="shared" si="19"/>
        <v>0</v>
      </c>
      <c r="AC67" s="789">
        <f t="shared" si="12"/>
        <v>0</v>
      </c>
      <c r="AD67" s="789">
        <f t="shared" si="2"/>
        <v>0</v>
      </c>
      <c r="AE67" s="828" t="e">
        <f>HLOOKUP($AE$39,anticipado,27,0)</f>
        <v>#N/A</v>
      </c>
      <c r="AF67" s="827"/>
      <c r="AG67" s="614">
        <v>1.8071645009050488E-3</v>
      </c>
      <c r="AH67" s="615">
        <v>1.65312119148261E-3</v>
      </c>
      <c r="AI67" s="616">
        <v>1.5378077083599674E-3</v>
      </c>
      <c r="AJ67" s="616">
        <v>1.8899344945340767E-3</v>
      </c>
      <c r="AK67" s="617">
        <v>1.8071645009050488E-3</v>
      </c>
      <c r="AL67" s="619">
        <v>1.65312119148261E-3</v>
      </c>
      <c r="AM67" s="619">
        <v>2.0276547971142815E-3</v>
      </c>
      <c r="AN67" s="619">
        <v>1.9159401489488915E-3</v>
      </c>
      <c r="AO67" s="619">
        <v>1.8333670977180654E-3</v>
      </c>
      <c r="AP67" s="619">
        <v>2.1384402366116479E-3</v>
      </c>
      <c r="AQ67" s="619">
        <v>2.0276547971142815E-3</v>
      </c>
      <c r="AR67" s="619">
        <v>1.9142707071628476E-3</v>
      </c>
      <c r="AS67" s="619">
        <v>9.1759999276810617E-4</v>
      </c>
      <c r="AT67" s="619">
        <v>8.4702099534791388E-4</v>
      </c>
      <c r="AU67" s="619">
        <v>7.3250478767470306E-4</v>
      </c>
      <c r="AV67" s="619">
        <v>1.030308331198147E-3</v>
      </c>
      <c r="AW67" s="619">
        <v>9.1759999276810617E-4</v>
      </c>
      <c r="AX67" s="619">
        <v>8.1923338718849583E-4</v>
      </c>
      <c r="AY67" s="619">
        <v>1.1089008663486236E-3</v>
      </c>
      <c r="AZ67" s="619">
        <v>1.043802720200463E-3</v>
      </c>
      <c r="BA67" s="619">
        <v>9.1710931616753263E-4</v>
      </c>
      <c r="BB67" s="619">
        <v>1.2046728446890556E-3</v>
      </c>
      <c r="BC67" s="619">
        <v>1.1490497575949391E-3</v>
      </c>
      <c r="BD67" s="619">
        <v>1.0575947467997228E-3</v>
      </c>
      <c r="BE67" s="619">
        <v>1.9644184648482626E-3</v>
      </c>
      <c r="BF67" s="619">
        <v>1.6405285023501888E-3</v>
      </c>
      <c r="BG67" s="619">
        <v>1.2833677398072568E-3</v>
      </c>
      <c r="BH67" s="619">
        <v>1.1222362059746009E-3</v>
      </c>
      <c r="BI67" s="619"/>
      <c r="BJ67" s="619"/>
      <c r="BK67" s="619"/>
      <c r="BL67" s="619"/>
      <c r="BM67" s="619"/>
      <c r="BN67" s="619"/>
      <c r="BO67" s="619"/>
      <c r="BP67" s="619"/>
      <c r="BQ67" s="619"/>
      <c r="BR67" s="619"/>
      <c r="BS67" s="619"/>
      <c r="BT67" s="619"/>
      <c r="BU67" s="619"/>
      <c r="BV67" s="619"/>
      <c r="BW67" s="619"/>
      <c r="BX67" s="619"/>
      <c r="BY67" s="619"/>
      <c r="BZ67" s="619"/>
      <c r="CA67" s="619"/>
      <c r="CB67" s="619"/>
      <c r="CC67" s="619"/>
      <c r="CD67" s="619"/>
      <c r="CE67" s="619"/>
      <c r="CF67" s="619"/>
      <c r="CG67" s="619"/>
      <c r="CH67" s="619"/>
      <c r="CI67" s="619"/>
      <c r="CJ67" s="619"/>
    </row>
    <row r="68" spans="1:88">
      <c r="A68" s="151">
        <f t="shared" ca="1" si="3"/>
        <v>2</v>
      </c>
      <c r="B68" s="784">
        <f t="shared" si="4"/>
        <v>0</v>
      </c>
      <c r="C68" s="944">
        <f t="shared" si="13"/>
        <v>0</v>
      </c>
      <c r="D68" s="947">
        <f t="shared" si="5"/>
        <v>0</v>
      </c>
      <c r="E68" s="947">
        <f t="shared" si="20"/>
        <v>0</v>
      </c>
      <c r="F68" s="947">
        <f t="shared" si="21"/>
        <v>0</v>
      </c>
      <c r="G68" s="947">
        <f>IF(M67&lt;0.01,0,IF($F$19=$U$4,$G$19,IF($F$19=$U$2,0,IF(AND($F$21=1,$F$19=$U$3),M67*Adm!$V$4,IF(AND($F$21=2,$F$19=$U$3),M67*Adm!$V$5,0)))))</f>
        <v>0</v>
      </c>
      <c r="H68" s="947">
        <f>IF(M67&lt;0.01,0,IF($F$20=$V$3,0,IF(OR($F$10=$T$16,$F$10=$T$17),0,IF($F$10=$T$13,0,$F$11*Adm!$AA$3))))</f>
        <v>0</v>
      </c>
      <c r="I68" s="947">
        <f t="shared" si="14"/>
        <v>0</v>
      </c>
      <c r="J68" s="947">
        <f t="shared" si="0"/>
        <v>0</v>
      </c>
      <c r="K68" s="947">
        <f t="shared" si="8"/>
        <v>0</v>
      </c>
      <c r="L68" s="947">
        <f t="shared" si="1"/>
        <v>0</v>
      </c>
      <c r="M68" s="947">
        <f t="shared" si="9"/>
        <v>0</v>
      </c>
      <c r="N68" s="946"/>
      <c r="P68" s="733"/>
      <c r="Q68" s="733"/>
      <c r="R68" s="733"/>
      <c r="S68" s="785">
        <f t="shared" si="10"/>
        <v>3</v>
      </c>
      <c r="T68" s="786">
        <f t="shared" si="15"/>
        <v>0</v>
      </c>
      <c r="W68" s="790">
        <f t="shared" si="16"/>
        <v>0</v>
      </c>
      <c r="X68" s="818">
        <f t="shared" ca="1" si="11"/>
        <v>0</v>
      </c>
      <c r="Z68" s="843">
        <f t="shared" si="17"/>
        <v>0</v>
      </c>
      <c r="AA68" s="792">
        <f t="shared" si="18"/>
        <v>0</v>
      </c>
      <c r="AB68" s="792">
        <f t="shared" si="19"/>
        <v>0</v>
      </c>
      <c r="AC68" s="789">
        <f t="shared" si="12"/>
        <v>0</v>
      </c>
      <c r="AD68" s="789">
        <f t="shared" si="2"/>
        <v>0</v>
      </c>
      <c r="AE68" s="828" t="e">
        <f>HLOOKUP($AE$39,anticipado,28,0)</f>
        <v>#N/A</v>
      </c>
      <c r="AF68" s="827"/>
      <c r="AG68" s="614">
        <v>1.8260512697568913E-3</v>
      </c>
      <c r="AH68" s="615">
        <v>1.6708854424287332E-3</v>
      </c>
      <c r="AI68" s="616">
        <v>1.5546666943092246E-3</v>
      </c>
      <c r="AJ68" s="616">
        <v>1.9092766069200994E-3</v>
      </c>
      <c r="AK68" s="617">
        <v>1.8260512697568913E-3</v>
      </c>
      <c r="AL68" s="619">
        <v>1.6708854424287332E-3</v>
      </c>
      <c r="AM68" s="619">
        <v>2.0478594162272323E-3</v>
      </c>
      <c r="AN68" s="619">
        <v>1.935518858138707E-3</v>
      </c>
      <c r="AO68" s="619">
        <v>1.8524998108418711E-3</v>
      </c>
      <c r="AP68" s="619">
        <v>2.1593635132379886E-3</v>
      </c>
      <c r="AQ68" s="619">
        <v>2.0478594162272323E-3</v>
      </c>
      <c r="AR68" s="619">
        <v>1.9337492077043563E-3</v>
      </c>
      <c r="AS68" s="619">
        <v>9.267776238434122E-4</v>
      </c>
      <c r="AT68" s="619">
        <v>8.5571485966464691E-4</v>
      </c>
      <c r="AU68" s="619">
        <v>7.4030496621133588E-4</v>
      </c>
      <c r="AV68" s="619">
        <v>1.0402665358332666E-3</v>
      </c>
      <c r="AW68" s="619">
        <v>9.267776238434122E-4</v>
      </c>
      <c r="AX68" s="619">
        <v>8.2768734653032561E-4</v>
      </c>
      <c r="AY68" s="619">
        <v>1.119327485076139E-3</v>
      </c>
      <c r="AZ68" s="619">
        <v>1.0538620509576875E-3</v>
      </c>
      <c r="BA68" s="619">
        <v>9.263198326481994E-4</v>
      </c>
      <c r="BB68" s="619">
        <v>1.2156743278936436E-3</v>
      </c>
      <c r="BC68" s="619">
        <v>1.1597087745470239E-3</v>
      </c>
      <c r="BD68" s="619">
        <v>1.0677135103471511E-3</v>
      </c>
      <c r="BE68" s="619">
        <v>1.9842609134988341E-3</v>
      </c>
      <c r="BF68" s="619">
        <v>1.6582049864062205E-3</v>
      </c>
      <c r="BG68" s="619">
        <v>1.2948151428065784E-3</v>
      </c>
      <c r="BH68" s="619">
        <v>1.1327565230882719E-3</v>
      </c>
      <c r="BI68" s="619"/>
      <c r="BJ68" s="619"/>
      <c r="BK68" s="619"/>
      <c r="BL68" s="619"/>
      <c r="BM68" s="619"/>
      <c r="BN68" s="619"/>
      <c r="BO68" s="619"/>
      <c r="BP68" s="619"/>
      <c r="BQ68" s="619"/>
      <c r="BR68" s="619"/>
      <c r="BS68" s="619"/>
      <c r="BT68" s="619"/>
      <c r="BU68" s="619"/>
      <c r="BV68" s="619"/>
      <c r="BW68" s="619"/>
      <c r="BX68" s="619"/>
      <c r="BY68" s="619"/>
      <c r="BZ68" s="619"/>
      <c r="CA68" s="619"/>
      <c r="CB68" s="619"/>
      <c r="CC68" s="619"/>
      <c r="CD68" s="619"/>
      <c r="CE68" s="619"/>
      <c r="CF68" s="619"/>
      <c r="CG68" s="619"/>
      <c r="CH68" s="619"/>
      <c r="CI68" s="619"/>
      <c r="CJ68" s="619"/>
    </row>
    <row r="69" spans="1:88">
      <c r="A69" s="151">
        <f t="shared" ca="1" si="3"/>
        <v>3</v>
      </c>
      <c r="B69" s="784">
        <f t="shared" si="4"/>
        <v>0</v>
      </c>
      <c r="C69" s="944">
        <f t="shared" si="13"/>
        <v>0</v>
      </c>
      <c r="D69" s="947">
        <f t="shared" si="5"/>
        <v>0</v>
      </c>
      <c r="E69" s="947">
        <f t="shared" si="20"/>
        <v>0</v>
      </c>
      <c r="F69" s="947">
        <f t="shared" si="21"/>
        <v>0</v>
      </c>
      <c r="G69" s="947">
        <f>IF(M68&lt;0.01,0,IF($F$19=$U$4,$G$19,IF($F$19=$U$2,0,IF(AND($F$21=1,$F$19=$U$3),M68*Adm!$V$4,IF(AND($F$21=2,$F$19=$U$3),M68*Adm!$V$5,0)))))</f>
        <v>0</v>
      </c>
      <c r="H69" s="947">
        <f>IF(M68&lt;0.01,0,IF($F$20=$V$3,0,IF(OR($F$10=$T$16,$F$10=$T$17),0,IF($F$10=$T$13,0,$F$11*Adm!$AA$3))))</f>
        <v>0</v>
      </c>
      <c r="I69" s="947">
        <f t="shared" si="14"/>
        <v>0</v>
      </c>
      <c r="J69" s="947">
        <f t="shared" si="0"/>
        <v>0</v>
      </c>
      <c r="K69" s="947">
        <f t="shared" si="8"/>
        <v>0</v>
      </c>
      <c r="L69" s="947">
        <f t="shared" si="1"/>
        <v>0</v>
      </c>
      <c r="M69" s="947">
        <f t="shared" si="9"/>
        <v>0</v>
      </c>
      <c r="N69" s="946"/>
      <c r="P69" s="733"/>
      <c r="Q69" s="733"/>
      <c r="R69" s="733"/>
      <c r="S69" s="785">
        <f t="shared" si="10"/>
        <v>4</v>
      </c>
      <c r="T69" s="786">
        <f t="shared" si="15"/>
        <v>0</v>
      </c>
      <c r="W69" s="790">
        <f t="shared" si="16"/>
        <v>0</v>
      </c>
      <c r="X69" s="818">
        <f t="shared" ca="1" si="11"/>
        <v>0</v>
      </c>
      <c r="Z69" s="843">
        <f t="shared" si="17"/>
        <v>0</v>
      </c>
      <c r="AA69" s="792">
        <f t="shared" si="18"/>
        <v>0</v>
      </c>
      <c r="AB69" s="792">
        <f t="shared" si="19"/>
        <v>0</v>
      </c>
      <c r="AC69" s="789">
        <f t="shared" si="12"/>
        <v>0</v>
      </c>
      <c r="AD69" s="789">
        <f t="shared" si="2"/>
        <v>0</v>
      </c>
      <c r="AE69" s="828" t="e">
        <f>HLOOKUP($AE$39,anticipado,29,0)</f>
        <v>#N/A</v>
      </c>
      <c r="AF69" s="827"/>
      <c r="AG69" s="614">
        <v>1.8451703375964312E-3</v>
      </c>
      <c r="AH69" s="615">
        <v>1.6888706371805846E-3</v>
      </c>
      <c r="AI69" s="616">
        <v>1.5717370440260785E-3</v>
      </c>
      <c r="AJ69" s="616">
        <v>1.9288540505896623E-3</v>
      </c>
      <c r="AK69" s="617">
        <v>1.8451703375964312E-3</v>
      </c>
      <c r="AL69" s="619">
        <v>1.6888706371805846E-3</v>
      </c>
      <c r="AM69" s="619">
        <v>2.0683072390608593E-3</v>
      </c>
      <c r="AN69" s="619">
        <v>1.9553359957073116E-3</v>
      </c>
      <c r="AO69" s="619">
        <v>1.8718680694628643E-3</v>
      </c>
      <c r="AP69" s="619">
        <v>2.1805372325656882E-3</v>
      </c>
      <c r="AQ69" s="619">
        <v>2.0683072390608593E-3</v>
      </c>
      <c r="AR69" s="619">
        <v>1.9534640336184741E-3</v>
      </c>
      <c r="AS69" s="619">
        <v>9.3605564620737036E-4</v>
      </c>
      <c r="AT69" s="619">
        <v>8.6450548048857179E-4</v>
      </c>
      <c r="AU69" s="619">
        <v>7.4819404635308488E-4</v>
      </c>
      <c r="AV69" s="619">
        <v>1.0503314593735455E-3</v>
      </c>
      <c r="AW69" s="619">
        <v>9.3605564620737036E-4</v>
      </c>
      <c r="AX69" s="619">
        <v>8.3623562056967177E-4</v>
      </c>
      <c r="AY69" s="619">
        <v>1.1298639355015894E-3</v>
      </c>
      <c r="AZ69" s="619">
        <v>1.0640290400548379E-3</v>
      </c>
      <c r="BA69" s="619">
        <v>9.356314757812418E-4</v>
      </c>
      <c r="BB69" s="619">
        <v>1.2267897931800926E-3</v>
      </c>
      <c r="BC69" s="619">
        <v>1.1704791590516083E-3</v>
      </c>
      <c r="BD69" s="619">
        <v>1.0779400062931651E-3</v>
      </c>
      <c r="BE69" s="619">
        <v>2.0043436386527973E-3</v>
      </c>
      <c r="BF69" s="619">
        <v>1.6761016085773573E-3</v>
      </c>
      <c r="BG69" s="619">
        <v>1.3063796283955796E-3</v>
      </c>
      <c r="BH69" s="619">
        <v>1.1433875044201069E-3</v>
      </c>
      <c r="BI69" s="619"/>
      <c r="BJ69" s="619"/>
      <c r="BK69" s="619"/>
      <c r="BL69" s="619"/>
      <c r="BM69" s="619"/>
      <c r="BN69" s="619"/>
      <c r="BO69" s="619"/>
      <c r="BP69" s="619"/>
      <c r="BQ69" s="619"/>
      <c r="BR69" s="619"/>
      <c r="BS69" s="619"/>
      <c r="BT69" s="619"/>
      <c r="BU69" s="619"/>
      <c r="BV69" s="619"/>
      <c r="BW69" s="619"/>
      <c r="BX69" s="619"/>
      <c r="BY69" s="619"/>
      <c r="BZ69" s="619"/>
      <c r="CA69" s="619"/>
      <c r="CB69" s="619"/>
      <c r="CC69" s="619"/>
      <c r="CD69" s="619"/>
      <c r="CE69" s="619"/>
      <c r="CF69" s="619"/>
      <c r="CG69" s="619"/>
      <c r="CH69" s="619"/>
      <c r="CI69" s="619"/>
      <c r="CJ69" s="619"/>
    </row>
    <row r="70" spans="1:88">
      <c r="A70" s="151">
        <f t="shared" ca="1" si="3"/>
        <v>4</v>
      </c>
      <c r="B70" s="784">
        <f t="shared" si="4"/>
        <v>0</v>
      </c>
      <c r="C70" s="944">
        <f t="shared" si="13"/>
        <v>0</v>
      </c>
      <c r="D70" s="947">
        <f t="shared" si="5"/>
        <v>0</v>
      </c>
      <c r="E70" s="947">
        <f t="shared" si="20"/>
        <v>0</v>
      </c>
      <c r="F70" s="947">
        <f t="shared" si="21"/>
        <v>0</v>
      </c>
      <c r="G70" s="947">
        <f>IF(M69&lt;0.01,0,IF($F$19=$U$4,$G$19,IF($F$19=$U$2,0,IF(AND($F$21=1,$F$19=$U$3),M69*Adm!$V$4,IF(AND($F$21=2,$F$19=$U$3),M69*Adm!$V$5,0)))))</f>
        <v>0</v>
      </c>
      <c r="H70" s="947">
        <f>IF(M69&lt;0.01,0,IF($F$20=$V$3,0,IF(OR($F$10=$T$16,$F$10=$T$17),0,IF($F$10=$T$13,0,$F$11*Adm!$AA$3))))</f>
        <v>0</v>
      </c>
      <c r="I70" s="947">
        <f t="shared" si="14"/>
        <v>0</v>
      </c>
      <c r="J70" s="947">
        <f t="shared" si="0"/>
        <v>0</v>
      </c>
      <c r="K70" s="947">
        <f t="shared" si="8"/>
        <v>0</v>
      </c>
      <c r="L70" s="947">
        <f t="shared" si="1"/>
        <v>0</v>
      </c>
      <c r="M70" s="947">
        <f t="shared" si="9"/>
        <v>0</v>
      </c>
      <c r="N70" s="946"/>
      <c r="P70" s="733"/>
      <c r="Q70" s="733"/>
      <c r="R70" s="733"/>
      <c r="S70" s="785">
        <f t="shared" si="10"/>
        <v>5</v>
      </c>
      <c r="T70" s="786">
        <f t="shared" si="15"/>
        <v>0</v>
      </c>
      <c r="W70" s="790">
        <f t="shared" si="16"/>
        <v>0</v>
      </c>
      <c r="X70" s="818">
        <f t="shared" ca="1" si="11"/>
        <v>0</v>
      </c>
      <c r="Z70" s="843">
        <f t="shared" si="17"/>
        <v>0</v>
      </c>
      <c r="AA70" s="792">
        <f t="shared" si="18"/>
        <v>0</v>
      </c>
      <c r="AB70" s="792">
        <f t="shared" si="19"/>
        <v>0</v>
      </c>
      <c r="AC70" s="789">
        <f t="shared" si="12"/>
        <v>0</v>
      </c>
      <c r="AD70" s="789">
        <f t="shared" si="2"/>
        <v>0</v>
      </c>
      <c r="AE70" s="828" t="e">
        <f>HLOOKUP($AE$39,anticipado,30,0)</f>
        <v>#N/A</v>
      </c>
      <c r="AF70" s="827"/>
      <c r="AG70" s="614">
        <v>1.8645252985327514E-3</v>
      </c>
      <c r="AH70" s="615">
        <v>1.7070801757972163E-3</v>
      </c>
      <c r="AI70" s="616">
        <v>1.589021994781593E-3</v>
      </c>
      <c r="AJ70" s="616">
        <v>1.9486704614736982E-3</v>
      </c>
      <c r="AK70" s="617">
        <v>1.8645252985327514E-3</v>
      </c>
      <c r="AL70" s="619">
        <v>1.7070801757972163E-3</v>
      </c>
      <c r="AM70" s="619">
        <v>2.0890020360703754E-3</v>
      </c>
      <c r="AN70" s="619">
        <v>1.9753952569901631E-3</v>
      </c>
      <c r="AO70" s="619">
        <v>1.8914755297073163E-3</v>
      </c>
      <c r="AP70" s="619">
        <v>2.2019652962773513E-3</v>
      </c>
      <c r="AQ70" s="619">
        <v>2.0890020360703754E-3</v>
      </c>
      <c r="AR70" s="619">
        <v>1.9734188357477789E-3</v>
      </c>
      <c r="AS70" s="619">
        <v>9.4543533127666648E-4</v>
      </c>
      <c r="AT70" s="619">
        <v>8.7339409019510149E-4</v>
      </c>
      <c r="AU70" s="619">
        <v>7.5617316662364615E-4</v>
      </c>
      <c r="AV70" s="619">
        <v>1.0605044493966493E-3</v>
      </c>
      <c r="AW70" s="619">
        <v>9.4543533127666648E-4</v>
      </c>
      <c r="AX70" s="619">
        <v>8.4487940859146317E-4</v>
      </c>
      <c r="AY70" s="619">
        <v>1.1405115980232887E-3</v>
      </c>
      <c r="AZ70" s="619">
        <v>1.0743050477506602E-3</v>
      </c>
      <c r="BA70" s="619">
        <v>9.4504553041308231E-4</v>
      </c>
      <c r="BB70" s="619">
        <v>1.2380206701646712E-3</v>
      </c>
      <c r="BC70" s="619">
        <v>1.1813623081869326E-3</v>
      </c>
      <c r="BD70" s="619">
        <v>1.0882755921453019E-3</v>
      </c>
      <c r="BE70" s="619">
        <v>2.0246703630156745E-3</v>
      </c>
      <c r="BF70" s="619">
        <v>1.6942217560528283E-3</v>
      </c>
      <c r="BG70" s="619">
        <v>1.3180626632743459E-3</v>
      </c>
      <c r="BH70" s="619">
        <v>1.1541305415420379E-3</v>
      </c>
      <c r="BI70" s="619"/>
      <c r="BJ70" s="619"/>
      <c r="BK70" s="619"/>
      <c r="BL70" s="619"/>
      <c r="BM70" s="619"/>
      <c r="BN70" s="619"/>
      <c r="BO70" s="619"/>
      <c r="BP70" s="619"/>
      <c r="BQ70" s="619"/>
      <c r="BR70" s="619"/>
      <c r="BS70" s="619"/>
      <c r="BT70" s="619"/>
      <c r="BU70" s="619"/>
      <c r="BV70" s="619"/>
      <c r="BW70" s="619"/>
      <c r="BX70" s="619"/>
      <c r="BY70" s="619"/>
      <c r="BZ70" s="619"/>
      <c r="CA70" s="619"/>
      <c r="CB70" s="619"/>
      <c r="CC70" s="619"/>
      <c r="CD70" s="619"/>
      <c r="CE70" s="619"/>
      <c r="CF70" s="619"/>
      <c r="CG70" s="619"/>
      <c r="CH70" s="619"/>
      <c r="CI70" s="619"/>
      <c r="CJ70" s="619"/>
    </row>
    <row r="71" spans="1:88">
      <c r="A71" s="151">
        <f t="shared" ca="1" si="3"/>
        <v>5</v>
      </c>
      <c r="B71" s="784">
        <f t="shared" si="4"/>
        <v>0</v>
      </c>
      <c r="C71" s="944">
        <f t="shared" si="13"/>
        <v>0</v>
      </c>
      <c r="D71" s="947">
        <f t="shared" si="5"/>
        <v>0</v>
      </c>
      <c r="E71" s="947">
        <f t="shared" si="20"/>
        <v>0</v>
      </c>
      <c r="F71" s="947">
        <f t="shared" si="21"/>
        <v>0</v>
      </c>
      <c r="G71" s="947">
        <f>IF(M70&lt;0.01,0,IF($F$19=$U$4,$G$19,IF($F$19=$U$2,0,IF(AND($F$21=1,$F$19=$U$3),M70*Adm!$V$4,IF(AND($F$21=2,$F$19=$U$3),M70*Adm!$V$5,0)))))</f>
        <v>0</v>
      </c>
      <c r="H71" s="947">
        <f>IF(M70&lt;0.01,0,IF($F$20=$V$3,0,IF(OR($F$10=$T$16,$F$10=$T$17),0,IF($F$10=$T$13,0,$F$11*Adm!$AA$3))))</f>
        <v>0</v>
      </c>
      <c r="I71" s="947">
        <f t="shared" si="14"/>
        <v>0</v>
      </c>
      <c r="J71" s="947">
        <f t="shared" si="0"/>
        <v>0</v>
      </c>
      <c r="K71" s="947">
        <f t="shared" si="8"/>
        <v>0</v>
      </c>
      <c r="L71" s="947">
        <f t="shared" si="1"/>
        <v>0</v>
      </c>
      <c r="M71" s="947">
        <f t="shared" si="9"/>
        <v>0</v>
      </c>
      <c r="N71" s="946"/>
      <c r="P71" s="733"/>
      <c r="Q71" s="733"/>
      <c r="R71" s="733"/>
      <c r="S71" s="785">
        <f t="shared" si="10"/>
        <v>6</v>
      </c>
      <c r="T71" s="786">
        <f t="shared" si="15"/>
        <v>0</v>
      </c>
      <c r="U71" s="794"/>
      <c r="V71" s="797"/>
      <c r="W71" s="790">
        <f t="shared" si="16"/>
        <v>0</v>
      </c>
      <c r="X71" s="818">
        <f t="shared" ca="1" si="11"/>
        <v>0</v>
      </c>
      <c r="Z71" s="843">
        <f t="shared" si="17"/>
        <v>0</v>
      </c>
      <c r="AA71" s="792">
        <f t="shared" si="18"/>
        <v>0</v>
      </c>
      <c r="AB71" s="792">
        <f t="shared" si="19"/>
        <v>0</v>
      </c>
      <c r="AC71" s="789">
        <f t="shared" si="12"/>
        <v>0</v>
      </c>
      <c r="AD71" s="789">
        <f t="shared" si="2"/>
        <v>0</v>
      </c>
      <c r="AE71" s="828" t="e">
        <f>HLOOKUP($AE$39,anticipado,31,0)</f>
        <v>#N/A</v>
      </c>
      <c r="AF71" s="827"/>
      <c r="AG71" s="614">
        <v>1.8841198182992817E-3</v>
      </c>
      <c r="AH71" s="615">
        <v>1.7255175251527546E-3</v>
      </c>
      <c r="AI71" s="616">
        <v>1.6065248466990655E-3</v>
      </c>
      <c r="AJ71" s="616">
        <v>1.9687295481826419E-3</v>
      </c>
      <c r="AK71" s="617">
        <v>1.8841198182992817E-3</v>
      </c>
      <c r="AL71" s="619">
        <v>1.7255175251527546E-3</v>
      </c>
      <c r="AM71" s="619">
        <v>2.1099476538007232E-3</v>
      </c>
      <c r="AN71" s="619">
        <v>1.9957004114961414E-3</v>
      </c>
      <c r="AO71" s="619">
        <v>1.9113259208792762E-3</v>
      </c>
      <c r="AP71" s="619">
        <v>2.223651685503954E-3</v>
      </c>
      <c r="AQ71" s="619">
        <v>2.1099476538007232E-3</v>
      </c>
      <c r="AR71" s="619">
        <v>1.9936173379917982E-3</v>
      </c>
      <c r="AS71" s="619">
        <v>9.5491797009540288E-4</v>
      </c>
      <c r="AT71" s="619">
        <v>8.8238194009879786E-4</v>
      </c>
      <c r="AU71" s="619">
        <v>7.6424348283075873E-4</v>
      </c>
      <c r="AV71" s="619">
        <v>1.070786874517478E-3</v>
      </c>
      <c r="AW71" s="619">
        <v>9.5491797009540288E-4</v>
      </c>
      <c r="AX71" s="619">
        <v>8.5361992821145183E-4</v>
      </c>
      <c r="AY71" s="619">
        <v>1.1512718746858048E-3</v>
      </c>
      <c r="AZ71" s="619">
        <v>1.0846914555831728E-3</v>
      </c>
      <c r="BA71" s="619">
        <v>9.5456330128005252E-4</v>
      </c>
      <c r="BB71" s="619">
        <v>1.2493684110543447E-3</v>
      </c>
      <c r="BC71" s="619">
        <v>1.1923596409927227E-3</v>
      </c>
      <c r="BD71" s="619">
        <v>1.0987216466291252E-3</v>
      </c>
      <c r="BE71" s="619">
        <v>2.0452448841642283E-3</v>
      </c>
      <c r="BF71" s="619">
        <v>1.7125688825216827E-3</v>
      </c>
      <c r="BG71" s="619">
        <v>1.3298657374575227E-3</v>
      </c>
      <c r="BH71" s="619">
        <v>1.1649870478877152E-3</v>
      </c>
      <c r="BI71" s="619"/>
      <c r="BJ71" s="619"/>
      <c r="BK71" s="619"/>
      <c r="BL71" s="619"/>
      <c r="BM71" s="619"/>
      <c r="BN71" s="619"/>
      <c r="BO71" s="619"/>
      <c r="BP71" s="619"/>
      <c r="BQ71" s="619"/>
      <c r="BR71" s="619"/>
      <c r="BS71" s="619"/>
      <c r="BT71" s="619"/>
      <c r="BU71" s="619"/>
      <c r="BV71" s="619"/>
      <c r="BW71" s="619"/>
      <c r="BX71" s="619"/>
      <c r="BY71" s="619"/>
      <c r="BZ71" s="619"/>
      <c r="CA71" s="619"/>
      <c r="CB71" s="619"/>
      <c r="CC71" s="619"/>
      <c r="CD71" s="619"/>
      <c r="CE71" s="619"/>
      <c r="CF71" s="619"/>
      <c r="CG71" s="619"/>
      <c r="CH71" s="619"/>
      <c r="CI71" s="619"/>
      <c r="CJ71" s="619"/>
    </row>
    <row r="72" spans="1:88">
      <c r="A72" s="151">
        <f t="shared" ca="1" si="3"/>
        <v>6</v>
      </c>
      <c r="B72" s="784">
        <f t="shared" si="4"/>
        <v>0</v>
      </c>
      <c r="C72" s="944">
        <f t="shared" si="13"/>
        <v>0</v>
      </c>
      <c r="D72" s="947">
        <f t="shared" si="5"/>
        <v>0</v>
      </c>
      <c r="E72" s="947">
        <f t="shared" si="20"/>
        <v>0</v>
      </c>
      <c r="F72" s="947">
        <f t="shared" si="21"/>
        <v>0</v>
      </c>
      <c r="G72" s="947">
        <f>IF(M71&lt;0.01,0,IF($F$19=$U$4,$G$19,IF($F$19=$U$2,0,IF(AND($F$21=1,$F$19=$U$3),M71*Adm!$V$4,IF(AND($F$21=2,$F$19=$U$3),M71*Adm!$V$5,0)))))</f>
        <v>0</v>
      </c>
      <c r="H72" s="947">
        <f>IF(M71&lt;0.01,0,IF($F$20=$V$3,0,IF(OR($F$10=$T$16,$F$10=$T$17),0,IF($F$10=$T$13,0,$F$11*Adm!$AA$3))))</f>
        <v>0</v>
      </c>
      <c r="I72" s="947">
        <f t="shared" si="14"/>
        <v>0</v>
      </c>
      <c r="J72" s="947">
        <f t="shared" si="0"/>
        <v>0</v>
      </c>
      <c r="K72" s="947">
        <f t="shared" si="8"/>
        <v>0</v>
      </c>
      <c r="L72" s="947">
        <f t="shared" si="1"/>
        <v>0</v>
      </c>
      <c r="M72" s="947">
        <f t="shared" si="9"/>
        <v>0</v>
      </c>
      <c r="N72" s="946"/>
      <c r="P72" s="733"/>
      <c r="Q72" s="733"/>
      <c r="R72" s="733"/>
      <c r="S72" s="785">
        <f t="shared" si="10"/>
        <v>7</v>
      </c>
      <c r="T72" s="786">
        <f t="shared" si="15"/>
        <v>0</v>
      </c>
      <c r="W72" s="790">
        <f t="shared" si="16"/>
        <v>0</v>
      </c>
      <c r="X72" s="818">
        <f t="shared" ca="1" si="11"/>
        <v>0</v>
      </c>
      <c r="Z72" s="843">
        <f t="shared" si="17"/>
        <v>0</v>
      </c>
      <c r="AA72" s="792">
        <f t="shared" si="18"/>
        <v>0</v>
      </c>
      <c r="AB72" s="792">
        <f t="shared" si="19"/>
        <v>0</v>
      </c>
      <c r="AC72" s="789">
        <f t="shared" si="12"/>
        <v>0</v>
      </c>
      <c r="AD72" s="789">
        <f t="shared" si="2"/>
        <v>0</v>
      </c>
      <c r="AE72" s="828" t="e">
        <f>HLOOKUP($AE$39,anticipado,32,0)</f>
        <v>#N/A</v>
      </c>
      <c r="AF72" s="827"/>
      <c r="AG72" s="614">
        <v>1.9039576360473927E-3</v>
      </c>
      <c r="AH72" s="615">
        <v>1.744186220584264E-3</v>
      </c>
      <c r="AI72" s="616">
        <v>1.6242489642834378E-3</v>
      </c>
      <c r="AJ72" s="616">
        <v>1.9890350938328635E-3</v>
      </c>
      <c r="AK72" s="617">
        <v>1.9039576360473927E-3</v>
      </c>
      <c r="AL72" s="619">
        <v>1.744186220584264E-3</v>
      </c>
      <c r="AM72" s="619">
        <v>2.1311480168179674E-3</v>
      </c>
      <c r="AN72" s="619">
        <v>2.0162553047794645E-3</v>
      </c>
      <c r="AO72" s="619">
        <v>1.9314230473013135E-3</v>
      </c>
      <c r="AP72" s="619">
        <v>2.2456004628601291E-3</v>
      </c>
      <c r="AQ72" s="619">
        <v>2.1311480168179674E-3</v>
      </c>
      <c r="AR72" s="619">
        <v>2.0140633391451473E-3</v>
      </c>
      <c r="AS72" s="619">
        <v>9.6450487371016783E-4</v>
      </c>
      <c r="AT72" s="619">
        <v>8.9147030081213182E-4</v>
      </c>
      <c r="AU72" s="619">
        <v>7.7240616838676049E-4</v>
      </c>
      <c r="AV72" s="619">
        <v>1.0811801247968119E-3</v>
      </c>
      <c r="AW72" s="619">
        <v>9.6450487371016783E-4</v>
      </c>
      <c r="AX72" s="619">
        <v>8.6245841572097259E-4</v>
      </c>
      <c r="AY72" s="619">
        <v>1.1621461896034837E-3</v>
      </c>
      <c r="AZ72" s="619">
        <v>1.0951896667840649E-3</v>
      </c>
      <c r="BA72" s="619">
        <v>9.6418611338950201E-4</v>
      </c>
      <c r="BB72" s="619">
        <v>1.260834491093263E-3</v>
      </c>
      <c r="BC72" s="619">
        <v>1.2034725989014167E-3</v>
      </c>
      <c r="BD72" s="619">
        <v>1.1092795701013061E-3</v>
      </c>
      <c r="BE72" s="619">
        <v>2.0660710764401043E-3</v>
      </c>
      <c r="BF72" s="619">
        <v>1.7311465098111269E-3</v>
      </c>
      <c r="BG72" s="619">
        <v>1.3417903647385532E-3</v>
      </c>
      <c r="BH72" s="619">
        <v>1.1759584591811902E-3</v>
      </c>
      <c r="BI72" s="619"/>
      <c r="BJ72" s="619"/>
      <c r="BK72" s="619"/>
      <c r="BL72" s="619"/>
      <c r="BM72" s="619"/>
      <c r="BN72" s="619"/>
      <c r="BO72" s="619"/>
      <c r="BP72" s="619"/>
      <c r="BQ72" s="619"/>
      <c r="BR72" s="619"/>
      <c r="BS72" s="619"/>
      <c r="BT72" s="619"/>
      <c r="BU72" s="619"/>
      <c r="BV72" s="619"/>
      <c r="BW72" s="619"/>
      <c r="BX72" s="619"/>
      <c r="BY72" s="619"/>
      <c r="BZ72" s="619"/>
      <c r="CA72" s="619"/>
      <c r="CB72" s="619"/>
      <c r="CC72" s="619"/>
      <c r="CD72" s="619"/>
      <c r="CE72" s="619"/>
      <c r="CF72" s="619"/>
      <c r="CG72" s="619"/>
      <c r="CH72" s="619"/>
      <c r="CI72" s="619"/>
      <c r="CJ72" s="619"/>
    </row>
    <row r="73" spans="1:88">
      <c r="A73" s="151">
        <f t="shared" ca="1" si="3"/>
        <v>7</v>
      </c>
      <c r="B73" s="784">
        <f t="shared" si="4"/>
        <v>0</v>
      </c>
      <c r="C73" s="944">
        <f t="shared" si="13"/>
        <v>0</v>
      </c>
      <c r="D73" s="947">
        <f t="shared" si="5"/>
        <v>0</v>
      </c>
      <c r="E73" s="947">
        <f t="shared" si="20"/>
        <v>0</v>
      </c>
      <c r="F73" s="947">
        <f t="shared" si="21"/>
        <v>0</v>
      </c>
      <c r="G73" s="947">
        <f>IF(M72&lt;0.01,0,IF($F$19=$U$4,$G$19,IF($F$19=$U$2,0,IF(AND($F$21=1,$F$19=$U$3),M72*Adm!$V$4,IF(AND($F$21=2,$F$19=$U$3),M72*Adm!$V$5,0)))))</f>
        <v>0</v>
      </c>
      <c r="H73" s="947">
        <f>IF(M72&lt;0.01,0,IF($F$20=$V$3,0,IF(OR($F$10=$T$16,$F$10=$T$17),0,IF($F$10=$T$13,0,$F$11*Adm!$AA$3))))</f>
        <v>0</v>
      </c>
      <c r="I73" s="947">
        <f t="shared" si="14"/>
        <v>0</v>
      </c>
      <c r="J73" s="947">
        <f t="shared" si="0"/>
        <v>0</v>
      </c>
      <c r="K73" s="947">
        <f t="shared" si="8"/>
        <v>0</v>
      </c>
      <c r="L73" s="947">
        <f t="shared" si="1"/>
        <v>0</v>
      </c>
      <c r="M73" s="947">
        <f t="shared" si="9"/>
        <v>0</v>
      </c>
      <c r="N73" s="946"/>
      <c r="P73" s="733"/>
      <c r="Q73" s="733"/>
      <c r="R73" s="733"/>
      <c r="S73" s="785">
        <f t="shared" si="10"/>
        <v>8</v>
      </c>
      <c r="T73" s="786">
        <f t="shared" si="15"/>
        <v>0</v>
      </c>
      <c r="W73" s="790">
        <f t="shared" si="16"/>
        <v>0</v>
      </c>
      <c r="X73" s="818">
        <f t="shared" ca="1" si="11"/>
        <v>0</v>
      </c>
      <c r="Z73" s="843">
        <f t="shared" si="17"/>
        <v>0</v>
      </c>
      <c r="AA73" s="792">
        <f t="shared" si="18"/>
        <v>0</v>
      </c>
      <c r="AB73" s="792">
        <f t="shared" si="19"/>
        <v>0</v>
      </c>
      <c r="AC73" s="789">
        <f t="shared" si="12"/>
        <v>0</v>
      </c>
      <c r="AD73" s="789">
        <f t="shared" si="2"/>
        <v>0</v>
      </c>
      <c r="AE73" s="828" t="e">
        <f>HLOOKUP($AE$39,anticipado,33,0)</f>
        <v>#N/A</v>
      </c>
      <c r="AF73" s="827"/>
      <c r="AG73" s="614">
        <v>1.9240425661942887E-3</v>
      </c>
      <c r="AH73" s="615">
        <v>1.7630898675887669E-3</v>
      </c>
      <c r="AI73" s="616">
        <v>1.6421977779957973E-3</v>
      </c>
      <c r="AJ73" s="616">
        <v>2.0095909579285914E-3</v>
      </c>
      <c r="AK73" s="617">
        <v>1.9240425661942887E-3</v>
      </c>
      <c r="AL73" s="619">
        <v>1.7630898675887669E-3</v>
      </c>
      <c r="AM73" s="619">
        <v>2.1526071296998905E-3</v>
      </c>
      <c r="AN73" s="619">
        <v>2.037063860368696E-3</v>
      </c>
      <c r="AO73" s="619">
        <v>1.9517707902112472E-3</v>
      </c>
      <c r="AP73" s="619">
        <v>2.2678157745424313E-3</v>
      </c>
      <c r="AQ73" s="619">
        <v>2.1526071296998905E-3</v>
      </c>
      <c r="AR73" s="619">
        <v>2.0347607147915298E-3</v>
      </c>
      <c r="AS73" s="619">
        <v>9.7419737355383695E-4</v>
      </c>
      <c r="AT73" s="619">
        <v>9.0066046261247563E-4</v>
      </c>
      <c r="AU73" s="619">
        <v>7.806624146363539E-4</v>
      </c>
      <c r="AV73" s="619">
        <v>1.0916856121595778E-3</v>
      </c>
      <c r="AW73" s="619">
        <v>9.7419737355383695E-4</v>
      </c>
      <c r="AX73" s="619">
        <v>8.7139612643953026E-4</v>
      </c>
      <c r="AY73" s="619">
        <v>1.1731359893939928E-3</v>
      </c>
      <c r="AZ73" s="619">
        <v>1.1058011067028744E-3</v>
      </c>
      <c r="BA73" s="619">
        <v>9.7391531240974521E-4</v>
      </c>
      <c r="BB73" s="619">
        <v>1.2724204090199492E-3</v>
      </c>
      <c r="BC73" s="619">
        <v>1.2147026461796571E-3</v>
      </c>
      <c r="BD73" s="619">
        <v>1.1199507849724575E-3</v>
      </c>
      <c r="BE73" s="619">
        <v>2.0871528929013411E-3</v>
      </c>
      <c r="BF73" s="619">
        <v>1.7499582295736804E-3</v>
      </c>
      <c r="BG73" s="619">
        <v>1.3538380831650905E-3</v>
      </c>
      <c r="BH73" s="619">
        <v>1.1870462338757733E-3</v>
      </c>
      <c r="BI73" s="619"/>
      <c r="BJ73" s="619"/>
      <c r="BK73" s="619"/>
      <c r="BL73" s="619"/>
      <c r="BM73" s="619"/>
      <c r="BN73" s="619"/>
      <c r="BO73" s="619"/>
      <c r="BP73" s="619"/>
      <c r="BQ73" s="619"/>
      <c r="BR73" s="619"/>
      <c r="BS73" s="619"/>
      <c r="BT73" s="619"/>
      <c r="BU73" s="619"/>
      <c r="BV73" s="619"/>
      <c r="BW73" s="619"/>
      <c r="BX73" s="619"/>
      <c r="BY73" s="619"/>
      <c r="BZ73" s="619"/>
      <c r="CA73" s="619"/>
      <c r="CB73" s="619"/>
      <c r="CC73" s="619"/>
      <c r="CD73" s="619"/>
      <c r="CE73" s="619"/>
      <c r="CF73" s="619"/>
      <c r="CG73" s="619"/>
      <c r="CH73" s="619"/>
      <c r="CI73" s="619"/>
      <c r="CJ73" s="619"/>
    </row>
    <row r="74" spans="1:88">
      <c r="A74" s="151">
        <f t="shared" ca="1" si="3"/>
        <v>8</v>
      </c>
      <c r="B74" s="784">
        <f t="shared" si="4"/>
        <v>0</v>
      </c>
      <c r="C74" s="944">
        <f t="shared" si="13"/>
        <v>0</v>
      </c>
      <c r="D74" s="947">
        <f t="shared" si="5"/>
        <v>0</v>
      </c>
      <c r="E74" s="947">
        <f t="shared" si="20"/>
        <v>0</v>
      </c>
      <c r="F74" s="947">
        <f t="shared" si="21"/>
        <v>0</v>
      </c>
      <c r="G74" s="947">
        <f>IF(M73&lt;0.01,0,IF($F$19=$U$4,$G$19,IF($F$19=$U$2,0,IF(AND($F$21=1,$F$19=$U$3),M73*Adm!$V$4,IF(AND($F$21=2,$F$19=$U$3),M73*Adm!$V$5,0)))))</f>
        <v>0</v>
      </c>
      <c r="H74" s="947">
        <f>IF(M73&lt;0.01,0,IF($F$20=$V$3,0,IF(OR($F$10=$T$16,$F$10=$T$17),0,IF($F$10=$T$13,0,$F$11*Adm!$AA$3))))</f>
        <v>0</v>
      </c>
      <c r="I74" s="947">
        <f t="shared" si="14"/>
        <v>0</v>
      </c>
      <c r="J74" s="947">
        <f t="shared" si="0"/>
        <v>0</v>
      </c>
      <c r="K74" s="947">
        <f t="shared" si="8"/>
        <v>0</v>
      </c>
      <c r="L74" s="947">
        <f t="shared" si="1"/>
        <v>0</v>
      </c>
      <c r="M74" s="947">
        <f t="shared" si="9"/>
        <v>0</v>
      </c>
      <c r="N74" s="946"/>
      <c r="P74" s="733"/>
      <c r="Q74" s="733"/>
      <c r="R74" s="733"/>
      <c r="S74" s="785">
        <f t="shared" si="10"/>
        <v>9</v>
      </c>
      <c r="T74" s="786">
        <f t="shared" si="15"/>
        <v>0</v>
      </c>
      <c r="W74" s="790">
        <f t="shared" si="16"/>
        <v>0</v>
      </c>
      <c r="X74" s="818">
        <f t="shared" ca="1" si="11"/>
        <v>0</v>
      </c>
      <c r="Z74" s="843">
        <f t="shared" si="17"/>
        <v>0</v>
      </c>
      <c r="AA74" s="792">
        <f t="shared" si="18"/>
        <v>0</v>
      </c>
      <c r="AB74" s="792">
        <f t="shared" si="19"/>
        <v>0</v>
      </c>
      <c r="AC74" s="789">
        <f t="shared" si="12"/>
        <v>0</v>
      </c>
      <c r="AD74" s="789">
        <f t="shared" si="2"/>
        <v>0</v>
      </c>
      <c r="AE74" s="828" t="e">
        <f>HLOOKUP($AE$39,anticipado,34,0)</f>
        <v>#N/A</v>
      </c>
      <c r="AF74" s="827"/>
      <c r="AG74" s="614">
        <v>1.9443785003271355E-3</v>
      </c>
      <c r="AH74" s="615">
        <v>1.7822321435711547E-3</v>
      </c>
      <c r="AI74" s="616">
        <v>1.6603747858744428E-3</v>
      </c>
      <c r="AJ74" s="616">
        <v>2.0304010783012694E-3</v>
      </c>
      <c r="AK74" s="617">
        <v>1.9443785003271355E-3</v>
      </c>
      <c r="AL74" s="619">
        <v>1.7822321435711547E-3</v>
      </c>
      <c r="AM74" s="619">
        <v>2.174329079087974E-3</v>
      </c>
      <c r="AN74" s="619">
        <v>2.0581300817548972E-3</v>
      </c>
      <c r="AO74" s="619">
        <v>1.972373109716838E-3</v>
      </c>
      <c r="AP74" s="619">
        <v>2.2903018524928643E-3</v>
      </c>
      <c r="AQ74" s="619">
        <v>2.174329079087974E-3</v>
      </c>
      <c r="AR74" s="619">
        <v>2.0557134192556417E-3</v>
      </c>
      <c r="AS74" s="619">
        <v>9.8399682183825609E-4</v>
      </c>
      <c r="AT74" s="619">
        <v>9.0995373581754569E-4</v>
      </c>
      <c r="AU74" s="619">
        <v>7.8901343119174992E-4</v>
      </c>
      <c r="AV74" s="619">
        <v>1.102304770822977E-3</v>
      </c>
      <c r="AW74" s="619">
        <v>9.8399682183825609E-4</v>
      </c>
      <c r="AX74" s="619">
        <v>8.8043433507548952E-4</v>
      </c>
      <c r="AY74" s="619">
        <v>1.1842427436221949E-3</v>
      </c>
      <c r="AZ74" s="619">
        <v>1.1165272232411974E-3</v>
      </c>
      <c r="BA74" s="619">
        <v>9.8375226506911559E-4</v>
      </c>
      <c r="BB74" s="619">
        <v>1.2841276875354311E-3</v>
      </c>
      <c r="BC74" s="619">
        <v>1.2260512703802977E-3</v>
      </c>
      <c r="BD74" s="619">
        <v>1.1307367361399591E-3</v>
      </c>
      <c r="BE74" s="619">
        <v>2.1084943673338372E-3</v>
      </c>
      <c r="BF74" s="619">
        <v>1.7690077050248817E-3</v>
      </c>
      <c r="BG74" s="619">
        <v>1.366010455525918E-3</v>
      </c>
      <c r="BH74" s="619">
        <v>1.198251853603354E-3</v>
      </c>
      <c r="BI74" s="619"/>
      <c r="BJ74" s="619"/>
      <c r="BK74" s="619"/>
      <c r="BL74" s="619"/>
      <c r="BM74" s="619"/>
      <c r="BN74" s="619"/>
      <c r="BO74" s="619"/>
      <c r="BP74" s="619"/>
      <c r="BQ74" s="619"/>
      <c r="BR74" s="619"/>
      <c r="BS74" s="619"/>
      <c r="BT74" s="619"/>
      <c r="BU74" s="619"/>
      <c r="BV74" s="619"/>
      <c r="BW74" s="619"/>
      <c r="BX74" s="619"/>
      <c r="BY74" s="619"/>
      <c r="BZ74" s="619"/>
      <c r="CA74" s="619"/>
      <c r="CB74" s="619"/>
      <c r="CC74" s="619"/>
      <c r="CD74" s="619"/>
      <c r="CE74" s="619"/>
      <c r="CF74" s="619"/>
      <c r="CG74" s="619"/>
      <c r="CH74" s="619"/>
      <c r="CI74" s="619"/>
      <c r="CJ74" s="619"/>
    </row>
    <row r="75" spans="1:88">
      <c r="A75" s="151">
        <f t="shared" ca="1" si="3"/>
        <v>9</v>
      </c>
      <c r="B75" s="784">
        <f t="shared" si="4"/>
        <v>0</v>
      </c>
      <c r="C75" s="944">
        <f t="shared" si="13"/>
        <v>0</v>
      </c>
      <c r="D75" s="947">
        <f t="shared" si="5"/>
        <v>0</v>
      </c>
      <c r="E75" s="947">
        <f t="shared" si="20"/>
        <v>0</v>
      </c>
      <c r="F75" s="947">
        <f t="shared" si="21"/>
        <v>0</v>
      </c>
      <c r="G75" s="947">
        <f>IF(M74&lt;0.01,0,IF($F$19=$U$4,$G$19,IF($F$19=$U$2,0,IF(AND($F$21=1,$F$19=$U$3),M74*Adm!$V$4,IF(AND($F$21=2,$F$19=$U$3),M74*Adm!$V$5,0)))))</f>
        <v>0</v>
      </c>
      <c r="H75" s="947">
        <f>IF(M74&lt;0.01,0,IF($F$20=$V$3,0,IF(OR($F$10=$T$16,$F$10=$T$17),0,IF($F$10=$T$13,0,$F$11*Adm!$AA$3))))</f>
        <v>0</v>
      </c>
      <c r="I75" s="947">
        <f t="shared" si="14"/>
        <v>0</v>
      </c>
      <c r="J75" s="947">
        <f t="shared" si="0"/>
        <v>0</v>
      </c>
      <c r="K75" s="947">
        <f t="shared" si="8"/>
        <v>0</v>
      </c>
      <c r="L75" s="947">
        <f t="shared" si="1"/>
        <v>0</v>
      </c>
      <c r="M75" s="947">
        <f t="shared" si="9"/>
        <v>0</v>
      </c>
      <c r="N75" s="946"/>
      <c r="P75" s="733"/>
      <c r="Q75" s="733"/>
      <c r="R75" s="733"/>
      <c r="S75" s="785">
        <f t="shared" si="10"/>
        <v>10</v>
      </c>
      <c r="T75" s="786">
        <f t="shared" si="15"/>
        <v>0</v>
      </c>
      <c r="W75" s="790">
        <f t="shared" si="16"/>
        <v>0</v>
      </c>
      <c r="X75" s="818">
        <f t="shared" ca="1" si="11"/>
        <v>0</v>
      </c>
      <c r="Z75" s="843">
        <f t="shared" si="17"/>
        <v>0</v>
      </c>
      <c r="AA75" s="792">
        <f t="shared" si="18"/>
        <v>0</v>
      </c>
      <c r="AB75" s="792">
        <f t="shared" si="19"/>
        <v>0</v>
      </c>
      <c r="AC75" s="789">
        <f t="shared" si="12"/>
        <v>0</v>
      </c>
      <c r="AD75" s="789">
        <f t="shared" si="2"/>
        <v>0</v>
      </c>
      <c r="AE75" s="828" t="e">
        <f>HLOOKUP($AE$39,anticipado,35,0)</f>
        <v>#N/A</v>
      </c>
      <c r="AF75" s="827"/>
      <c r="AG75" s="614">
        <v>1.9649694091654398E-3</v>
      </c>
      <c r="AH75" s="615">
        <v>1.8016167996447894E-3</v>
      </c>
      <c r="AI75" s="616">
        <v>1.6787835552042139E-3</v>
      </c>
      <c r="AJ75" s="616">
        <v>2.0514694731084289E-3</v>
      </c>
      <c r="AK75" s="617">
        <v>1.9649694091654398E-3</v>
      </c>
      <c r="AL75" s="617">
        <v>1.8016167996447894E-3</v>
      </c>
      <c r="AM75" s="617">
        <v>2.1963180358029245E-3</v>
      </c>
      <c r="AN75" s="617">
        <v>2.0794580544410278E-3</v>
      </c>
      <c r="AO75" s="617">
        <v>1.9932340468105407E-3</v>
      </c>
      <c r="AP75" s="617">
        <v>2.3130630166300434E-3</v>
      </c>
      <c r="AQ75" s="617">
        <v>2.1963180358029245E-3</v>
      </c>
      <c r="AR75" s="618">
        <v>2.0769254876150242E-3</v>
      </c>
      <c r="AS75" s="618">
        <v>9.9390459195613417E-4</v>
      </c>
      <c r="AT75" s="618">
        <v>9.1935145116954866E-4</v>
      </c>
      <c r="AU75" s="618">
        <v>7.9746044627542921E-4</v>
      </c>
      <c r="AV75" s="618">
        <v>1.1130390577347785E-3</v>
      </c>
      <c r="AW75" s="618">
        <v>9.9390459195613417E-4</v>
      </c>
      <c r="AX75" s="618">
        <v>8.8957433609501279E-4</v>
      </c>
      <c r="AY75" s="618">
        <v>1.1954679452545992E-3</v>
      </c>
      <c r="AZ75" s="618">
        <v>1.1273694872972367E-3</v>
      </c>
      <c r="BA75" s="618">
        <v>9.936983595643452E-4</v>
      </c>
      <c r="BB75" s="618">
        <v>1.2959578737826909E-3</v>
      </c>
      <c r="BC75" s="617">
        <v>1.237519982805257E-3</v>
      </c>
      <c r="BD75" s="617">
        <v>1.1416388914310977E-3</v>
      </c>
      <c r="BE75" s="617">
        <v>2.1300996163249116E-3</v>
      </c>
      <c r="BF75" s="617">
        <v>1.788298672733309E-3</v>
      </c>
      <c r="BG75" s="617">
        <v>1.3783090698496633E-3</v>
      </c>
      <c r="BH75" s="617">
        <v>1.2095768236344642E-3</v>
      </c>
      <c r="BI75" s="617"/>
      <c r="BJ75" s="617"/>
      <c r="BK75" s="617"/>
      <c r="BL75" s="617"/>
      <c r="BM75" s="617"/>
      <c r="BN75" s="617"/>
      <c r="BO75" s="617"/>
      <c r="BP75" s="617"/>
      <c r="BQ75" s="617"/>
      <c r="BR75" s="617"/>
      <c r="BS75" s="617"/>
      <c r="BT75" s="617"/>
      <c r="BU75" s="617"/>
      <c r="BV75" s="617"/>
      <c r="BW75" s="617"/>
      <c r="BX75" s="617"/>
      <c r="BY75" s="617"/>
      <c r="BZ75" s="617"/>
      <c r="CA75" s="617"/>
      <c r="CB75" s="617"/>
      <c r="CC75" s="617"/>
      <c r="CD75" s="617"/>
      <c r="CE75" s="617"/>
      <c r="CF75" s="617"/>
      <c r="CG75" s="617"/>
      <c r="CH75" s="617"/>
      <c r="CI75" s="617"/>
      <c r="CJ75" s="617"/>
    </row>
    <row r="76" spans="1:88">
      <c r="A76" s="151">
        <f t="shared" ca="1" si="3"/>
        <v>10</v>
      </c>
      <c r="B76" s="784">
        <f t="shared" si="4"/>
        <v>0</v>
      </c>
      <c r="C76" s="944">
        <f t="shared" si="13"/>
        <v>0</v>
      </c>
      <c r="D76" s="947">
        <f t="shared" si="5"/>
        <v>0</v>
      </c>
      <c r="E76" s="947">
        <f t="shared" si="20"/>
        <v>0</v>
      </c>
      <c r="F76" s="947">
        <f t="shared" si="21"/>
        <v>0</v>
      </c>
      <c r="G76" s="947">
        <f>IF(M75&lt;0.01,0,IF($F$19=$U$4,$G$19,IF($F$19=$U$2,0,IF(AND($F$21=1,$F$19=$U$3),M75*Adm!$V$4,IF(AND($F$21=2,$F$19=$U$3),M75*Adm!$V$5,0)))))</f>
        <v>0</v>
      </c>
      <c r="H76" s="947">
        <f>IF(M75&lt;0.01,0,IF($F$20=$V$3,0,IF(OR($F$10=$T$16,$F$10=$T$17),0,IF($F$10=$T$13,0,$F$11*Adm!$AA$3))))</f>
        <v>0</v>
      </c>
      <c r="I76" s="947">
        <f t="shared" si="14"/>
        <v>0</v>
      </c>
      <c r="J76" s="947">
        <f t="shared" si="0"/>
        <v>0</v>
      </c>
      <c r="K76" s="947">
        <f t="shared" si="8"/>
        <v>0</v>
      </c>
      <c r="L76" s="947">
        <f t="shared" si="1"/>
        <v>0</v>
      </c>
      <c r="M76" s="947">
        <f t="shared" si="9"/>
        <v>0</v>
      </c>
      <c r="N76" s="946"/>
      <c r="P76" s="733"/>
      <c r="Q76" s="733"/>
      <c r="R76" s="733"/>
      <c r="S76" s="785">
        <f t="shared" si="10"/>
        <v>11</v>
      </c>
      <c r="T76" s="786">
        <f t="shared" si="15"/>
        <v>0</v>
      </c>
      <c r="W76" s="790">
        <f t="shared" si="16"/>
        <v>0</v>
      </c>
      <c r="X76" s="818">
        <f t="shared" ca="1" si="11"/>
        <v>0</v>
      </c>
      <c r="Z76" s="843">
        <f t="shared" si="17"/>
        <v>0</v>
      </c>
      <c r="AA76" s="792">
        <f t="shared" si="18"/>
        <v>0</v>
      </c>
      <c r="AB76" s="792">
        <f t="shared" si="19"/>
        <v>0</v>
      </c>
      <c r="AC76" s="789">
        <f t="shared" si="12"/>
        <v>0</v>
      </c>
      <c r="AD76" s="789">
        <f t="shared" si="2"/>
        <v>0</v>
      </c>
      <c r="AE76" s="828" t="e">
        <f>HLOOKUP($AE$39,anticipado,36,0)</f>
        <v>#N/A</v>
      </c>
      <c r="AF76" s="827"/>
      <c r="AG76" s="614">
        <v>1.9858193445837281E-3</v>
      </c>
      <c r="AH76" s="615">
        <v>1.8212476624866138E-3</v>
      </c>
      <c r="AI76" s="616">
        <v>1.6974277242356873E-3</v>
      </c>
      <c r="AJ76" s="616">
        <v>2.0728002428942061E-3</v>
      </c>
      <c r="AK76" s="617">
        <v>1.9858193445837281E-3</v>
      </c>
      <c r="AL76" s="617">
        <v>1.8212476624866138E-3</v>
      </c>
      <c r="AM76" s="617">
        <v>2.2185782570261102E-3</v>
      </c>
      <c r="AN76" s="617">
        <v>2.1010519480548296E-3</v>
      </c>
      <c r="AO76" s="617">
        <v>2.0143577254464803E-3</v>
      </c>
      <c r="AP76" s="617">
        <v>2.3361036771504784E-3</v>
      </c>
      <c r="AQ76" s="617">
        <v>2.2185782570261102E-3</v>
      </c>
      <c r="AR76" s="618">
        <v>2.0984010377740427E-3</v>
      </c>
      <c r="AS76" s="618">
        <v>1.0039220788923124E-3</v>
      </c>
      <c r="AT76" s="618">
        <v>9.2885496022824805E-4</v>
      </c>
      <c r="AU76" s="618">
        <v>8.0600470707067559E-4</v>
      </c>
      <c r="AV76" s="618">
        <v>1.1238899530220516E-3</v>
      </c>
      <c r="AW76" s="618">
        <v>1.0039220788923124E-3</v>
      </c>
      <c r="AX76" s="618">
        <v>8.9881744409955335E-4</v>
      </c>
      <c r="AY76" s="618">
        <v>1.206813111124722E-3</v>
      </c>
      <c r="AZ76" s="618">
        <v>1.1383293932209486E-3</v>
      </c>
      <c r="BA76" s="618">
        <v>1.0037550059785515E-3</v>
      </c>
      <c r="BB76" s="618">
        <v>1.3079125398376917E-3</v>
      </c>
      <c r="BC76" s="617">
        <v>1.2491103189794929E-3</v>
      </c>
      <c r="BD76" s="617">
        <v>1.1526587420567409E-3</v>
      </c>
      <c r="BE76" s="617">
        <v>2.1519728414012263E-3</v>
      </c>
      <c r="BF76" s="617">
        <v>1.8078349444647689E-3</v>
      </c>
      <c r="BG76" s="617">
        <v>1.3907355399156948E-3</v>
      </c>
      <c r="BH76" s="617">
        <v>1.2210226733494008E-3</v>
      </c>
      <c r="BI76" s="617"/>
      <c r="BJ76" s="617"/>
      <c r="BK76" s="617"/>
      <c r="BL76" s="617"/>
      <c r="BM76" s="617"/>
      <c r="BN76" s="617"/>
      <c r="BO76" s="617"/>
      <c r="BP76" s="617"/>
      <c r="BQ76" s="617"/>
      <c r="BR76" s="617"/>
      <c r="BS76" s="617"/>
      <c r="BT76" s="617"/>
      <c r="BU76" s="617"/>
      <c r="BV76" s="617"/>
      <c r="BW76" s="617"/>
      <c r="BX76" s="617"/>
      <c r="BY76" s="617"/>
      <c r="BZ76" s="617"/>
      <c r="CA76" s="617"/>
      <c r="CB76" s="617"/>
      <c r="CC76" s="617"/>
      <c r="CD76" s="617"/>
      <c r="CE76" s="617"/>
      <c r="CF76" s="617"/>
      <c r="CG76" s="617"/>
      <c r="CH76" s="617"/>
      <c r="CI76" s="617"/>
      <c r="CJ76" s="617"/>
    </row>
    <row r="77" spans="1:88">
      <c r="A77" s="151">
        <f t="shared" ca="1" si="3"/>
        <v>11</v>
      </c>
      <c r="B77" s="784">
        <f t="shared" si="4"/>
        <v>0</v>
      </c>
      <c r="C77" s="944">
        <f t="shared" si="13"/>
        <v>0</v>
      </c>
      <c r="D77" s="947">
        <f t="shared" si="5"/>
        <v>0</v>
      </c>
      <c r="E77" s="947">
        <f t="shared" si="20"/>
        <v>0</v>
      </c>
      <c r="F77" s="947">
        <f t="shared" si="21"/>
        <v>0</v>
      </c>
      <c r="G77" s="947">
        <f>IF(M76&lt;0.01,0,IF($F$19=$U$4,$G$19,IF($F$19=$U$2,0,IF(AND($F$21=1,$F$19=$U$3),M76*Adm!$V$4,IF(AND($F$21=2,$F$19=$U$3),M76*Adm!$V$5,0)))))</f>
        <v>0</v>
      </c>
      <c r="H77" s="947">
        <f>IF(M76&lt;0.01,0,IF($F$20=$V$3,0,IF(OR($F$10=$T$16,$F$10=$T$17),0,IF($F$10=$T$13,0,$F$11*Adm!$AA$3))))</f>
        <v>0</v>
      </c>
      <c r="I77" s="947">
        <f t="shared" si="14"/>
        <v>0</v>
      </c>
      <c r="J77" s="947">
        <f t="shared" si="0"/>
        <v>0</v>
      </c>
      <c r="K77" s="947">
        <f t="shared" si="8"/>
        <v>0</v>
      </c>
      <c r="L77" s="947">
        <f t="shared" si="1"/>
        <v>0</v>
      </c>
      <c r="M77" s="947">
        <f t="shared" si="9"/>
        <v>0</v>
      </c>
      <c r="N77" s="946"/>
      <c r="P77" s="733"/>
      <c r="Q77" s="733"/>
      <c r="R77" s="733"/>
      <c r="S77" s="785">
        <f t="shared" si="10"/>
        <v>12</v>
      </c>
      <c r="T77" s="786">
        <f t="shared" si="15"/>
        <v>0</v>
      </c>
      <c r="W77" s="790">
        <f t="shared" si="16"/>
        <v>0</v>
      </c>
      <c r="X77" s="818">
        <f t="shared" ca="1" si="11"/>
        <v>0</v>
      </c>
      <c r="Z77" s="843">
        <f t="shared" si="17"/>
        <v>0</v>
      </c>
      <c r="AA77" s="792">
        <f t="shared" si="18"/>
        <v>0</v>
      </c>
      <c r="AB77" s="792">
        <f t="shared" si="19"/>
        <v>0</v>
      </c>
      <c r="AC77" s="789">
        <f t="shared" si="12"/>
        <v>0</v>
      </c>
      <c r="AD77" s="789">
        <f t="shared" si="2"/>
        <v>0</v>
      </c>
      <c r="AE77" s="828" t="e">
        <f>HLOOKUP($AE$39,anticipado,37,0)</f>
        <v>#N/A</v>
      </c>
      <c r="AF77" s="827"/>
      <c r="AG77" s="614">
        <v>2.0069324416967563E-3</v>
      </c>
      <c r="AH77" s="615">
        <v>1.8411286362487861E-3</v>
      </c>
      <c r="AI77" s="616">
        <v>1.7163110039560652E-3</v>
      </c>
      <c r="AJ77" s="616">
        <v>2.0943975727137389E-3</v>
      </c>
      <c r="AK77" s="617">
        <v>2.0069324416967563E-3</v>
      </c>
      <c r="AL77" s="617">
        <v>1.8411286362487861E-3</v>
      </c>
      <c r="AM77" s="617">
        <v>2.2411140885492701E-3</v>
      </c>
      <c r="AN77" s="617">
        <v>2.1229160185275001E-3</v>
      </c>
      <c r="AO77" s="617">
        <v>2.0357483546818819E-3</v>
      </c>
      <c r="AP77" s="617">
        <v>2.3594283369025625E-3</v>
      </c>
      <c r="AQ77" s="617">
        <v>2.2411140885492701E-3</v>
      </c>
      <c r="AR77" s="618">
        <v>2.1201442726022225E-3</v>
      </c>
      <c r="AS77" s="618">
        <v>1.0140506996447517E-3</v>
      </c>
      <c r="AT77" s="618">
        <v>9.3846563577318603E-4</v>
      </c>
      <c r="AU77" s="618">
        <v>8.1464748008011568E-4</v>
      </c>
      <c r="AV77" s="618">
        <v>1.1348589604506147E-3</v>
      </c>
      <c r="AW77" s="618">
        <v>1.0140506996447517E-3</v>
      </c>
      <c r="AX77" s="618">
        <v>9.0816499421204845E-4</v>
      </c>
      <c r="AY77" s="618">
        <v>1.2182797824096348E-3</v>
      </c>
      <c r="AZ77" s="618">
        <v>1.1494084592801096E-3</v>
      </c>
      <c r="BA77" s="618">
        <v>1.0139236367090842E-3</v>
      </c>
      <c r="BB77" s="618">
        <v>1.3199932832123559E-3</v>
      </c>
      <c r="BC77" s="617">
        <v>1.2608238391364237E-3</v>
      </c>
      <c r="BD77" s="617">
        <v>1.163797803075925E-3</v>
      </c>
      <c r="BE77" s="617">
        <v>2.1741183312334049E-3</v>
      </c>
      <c r="BF77" s="617">
        <v>1.8276204090825617E-3</v>
      </c>
      <c r="BG77" s="617">
        <v>1.4032915057774985E-3</v>
      </c>
      <c r="BH77" s="617">
        <v>1.2325909567207096E-3</v>
      </c>
      <c r="BI77" s="617"/>
      <c r="BJ77" s="617"/>
      <c r="BK77" s="617"/>
      <c r="BL77" s="617"/>
      <c r="BM77" s="617"/>
      <c r="BN77" s="617"/>
      <c r="BO77" s="617"/>
      <c r="BP77" s="617"/>
      <c r="BQ77" s="617"/>
      <c r="BR77" s="617"/>
      <c r="BS77" s="617"/>
      <c r="BT77" s="617"/>
      <c r="BU77" s="617"/>
      <c r="BV77" s="617"/>
      <c r="BW77" s="617"/>
      <c r="BX77" s="617"/>
      <c r="BY77" s="617"/>
      <c r="BZ77" s="617"/>
      <c r="CA77" s="617"/>
      <c r="CB77" s="617"/>
      <c r="CC77" s="617"/>
      <c r="CD77" s="617"/>
      <c r="CE77" s="617"/>
      <c r="CF77" s="617"/>
      <c r="CG77" s="617"/>
      <c r="CH77" s="617"/>
      <c r="CI77" s="617"/>
      <c r="CJ77" s="617"/>
    </row>
    <row r="78" spans="1:88">
      <c r="A78" s="151">
        <f t="shared" ca="1" si="3"/>
        <v>12</v>
      </c>
      <c r="B78" s="784">
        <f t="shared" si="4"/>
        <v>0</v>
      </c>
      <c r="C78" s="944">
        <f t="shared" si="13"/>
        <v>0</v>
      </c>
      <c r="D78" s="947">
        <f t="shared" si="5"/>
        <v>0</v>
      </c>
      <c r="E78" s="947">
        <f t="shared" si="20"/>
        <v>0</v>
      </c>
      <c r="F78" s="947">
        <f t="shared" si="21"/>
        <v>0</v>
      </c>
      <c r="G78" s="947">
        <f>IF(M77&lt;0.01,0,IF($F$19=$U$4,$G$19,IF($F$19=$U$2,0,IF(AND($F$21=1,$F$19=$U$3),M77*Adm!$V$4,IF(AND($F$21=2,$F$19=$U$3),M77*Adm!$V$5,0)))))</f>
        <v>0</v>
      </c>
      <c r="H78" s="947">
        <f>IF(M77&lt;0.01,0,IF($F$20=$V$3,0,IF(OR($F$10=$T$16,$F$10=$T$17),0,IF($F$10=$T$13,0,$F$11*Adm!$AA$3))))</f>
        <v>0</v>
      </c>
      <c r="I78" s="947">
        <f t="shared" si="14"/>
        <v>0</v>
      </c>
      <c r="J78" s="947">
        <f t="shared" si="0"/>
        <v>0</v>
      </c>
      <c r="K78" s="947">
        <f t="shared" si="8"/>
        <v>0</v>
      </c>
      <c r="L78" s="947">
        <f t="shared" si="1"/>
        <v>0</v>
      </c>
      <c r="M78" s="947">
        <f t="shared" si="9"/>
        <v>0</v>
      </c>
      <c r="N78" s="946"/>
      <c r="O78" s="798"/>
      <c r="P78" s="733"/>
      <c r="Q78" s="733"/>
      <c r="R78" s="733"/>
      <c r="S78" s="785">
        <f t="shared" si="10"/>
        <v>1</v>
      </c>
      <c r="T78" s="786">
        <f t="shared" si="15"/>
        <v>0</v>
      </c>
      <c r="U78" s="798"/>
      <c r="V78" s="799"/>
      <c r="W78" s="790">
        <f t="shared" si="16"/>
        <v>0</v>
      </c>
      <c r="X78" s="818">
        <f t="shared" ca="1" si="11"/>
        <v>0</v>
      </c>
      <c r="Y78" s="798"/>
      <c r="Z78" s="843">
        <f t="shared" si="17"/>
        <v>0</v>
      </c>
      <c r="AA78" s="792">
        <f t="shared" si="18"/>
        <v>0</v>
      </c>
      <c r="AB78" s="792">
        <f t="shared" si="19"/>
        <v>0</v>
      </c>
      <c r="AC78" s="789">
        <f t="shared" si="12"/>
        <v>0</v>
      </c>
      <c r="AD78" s="789">
        <f t="shared" si="2"/>
        <v>0</v>
      </c>
      <c r="AE78" s="828" t="e">
        <f>HLOOKUP($AE$39,anticipado,38,0)</f>
        <v>#N/A</v>
      </c>
      <c r="AF78" s="827"/>
      <c r="AG78" s="614">
        <v>2.2946457440347146E-3</v>
      </c>
      <c r="AH78" s="615">
        <v>2.1346702971419803E-3</v>
      </c>
      <c r="AI78" s="616">
        <v>2.0140314427446824E-3</v>
      </c>
      <c r="AJ78" s="616">
        <v>2.3772973776818597E-3</v>
      </c>
      <c r="AK78" s="617">
        <v>2.2946457440347146E-3</v>
      </c>
      <c r="AL78" s="617">
        <v>2.1346702971419803E-3</v>
      </c>
      <c r="AM78" s="617">
        <v>2.5184448829390737E-3</v>
      </c>
      <c r="AN78" s="617">
        <v>2.4057643089323904E-3</v>
      </c>
      <c r="AO78" s="617">
        <v>2.3234288199907977E-3</v>
      </c>
      <c r="AP78" s="617">
        <v>2.6332426336818557E-3</v>
      </c>
      <c r="AQ78" s="617">
        <v>2.5184448829390737E-3</v>
      </c>
      <c r="AR78" s="618">
        <v>2.4017551358594597E-3</v>
      </c>
      <c r="AS78" s="618">
        <v>1.125284812591982E-3</v>
      </c>
      <c r="AT78" s="618">
        <v>1.0517500542708415E-3</v>
      </c>
      <c r="AU78" s="618">
        <v>9.3070728534073977E-4</v>
      </c>
      <c r="AV78" s="618">
        <v>1.2436570839744828E-3</v>
      </c>
      <c r="AW78" s="618">
        <v>1.125284812591982E-3</v>
      </c>
      <c r="AX78" s="618">
        <v>1.0217111925635142E-3</v>
      </c>
      <c r="AY78" s="618">
        <v>1.3250015537025605E-3</v>
      </c>
      <c r="AZ78" s="618">
        <v>1.2580476437523038E-3</v>
      </c>
      <c r="BA78" s="618">
        <v>1.1256144306412189E-3</v>
      </c>
      <c r="BB78" s="618">
        <v>1.4246904113101625E-3</v>
      </c>
      <c r="BC78" s="617">
        <v>1.36655541666895E-3</v>
      </c>
      <c r="BD78" s="617">
        <v>1.2718081900102989E-3</v>
      </c>
      <c r="BE78" s="617">
        <v>2.4543706421742096E-3</v>
      </c>
      <c r="BF78" s="617">
        <v>2.1217671770351627E-3</v>
      </c>
      <c r="BG78" s="617">
        <v>1.5063884206419141E-3</v>
      </c>
      <c r="BH78" s="617">
        <v>1.3391427520020988E-3</v>
      </c>
      <c r="BI78" s="617"/>
      <c r="BJ78" s="617"/>
      <c r="BK78" s="617"/>
      <c r="BL78" s="617"/>
      <c r="BM78" s="617"/>
      <c r="BN78" s="617"/>
      <c r="BO78" s="617"/>
      <c r="BP78" s="617"/>
      <c r="BQ78" s="617"/>
      <c r="BR78" s="617"/>
      <c r="BS78" s="617"/>
      <c r="BT78" s="617"/>
      <c r="BU78" s="617"/>
      <c r="BV78" s="617"/>
      <c r="BW78" s="617"/>
      <c r="BX78" s="617"/>
      <c r="BY78" s="617"/>
      <c r="BZ78" s="617"/>
      <c r="CA78" s="617"/>
      <c r="CB78" s="617"/>
      <c r="CC78" s="617"/>
      <c r="CD78" s="617"/>
      <c r="CE78" s="617"/>
      <c r="CF78" s="617"/>
      <c r="CG78" s="617"/>
      <c r="CH78" s="617"/>
      <c r="CI78" s="617"/>
      <c r="CJ78" s="617"/>
    </row>
    <row r="79" spans="1:88">
      <c r="A79" s="151">
        <f t="shared" ca="1" si="3"/>
        <v>1</v>
      </c>
      <c r="B79" s="784">
        <f t="shared" si="4"/>
        <v>0</v>
      </c>
      <c r="C79" s="944">
        <f t="shared" si="13"/>
        <v>0</v>
      </c>
      <c r="D79" s="947">
        <f t="shared" si="5"/>
        <v>0</v>
      </c>
      <c r="E79" s="947">
        <f t="shared" si="20"/>
        <v>0</v>
      </c>
      <c r="F79" s="947">
        <f t="shared" si="21"/>
        <v>0</v>
      </c>
      <c r="G79" s="947">
        <f>IF(M78&lt;0.01,0,IF($F$19=$U$4,$G$19,IF($F$19=$U$2,0,IF(AND($F$21=1,$F$19=$U$3),M78*Adm!$V$4,IF(AND($F$21=2,$F$19=$U$3),M78*Adm!$V$5,0)))))</f>
        <v>0</v>
      </c>
      <c r="H79" s="947">
        <f>IF(M78&lt;0.01,0,IF($F$20=$V$3,0,IF(OR($F$10=$T$16,$F$10=$T$17),0,IF($F$10=$T$13,0,$F$11*Adm!$AA$3))))</f>
        <v>0</v>
      </c>
      <c r="I79" s="947">
        <f t="shared" si="14"/>
        <v>0</v>
      </c>
      <c r="J79" s="947">
        <f t="shared" si="0"/>
        <v>0</v>
      </c>
      <c r="K79" s="947">
        <f t="shared" si="8"/>
        <v>0</v>
      </c>
      <c r="L79" s="947">
        <f t="shared" si="1"/>
        <v>0</v>
      </c>
      <c r="M79" s="947">
        <f t="shared" si="9"/>
        <v>0</v>
      </c>
      <c r="N79" s="946"/>
      <c r="P79" s="733"/>
      <c r="Q79" s="733"/>
      <c r="R79" s="733"/>
      <c r="S79" s="785">
        <f t="shared" si="10"/>
        <v>2</v>
      </c>
      <c r="T79" s="786">
        <f t="shared" si="15"/>
        <v>0</v>
      </c>
      <c r="U79" s="57"/>
      <c r="W79" s="790">
        <f t="shared" si="16"/>
        <v>0</v>
      </c>
      <c r="X79" s="818">
        <f t="shared" ca="1" si="11"/>
        <v>0</v>
      </c>
      <c r="Z79" s="843">
        <f t="shared" si="17"/>
        <v>0</v>
      </c>
      <c r="AA79" s="792">
        <f t="shared" si="18"/>
        <v>0</v>
      </c>
      <c r="AB79" s="792">
        <f t="shared" si="19"/>
        <v>0</v>
      </c>
      <c r="AC79" s="789">
        <f t="shared" si="12"/>
        <v>0</v>
      </c>
      <c r="AD79" s="789">
        <f t="shared" si="2"/>
        <v>0</v>
      </c>
      <c r="AE79" s="828" t="e">
        <f>HLOOKUP($AE$39,anticipado,39,0)</f>
        <v>#N/A</v>
      </c>
      <c r="AF79" s="827"/>
      <c r="AG79" s="614">
        <v>2.3197600911974607E-3</v>
      </c>
      <c r="AH79" s="615">
        <v>2.1586504370584465E-3</v>
      </c>
      <c r="AI79" s="616">
        <v>2.0370828708552178E-3</v>
      </c>
      <c r="AJ79" s="616">
        <v>2.4028005497971853E-3</v>
      </c>
      <c r="AK79" s="617">
        <v>2.3197600911974607E-3</v>
      </c>
      <c r="AL79" s="617">
        <v>2.1586504370584465E-3</v>
      </c>
      <c r="AM79" s="617">
        <v>2.5447914886985346E-3</v>
      </c>
      <c r="AN79" s="617">
        <v>2.4315417730379676E-3</v>
      </c>
      <c r="AO79" s="617">
        <v>2.3488289208369521E-3</v>
      </c>
      <c r="AP79" s="617">
        <v>2.6603263936429296E-3</v>
      </c>
      <c r="AQ79" s="617">
        <v>2.5447914886985346E-3</v>
      </c>
      <c r="AR79" s="618">
        <v>2.4273795724590007E-3</v>
      </c>
      <c r="AS79" s="618">
        <v>1.1367759689994909E-3</v>
      </c>
      <c r="AT79" s="618">
        <v>1.0627630304397128E-3</v>
      </c>
      <c r="AU79" s="618">
        <v>9.4080465710811006E-4</v>
      </c>
      <c r="AV79" s="618">
        <v>1.2559455919562848E-3</v>
      </c>
      <c r="AW79" s="618">
        <v>1.1367759689994909E-3</v>
      </c>
      <c r="AX79" s="618">
        <v>1.0324638144680871E-3</v>
      </c>
      <c r="AY79" s="618">
        <v>1.3377495034095461E-3</v>
      </c>
      <c r="AZ79" s="618">
        <v>1.2704441653165392E-3</v>
      </c>
      <c r="BA79" s="618">
        <v>1.1371562817211645E-3</v>
      </c>
      <c r="BB79" s="618">
        <v>1.4380179407712105E-3</v>
      </c>
      <c r="BC79" s="617">
        <v>1.3795324990766634E-3</v>
      </c>
      <c r="BD79" s="617">
        <v>1.2842518816865518E-3</v>
      </c>
      <c r="BE79" s="617">
        <v>2.480379721723634E-3</v>
      </c>
      <c r="BF79" s="617">
        <v>2.1456632189233485E-3</v>
      </c>
      <c r="BG79" s="617">
        <v>1.5201645906861886E-3</v>
      </c>
      <c r="BH79" s="617">
        <v>1.3519900278297302E-3</v>
      </c>
      <c r="BI79" s="617"/>
      <c r="BJ79" s="617"/>
      <c r="BK79" s="617"/>
      <c r="BL79" s="617"/>
      <c r="BM79" s="617"/>
      <c r="BN79" s="617"/>
      <c r="BO79" s="617"/>
      <c r="BP79" s="617"/>
      <c r="BQ79" s="617"/>
      <c r="BR79" s="617"/>
      <c r="BS79" s="617"/>
      <c r="BT79" s="617"/>
      <c r="BU79" s="617"/>
      <c r="BV79" s="617"/>
      <c r="BW79" s="617"/>
      <c r="BX79" s="617"/>
      <c r="BY79" s="617"/>
      <c r="BZ79" s="617"/>
      <c r="CA79" s="617"/>
      <c r="CB79" s="617"/>
      <c r="CC79" s="617"/>
      <c r="CD79" s="617"/>
      <c r="CE79" s="617"/>
      <c r="CF79" s="617"/>
      <c r="CG79" s="617"/>
      <c r="CH79" s="617"/>
      <c r="CI79" s="617"/>
      <c r="CJ79" s="617"/>
    </row>
    <row r="80" spans="1:88">
      <c r="A80" s="151">
        <f t="shared" ca="1" si="3"/>
        <v>2</v>
      </c>
      <c r="B80" s="784">
        <f t="shared" si="4"/>
        <v>0</v>
      </c>
      <c r="C80" s="944">
        <f t="shared" si="13"/>
        <v>0</v>
      </c>
      <c r="D80" s="947">
        <f t="shared" si="5"/>
        <v>0</v>
      </c>
      <c r="E80" s="947">
        <f t="shared" si="20"/>
        <v>0</v>
      </c>
      <c r="F80" s="947">
        <f t="shared" si="21"/>
        <v>0</v>
      </c>
      <c r="G80" s="947">
        <f>IF(M79&lt;0.01,0,IF($F$19=$U$4,$G$19,IF($F$19=$U$2,0,IF(AND($F$21=1,$F$19=$U$3),M79*Adm!$V$4,IF(AND($F$21=2,$F$19=$U$3),M79*Adm!$V$5,0)))))</f>
        <v>0</v>
      </c>
      <c r="H80" s="947">
        <f>IF(M79&lt;0.01,0,IF($F$20=$V$3,0,IF(OR($F$10=$T$16,$F$10=$T$17),0,IF($F$10=$T$13,0,$F$11*Adm!$AA$3))))</f>
        <v>0</v>
      </c>
      <c r="I80" s="947">
        <f t="shared" si="14"/>
        <v>0</v>
      </c>
      <c r="J80" s="947">
        <f t="shared" si="0"/>
        <v>0</v>
      </c>
      <c r="K80" s="947">
        <f t="shared" si="8"/>
        <v>0</v>
      </c>
      <c r="L80" s="947">
        <f t="shared" si="1"/>
        <v>0</v>
      </c>
      <c r="M80" s="947">
        <f t="shared" si="9"/>
        <v>0</v>
      </c>
      <c r="N80" s="946"/>
      <c r="P80" s="733"/>
      <c r="Q80" s="733"/>
      <c r="R80" s="733"/>
      <c r="S80" s="785">
        <f t="shared" si="10"/>
        <v>3</v>
      </c>
      <c r="T80" s="786">
        <f t="shared" si="15"/>
        <v>0</v>
      </c>
      <c r="W80" s="790">
        <f t="shared" si="16"/>
        <v>0</v>
      </c>
      <c r="X80" s="818">
        <f t="shared" ca="1" si="11"/>
        <v>0</v>
      </c>
      <c r="Z80" s="843">
        <f t="shared" si="17"/>
        <v>0</v>
      </c>
      <c r="AA80" s="792">
        <f t="shared" si="18"/>
        <v>0</v>
      </c>
      <c r="AB80" s="792">
        <f t="shared" si="19"/>
        <v>0</v>
      </c>
      <c r="AC80" s="789">
        <f t="shared" si="12"/>
        <v>0</v>
      </c>
      <c r="AD80" s="789">
        <f t="shared" si="2"/>
        <v>0</v>
      </c>
      <c r="AE80" s="828" t="e">
        <f>HLOOKUP($AE$39,anticipado,40,0)</f>
        <v>#N/A</v>
      </c>
      <c r="AF80" s="827"/>
      <c r="AG80" s="614">
        <v>2.3452083427029846E-3</v>
      </c>
      <c r="AH80" s="615">
        <v>2.1829524209723626E-3</v>
      </c>
      <c r="AI80" s="616">
        <v>2.0604457242229886E-3</v>
      </c>
      <c r="AJ80" s="616">
        <v>2.4286394004609337E-3</v>
      </c>
      <c r="AK80" s="617">
        <v>2.3452083427029846E-3</v>
      </c>
      <c r="AL80" s="617">
        <v>2.1829524209723626E-3</v>
      </c>
      <c r="AM80" s="617">
        <v>2.5714816392396122E-3</v>
      </c>
      <c r="AN80" s="617">
        <v>2.4576589444452652E-3</v>
      </c>
      <c r="AO80" s="617">
        <v>2.3745671544142264E-3</v>
      </c>
      <c r="AP80" s="617">
        <v>2.6877617058002202E-3</v>
      </c>
      <c r="AQ80" s="617">
        <v>2.5714816392396122E-3</v>
      </c>
      <c r="AR80" s="618">
        <v>2.4533404141743394E-3</v>
      </c>
      <c r="AS80" s="618">
        <v>1.1483976818056926E-3</v>
      </c>
      <c r="AT80" s="618">
        <v>1.0739031638652623E-3</v>
      </c>
      <c r="AU80" s="618">
        <v>9.5102118841535886E-4</v>
      </c>
      <c r="AV80" s="618">
        <v>1.2683711278138516E-3</v>
      </c>
      <c r="AW80" s="618">
        <v>1.1483976818056926E-3</v>
      </c>
      <c r="AX80" s="618">
        <v>1.0433408284919881E-3</v>
      </c>
      <c r="AY80" s="618">
        <v>1.3506373428975361E-3</v>
      </c>
      <c r="AZ80" s="618">
        <v>1.2829787639537292E-3</v>
      </c>
      <c r="BA80" s="618">
        <v>1.1488297554625745E-3</v>
      </c>
      <c r="BB80" s="618">
        <v>1.4514895174358958E-3</v>
      </c>
      <c r="BC80" s="617">
        <v>1.3926509117200901E-3</v>
      </c>
      <c r="BD80" s="617">
        <v>1.2968334835223355E-3</v>
      </c>
      <c r="BE80" s="617">
        <v>2.5067297788429073E-3</v>
      </c>
      <c r="BF80" s="617">
        <v>2.1698803477207683E-3</v>
      </c>
      <c r="BG80" s="617">
        <v>1.5340879118127086E-3</v>
      </c>
      <c r="BH80" s="617">
        <v>1.3649781157764962E-3</v>
      </c>
      <c r="BI80" s="617"/>
      <c r="BJ80" s="617"/>
      <c r="BK80" s="617"/>
      <c r="BL80" s="617"/>
      <c r="BM80" s="617"/>
      <c r="BN80" s="617"/>
      <c r="BO80" s="617"/>
      <c r="BP80" s="617"/>
      <c r="BQ80" s="617"/>
      <c r="BR80" s="617"/>
      <c r="BS80" s="617"/>
      <c r="BT80" s="617"/>
      <c r="BU80" s="617"/>
      <c r="BV80" s="617"/>
      <c r="BW80" s="617"/>
      <c r="BX80" s="617"/>
      <c r="BY80" s="617"/>
      <c r="BZ80" s="617"/>
      <c r="CA80" s="617"/>
      <c r="CB80" s="617"/>
      <c r="CC80" s="617"/>
      <c r="CD80" s="617"/>
      <c r="CE80" s="617"/>
      <c r="CF80" s="617"/>
      <c r="CG80" s="617"/>
      <c r="CH80" s="617"/>
      <c r="CI80" s="617"/>
      <c r="CJ80" s="617"/>
    </row>
    <row r="81" spans="1:88">
      <c r="A81" s="151">
        <f t="shared" ca="1" si="3"/>
        <v>3</v>
      </c>
      <c r="B81" s="784">
        <f t="shared" si="4"/>
        <v>0</v>
      </c>
      <c r="C81" s="944">
        <f t="shared" si="13"/>
        <v>0</v>
      </c>
      <c r="D81" s="947">
        <f t="shared" si="5"/>
        <v>0</v>
      </c>
      <c r="E81" s="947">
        <f t="shared" si="20"/>
        <v>0</v>
      </c>
      <c r="F81" s="947">
        <f t="shared" si="21"/>
        <v>0</v>
      </c>
      <c r="G81" s="947">
        <f>IF(M80&lt;0.01,0,IF($F$19=$U$4,$G$19,IF($F$19=$U$2,0,IF(AND($F$21=1,$F$19=$U$3),M80*Adm!$V$4,IF(AND($F$21=2,$F$19=$U$3),M80*Adm!$V$5,0)))))</f>
        <v>0</v>
      </c>
      <c r="H81" s="947">
        <f>IF(M80&lt;0.01,0,IF($F$20=$V$3,0,IF(OR($F$10=$T$16,$F$10=$T$17),0,IF($F$10=$T$13,0,$F$11*Adm!$AA$3))))</f>
        <v>0</v>
      </c>
      <c r="I81" s="947">
        <f t="shared" si="14"/>
        <v>0</v>
      </c>
      <c r="J81" s="947">
        <f t="shared" si="0"/>
        <v>0</v>
      </c>
      <c r="K81" s="947">
        <f t="shared" si="8"/>
        <v>0</v>
      </c>
      <c r="L81" s="947">
        <f t="shared" si="1"/>
        <v>0</v>
      </c>
      <c r="M81" s="947">
        <f t="shared" si="9"/>
        <v>0</v>
      </c>
      <c r="N81" s="946"/>
      <c r="O81" s="794"/>
      <c r="P81" s="733"/>
      <c r="Q81" s="733"/>
      <c r="R81" s="733"/>
      <c r="S81" s="785">
        <f t="shared" si="10"/>
        <v>4</v>
      </c>
      <c r="T81" s="786">
        <f t="shared" si="15"/>
        <v>0</v>
      </c>
      <c r="U81" s="794"/>
      <c r="V81" s="797"/>
      <c r="W81" s="790">
        <f t="shared" si="16"/>
        <v>0</v>
      </c>
      <c r="X81" s="818">
        <f t="shared" ca="1" si="11"/>
        <v>0</v>
      </c>
      <c r="Y81" s="794"/>
      <c r="Z81" s="843">
        <f t="shared" si="17"/>
        <v>0</v>
      </c>
      <c r="AA81" s="792">
        <f t="shared" si="18"/>
        <v>0</v>
      </c>
      <c r="AB81" s="792">
        <f t="shared" si="19"/>
        <v>0</v>
      </c>
      <c r="AC81" s="789">
        <f t="shared" si="12"/>
        <v>0</v>
      </c>
      <c r="AD81" s="789">
        <f t="shared" si="2"/>
        <v>0</v>
      </c>
      <c r="AE81" s="828" t="e">
        <f>HLOOKUP($AE$39,anticipado,41,0)</f>
        <v>#N/A</v>
      </c>
      <c r="AF81" s="827"/>
      <c r="AG81" s="614">
        <v>2.3709962448326973E-3</v>
      </c>
      <c r="AH81" s="615">
        <v>2.207581760140478E-3</v>
      </c>
      <c r="AI81" s="616">
        <v>2.0841253114985405E-3</v>
      </c>
      <c r="AJ81" s="616">
        <v>2.4548196953028101E-3</v>
      </c>
      <c r="AK81" s="617">
        <v>2.3709962448326973E-3</v>
      </c>
      <c r="AL81" s="617">
        <v>2.207581760140478E-3</v>
      </c>
      <c r="AM81" s="617">
        <v>2.5985212519053749E-3</v>
      </c>
      <c r="AN81" s="617">
        <v>2.4841216765592402E-3</v>
      </c>
      <c r="AO81" s="617">
        <v>2.4006493589399532E-3</v>
      </c>
      <c r="AP81" s="617">
        <v>2.7155546526122462E-3</v>
      </c>
      <c r="AQ81" s="617">
        <v>2.5985212519053749E-3</v>
      </c>
      <c r="AR81" s="618">
        <v>2.4796434375458994E-3</v>
      </c>
      <c r="AS81" s="618">
        <v>1.160151706298134E-3</v>
      </c>
      <c r="AT81" s="618">
        <v>1.0851721726281534E-3</v>
      </c>
      <c r="AU81" s="618">
        <v>9.6135849565627117E-4</v>
      </c>
      <c r="AV81" s="618">
        <v>1.2809355304346395E-3</v>
      </c>
      <c r="AW81" s="618">
        <v>1.160151706298134E-3</v>
      </c>
      <c r="AX81" s="618">
        <v>1.0543439119063221E-3</v>
      </c>
      <c r="AY81" s="618">
        <v>1.3636669417159595E-3</v>
      </c>
      <c r="AZ81" s="618">
        <v>1.2956532940059892E-3</v>
      </c>
      <c r="BA81" s="618">
        <v>1.1606366272925899E-3</v>
      </c>
      <c r="BB81" s="618">
        <v>1.4651070636604209E-3</v>
      </c>
      <c r="BC81" s="617">
        <v>1.4059125403346471E-3</v>
      </c>
      <c r="BD81" s="617">
        <v>1.3095548427007981E-3</v>
      </c>
      <c r="BE81" s="617">
        <v>2.5334266849949727E-3</v>
      </c>
      <c r="BF81" s="617">
        <v>2.1944240612024588E-3</v>
      </c>
      <c r="BG81" s="617">
        <v>1.5481603462129533E-3</v>
      </c>
      <c r="BH81" s="617">
        <v>1.3781088989021793E-3</v>
      </c>
      <c r="BI81" s="617"/>
      <c r="BJ81" s="617"/>
      <c r="BK81" s="617"/>
      <c r="BL81" s="617"/>
      <c r="BM81" s="617"/>
      <c r="BN81" s="617"/>
      <c r="BO81" s="617"/>
      <c r="BP81" s="617"/>
      <c r="BQ81" s="617"/>
      <c r="BR81" s="617"/>
      <c r="BS81" s="617"/>
      <c r="BT81" s="617"/>
      <c r="BU81" s="617"/>
      <c r="BV81" s="617"/>
      <c r="BW81" s="617"/>
      <c r="BX81" s="617"/>
      <c r="BY81" s="617"/>
      <c r="BZ81" s="617"/>
      <c r="CA81" s="617"/>
      <c r="CB81" s="617"/>
      <c r="CC81" s="617"/>
      <c r="CD81" s="617"/>
      <c r="CE81" s="617"/>
      <c r="CF81" s="617"/>
      <c r="CG81" s="617"/>
      <c r="CH81" s="617"/>
      <c r="CI81" s="617"/>
      <c r="CJ81" s="617"/>
    </row>
    <row r="82" spans="1:88">
      <c r="A82" s="151">
        <f t="shared" ca="1" si="3"/>
        <v>4</v>
      </c>
      <c r="B82" s="784">
        <f t="shared" si="4"/>
        <v>0</v>
      </c>
      <c r="C82" s="944">
        <f t="shared" si="13"/>
        <v>0</v>
      </c>
      <c r="D82" s="947">
        <f t="shared" si="5"/>
        <v>0</v>
      </c>
      <c r="E82" s="947">
        <f t="shared" si="20"/>
        <v>0</v>
      </c>
      <c r="F82" s="947">
        <f t="shared" si="21"/>
        <v>0</v>
      </c>
      <c r="G82" s="947">
        <f>IF(M81&lt;0.01,0,IF($F$19=$U$4,$G$19,IF($F$19=$U$2,0,IF(AND($F$21=1,$F$19=$U$3),M81*Adm!$V$4,IF(AND($F$21=2,$F$19=$U$3),M81*Adm!$V$5,0)))))</f>
        <v>0</v>
      </c>
      <c r="H82" s="947">
        <f>IF(M81&lt;0.01,0,IF($F$20=$V$3,0,IF(OR($F$10=$T$16,$F$10=$T$17),0,IF($F$10=$T$13,0,$F$11*Adm!$AA$3))))</f>
        <v>0</v>
      </c>
      <c r="I82" s="947">
        <f t="shared" si="14"/>
        <v>0</v>
      </c>
      <c r="J82" s="947">
        <f t="shared" si="0"/>
        <v>0</v>
      </c>
      <c r="K82" s="947">
        <f t="shared" si="8"/>
        <v>0</v>
      </c>
      <c r="L82" s="947">
        <f t="shared" si="1"/>
        <v>0</v>
      </c>
      <c r="M82" s="947">
        <f t="shared" si="9"/>
        <v>0</v>
      </c>
      <c r="N82" s="946"/>
      <c r="P82" s="733"/>
      <c r="Q82" s="733"/>
      <c r="R82" s="733"/>
      <c r="S82" s="785">
        <f t="shared" si="10"/>
        <v>5</v>
      </c>
      <c r="T82" s="786">
        <f t="shared" si="15"/>
        <v>0</v>
      </c>
      <c r="W82" s="790">
        <f t="shared" si="16"/>
        <v>0</v>
      </c>
      <c r="X82" s="818">
        <f t="shared" ca="1" si="11"/>
        <v>0</v>
      </c>
      <c r="Z82" s="843">
        <f t="shared" si="17"/>
        <v>0</v>
      </c>
      <c r="AA82" s="792">
        <f t="shared" si="18"/>
        <v>0</v>
      </c>
      <c r="AB82" s="792">
        <f t="shared" si="19"/>
        <v>0</v>
      </c>
      <c r="AC82" s="789">
        <f t="shared" si="12"/>
        <v>0</v>
      </c>
      <c r="AD82" s="789">
        <f t="shared" si="2"/>
        <v>0</v>
      </c>
      <c r="AE82" s="828" t="e">
        <f>HLOOKUP($AE$39,anticipado,42,0)</f>
        <v>#N/A</v>
      </c>
      <c r="AF82" s="827"/>
      <c r="AG82" s="614">
        <v>2.3971296728971954E-3</v>
      </c>
      <c r="AH82" s="615">
        <v>2.2325440882216205E-3</v>
      </c>
      <c r="AI82" s="616">
        <v>2.1081270580991952E-3</v>
      </c>
      <c r="AJ82" s="616">
        <v>2.4813473295617022E-3</v>
      </c>
      <c r="AK82" s="617">
        <v>2.3971296728971954E-3</v>
      </c>
      <c r="AL82" s="617">
        <v>2.2325440882216205E-3</v>
      </c>
      <c r="AM82" s="617">
        <v>2.6259163779969092E-3</v>
      </c>
      <c r="AN82" s="617">
        <v>2.510935954880709E-3</v>
      </c>
      <c r="AO82" s="617">
        <v>2.4270815042614878E-3</v>
      </c>
      <c r="AP82" s="617">
        <v>2.7437114552461318E-3</v>
      </c>
      <c r="AQ82" s="617">
        <v>2.6259163779969092E-3</v>
      </c>
      <c r="AR82" s="618">
        <v>2.5062945490414274E-3</v>
      </c>
      <c r="AS82" s="618">
        <v>1.1720398270379784E-3</v>
      </c>
      <c r="AT82" s="618">
        <v>1.0965718033585879E-3</v>
      </c>
      <c r="AU82" s="618">
        <v>9.7181822178781636E-4</v>
      </c>
      <c r="AV82" s="618">
        <v>1.2936406696820498E-3</v>
      </c>
      <c r="AW82" s="618">
        <v>1.1720398270379784E-3</v>
      </c>
      <c r="AX82" s="618">
        <v>1.0654747697068975E-3</v>
      </c>
      <c r="AY82" s="618">
        <v>1.3768402010159923E-3</v>
      </c>
      <c r="AZ82" s="618">
        <v>1.3084696411134902E-3</v>
      </c>
      <c r="BA82" s="618">
        <v>1.1725787023350526E-3</v>
      </c>
      <c r="BB82" s="618">
        <v>1.4788725345109646E-3</v>
      </c>
      <c r="BC82" s="617">
        <v>1.4193193025932836E-3</v>
      </c>
      <c r="BD82" s="617">
        <v>1.3224178375469875E-3</v>
      </c>
      <c r="BE82" s="617">
        <v>2.5604764442717356E-3</v>
      </c>
      <c r="BF82" s="617">
        <v>2.2192999791670648E-3</v>
      </c>
      <c r="BG82" s="617">
        <v>1.5623838896363245E-3</v>
      </c>
      <c r="BH82" s="617">
        <v>1.3913842921521053E-3</v>
      </c>
      <c r="BI82" s="617"/>
      <c r="BJ82" s="617"/>
      <c r="BK82" s="617"/>
      <c r="BL82" s="617"/>
      <c r="BM82" s="617"/>
      <c r="BN82" s="617"/>
      <c r="BO82" s="617"/>
      <c r="BP82" s="617"/>
      <c r="BQ82" s="617"/>
      <c r="BR82" s="617"/>
      <c r="BS82" s="617"/>
      <c r="BT82" s="617"/>
      <c r="BU82" s="617"/>
      <c r="BV82" s="617"/>
      <c r="BW82" s="617"/>
      <c r="BX82" s="617"/>
      <c r="BY82" s="617"/>
      <c r="BZ82" s="617"/>
      <c r="CA82" s="617"/>
      <c r="CB82" s="617"/>
      <c r="CC82" s="617"/>
      <c r="CD82" s="617"/>
      <c r="CE82" s="617"/>
      <c r="CF82" s="617"/>
      <c r="CG82" s="617"/>
      <c r="CH82" s="617"/>
      <c r="CI82" s="617"/>
      <c r="CJ82" s="617"/>
    </row>
    <row r="83" spans="1:88">
      <c r="A83" s="151">
        <f t="shared" ca="1" si="3"/>
        <v>5</v>
      </c>
      <c r="B83" s="784">
        <f t="shared" si="4"/>
        <v>0</v>
      </c>
      <c r="C83" s="944">
        <f t="shared" si="13"/>
        <v>0</v>
      </c>
      <c r="D83" s="947">
        <f t="shared" si="5"/>
        <v>0</v>
      </c>
      <c r="E83" s="947">
        <f t="shared" si="20"/>
        <v>0</v>
      </c>
      <c r="F83" s="947">
        <f t="shared" si="21"/>
        <v>0</v>
      </c>
      <c r="G83" s="947">
        <f>IF(M82&lt;0.01,0,IF($F$19=$U$4,$G$19,IF($F$19=$U$2,0,IF(AND($F$21=1,$F$19=$U$3),M82*Adm!$V$4,IF(AND($F$21=2,$F$19=$U$3),M82*Adm!$V$5,0)))))</f>
        <v>0</v>
      </c>
      <c r="H83" s="947">
        <f>IF(M82&lt;0.01,0,IF($F$20=$V$3,0,IF(OR($F$10=$T$16,$F$10=$T$17),0,IF($F$10=$T$13,0,$F$11*Adm!$AA$3))))</f>
        <v>0</v>
      </c>
      <c r="I83" s="947">
        <f t="shared" si="14"/>
        <v>0</v>
      </c>
      <c r="J83" s="947">
        <f t="shared" si="0"/>
        <v>0</v>
      </c>
      <c r="K83" s="947">
        <f t="shared" si="8"/>
        <v>0</v>
      </c>
      <c r="L83" s="947">
        <f t="shared" si="1"/>
        <v>0</v>
      </c>
      <c r="M83" s="947">
        <f t="shared" si="9"/>
        <v>0</v>
      </c>
      <c r="N83" s="946"/>
      <c r="P83" s="733"/>
      <c r="Q83" s="733"/>
      <c r="R83" s="733"/>
      <c r="S83" s="785">
        <f t="shared" si="10"/>
        <v>6</v>
      </c>
      <c r="T83" s="786">
        <f t="shared" si="15"/>
        <v>0</v>
      </c>
      <c r="W83" s="790">
        <f t="shared" si="16"/>
        <v>0</v>
      </c>
      <c r="X83" s="818">
        <f t="shared" ca="1" si="11"/>
        <v>0</v>
      </c>
      <c r="Z83" s="843">
        <f t="shared" si="17"/>
        <v>0</v>
      </c>
      <c r="AA83" s="792">
        <f t="shared" si="18"/>
        <v>0</v>
      </c>
      <c r="AB83" s="792">
        <f t="shared" si="19"/>
        <v>0</v>
      </c>
      <c r="AC83" s="789">
        <f t="shared" si="12"/>
        <v>0</v>
      </c>
      <c r="AD83" s="789">
        <f t="shared" si="2"/>
        <v>0</v>
      </c>
      <c r="AE83" s="828" t="e">
        <f>HLOOKUP($AE$39,anticipado,43,0)</f>
        <v>#N/A</v>
      </c>
      <c r="AF83" s="827"/>
      <c r="AG83" s="614">
        <v>2.4236146348828791E-3</v>
      </c>
      <c r="AH83" s="615">
        <v>2.2578451646967971E-3</v>
      </c>
      <c r="AI83" s="616">
        <v>2.1324565094385799E-3</v>
      </c>
      <c r="AJ83" s="616">
        <v>2.5082283317532303E-3</v>
      </c>
      <c r="AK83" s="617">
        <v>2.4236146348828791E-3</v>
      </c>
      <c r="AL83" s="617">
        <v>2.2578451646967971E-3</v>
      </c>
      <c r="AM83" s="617">
        <v>2.6536732065910915E-3</v>
      </c>
      <c r="AN83" s="617">
        <v>2.5381079007590211E-3</v>
      </c>
      <c r="AO83" s="617">
        <v>2.4538696955917708E-3</v>
      </c>
      <c r="AP83" s="617">
        <v>2.7722384775599389E-3</v>
      </c>
      <c r="AQ83" s="617">
        <v>2.6536732065910915E-3</v>
      </c>
      <c r="AR83" s="618">
        <v>2.533299788734704E-3</v>
      </c>
      <c r="AS83" s="618">
        <v>1.1840638584682283E-3</v>
      </c>
      <c r="AT83" s="618">
        <v>1.1081038318256958E-3</v>
      </c>
      <c r="AU83" s="618">
        <v>9.8240203686924816E-4</v>
      </c>
      <c r="AV83" s="618">
        <v>1.3064884470476276E-3</v>
      </c>
      <c r="AW83" s="618">
        <v>1.1840638584682283E-3</v>
      </c>
      <c r="AX83" s="618">
        <v>1.076735135182893E-3</v>
      </c>
      <c r="AY83" s="618">
        <v>1.3901590542193978E-3</v>
      </c>
      <c r="AZ83" s="618">
        <v>1.32142972287496E-3</v>
      </c>
      <c r="BA83" s="618">
        <v>1.1846578160293044E-3</v>
      </c>
      <c r="BB83" s="618">
        <v>1.4927879184616405E-3</v>
      </c>
      <c r="BC83" s="617">
        <v>1.4328731487842363E-3</v>
      </c>
      <c r="BD83" s="617">
        <v>1.335424378184544E-3</v>
      </c>
      <c r="BE83" s="617">
        <v>2.5878851971655645E-3</v>
      </c>
      <c r="BF83" s="617">
        <v>2.2445138468440125E-3</v>
      </c>
      <c r="BG83" s="617">
        <v>1.5767605721104814E-3</v>
      </c>
      <c r="BH83" s="617">
        <v>1.4048062430333328E-3</v>
      </c>
      <c r="BI83" s="617"/>
      <c r="BJ83" s="617"/>
      <c r="BK83" s="617"/>
      <c r="BL83" s="617"/>
      <c r="BM83" s="617"/>
      <c r="BN83" s="617"/>
      <c r="BO83" s="617"/>
      <c r="BP83" s="617"/>
      <c r="BQ83" s="617"/>
      <c r="BR83" s="617"/>
      <c r="BS83" s="617"/>
      <c r="BT83" s="617"/>
      <c r="BU83" s="617"/>
      <c r="BV83" s="617"/>
      <c r="BW83" s="617"/>
      <c r="BX83" s="617"/>
      <c r="BY83" s="617"/>
      <c r="BZ83" s="617"/>
      <c r="CA83" s="617"/>
      <c r="CB83" s="617"/>
      <c r="CC83" s="617"/>
      <c r="CD83" s="617"/>
      <c r="CE83" s="617"/>
      <c r="CF83" s="617"/>
      <c r="CG83" s="617"/>
      <c r="CH83" s="617"/>
      <c r="CI83" s="617"/>
      <c r="CJ83" s="617"/>
    </row>
    <row r="84" spans="1:88">
      <c r="A84" s="151">
        <f t="shared" ca="1" si="3"/>
        <v>6</v>
      </c>
      <c r="B84" s="784">
        <f t="shared" si="4"/>
        <v>0</v>
      </c>
      <c r="C84" s="944">
        <f t="shared" si="13"/>
        <v>0</v>
      </c>
      <c r="D84" s="947">
        <f t="shared" si="5"/>
        <v>0</v>
      </c>
      <c r="E84" s="947">
        <f t="shared" si="20"/>
        <v>0</v>
      </c>
      <c r="F84" s="947">
        <f t="shared" si="21"/>
        <v>0</v>
      </c>
      <c r="G84" s="947">
        <f>IF(M83&lt;0.01,0,IF($F$19=$U$4,$G$19,IF($F$19=$U$2,0,IF(AND($F$21=1,$F$19=$U$3),M83*Adm!$V$4,IF(AND($F$21=2,$F$19=$U$3),M83*Adm!$V$5,0)))))</f>
        <v>0</v>
      </c>
      <c r="H84" s="947">
        <f>IF(M83&lt;0.01,0,IF($F$20=$V$3,0,IF(OR($F$10=$T$16,$F$10=$T$17),0,IF($F$10=$T$13,0,$F$11*Adm!$AA$3))))</f>
        <v>0</v>
      </c>
      <c r="I84" s="947">
        <f t="shared" si="14"/>
        <v>0</v>
      </c>
      <c r="J84" s="947">
        <f t="shared" si="0"/>
        <v>0</v>
      </c>
      <c r="K84" s="947">
        <f t="shared" si="8"/>
        <v>0</v>
      </c>
      <c r="L84" s="947">
        <f t="shared" si="1"/>
        <v>0</v>
      </c>
      <c r="M84" s="947">
        <f t="shared" si="9"/>
        <v>0</v>
      </c>
      <c r="N84" s="946"/>
      <c r="P84" s="733"/>
      <c r="Q84" s="733"/>
      <c r="R84" s="733"/>
      <c r="S84" s="785">
        <f t="shared" si="10"/>
        <v>7</v>
      </c>
      <c r="T84" s="786">
        <f t="shared" si="15"/>
        <v>0</v>
      </c>
      <c r="W84" s="790">
        <f t="shared" si="16"/>
        <v>0</v>
      </c>
      <c r="X84" s="818">
        <f t="shared" ca="1" si="11"/>
        <v>0</v>
      </c>
      <c r="Z84" s="843">
        <f t="shared" si="17"/>
        <v>0</v>
      </c>
      <c r="AA84" s="792">
        <f t="shared" si="18"/>
        <v>0</v>
      </c>
      <c r="AB84" s="792">
        <f t="shared" si="19"/>
        <v>0</v>
      </c>
      <c r="AC84" s="789">
        <f t="shared" si="12"/>
        <v>0</v>
      </c>
      <c r="AD84" s="789">
        <f t="shared" si="2"/>
        <v>0</v>
      </c>
      <c r="AE84" s="828" t="e">
        <f>HLOOKUP($AE$39,anticipado,44,0)</f>
        <v>#N/A</v>
      </c>
      <c r="AF84" s="827"/>
      <c r="AG84" s="614">
        <v>2.4504572752231291E-3</v>
      </c>
      <c r="AH84" s="615">
        <v>2.2834908784048558E-3</v>
      </c>
      <c r="AI84" s="616">
        <v>2.1571193342642013E-3</v>
      </c>
      <c r="AJ84" s="616">
        <v>2.5354688674627244E-3</v>
      </c>
      <c r="AK84" s="617">
        <v>2.4504572752231291E-3</v>
      </c>
      <c r="AL84" s="617">
        <v>2.2834908784048558E-3</v>
      </c>
      <c r="AM84" s="617">
        <v>2.681798068489775E-3</v>
      </c>
      <c r="AN84" s="617">
        <v>2.5656437752735301E-3</v>
      </c>
      <c r="AO84" s="617">
        <v>2.4810201773730069E-3</v>
      </c>
      <c r="AP84" s="617">
        <v>2.8011422302230749E-3</v>
      </c>
      <c r="AQ84" s="617">
        <v>2.681798068489775E-3</v>
      </c>
      <c r="AR84" s="618">
        <v>2.560665334110113E-3</v>
      </c>
      <c r="AS84" s="618">
        <v>1.1962256455372807E-3</v>
      </c>
      <c r="AT84" s="618">
        <v>1.1197700635416287E-3</v>
      </c>
      <c r="AU84" s="618">
        <v>9.9311163861450749E-4</v>
      </c>
      <c r="AV84" s="618">
        <v>1.3194807963199078E-3</v>
      </c>
      <c r="AW84" s="618">
        <v>1.1962256455372807E-3</v>
      </c>
      <c r="AX84" s="618">
        <v>1.0881267704996684E-3</v>
      </c>
      <c r="AY84" s="618">
        <v>1.4036254677045109E-3</v>
      </c>
      <c r="AZ84" s="618">
        <v>1.3345354895250613E-3</v>
      </c>
      <c r="BA84" s="618">
        <v>1.1968758347645754E-3</v>
      </c>
      <c r="BB84" s="618">
        <v>1.5068552381104492E-3</v>
      </c>
      <c r="BC84" s="617">
        <v>1.4465760625061745E-3</v>
      </c>
      <c r="BD84" s="617">
        <v>1.3485764072091449E-3</v>
      </c>
      <c r="BE84" s="617">
        <v>2.6156592244703943E-3</v>
      </c>
      <c r="BF84" s="617">
        <v>2.2700715384157055E-3</v>
      </c>
      <c r="BG84" s="617">
        <v>1.5912924586803661E-3</v>
      </c>
      <c r="BH84" s="617">
        <v>1.418376732308184E-3</v>
      </c>
      <c r="BI84" s="617"/>
      <c r="BJ84" s="617"/>
      <c r="BK84" s="617"/>
      <c r="BL84" s="617"/>
      <c r="BM84" s="617"/>
      <c r="BN84" s="617"/>
      <c r="BO84" s="617"/>
      <c r="BP84" s="617"/>
      <c r="BQ84" s="617"/>
      <c r="BR84" s="617"/>
      <c r="BS84" s="617"/>
      <c r="BT84" s="617"/>
      <c r="BU84" s="617"/>
      <c r="BV84" s="617"/>
      <c r="BW84" s="617"/>
      <c r="BX84" s="617"/>
      <c r="BY84" s="617"/>
      <c r="BZ84" s="617"/>
      <c r="CA84" s="617"/>
      <c r="CB84" s="617"/>
      <c r="CC84" s="617"/>
      <c r="CD84" s="617"/>
      <c r="CE84" s="617"/>
      <c r="CF84" s="617"/>
      <c r="CG84" s="617"/>
      <c r="CH84" s="617"/>
      <c r="CI84" s="617"/>
      <c r="CJ84" s="617"/>
    </row>
    <row r="85" spans="1:88">
      <c r="A85" s="151">
        <f t="shared" ca="1" si="3"/>
        <v>7</v>
      </c>
      <c r="B85" s="784">
        <f t="shared" si="4"/>
        <v>0</v>
      </c>
      <c r="C85" s="944">
        <f t="shared" si="13"/>
        <v>0</v>
      </c>
      <c r="D85" s="947">
        <f t="shared" si="5"/>
        <v>0</v>
      </c>
      <c r="E85" s="947">
        <f t="shared" si="20"/>
        <v>0</v>
      </c>
      <c r="F85" s="947">
        <f t="shared" si="21"/>
        <v>0</v>
      </c>
      <c r="G85" s="947">
        <f>IF(M84&lt;0.01,0,IF($F$19=$U$4,$G$19,IF($F$19=$U$2,0,IF(AND($F$21=1,$F$19=$U$3),M84*Adm!$V$4,IF(AND($F$21=2,$F$19=$U$3),M84*Adm!$V$5,0)))))</f>
        <v>0</v>
      </c>
      <c r="H85" s="947">
        <f>IF(M84&lt;0.01,0,IF($F$20=$V$3,0,IF(OR($F$10=$T$16,$F$10=$T$17),0,IF($F$10=$T$13,0,$F$11*Adm!$AA$3))))</f>
        <v>0</v>
      </c>
      <c r="I85" s="947">
        <f t="shared" si="14"/>
        <v>0</v>
      </c>
      <c r="J85" s="947">
        <f t="shared" si="0"/>
        <v>0</v>
      </c>
      <c r="K85" s="947">
        <f t="shared" si="8"/>
        <v>0</v>
      </c>
      <c r="L85" s="947">
        <f t="shared" si="1"/>
        <v>0</v>
      </c>
      <c r="M85" s="947">
        <f t="shared" si="9"/>
        <v>0</v>
      </c>
      <c r="N85" s="946"/>
      <c r="P85" s="733"/>
      <c r="Q85" s="733"/>
      <c r="R85" s="733"/>
      <c r="S85" s="785">
        <f t="shared" si="10"/>
        <v>8</v>
      </c>
      <c r="T85" s="786">
        <f t="shared" si="15"/>
        <v>0</v>
      </c>
      <c r="W85" s="790">
        <f t="shared" si="16"/>
        <v>0</v>
      </c>
      <c r="X85" s="818">
        <f t="shared" ca="1" si="11"/>
        <v>0</v>
      </c>
      <c r="Z85" s="843">
        <f t="shared" si="17"/>
        <v>0</v>
      </c>
      <c r="AA85" s="792">
        <f t="shared" si="18"/>
        <v>0</v>
      </c>
      <c r="AB85" s="792">
        <f t="shared" si="19"/>
        <v>0</v>
      </c>
      <c r="AC85" s="789">
        <f t="shared" si="12"/>
        <v>0</v>
      </c>
      <c r="AD85" s="789">
        <f t="shared" si="2"/>
        <v>0</v>
      </c>
      <c r="AE85" s="828" t="e">
        <f>HLOOKUP($AE$39,anticipado,45,0)</f>
        <v>#N/A</v>
      </c>
      <c r="AF85" s="827"/>
      <c r="AG85" s="614">
        <v>2.4776638786990447E-3</v>
      </c>
      <c r="AH85" s="615">
        <v>2.3094872511982838E-3</v>
      </c>
      <c r="AI85" s="616">
        <v>2.1821213281073087E-3</v>
      </c>
      <c r="AJ85" s="616">
        <v>2.5630752432686229E-3</v>
      </c>
      <c r="AK85" s="617">
        <v>2.4776638786990447E-3</v>
      </c>
      <c r="AL85" s="617">
        <v>2.3094872511982838E-3</v>
      </c>
      <c r="AM85" s="617">
        <v>2.7102974403057658E-3</v>
      </c>
      <c r="AN85" s="617">
        <v>2.5935499832490968E-3</v>
      </c>
      <c r="AO85" s="617">
        <v>2.5085393372736358E-3</v>
      </c>
      <c r="AP85" s="617">
        <v>2.8304293749804484E-3</v>
      </c>
      <c r="AQ85" s="617">
        <v>2.7102974403057658E-3</v>
      </c>
      <c r="AR85" s="618">
        <v>2.5883975039981233E-3</v>
      </c>
      <c r="AS85" s="618">
        <v>1.2085270643382184E-3</v>
      </c>
      <c r="AT85" s="618">
        <v>1.1315723343808873E-3</v>
      </c>
      <c r="AU85" s="618">
        <v>1.003948752958248E-3</v>
      </c>
      <c r="AV85" s="618">
        <v>1.3326196842703595E-3</v>
      </c>
      <c r="AW85" s="618">
        <v>1.2085270643382184E-3</v>
      </c>
      <c r="AX85" s="618">
        <v>1.0996514672961116E-3</v>
      </c>
      <c r="AY85" s="618">
        <v>1.4172414415098531E-3</v>
      </c>
      <c r="AZ85" s="618">
        <v>1.3477889246291234E-3</v>
      </c>
      <c r="BA85" s="618">
        <v>1.2092346565304741E-3</v>
      </c>
      <c r="BB85" s="618">
        <v>1.5210765509138017E-3</v>
      </c>
      <c r="BC85" s="617">
        <v>1.4604300613812742E-3</v>
      </c>
      <c r="BD85" s="617">
        <v>1.3618759003792209E-3</v>
      </c>
      <c r="BE85" s="617">
        <v>2.6438049513176271E-3</v>
      </c>
      <c r="BF85" s="617">
        <v>2.2959790606593318E-3</v>
      </c>
      <c r="BG85" s="617">
        <v>1.6059816501664923E-3</v>
      </c>
      <c r="BH85" s="617">
        <v>1.4320977747056577E-3</v>
      </c>
      <c r="BI85" s="617"/>
      <c r="BJ85" s="617"/>
      <c r="BK85" s="617"/>
      <c r="BL85" s="617"/>
      <c r="BM85" s="617"/>
      <c r="BN85" s="617"/>
      <c r="BO85" s="617"/>
      <c r="BP85" s="617"/>
      <c r="BQ85" s="617"/>
      <c r="BR85" s="617"/>
      <c r="BS85" s="617"/>
      <c r="BT85" s="617"/>
      <c r="BU85" s="617"/>
      <c r="BV85" s="617"/>
      <c r="BW85" s="617"/>
      <c r="BX85" s="617"/>
      <c r="BY85" s="617"/>
      <c r="BZ85" s="617"/>
      <c r="CA85" s="617"/>
      <c r="CB85" s="617"/>
      <c r="CC85" s="617"/>
      <c r="CD85" s="617"/>
      <c r="CE85" s="617"/>
      <c r="CF85" s="617"/>
      <c r="CG85" s="617"/>
      <c r="CH85" s="617"/>
      <c r="CI85" s="617"/>
      <c r="CJ85" s="617"/>
    </row>
    <row r="86" spans="1:88">
      <c r="A86" s="151">
        <f t="shared" ca="1" si="3"/>
        <v>8</v>
      </c>
      <c r="B86" s="784">
        <f t="shared" si="4"/>
        <v>0</v>
      </c>
      <c r="C86" s="944">
        <f t="shared" si="13"/>
        <v>0</v>
      </c>
      <c r="D86" s="947">
        <f t="shared" si="5"/>
        <v>0</v>
      </c>
      <c r="E86" s="947">
        <f t="shared" si="20"/>
        <v>0</v>
      </c>
      <c r="F86" s="947">
        <f t="shared" si="21"/>
        <v>0</v>
      </c>
      <c r="G86" s="947">
        <f>IF(M85&lt;0.01,0,IF($F$19=$U$4,$G$19,IF($F$19=$U$2,0,IF(AND($F$21=1,$F$19=$U$3),M85*Adm!$V$4,IF(AND($F$21=2,$F$19=$U$3),M85*Adm!$V$5,0)))))</f>
        <v>0</v>
      </c>
      <c r="H86" s="947">
        <f>IF(M85&lt;0.01,0,IF($F$20=$V$3,0,IF(OR($F$10=$T$16,$F$10=$T$17),0,IF($F$10=$T$13,0,$F$11*Adm!$AA$3))))</f>
        <v>0</v>
      </c>
      <c r="I86" s="947">
        <f t="shared" si="14"/>
        <v>0</v>
      </c>
      <c r="J86" s="947">
        <f t="shared" si="0"/>
        <v>0</v>
      </c>
      <c r="K86" s="947">
        <f t="shared" si="8"/>
        <v>0</v>
      </c>
      <c r="L86" s="947">
        <f t="shared" si="1"/>
        <v>0</v>
      </c>
      <c r="M86" s="947">
        <f t="shared" si="9"/>
        <v>0</v>
      </c>
      <c r="N86" s="946"/>
      <c r="P86" s="733"/>
      <c r="Q86" s="733"/>
      <c r="R86" s="733"/>
      <c r="S86" s="785">
        <f t="shared" si="10"/>
        <v>9</v>
      </c>
      <c r="T86" s="786">
        <f t="shared" si="15"/>
        <v>0</v>
      </c>
      <c r="W86" s="790">
        <f t="shared" si="16"/>
        <v>0</v>
      </c>
      <c r="X86" s="818">
        <f t="shared" ca="1" si="11"/>
        <v>0</v>
      </c>
      <c r="Z86" s="843">
        <f t="shared" si="17"/>
        <v>0</v>
      </c>
      <c r="AA86" s="792">
        <f t="shared" si="18"/>
        <v>0</v>
      </c>
      <c r="AB86" s="792">
        <f t="shared" si="19"/>
        <v>0</v>
      </c>
      <c r="AC86" s="789">
        <f t="shared" si="12"/>
        <v>0</v>
      </c>
      <c r="AD86" s="789">
        <f t="shared" si="2"/>
        <v>0</v>
      </c>
      <c r="AE86" s="828" t="e">
        <f>HLOOKUP($AE$39,anticipado,46,0)</f>
        <v>#N/A</v>
      </c>
      <c r="AF86" s="827"/>
      <c r="AG86" s="614">
        <v>2.5052408744749501E-3</v>
      </c>
      <c r="AH86" s="615">
        <v>2.3358404417239027E-3</v>
      </c>
      <c r="AI86" s="616">
        <v>2.2074684168494475E-3</v>
      </c>
      <c r="AJ86" s="616">
        <v>2.5910539108015846E-3</v>
      </c>
      <c r="AK86" s="617">
        <v>2.5052408744749501E-3</v>
      </c>
      <c r="AL86" s="617">
        <v>2.3358404417239027E-3</v>
      </c>
      <c r="AM86" s="617">
        <v>2.7391779486910651E-3</v>
      </c>
      <c r="AN86" s="617">
        <v>2.6218330774110113E-3</v>
      </c>
      <c r="AO86" s="617">
        <v>2.5364337103239683E-3</v>
      </c>
      <c r="AP86" s="617">
        <v>2.8601067290662018E-3</v>
      </c>
      <c r="AQ86" s="617">
        <v>2.7391779486910651E-3</v>
      </c>
      <c r="AR86" s="618">
        <v>2.616502762646947E-3</v>
      </c>
      <c r="AS86" s="618">
        <v>1.2209700227643441E-3</v>
      </c>
      <c r="AT86" s="618">
        <v>1.1435125112152324E-3</v>
      </c>
      <c r="AU86" s="618">
        <v>1.0149151346359195E-3</v>
      </c>
      <c r="AV86" s="618">
        <v>1.345907111356985E-3</v>
      </c>
      <c r="AW86" s="618">
        <v>1.2209700227643441E-3</v>
      </c>
      <c r="AX86" s="618">
        <v>1.1113110472969799E-3</v>
      </c>
      <c r="AY86" s="618">
        <v>1.4310090100559184E-3</v>
      </c>
      <c r="AZ86" s="618">
        <v>1.3611920457958092E-3</v>
      </c>
      <c r="BA86" s="618">
        <v>1.22173621158403E-3</v>
      </c>
      <c r="BB86" s="618">
        <v>1.5354539499401324E-3</v>
      </c>
      <c r="BC86" s="617">
        <v>1.4744371977867524E-3</v>
      </c>
      <c r="BD86" s="617">
        <v>1.3753248673244456E-3</v>
      </c>
      <c r="BE86" s="617">
        <v>2.6723289513522889E-3</v>
      </c>
      <c r="BF86" s="617">
        <v>2.3222425567129938E-3</v>
      </c>
      <c r="BG86" s="617">
        <v>1.6208302839430591E-3</v>
      </c>
      <c r="BH86" s="617">
        <v>1.4459714196512275E-3</v>
      </c>
      <c r="BI86" s="617"/>
      <c r="BJ86" s="617"/>
      <c r="BK86" s="617"/>
      <c r="BL86" s="617"/>
      <c r="BM86" s="617"/>
      <c r="BN86" s="617"/>
      <c r="BO86" s="617"/>
      <c r="BP86" s="617"/>
      <c r="BQ86" s="617"/>
      <c r="BR86" s="617"/>
      <c r="BS86" s="617"/>
      <c r="BT86" s="617"/>
      <c r="BU86" s="617"/>
      <c r="BV86" s="617"/>
      <c r="BW86" s="617"/>
      <c r="BX86" s="617"/>
      <c r="BY86" s="617"/>
      <c r="BZ86" s="617"/>
      <c r="CA86" s="617"/>
      <c r="CB86" s="617"/>
      <c r="CC86" s="617"/>
      <c r="CD86" s="617"/>
      <c r="CE86" s="617"/>
      <c r="CF86" s="617"/>
      <c r="CG86" s="617"/>
      <c r="CH86" s="617"/>
      <c r="CI86" s="617"/>
      <c r="CJ86" s="617"/>
    </row>
    <row r="87" spans="1:88">
      <c r="A87" s="151">
        <f t="shared" ca="1" si="3"/>
        <v>9</v>
      </c>
      <c r="B87" s="784">
        <f t="shared" si="4"/>
        <v>0</v>
      </c>
      <c r="C87" s="944">
        <f t="shared" si="13"/>
        <v>0</v>
      </c>
      <c r="D87" s="947">
        <f t="shared" si="5"/>
        <v>0</v>
      </c>
      <c r="E87" s="947">
        <f t="shared" si="20"/>
        <v>0</v>
      </c>
      <c r="F87" s="947">
        <f t="shared" si="21"/>
        <v>0</v>
      </c>
      <c r="G87" s="947">
        <f>IF(M86&lt;0.01,0,IF($F$19=$U$4,$G$19,IF($F$19=$U$2,0,IF(AND($F$21=1,$F$19=$U$3),M86*Adm!$V$4,IF(AND($F$21=2,$F$19=$U$3),M86*Adm!$V$5,0)))))</f>
        <v>0</v>
      </c>
      <c r="H87" s="947">
        <f>IF(M86&lt;0.01,0,IF($F$20=$V$3,0,IF(OR($F$10=$T$16,$F$10=$T$17),0,IF($F$10=$T$13,0,$F$11*Adm!$AA$3))))</f>
        <v>0</v>
      </c>
      <c r="I87" s="947">
        <f t="shared" si="14"/>
        <v>0</v>
      </c>
      <c r="J87" s="947">
        <f t="shared" si="0"/>
        <v>0</v>
      </c>
      <c r="K87" s="947">
        <f t="shared" si="8"/>
        <v>0</v>
      </c>
      <c r="L87" s="947">
        <f t="shared" si="1"/>
        <v>0</v>
      </c>
      <c r="M87" s="947">
        <f t="shared" si="9"/>
        <v>0</v>
      </c>
      <c r="N87" s="946"/>
      <c r="P87" s="733"/>
      <c r="Q87" s="733"/>
      <c r="R87" s="733"/>
      <c r="S87" s="785">
        <f t="shared" si="10"/>
        <v>10</v>
      </c>
      <c r="T87" s="786">
        <f t="shared" si="15"/>
        <v>0</v>
      </c>
      <c r="W87" s="790">
        <f t="shared" si="16"/>
        <v>0</v>
      </c>
      <c r="X87" s="818">
        <f t="shared" ca="1" si="11"/>
        <v>0</v>
      </c>
      <c r="Z87" s="843">
        <f t="shared" si="17"/>
        <v>0</v>
      </c>
      <c r="AA87" s="792">
        <f t="shared" si="18"/>
        <v>0</v>
      </c>
      <c r="AB87" s="792">
        <f t="shared" si="19"/>
        <v>0</v>
      </c>
      <c r="AC87" s="789">
        <f t="shared" si="12"/>
        <v>0</v>
      </c>
      <c r="AD87" s="789">
        <f t="shared" si="2"/>
        <v>0</v>
      </c>
      <c r="AE87" s="828" t="e">
        <f>HLOOKUP($AE$39,anticipado,47,0)</f>
        <v>#N/A</v>
      </c>
      <c r="AF87" s="827"/>
      <c r="AG87" s="614">
        <v>2.53319484027416E-3</v>
      </c>
      <c r="AH87" s="615">
        <v>2.3625567493335059E-3</v>
      </c>
      <c r="AI87" s="616">
        <v>2.2331666604103895E-3</v>
      </c>
      <c r="AJ87" s="616">
        <v>2.6194114709447961E-3</v>
      </c>
      <c r="AK87" s="617">
        <v>2.53319484027416E-3</v>
      </c>
      <c r="AL87" s="617">
        <v>2.3625567493335059E-3</v>
      </c>
      <c r="AM87" s="617">
        <v>2.7684463747132838E-3</v>
      </c>
      <c r="AN87" s="617">
        <v>2.6504997626850438E-3</v>
      </c>
      <c r="AO87" s="617">
        <v>2.5647099831961661E-3</v>
      </c>
      <c r="AP87" s="617">
        <v>2.890181269773231E-3</v>
      </c>
      <c r="AQ87" s="617">
        <v>2.7684463747132838E-3</v>
      </c>
      <c r="AR87" s="618">
        <v>2.6449877239359413E-3</v>
      </c>
      <c r="AS87" s="618">
        <v>1.2335564611814201E-3</v>
      </c>
      <c r="AT87" s="618">
        <v>1.1555924925646963E-3</v>
      </c>
      <c r="AU87" s="618">
        <v>1.0260125677783018E-3</v>
      </c>
      <c r="AV87" s="618">
        <v>1.3593451124460682E-3</v>
      </c>
      <c r="AW87" s="618">
        <v>1.2335564611814201E-3</v>
      </c>
      <c r="AX87" s="618">
        <v>1.1231073629406447E-3</v>
      </c>
      <c r="AY87" s="618">
        <v>1.4449302428856865E-3</v>
      </c>
      <c r="AZ87" s="618">
        <v>1.3747469054081788E-3</v>
      </c>
      <c r="BA87" s="618">
        <v>1.2343824631337937E-3</v>
      </c>
      <c r="BB87" s="618">
        <v>1.5499895646432203E-3</v>
      </c>
      <c r="BC87" s="617">
        <v>1.4885995596054121E-3</v>
      </c>
      <c r="BD87" s="617">
        <v>1.3889253522725419E-3</v>
      </c>
      <c r="BE87" s="617">
        <v>2.7012379510551947E-3</v>
      </c>
      <c r="BF87" s="617">
        <v>2.3488683099712232E-3</v>
      </c>
      <c r="BG87" s="617">
        <v>1.6358405347365265E-3</v>
      </c>
      <c r="BH87" s="617">
        <v>1.4599997520156332E-3</v>
      </c>
      <c r="BI87" s="617"/>
      <c r="BJ87" s="617"/>
      <c r="BK87" s="617"/>
      <c r="BL87" s="617"/>
      <c r="BM87" s="617"/>
      <c r="BN87" s="617"/>
      <c r="BO87" s="617"/>
      <c r="BP87" s="617"/>
      <c r="BQ87" s="617"/>
      <c r="BR87" s="617"/>
      <c r="BS87" s="617"/>
      <c r="BT87" s="617"/>
      <c r="BU87" s="617"/>
      <c r="BV87" s="617"/>
      <c r="BW87" s="617"/>
      <c r="BX87" s="617"/>
      <c r="BY87" s="617"/>
      <c r="BZ87" s="617"/>
      <c r="CA87" s="617"/>
      <c r="CB87" s="617"/>
      <c r="CC87" s="617"/>
      <c r="CD87" s="617"/>
      <c r="CE87" s="617"/>
      <c r="CF87" s="617"/>
      <c r="CG87" s="617"/>
      <c r="CH87" s="617"/>
      <c r="CI87" s="617"/>
      <c r="CJ87" s="617"/>
    </row>
    <row r="88" spans="1:88">
      <c r="A88" s="151">
        <f t="shared" ca="1" si="3"/>
        <v>10</v>
      </c>
      <c r="B88" s="784">
        <f t="shared" si="4"/>
        <v>0</v>
      </c>
      <c r="C88" s="944">
        <f t="shared" si="13"/>
        <v>0</v>
      </c>
      <c r="D88" s="947">
        <f t="shared" si="5"/>
        <v>0</v>
      </c>
      <c r="E88" s="947">
        <f t="shared" si="20"/>
        <v>0</v>
      </c>
      <c r="F88" s="947">
        <f t="shared" si="21"/>
        <v>0</v>
      </c>
      <c r="G88" s="947">
        <f>IF(M87&lt;0.01,0,IF($F$19=$U$4,$G$19,IF($F$19=$U$2,0,IF(AND($F$21=1,$F$19=$U$3),M87*Adm!$V$4,IF(AND($F$21=2,$F$19=$U$3),M87*Adm!$V$5,0)))))</f>
        <v>0</v>
      </c>
      <c r="H88" s="947">
        <f>IF(M87&lt;0.01,0,IF($F$20=$V$3,0,IF(OR($F$10=$T$16,$F$10=$T$17),0,IF($F$10=$T$13,0,$F$11*Adm!$AA$3))))</f>
        <v>0</v>
      </c>
      <c r="I88" s="947">
        <f t="shared" si="14"/>
        <v>0</v>
      </c>
      <c r="J88" s="947">
        <f t="shared" si="0"/>
        <v>0</v>
      </c>
      <c r="K88" s="947">
        <f t="shared" si="8"/>
        <v>0</v>
      </c>
      <c r="L88" s="947">
        <f t="shared" si="1"/>
        <v>0</v>
      </c>
      <c r="M88" s="947">
        <f t="shared" si="9"/>
        <v>0</v>
      </c>
      <c r="N88" s="946"/>
      <c r="P88" s="733"/>
      <c r="Q88" s="733"/>
      <c r="R88" s="733"/>
      <c r="S88" s="785">
        <f t="shared" si="10"/>
        <v>11</v>
      </c>
      <c r="T88" s="786">
        <f t="shared" si="15"/>
        <v>0</v>
      </c>
      <c r="W88" s="790">
        <f t="shared" si="16"/>
        <v>0</v>
      </c>
      <c r="X88" s="818">
        <f t="shared" ca="1" si="11"/>
        <v>0</v>
      </c>
      <c r="Z88" s="843">
        <f t="shared" si="17"/>
        <v>0</v>
      </c>
      <c r="AA88" s="792">
        <f t="shared" si="18"/>
        <v>0</v>
      </c>
      <c r="AB88" s="792">
        <f t="shared" si="19"/>
        <v>0</v>
      </c>
      <c r="AC88" s="789">
        <f t="shared" si="12"/>
        <v>0</v>
      </c>
      <c r="AD88" s="789">
        <f t="shared" si="2"/>
        <v>0</v>
      </c>
      <c r="AE88" s="828" t="e">
        <f>HLOOKUP($AE$39,anticipado,48,0)</f>
        <v>#N/A</v>
      </c>
      <c r="AF88" s="827"/>
      <c r="AG88" s="614">
        <v>2.5615325067006945E-3</v>
      </c>
      <c r="AH88" s="615">
        <v>2.3896426181296655E-3</v>
      </c>
      <c r="AI88" s="616">
        <v>2.2592222565622285E-3</v>
      </c>
      <c r="AJ88" s="616">
        <v>2.6481546781812757E-3</v>
      </c>
      <c r="AK88" s="617">
        <v>2.5615325067006945E-3</v>
      </c>
      <c r="AL88" s="617">
        <v>2.3896426181296655E-3</v>
      </c>
      <c r="AM88" s="617">
        <v>2.7981096583862405E-3</v>
      </c>
      <c r="AN88" s="617">
        <v>2.679556900648554E-3</v>
      </c>
      <c r="AO88" s="617">
        <v>2.5933749986344358E-3</v>
      </c>
      <c r="AP88" s="617">
        <v>2.9206601391848983E-3</v>
      </c>
      <c r="AQ88" s="617">
        <v>2.7981096583862405E-3</v>
      </c>
      <c r="AR88" s="618">
        <v>2.6738591557365029E-3</v>
      </c>
      <c r="AS88" s="618">
        <v>1.2462883531171236E-3</v>
      </c>
      <c r="AT88" s="618">
        <v>1.1678142092651788E-3</v>
      </c>
      <c r="AU88" s="618">
        <v>1.0372428665209273E-3</v>
      </c>
      <c r="AV88" s="618">
        <v>1.3729357575526472E-3</v>
      </c>
      <c r="AW88" s="618">
        <v>1.2462883531171236E-3</v>
      </c>
      <c r="AX88" s="618">
        <v>1.1350422980227134E-3</v>
      </c>
      <c r="AY88" s="618">
        <v>1.4590072454244269E-3</v>
      </c>
      <c r="AZ88" s="618">
        <v>1.3884555913738041E-3</v>
      </c>
      <c r="BA88" s="618">
        <v>1.2471754080415011E-3</v>
      </c>
      <c r="BB88" s="618">
        <v>1.5646855616558274E-3</v>
      </c>
      <c r="BC88" s="617">
        <v>1.5029192709958023E-3</v>
      </c>
      <c r="BD88" s="617">
        <v>1.4026794347949559E-3</v>
      </c>
      <c r="BE88" s="617">
        <v>2.7305388342170772E-3</v>
      </c>
      <c r="BF88" s="617">
        <v>2.3758627481150151E-3</v>
      </c>
      <c r="BG88" s="617">
        <v>1.6510146154452808E-3</v>
      </c>
      <c r="BH88" s="617">
        <v>1.4741848928831963E-3</v>
      </c>
      <c r="BI88" s="617"/>
      <c r="BJ88" s="617"/>
      <c r="BK88" s="617"/>
      <c r="BL88" s="617"/>
      <c r="BM88" s="617"/>
      <c r="BN88" s="617"/>
      <c r="BO88" s="617"/>
      <c r="BP88" s="617"/>
      <c r="BQ88" s="617"/>
      <c r="BR88" s="617"/>
      <c r="BS88" s="617"/>
      <c r="BT88" s="617"/>
      <c r="BU88" s="617"/>
      <c r="BV88" s="617"/>
      <c r="BW88" s="617"/>
      <c r="BX88" s="617"/>
      <c r="BY88" s="617"/>
      <c r="BZ88" s="617"/>
      <c r="CA88" s="617"/>
      <c r="CB88" s="617"/>
      <c r="CC88" s="617"/>
      <c r="CD88" s="617"/>
      <c r="CE88" s="617"/>
      <c r="CF88" s="617"/>
      <c r="CG88" s="617"/>
      <c r="CH88" s="617"/>
      <c r="CI88" s="617"/>
      <c r="CJ88" s="617"/>
    </row>
    <row r="89" spans="1:88">
      <c r="A89" s="151">
        <f t="shared" ca="1" si="3"/>
        <v>11</v>
      </c>
      <c r="B89" s="784">
        <f t="shared" si="4"/>
        <v>0</v>
      </c>
      <c r="C89" s="944">
        <f t="shared" si="13"/>
        <v>0</v>
      </c>
      <c r="D89" s="947">
        <f t="shared" si="5"/>
        <v>0</v>
      </c>
      <c r="E89" s="947">
        <f t="shared" si="20"/>
        <v>0</v>
      </c>
      <c r="F89" s="947">
        <f t="shared" si="21"/>
        <v>0</v>
      </c>
      <c r="G89" s="947">
        <f>IF(M88&lt;0.01,0,IF($F$19=$U$4,$G$19,IF($F$19=$U$2,0,IF(AND($F$21=1,$F$19=$U$3),M88*Adm!$V$4,IF(AND($F$21=2,$F$19=$U$3),M88*Adm!$V$5,0)))))</f>
        <v>0</v>
      </c>
      <c r="H89" s="947">
        <f>IF(M88&lt;0.01,0,IF($F$20=$V$3,0,IF(OR($F$10=$T$16,$F$10=$T$17),0,IF($F$10=$T$13,0,$F$11*Adm!$AA$3))))</f>
        <v>0</v>
      </c>
      <c r="I89" s="947">
        <f t="shared" si="14"/>
        <v>0</v>
      </c>
      <c r="J89" s="947">
        <f t="shared" si="0"/>
        <v>0</v>
      </c>
      <c r="K89" s="947">
        <f t="shared" si="8"/>
        <v>0</v>
      </c>
      <c r="L89" s="947">
        <f t="shared" si="1"/>
        <v>0</v>
      </c>
      <c r="M89" s="947">
        <f t="shared" si="9"/>
        <v>0</v>
      </c>
      <c r="N89" s="946"/>
      <c r="P89" s="733"/>
      <c r="Q89" s="733"/>
      <c r="R89" s="733"/>
      <c r="S89" s="785">
        <f t="shared" si="10"/>
        <v>12</v>
      </c>
      <c r="T89" s="786">
        <f t="shared" si="15"/>
        <v>0</v>
      </c>
      <c r="W89" s="790">
        <f t="shared" si="16"/>
        <v>0</v>
      </c>
      <c r="X89" s="818">
        <f t="shared" ca="1" si="11"/>
        <v>0</v>
      </c>
      <c r="Z89" s="843">
        <f t="shared" si="17"/>
        <v>0</v>
      </c>
      <c r="AA89" s="792">
        <f t="shared" si="18"/>
        <v>0</v>
      </c>
      <c r="AB89" s="792">
        <f t="shared" si="19"/>
        <v>0</v>
      </c>
      <c r="AC89" s="789">
        <f t="shared" si="12"/>
        <v>0</v>
      </c>
      <c r="AD89" s="789">
        <f t="shared" si="2"/>
        <v>0</v>
      </c>
      <c r="AE89" s="828" t="e">
        <f>HLOOKUP($AE$39,anticipado,49,0)</f>
        <v>#N/A</v>
      </c>
      <c r="AF89" s="827"/>
      <c r="AG89" s="614">
        <v>2.5902607617129462E-3</v>
      </c>
      <c r="AH89" s="615">
        <v>2.417104641152168E-3</v>
      </c>
      <c r="AI89" s="616">
        <v>2.2856415448747574E-3</v>
      </c>
      <c r="AJ89" s="616">
        <v>2.6772904450941605E-3</v>
      </c>
      <c r="AK89" s="617">
        <v>2.5902607617129462E-3</v>
      </c>
      <c r="AL89" s="617">
        <v>2.417104641152168E-3</v>
      </c>
      <c r="AM89" s="617">
        <v>2.828174903361166E-3</v>
      </c>
      <c r="AN89" s="617">
        <v>2.7090115141389084E-3</v>
      </c>
      <c r="AO89" s="617">
        <v>2.6224357600416644E-3</v>
      </c>
      <c r="AP89" s="617">
        <v>2.9515506490757236E-3</v>
      </c>
      <c r="AQ89" s="617">
        <v>2.828174903361166E-3</v>
      </c>
      <c r="AR89" s="618">
        <v>2.7031239844265472E-3</v>
      </c>
      <c r="AS89" s="618">
        <v>1.259167705968231E-3</v>
      </c>
      <c r="AT89" s="618">
        <v>1.1801796251530875E-3</v>
      </c>
      <c r="AU89" s="618">
        <v>1.0486078756288125E-3</v>
      </c>
      <c r="AV89" s="618">
        <v>1.3866811526002684E-3</v>
      </c>
      <c r="AW89" s="618">
        <v>1.259167705968231E-3</v>
      </c>
      <c r="AX89" s="618">
        <v>1.1471177683560108E-3</v>
      </c>
      <c r="AY89" s="618">
        <v>1.47324215975938E-3</v>
      </c>
      <c r="AZ89" s="618">
        <v>1.4023202278944122E-3</v>
      </c>
      <c r="BA89" s="618">
        <v>1.260117077541843E-3</v>
      </c>
      <c r="BB89" s="618">
        <v>1.5795441456042279E-3</v>
      </c>
      <c r="BC89" s="617">
        <v>1.51739849318257E-3</v>
      </c>
      <c r="BD89" s="617">
        <v>1.4165892305719892E-3</v>
      </c>
      <c r="BE89" s="617">
        <v>2.7602386465709751E-3</v>
      </c>
      <c r="BF89" s="617">
        <v>2.4032324472818894E-3</v>
      </c>
      <c r="BG89" s="617">
        <v>1.6663547779810141E-3</v>
      </c>
      <c r="BH89" s="617">
        <v>1.4885290003402959E-3</v>
      </c>
      <c r="BI89" s="617"/>
      <c r="BJ89" s="617"/>
      <c r="BK89" s="617"/>
      <c r="BL89" s="617"/>
      <c r="BM89" s="617"/>
      <c r="BN89" s="617"/>
      <c r="BO89" s="617"/>
      <c r="BP89" s="617"/>
      <c r="BQ89" s="617"/>
      <c r="BR89" s="617"/>
      <c r="BS89" s="617"/>
      <c r="BT89" s="617"/>
      <c r="BU89" s="617"/>
      <c r="BV89" s="617"/>
      <c r="BW89" s="617"/>
      <c r="BX89" s="617"/>
      <c r="BY89" s="617"/>
      <c r="BZ89" s="617"/>
      <c r="CA89" s="617"/>
      <c r="CB89" s="617"/>
      <c r="CC89" s="617"/>
      <c r="CD89" s="617"/>
      <c r="CE89" s="617"/>
      <c r="CF89" s="617"/>
      <c r="CG89" s="617"/>
      <c r="CH89" s="617"/>
      <c r="CI89" s="617"/>
      <c r="CJ89" s="617"/>
    </row>
    <row r="90" spans="1:88">
      <c r="A90" s="151">
        <f t="shared" ca="1" si="3"/>
        <v>12</v>
      </c>
      <c r="B90" s="784">
        <f t="shared" si="4"/>
        <v>0</v>
      </c>
      <c r="C90" s="944">
        <f t="shared" si="13"/>
        <v>0</v>
      </c>
      <c r="D90" s="947">
        <f t="shared" si="5"/>
        <v>0</v>
      </c>
      <c r="E90" s="947">
        <f t="shared" si="20"/>
        <v>0</v>
      </c>
      <c r="F90" s="947">
        <f t="shared" si="21"/>
        <v>0</v>
      </c>
      <c r="G90" s="947">
        <f>IF(M89&lt;0.01,0,IF($F$19=$U$4,$G$19,IF(AND($F$21=1,$F$19=$U$2),M89*Adm!$U$4,IF(AND($F$21=2,$F$19=$U$2),M89*Adm!$U$5,IF(AND($F$21=1,$F$19=$U$3),M89*Adm!$V$4,IF(AND($F$21=2,$F$19=$U$3),M89*Adm!$V$5,0))))))</f>
        <v>0</v>
      </c>
      <c r="H90" s="947">
        <f>IF(M89&lt;0.01,0,IF($F$20=$V$3,0,IF(OR($F$10=$T$16,$F$10=$T$17),0,IF($F$10=$T$13,0,$F$11*Adm!$AA$3))))</f>
        <v>0</v>
      </c>
      <c r="I90" s="947">
        <f t="shared" si="14"/>
        <v>0</v>
      </c>
      <c r="J90" s="947">
        <f t="shared" si="0"/>
        <v>0</v>
      </c>
      <c r="K90" s="947">
        <f t="shared" si="8"/>
        <v>0</v>
      </c>
      <c r="L90" s="947">
        <f t="shared" si="1"/>
        <v>0</v>
      </c>
      <c r="M90" s="947">
        <f t="shared" si="9"/>
        <v>0</v>
      </c>
      <c r="N90" s="946"/>
      <c r="P90" s="733"/>
      <c r="Q90" s="733"/>
      <c r="R90" s="733"/>
      <c r="S90" s="785">
        <f t="shared" si="10"/>
        <v>1</v>
      </c>
      <c r="T90" s="786">
        <f t="shared" si="15"/>
        <v>0</v>
      </c>
      <c r="W90" s="790">
        <f t="shared" si="16"/>
        <v>0</v>
      </c>
      <c r="X90" s="818">
        <f t="shared" ca="1" si="11"/>
        <v>0</v>
      </c>
      <c r="Z90" s="843">
        <f t="shared" si="17"/>
        <v>0</v>
      </c>
      <c r="AA90" s="792">
        <f t="shared" si="18"/>
        <v>0</v>
      </c>
      <c r="AB90" s="792">
        <f t="shared" si="19"/>
        <v>0</v>
      </c>
      <c r="AC90" s="789">
        <f t="shared" si="12"/>
        <v>0</v>
      </c>
      <c r="AD90" s="789">
        <f t="shared" si="2"/>
        <v>0</v>
      </c>
      <c r="AE90" s="828" t="e">
        <f>HLOOKUP($AE$39,anticipado,50,0)</f>
        <v>#N/A</v>
      </c>
      <c r="AF90" s="827"/>
      <c r="AG90" s="614">
        <v>2.9004963216369716E-3</v>
      </c>
      <c r="AH90" s="615">
        <v>2.7329483038286417E-3</v>
      </c>
      <c r="AI90" s="616">
        <v>2.6054501194006543E-3</v>
      </c>
      <c r="AJ90" s="616">
        <v>2.9826214932020061E-3</v>
      </c>
      <c r="AK90" s="617">
        <v>2.9004963216369716E-3</v>
      </c>
      <c r="AL90" s="617">
        <v>2.7329483038286417E-3</v>
      </c>
      <c r="AM90" s="617">
        <v>3.1280322829964772E-3</v>
      </c>
      <c r="AN90" s="617">
        <v>3.0144258951596684E-3</v>
      </c>
      <c r="AO90" s="617">
        <v>2.9327802554680133E-3</v>
      </c>
      <c r="AP90" s="617">
        <v>3.2480567931378384E-3</v>
      </c>
      <c r="AQ90" s="617">
        <v>3.1280322829964772E-3</v>
      </c>
      <c r="AR90" s="618">
        <v>3.0071506987206908E-3</v>
      </c>
      <c r="AS90" s="618">
        <v>1.375668527343322E-3</v>
      </c>
      <c r="AT90" s="618">
        <v>1.2987009784785654E-3</v>
      </c>
      <c r="AU90" s="618">
        <v>1.169793899181667E-3</v>
      </c>
      <c r="AV90" s="618">
        <v>1.5008392746026216E-3</v>
      </c>
      <c r="AW90" s="618">
        <v>1.375668527343322E-3</v>
      </c>
      <c r="AX90" s="618">
        <v>1.2658457463385064E-3</v>
      </c>
      <c r="AY90" s="618">
        <v>1.5853468704276692E-3</v>
      </c>
      <c r="AZ90" s="618">
        <v>1.5163397393516359E-3</v>
      </c>
      <c r="BA90" s="618">
        <v>1.3771083000273397E-3</v>
      </c>
      <c r="BB90" s="618">
        <v>1.6896799022104525E-3</v>
      </c>
      <c r="BC90" s="617">
        <v>1.6285264861869739E-3</v>
      </c>
      <c r="BD90" s="617">
        <v>1.529963461099734E-3</v>
      </c>
      <c r="BE90" s="617">
        <v>3.0630198822708416E-3</v>
      </c>
      <c r="BF90" s="617">
        <v>2.7196754064578617E-3</v>
      </c>
      <c r="BG90" s="617">
        <v>1.7749319472738603E-3</v>
      </c>
      <c r="BH90" s="617">
        <v>1.6004812796541034E-3</v>
      </c>
      <c r="BI90" s="617"/>
      <c r="BJ90" s="617"/>
      <c r="BK90" s="617"/>
      <c r="BL90" s="617"/>
      <c r="BM90" s="617"/>
      <c r="BN90" s="617"/>
      <c r="BO90" s="617"/>
      <c r="BP90" s="617"/>
      <c r="BQ90" s="617"/>
      <c r="BR90" s="617"/>
      <c r="BS90" s="617"/>
      <c r="BT90" s="617"/>
      <c r="BU90" s="617"/>
      <c r="BV90" s="617"/>
      <c r="BW90" s="617"/>
      <c r="BX90" s="617"/>
      <c r="BY90" s="617"/>
      <c r="BZ90" s="617"/>
      <c r="CA90" s="617"/>
      <c r="CB90" s="617"/>
      <c r="CC90" s="617"/>
      <c r="CD90" s="617"/>
      <c r="CE90" s="617"/>
      <c r="CF90" s="617"/>
      <c r="CG90" s="617"/>
      <c r="CH90" s="617"/>
      <c r="CI90" s="617"/>
      <c r="CJ90" s="617"/>
    </row>
    <row r="91" spans="1:88">
      <c r="A91" s="151">
        <f t="shared" ca="1" si="3"/>
        <v>1</v>
      </c>
      <c r="B91" s="784">
        <f t="shared" si="4"/>
        <v>0</v>
      </c>
      <c r="C91" s="944">
        <f t="shared" si="13"/>
        <v>0</v>
      </c>
      <c r="D91" s="947">
        <f t="shared" si="5"/>
        <v>0</v>
      </c>
      <c r="E91" s="947">
        <f t="shared" si="20"/>
        <v>0</v>
      </c>
      <c r="F91" s="947">
        <f t="shared" si="21"/>
        <v>0</v>
      </c>
      <c r="G91" s="947">
        <f>IF(M90&lt;0.01,0,IF($F$19=$U$4,$G$19,IF(AND($F$21=1,$F$19=$U$2),M90*Adm!$U$4,IF(AND($F$21=2,$F$19=$U$2),M90*Adm!$U$5,IF(AND($F$21=1,$F$19=$U$3),M90*Adm!$V$4,IF(AND($F$21=2,$F$19=$U$3),M90*Adm!$V$5,0))))))</f>
        <v>0</v>
      </c>
      <c r="H91" s="947">
        <f>IF(M90&lt;0.01,0,IF($F$20=$V$3,0,IF(OR($F$10=$T$16,$F$10=$T$17),0,IF($F$10=$T$13,0,$F$11*Adm!$AA$3))))</f>
        <v>0</v>
      </c>
      <c r="I91" s="947">
        <f t="shared" si="14"/>
        <v>0</v>
      </c>
      <c r="J91" s="947">
        <f t="shared" si="0"/>
        <v>0</v>
      </c>
      <c r="K91" s="947">
        <f t="shared" si="8"/>
        <v>0</v>
      </c>
      <c r="L91" s="947">
        <f t="shared" si="1"/>
        <v>0</v>
      </c>
      <c r="M91" s="947">
        <f t="shared" si="9"/>
        <v>0</v>
      </c>
      <c r="N91" s="946"/>
      <c r="P91" s="733"/>
      <c r="Q91" s="733"/>
      <c r="R91" s="733"/>
      <c r="S91" s="785">
        <f t="shared" si="10"/>
        <v>2</v>
      </c>
      <c r="T91" s="786">
        <f t="shared" si="15"/>
        <v>0</v>
      </c>
      <c r="W91" s="790">
        <f t="shared" si="16"/>
        <v>0</v>
      </c>
      <c r="X91" s="818">
        <f t="shared" ca="1" si="11"/>
        <v>0</v>
      </c>
      <c r="Z91" s="843">
        <f t="shared" si="17"/>
        <v>0</v>
      </c>
      <c r="AA91" s="792">
        <f t="shared" si="18"/>
        <v>0</v>
      </c>
      <c r="AB91" s="792">
        <f t="shared" si="19"/>
        <v>0</v>
      </c>
      <c r="AC91" s="789">
        <f t="shared" si="12"/>
        <v>0</v>
      </c>
      <c r="AD91" s="789">
        <f t="shared" si="2"/>
        <v>0</v>
      </c>
      <c r="AE91" s="828" t="e">
        <f>HLOOKUP($AE$39,anticipado,51,0)</f>
        <v>#N/A</v>
      </c>
      <c r="AF91" s="827"/>
      <c r="AG91" s="614">
        <v>2.9340232259856608E-3</v>
      </c>
      <c r="AH91" s="615">
        <v>2.7653072514482973E-3</v>
      </c>
      <c r="AI91" s="616">
        <v>2.6368331999830851E-3</v>
      </c>
      <c r="AJ91" s="616">
        <v>3.0164487419838955E-3</v>
      </c>
      <c r="AK91" s="617">
        <v>2.9340232259856608E-3</v>
      </c>
      <c r="AL91" s="617">
        <v>2.7653072514482973E-3</v>
      </c>
      <c r="AM91" s="617">
        <v>3.1626888647736176E-3</v>
      </c>
      <c r="AN91" s="617">
        <v>3.0485851235980805E-3</v>
      </c>
      <c r="AO91" s="617">
        <v>2.9666538297708749E-3</v>
      </c>
      <c r="AP91" s="617">
        <v>3.2834881822811609E-3</v>
      </c>
      <c r="AQ91" s="617">
        <v>3.1626888647736176E-3</v>
      </c>
      <c r="AR91" s="618">
        <v>3.041079617091381E-3</v>
      </c>
      <c r="AS91" s="618">
        <v>1.3900649878837575E-3</v>
      </c>
      <c r="AT91" s="618">
        <v>1.3126242966428436E-3</v>
      </c>
      <c r="AU91" s="618">
        <v>1.1827682020930138E-3</v>
      </c>
      <c r="AV91" s="618">
        <v>1.5160593747983965E-3</v>
      </c>
      <c r="AW91" s="618">
        <v>1.3900649878837575E-3</v>
      </c>
      <c r="AX91" s="618">
        <v>1.2794803569815788E-3</v>
      </c>
      <c r="AY91" s="618">
        <v>1.6010169942857722E-3</v>
      </c>
      <c r="AZ91" s="618">
        <v>1.5316775322911566E-3</v>
      </c>
      <c r="BA91" s="618">
        <v>1.3915792927567904E-3</v>
      </c>
      <c r="BB91" s="618">
        <v>1.7059390256556643E-3</v>
      </c>
      <c r="BC91" s="617">
        <v>1.6444226787199737E-3</v>
      </c>
      <c r="BD91" s="617">
        <v>1.5453324527069754E-3</v>
      </c>
      <c r="BE91" s="617">
        <v>3.0973686955457868E-3</v>
      </c>
      <c r="BF91" s="617">
        <v>2.7519542027449728E-3</v>
      </c>
      <c r="BG91" s="617">
        <v>1.7916458528342198E-3</v>
      </c>
      <c r="BH91" s="617">
        <v>1.616258704667151E-3</v>
      </c>
      <c r="BI91" s="617"/>
      <c r="BJ91" s="617"/>
      <c r="BK91" s="617"/>
      <c r="BL91" s="617"/>
      <c r="BM91" s="617"/>
      <c r="BN91" s="617"/>
      <c r="BO91" s="617"/>
      <c r="BP91" s="617"/>
      <c r="BQ91" s="617"/>
      <c r="BR91" s="617"/>
      <c r="BS91" s="617"/>
      <c r="BT91" s="617"/>
      <c r="BU91" s="617"/>
      <c r="BV91" s="617"/>
      <c r="BW91" s="617"/>
      <c r="BX91" s="617"/>
      <c r="BY91" s="617"/>
      <c r="BZ91" s="617"/>
      <c r="CA91" s="617"/>
      <c r="CB91" s="617"/>
      <c r="CC91" s="617"/>
      <c r="CD91" s="617"/>
      <c r="CE91" s="617"/>
      <c r="CF91" s="617"/>
      <c r="CG91" s="617"/>
      <c r="CH91" s="617"/>
      <c r="CI91" s="617"/>
      <c r="CJ91" s="617"/>
    </row>
    <row r="92" spans="1:88">
      <c r="A92" s="151">
        <f t="shared" ca="1" si="3"/>
        <v>2</v>
      </c>
      <c r="B92" s="784">
        <f t="shared" si="4"/>
        <v>0</v>
      </c>
      <c r="C92" s="944">
        <f t="shared" si="13"/>
        <v>0</v>
      </c>
      <c r="D92" s="947">
        <f t="shared" si="5"/>
        <v>0</v>
      </c>
      <c r="E92" s="947">
        <f t="shared" si="20"/>
        <v>0</v>
      </c>
      <c r="F92" s="947">
        <f t="shared" si="21"/>
        <v>0</v>
      </c>
      <c r="G92" s="947">
        <f>IF(M91&lt;0.01,0,IF($F$19=$U$4,$G$19,IF(AND($F$21=1,$F$19=$U$2),M91*Adm!$U$4,IF(AND($F$21=2,$F$19=$U$2),M91*Adm!$U$5,IF(AND($F$21=1,$F$19=$U$3),M91*Adm!$V$4,IF(AND($F$21=2,$F$19=$U$3),M91*Adm!$V$5,0))))))</f>
        <v>0</v>
      </c>
      <c r="H92" s="947">
        <f>IF(M91&lt;0.01,0,IF($F$20=$V$3,0,IF(OR($F$10=$T$16,$F$10=$T$17),0,IF($F$10=$T$13,0,$F$11*Adm!$AA$3))))</f>
        <v>0</v>
      </c>
      <c r="I92" s="947">
        <f t="shared" si="14"/>
        <v>0</v>
      </c>
      <c r="J92" s="947">
        <f t="shared" si="0"/>
        <v>0</v>
      </c>
      <c r="K92" s="947">
        <f t="shared" si="8"/>
        <v>0</v>
      </c>
      <c r="L92" s="947">
        <f t="shared" si="1"/>
        <v>0</v>
      </c>
      <c r="M92" s="947">
        <f t="shared" si="9"/>
        <v>0</v>
      </c>
      <c r="N92" s="946"/>
      <c r="P92" s="733"/>
      <c r="Q92" s="733"/>
      <c r="R92" s="733"/>
      <c r="S92" s="785">
        <f t="shared" si="10"/>
        <v>3</v>
      </c>
      <c r="T92" s="786">
        <f t="shared" si="15"/>
        <v>0</v>
      </c>
      <c r="W92" s="790">
        <f t="shared" si="16"/>
        <v>0</v>
      </c>
      <c r="X92" s="818">
        <f t="shared" ca="1" si="11"/>
        <v>0</v>
      </c>
      <c r="Z92" s="843">
        <f t="shared" si="17"/>
        <v>0</v>
      </c>
      <c r="AA92" s="792">
        <f t="shared" si="18"/>
        <v>0</v>
      </c>
      <c r="AB92" s="792">
        <f t="shared" si="19"/>
        <v>0</v>
      </c>
      <c r="AC92" s="789">
        <f t="shared" si="12"/>
        <v>0</v>
      </c>
      <c r="AD92" s="789">
        <f t="shared" si="2"/>
        <v>0</v>
      </c>
      <c r="AE92" s="828" t="e">
        <f>HLOOKUP($AE$39,anticipado,52,0)</f>
        <v>#N/A</v>
      </c>
      <c r="AF92" s="827"/>
      <c r="AG92" s="614">
        <v>2.9680374671740709E-3</v>
      </c>
      <c r="AH92" s="615">
        <v>2.7981401319526473E-3</v>
      </c>
      <c r="AI92" s="616">
        <v>2.668678265122472E-3</v>
      </c>
      <c r="AJ92" s="616">
        <v>3.0507631484220604E-3</v>
      </c>
      <c r="AK92" s="617">
        <v>2.9680374671740709E-3</v>
      </c>
      <c r="AL92" s="617">
        <v>2.7981401319526473E-3</v>
      </c>
      <c r="AM92" s="617">
        <v>3.1978405931215948E-3</v>
      </c>
      <c r="AN92" s="617">
        <v>3.0832370810697581E-3</v>
      </c>
      <c r="AO92" s="617">
        <v>3.0010205977258719E-3</v>
      </c>
      <c r="AP92" s="617">
        <v>3.3194240693748267E-3</v>
      </c>
      <c r="AQ92" s="617">
        <v>3.1978405931215948E-3</v>
      </c>
      <c r="AR92" s="618">
        <v>3.0754960098301832E-3</v>
      </c>
      <c r="AS92" s="618">
        <v>1.4046323579103815E-3</v>
      </c>
      <c r="AT92" s="618">
        <v>1.3267153824127753E-3</v>
      </c>
      <c r="AU92" s="618">
        <v>1.1959019384810768E-3</v>
      </c>
      <c r="AV92" s="618">
        <v>1.5314571669010138E-3</v>
      </c>
      <c r="AW92" s="618">
        <v>1.4046323579103815E-3</v>
      </c>
      <c r="AX92" s="618">
        <v>1.2932794837321184E-3</v>
      </c>
      <c r="AY92" s="618">
        <v>1.616867383880871E-3</v>
      </c>
      <c r="AZ92" s="618">
        <v>1.5471942337559224E-3</v>
      </c>
      <c r="BA92" s="618">
        <v>1.4062227277380139E-3</v>
      </c>
      <c r="BB92" s="618">
        <v>1.7223826560655328E-3</v>
      </c>
      <c r="BC92" s="617">
        <v>1.6605004740998875E-3</v>
      </c>
      <c r="BD92" s="617">
        <v>1.560879856852556E-3</v>
      </c>
      <c r="BE92" s="617">
        <v>3.1322106159008471E-3</v>
      </c>
      <c r="BF92" s="617">
        <v>2.7847062359226886E-3</v>
      </c>
      <c r="BG92" s="617">
        <v>1.8085474289628364E-3</v>
      </c>
      <c r="BH92" s="617">
        <v>1.6322174558290091E-3</v>
      </c>
      <c r="BI92" s="617"/>
      <c r="BJ92" s="617"/>
      <c r="BK92" s="617"/>
      <c r="BL92" s="617"/>
      <c r="BM92" s="617"/>
      <c r="BN92" s="617"/>
      <c r="BO92" s="617"/>
      <c r="BP92" s="617"/>
      <c r="BQ92" s="617"/>
      <c r="BR92" s="617"/>
      <c r="BS92" s="617"/>
      <c r="BT92" s="617"/>
      <c r="BU92" s="617"/>
      <c r="BV92" s="617"/>
      <c r="BW92" s="617"/>
      <c r="BX92" s="617"/>
      <c r="BY92" s="617"/>
      <c r="BZ92" s="617"/>
      <c r="CA92" s="617"/>
      <c r="CB92" s="617"/>
      <c r="CC92" s="617"/>
      <c r="CD92" s="617"/>
      <c r="CE92" s="617"/>
      <c r="CF92" s="617"/>
      <c r="CG92" s="617"/>
      <c r="CH92" s="617"/>
      <c r="CI92" s="617"/>
      <c r="CJ92" s="617"/>
    </row>
    <row r="93" spans="1:88">
      <c r="A93" s="151">
        <f t="shared" ca="1" si="3"/>
        <v>3</v>
      </c>
      <c r="B93" s="784">
        <f t="shared" si="4"/>
        <v>0</v>
      </c>
      <c r="C93" s="944">
        <f t="shared" si="13"/>
        <v>0</v>
      </c>
      <c r="D93" s="947">
        <f t="shared" si="5"/>
        <v>0</v>
      </c>
      <c r="E93" s="947">
        <f t="shared" si="20"/>
        <v>0</v>
      </c>
      <c r="F93" s="947">
        <f t="shared" si="21"/>
        <v>0</v>
      </c>
      <c r="G93" s="947">
        <f>IF(M92&lt;0.01,0,IF($F$19=$U$4,$G$19,IF(AND($F$21=1,$F$19=$U$2),M92*Adm!$U$4,IF(AND($F$21=2,$F$19=$U$2),M92*Adm!$U$5,IF(AND($F$21=1,$F$19=$U$3),M92*Adm!$V$4,IF(AND($F$21=2,$F$19=$U$3),M92*Adm!$V$5,0))))))</f>
        <v>0</v>
      </c>
      <c r="H93" s="947">
        <f>IF(M92&lt;0.01,0,IF($F$20=$V$3,0,IF(OR($F$10=$T$16,$F$10=$T$17),0,IF($F$10=$T$13,0,$F$11*Adm!$AA$3))))</f>
        <v>0</v>
      </c>
      <c r="I93" s="947">
        <f t="shared" si="14"/>
        <v>0</v>
      </c>
      <c r="J93" s="947">
        <f t="shared" si="0"/>
        <v>0</v>
      </c>
      <c r="K93" s="947">
        <f t="shared" si="8"/>
        <v>0</v>
      </c>
      <c r="L93" s="947">
        <f t="shared" si="1"/>
        <v>0</v>
      </c>
      <c r="M93" s="947">
        <f t="shared" si="9"/>
        <v>0</v>
      </c>
      <c r="N93" s="946"/>
      <c r="P93" s="733"/>
      <c r="Q93" s="733"/>
      <c r="R93" s="733"/>
      <c r="S93" s="785">
        <f t="shared" si="10"/>
        <v>4</v>
      </c>
      <c r="T93" s="786">
        <f t="shared" si="15"/>
        <v>0</v>
      </c>
      <c r="W93" s="790">
        <f t="shared" si="16"/>
        <v>0</v>
      </c>
      <c r="X93" s="818">
        <f t="shared" ca="1" si="11"/>
        <v>0</v>
      </c>
      <c r="Z93" s="843">
        <f t="shared" si="17"/>
        <v>0</v>
      </c>
      <c r="AA93" s="792">
        <f t="shared" si="18"/>
        <v>0</v>
      </c>
      <c r="AB93" s="792">
        <f t="shared" si="19"/>
        <v>0</v>
      </c>
      <c r="AC93" s="789">
        <f t="shared" si="12"/>
        <v>0</v>
      </c>
      <c r="AD93" s="789">
        <f t="shared" si="2"/>
        <v>0</v>
      </c>
      <c r="AE93" s="828" t="e">
        <f>HLOOKUP($AE$39,anticipado,53,0)</f>
        <v>#N/A</v>
      </c>
      <c r="AF93" s="827"/>
      <c r="AG93" s="614">
        <v>3.0025484666745439E-3</v>
      </c>
      <c r="AH93" s="615">
        <v>2.8314560644960448E-3</v>
      </c>
      <c r="AI93" s="616">
        <v>2.7009941642204441E-3</v>
      </c>
      <c r="AJ93" s="616">
        <v>3.0855741074112906E-3</v>
      </c>
      <c r="AK93" s="617">
        <v>3.0025484666745439E-3</v>
      </c>
      <c r="AL93" s="617">
        <v>2.8314560644960448E-3</v>
      </c>
      <c r="AM93" s="617">
        <v>3.2334970392402947E-3</v>
      </c>
      <c r="AN93" s="617">
        <v>3.1183913012512565E-3</v>
      </c>
      <c r="AO93" s="617">
        <v>3.0358901266588885E-3</v>
      </c>
      <c r="AP93" s="617">
        <v>3.3558742476552713E-3</v>
      </c>
      <c r="AQ93" s="617">
        <v>3.2334970392402947E-3</v>
      </c>
      <c r="AR93" s="618">
        <v>3.1104092740892671E-3</v>
      </c>
      <c r="AS93" s="618">
        <v>1.4193730939341053E-3</v>
      </c>
      <c r="AT93" s="618">
        <v>1.3409766573277096E-3</v>
      </c>
      <c r="AU93" s="618">
        <v>1.2091974150541963E-3</v>
      </c>
      <c r="AV93" s="618">
        <v>1.5470352031147945E-3</v>
      </c>
      <c r="AW93" s="618">
        <v>1.4193730939341053E-3</v>
      </c>
      <c r="AX93" s="618">
        <v>1.3072454952777863E-3</v>
      </c>
      <c r="AY93" s="618">
        <v>1.6329006191295418E-3</v>
      </c>
      <c r="AZ93" s="618">
        <v>1.5628924157292583E-3</v>
      </c>
      <c r="BA93" s="618">
        <v>1.4210410918863523E-3</v>
      </c>
      <c r="BB93" s="618">
        <v>1.7390134319999943E-3</v>
      </c>
      <c r="BC93" s="617">
        <v>1.6767624678207661E-3</v>
      </c>
      <c r="BD93" s="617">
        <v>1.576608231666758E-3</v>
      </c>
      <c r="BE93" s="617">
        <v>3.1675551753465813E-3</v>
      </c>
      <c r="BF93" s="617">
        <v>2.8179406112327434E-3</v>
      </c>
      <c r="BG93" s="617">
        <v>1.8256393584766639E-3</v>
      </c>
      <c r="BH93" s="617">
        <v>1.6483601302054805E-3</v>
      </c>
      <c r="BI93" s="617"/>
      <c r="BJ93" s="617"/>
      <c r="BK93" s="617"/>
      <c r="BL93" s="617"/>
      <c r="BM93" s="617"/>
      <c r="BN93" s="617"/>
      <c r="BO93" s="617"/>
      <c r="BP93" s="617"/>
      <c r="BQ93" s="617"/>
      <c r="BR93" s="617"/>
      <c r="BS93" s="617"/>
      <c r="BT93" s="617"/>
      <c r="BU93" s="617"/>
      <c r="BV93" s="617"/>
      <c r="BW93" s="617"/>
      <c r="BX93" s="617"/>
      <c r="BY93" s="617"/>
      <c r="BZ93" s="617"/>
      <c r="CA93" s="617"/>
      <c r="CB93" s="617"/>
      <c r="CC93" s="617"/>
      <c r="CD93" s="617"/>
      <c r="CE93" s="617"/>
      <c r="CF93" s="617"/>
      <c r="CG93" s="617"/>
      <c r="CH93" s="617"/>
      <c r="CI93" s="617"/>
      <c r="CJ93" s="617"/>
    </row>
    <row r="94" spans="1:88">
      <c r="A94" s="151">
        <f t="shared" ca="1" si="3"/>
        <v>4</v>
      </c>
      <c r="B94" s="784">
        <f t="shared" si="4"/>
        <v>0</v>
      </c>
      <c r="C94" s="944">
        <f t="shared" si="13"/>
        <v>0</v>
      </c>
      <c r="D94" s="947">
        <f t="shared" si="5"/>
        <v>0</v>
      </c>
      <c r="E94" s="947">
        <f t="shared" si="20"/>
        <v>0</v>
      </c>
      <c r="F94" s="947">
        <f t="shared" si="21"/>
        <v>0</v>
      </c>
      <c r="G94" s="947">
        <f>IF(M93&lt;0.01,0,IF($F$19=$U$4,$G$19,IF(AND($F$21=1,$F$19=$U$2),M93*Adm!$U$4,IF(AND($F$21=2,$F$19=$U$2),M93*Adm!$U$5,IF(AND($F$21=1,$F$19=$U$3),M93*Adm!$V$4,IF(AND($F$21=2,$F$19=$U$3),M93*Adm!$V$5,0))))))</f>
        <v>0</v>
      </c>
      <c r="H94" s="947">
        <f>IF(M93&lt;0.01,0,IF($F$20=$V$3,0,IF(OR($F$10=$T$16,$F$10=$T$17),0,IF($F$10=$T$13,0,$F$11*Adm!$AA$3))))</f>
        <v>0</v>
      </c>
      <c r="I94" s="947">
        <f t="shared" si="14"/>
        <v>0</v>
      </c>
      <c r="J94" s="947">
        <f t="shared" si="0"/>
        <v>0</v>
      </c>
      <c r="K94" s="947">
        <f t="shared" si="8"/>
        <v>0</v>
      </c>
      <c r="L94" s="947">
        <f t="shared" si="1"/>
        <v>0</v>
      </c>
      <c r="M94" s="947">
        <f t="shared" si="9"/>
        <v>0</v>
      </c>
      <c r="N94" s="946"/>
      <c r="P94" s="733"/>
      <c r="Q94" s="733"/>
      <c r="R94" s="733"/>
      <c r="S94" s="785">
        <f t="shared" si="10"/>
        <v>5</v>
      </c>
      <c r="T94" s="786">
        <f t="shared" si="15"/>
        <v>0</v>
      </c>
      <c r="W94" s="790">
        <f t="shared" si="16"/>
        <v>0</v>
      </c>
      <c r="X94" s="818">
        <f t="shared" ca="1" si="11"/>
        <v>0</v>
      </c>
      <c r="Z94" s="843">
        <f t="shared" si="17"/>
        <v>0</v>
      </c>
      <c r="AA94" s="792">
        <f t="shared" si="18"/>
        <v>0</v>
      </c>
      <c r="AB94" s="792">
        <f t="shared" si="19"/>
        <v>0</v>
      </c>
      <c r="AC94" s="789">
        <f t="shared" si="12"/>
        <v>0</v>
      </c>
      <c r="AD94" s="789">
        <f t="shared" si="2"/>
        <v>0</v>
      </c>
      <c r="AE94" s="828" t="e">
        <f>HLOOKUP($AE$39,anticipado,54,0)</f>
        <v>#N/A</v>
      </c>
      <c r="AF94" s="827"/>
      <c r="AG94" s="614">
        <v>3.0375658859930228E-3</v>
      </c>
      <c r="AH94" s="615">
        <v>2.865264398538975E-3</v>
      </c>
      <c r="AI94" s="616">
        <v>2.7337899683996694E-3</v>
      </c>
      <c r="AJ94" s="616">
        <v>3.1208912530980965E-3</v>
      </c>
      <c r="AK94" s="617">
        <v>3.0375658859930228E-3</v>
      </c>
      <c r="AL94" s="617">
        <v>2.865264398538975E-3</v>
      </c>
      <c r="AM94" s="617">
        <v>3.2696680193274076E-3</v>
      </c>
      <c r="AN94" s="617">
        <v>3.1540575615267986E-3</v>
      </c>
      <c r="AO94" s="617">
        <v>3.0712722286145096E-3</v>
      </c>
      <c r="AP94" s="617">
        <v>3.3928487625821823E-3</v>
      </c>
      <c r="AQ94" s="617">
        <v>3.2696680193274076E-3</v>
      </c>
      <c r="AR94" s="618">
        <v>3.1458290463637281E-3</v>
      </c>
      <c r="AS94" s="618">
        <v>1.4342896969663382E-3</v>
      </c>
      <c r="AT94" s="618">
        <v>1.3554105866698874E-3</v>
      </c>
      <c r="AU94" s="618">
        <v>1.2226569797677916E-3</v>
      </c>
      <c r="AV94" s="618">
        <v>1.562796082296262E-3</v>
      </c>
      <c r="AW94" s="618">
        <v>1.4342896969663382E-3</v>
      </c>
      <c r="AX94" s="618">
        <v>1.3213808028725669E-3</v>
      </c>
      <c r="AY94" s="618">
        <v>1.6491193272284482E-3</v>
      </c>
      <c r="AZ94" s="618">
        <v>1.5787746972981537E-3</v>
      </c>
      <c r="BA94" s="618">
        <v>1.4360369173096799E-3</v>
      </c>
      <c r="BB94" s="618">
        <v>1.7558340406510487E-3</v>
      </c>
      <c r="BC94" s="617">
        <v>1.693211303014229E-3</v>
      </c>
      <c r="BD94" s="617">
        <v>1.5925201820640635E-3</v>
      </c>
      <c r="BE94" s="617">
        <v>3.2034121495863347E-3</v>
      </c>
      <c r="BF94" s="617">
        <v>2.8516666637733619E-3</v>
      </c>
      <c r="BG94" s="617">
        <v>1.8429243738566586E-3</v>
      </c>
      <c r="BH94" s="617">
        <v>1.6646893725361224E-3</v>
      </c>
      <c r="BI94" s="617"/>
      <c r="BJ94" s="617"/>
      <c r="BK94" s="617"/>
      <c r="BL94" s="617"/>
      <c r="BM94" s="617"/>
      <c r="BN94" s="617"/>
      <c r="BO94" s="617"/>
      <c r="BP94" s="617"/>
      <c r="BQ94" s="617"/>
      <c r="BR94" s="617"/>
      <c r="BS94" s="617"/>
      <c r="BT94" s="617"/>
      <c r="BU94" s="617"/>
      <c r="BV94" s="617"/>
      <c r="BW94" s="617"/>
      <c r="BX94" s="617"/>
      <c r="BY94" s="617"/>
      <c r="BZ94" s="617"/>
      <c r="CA94" s="617"/>
      <c r="CB94" s="617"/>
      <c r="CC94" s="617"/>
      <c r="CD94" s="617"/>
      <c r="CE94" s="617"/>
      <c r="CF94" s="617"/>
      <c r="CG94" s="617"/>
      <c r="CH94" s="617"/>
      <c r="CI94" s="617"/>
      <c r="CJ94" s="617"/>
    </row>
    <row r="95" spans="1:88">
      <c r="A95" s="151">
        <f t="shared" ca="1" si="3"/>
        <v>5</v>
      </c>
      <c r="B95" s="784">
        <f t="shared" si="4"/>
        <v>0</v>
      </c>
      <c r="C95" s="944">
        <f t="shared" si="13"/>
        <v>0</v>
      </c>
      <c r="D95" s="947">
        <f t="shared" si="5"/>
        <v>0</v>
      </c>
      <c r="E95" s="947">
        <f t="shared" si="20"/>
        <v>0</v>
      </c>
      <c r="F95" s="947">
        <f t="shared" si="21"/>
        <v>0</v>
      </c>
      <c r="G95" s="947">
        <f>IF(M94&lt;0.01,0,IF($F$19=$U$4,$G$19,IF(AND($F$21=1,$F$19=$U$2),M94*Adm!$U$4,IF(AND($F$21=2,$F$19=$U$2),M94*Adm!$U$5,IF(AND($F$21=1,$F$19=$U$3),M94*Adm!$V$4,IF(AND($F$21=2,$F$19=$U$3),M94*Adm!$V$5,0))))))</f>
        <v>0</v>
      </c>
      <c r="H95" s="947">
        <f>IF(M94&lt;0.01,0,IF($F$20=$V$3,0,IF(OR($F$10=$T$16,$F$10=$T$17),0,IF($F$10=$T$13,0,$F$11*Adm!$AA$3))))</f>
        <v>0</v>
      </c>
      <c r="I95" s="947">
        <f t="shared" si="14"/>
        <v>0</v>
      </c>
      <c r="J95" s="947">
        <f t="shared" si="0"/>
        <v>0</v>
      </c>
      <c r="K95" s="947">
        <f t="shared" si="8"/>
        <v>0</v>
      </c>
      <c r="L95" s="947">
        <f t="shared" si="1"/>
        <v>0</v>
      </c>
      <c r="M95" s="947">
        <f t="shared" si="9"/>
        <v>0</v>
      </c>
      <c r="N95" s="946"/>
      <c r="P95" s="733"/>
      <c r="Q95" s="733"/>
      <c r="R95" s="733"/>
      <c r="S95" s="785">
        <f t="shared" si="10"/>
        <v>6</v>
      </c>
      <c r="T95" s="786">
        <f t="shared" si="15"/>
        <v>0</v>
      </c>
      <c r="W95" s="790">
        <f t="shared" si="16"/>
        <v>0</v>
      </c>
      <c r="X95" s="818">
        <f t="shared" ca="1" si="11"/>
        <v>0</v>
      </c>
      <c r="Z95" s="843">
        <f t="shared" si="17"/>
        <v>0</v>
      </c>
      <c r="AA95" s="792">
        <f t="shared" si="18"/>
        <v>0</v>
      </c>
      <c r="AB95" s="792">
        <f t="shared" si="19"/>
        <v>0</v>
      </c>
      <c r="AC95" s="789">
        <f t="shared" si="12"/>
        <v>0</v>
      </c>
      <c r="AD95" s="789">
        <f t="shared" si="2"/>
        <v>0</v>
      </c>
      <c r="AE95" s="828" t="e">
        <f>HLOOKUP($AE$39,anticipado,55,0)</f>
        <v>#N/A</v>
      </c>
      <c r="AF95" s="827"/>
      <c r="AG95" s="614">
        <v>3.0730996343733422E-3</v>
      </c>
      <c r="AH95" s="615">
        <v>2.8995747211752014E-3</v>
      </c>
      <c r="AI95" s="616">
        <v>2.7670749775009981E-3</v>
      </c>
      <c r="AJ95" s="616">
        <v>3.1567244665562546E-3</v>
      </c>
      <c r="AK95" s="617">
        <v>3.0730996343733422E-3</v>
      </c>
      <c r="AL95" s="617">
        <v>2.8995747211752014E-3</v>
      </c>
      <c r="AM95" s="617">
        <v>3.3063636024783754E-3</v>
      </c>
      <c r="AN95" s="617">
        <v>3.1902458908365685E-3</v>
      </c>
      <c r="AO95" s="617">
        <v>3.1071769682420713E-3</v>
      </c>
      <c r="AP95" s="617">
        <v>3.4303579200210287E-3</v>
      </c>
      <c r="AQ95" s="617">
        <v>3.3063636024783754E-3</v>
      </c>
      <c r="AR95" s="618">
        <v>3.1817652101710403E-3</v>
      </c>
      <c r="AS95" s="618">
        <v>1.4493847135278609E-3</v>
      </c>
      <c r="AT95" s="618">
        <v>1.3700196804516359E-3</v>
      </c>
      <c r="AU95" s="618">
        <v>1.2362830227423808E-3</v>
      </c>
      <c r="AV95" s="618">
        <v>1.5787424510234809E-3</v>
      </c>
      <c r="AW95" s="618">
        <v>1.4493847135278609E-3</v>
      </c>
      <c r="AX95" s="618">
        <v>1.3356878612917056E-3</v>
      </c>
      <c r="AY95" s="618">
        <v>1.6655261837419369E-3</v>
      </c>
      <c r="AZ95" s="618">
        <v>1.5948437457352063E-3</v>
      </c>
      <c r="BA95" s="618">
        <v>1.4512127823361255E-3</v>
      </c>
      <c r="BB95" s="618">
        <v>1.7728472189688089E-3</v>
      </c>
      <c r="BC95" s="617">
        <v>1.7098496715473482E-3</v>
      </c>
      <c r="BD95" s="617">
        <v>1.6086183608164484E-3</v>
      </c>
      <c r="BE95" s="617">
        <v>3.2397915658646968E-3</v>
      </c>
      <c r="BF95" s="617">
        <v>2.8858939658089095E-3</v>
      </c>
      <c r="BG95" s="617">
        <v>1.8604052584032774E-3</v>
      </c>
      <c r="BH95" s="617">
        <v>1.681207876332864E-3</v>
      </c>
      <c r="BI95" s="617"/>
      <c r="BJ95" s="617"/>
      <c r="BK95" s="617"/>
      <c r="BL95" s="617"/>
      <c r="BM95" s="617"/>
      <c r="BN95" s="617"/>
      <c r="BO95" s="617"/>
      <c r="BP95" s="617"/>
      <c r="BQ95" s="617"/>
      <c r="BR95" s="617"/>
      <c r="BS95" s="617"/>
      <c r="BT95" s="617"/>
      <c r="BU95" s="617"/>
      <c r="BV95" s="617"/>
      <c r="BW95" s="617"/>
      <c r="BX95" s="617"/>
      <c r="BY95" s="617"/>
      <c r="BZ95" s="617"/>
      <c r="CA95" s="617"/>
      <c r="CB95" s="617"/>
      <c r="CC95" s="617"/>
      <c r="CD95" s="617"/>
      <c r="CE95" s="617"/>
      <c r="CF95" s="617"/>
      <c r="CG95" s="617"/>
      <c r="CH95" s="617"/>
      <c r="CI95" s="617"/>
      <c r="CJ95" s="617"/>
    </row>
    <row r="96" spans="1:88">
      <c r="A96" s="151">
        <f t="shared" ca="1" si="3"/>
        <v>6</v>
      </c>
      <c r="B96" s="784">
        <f t="shared" si="4"/>
        <v>0</v>
      </c>
      <c r="C96" s="944">
        <f t="shared" si="13"/>
        <v>0</v>
      </c>
      <c r="D96" s="947">
        <f t="shared" si="5"/>
        <v>0</v>
      </c>
      <c r="E96" s="947">
        <f t="shared" si="20"/>
        <v>0</v>
      </c>
      <c r="F96" s="947">
        <f t="shared" si="21"/>
        <v>0</v>
      </c>
      <c r="G96" s="947">
        <f>IF(M95&lt;0.01,0,IF($F$19=$U$4,$G$19,IF(AND($F$21=1,$F$19=$U$2),M95*Adm!$U$4,IF(AND($F$21=2,$F$19=$U$2),M95*Adm!$U$5,IF(AND($F$21=1,$F$19=$U$3),M95*Adm!$V$4,IF(AND($F$21=2,$F$19=$U$3),M95*Adm!$V$5,0))))))</f>
        <v>0</v>
      </c>
      <c r="H96" s="947">
        <f>IF(M95&lt;0.01,0,IF($F$20=$V$3,0,IF(OR($F$10=$T$16,$F$10=$T$17),0,IF($F$10=$T$13,0,$F$11*Adm!$AA$3))))</f>
        <v>0</v>
      </c>
      <c r="I96" s="947">
        <f t="shared" si="14"/>
        <v>0</v>
      </c>
      <c r="J96" s="947">
        <f t="shared" si="0"/>
        <v>0</v>
      </c>
      <c r="K96" s="947">
        <f t="shared" si="8"/>
        <v>0</v>
      </c>
      <c r="L96" s="947">
        <f t="shared" si="1"/>
        <v>0</v>
      </c>
      <c r="M96" s="947">
        <f t="shared" si="9"/>
        <v>0</v>
      </c>
      <c r="N96" s="946"/>
      <c r="P96" s="733"/>
      <c r="Q96" s="733"/>
      <c r="R96" s="733"/>
      <c r="S96" s="785">
        <f t="shared" si="10"/>
        <v>7</v>
      </c>
      <c r="T96" s="786">
        <f t="shared" si="15"/>
        <v>0</v>
      </c>
      <c r="W96" s="790">
        <f t="shared" si="16"/>
        <v>0</v>
      </c>
      <c r="X96" s="818">
        <f t="shared" ca="1" si="11"/>
        <v>0</v>
      </c>
      <c r="Z96" s="843">
        <f t="shared" si="17"/>
        <v>0</v>
      </c>
      <c r="AA96" s="792">
        <f t="shared" si="18"/>
        <v>0</v>
      </c>
      <c r="AB96" s="792">
        <f t="shared" si="19"/>
        <v>0</v>
      </c>
      <c r="AC96" s="789">
        <f t="shared" si="12"/>
        <v>0</v>
      </c>
      <c r="AD96" s="789">
        <f t="shared" si="2"/>
        <v>0</v>
      </c>
      <c r="AE96" s="828" t="e">
        <f>HLOOKUP($AE$39,anticipado,56,0)</f>
        <v>#N/A</v>
      </c>
      <c r="AF96" s="827"/>
      <c r="AG96" s="614">
        <v>3.1091598768004155E-3</v>
      </c>
      <c r="AH96" s="615">
        <v>2.9343968647407665E-3</v>
      </c>
      <c r="AI96" s="616">
        <v>2.8008587273476116E-3</v>
      </c>
      <c r="AJ96" s="616">
        <v>3.1930838837599665E-3</v>
      </c>
      <c r="AK96" s="617">
        <v>3.1091598768004155E-3</v>
      </c>
      <c r="AL96" s="617">
        <v>2.9343968647407665E-3</v>
      </c>
      <c r="AM96" s="617">
        <v>3.3435941188941672E-3</v>
      </c>
      <c r="AN96" s="617">
        <v>3.2269665778304549E-3</v>
      </c>
      <c r="AO96" s="617">
        <v>3.1436146709888733E-3</v>
      </c>
      <c r="AP96" s="617">
        <v>3.4684122947463716E-3</v>
      </c>
      <c r="AQ96" s="617">
        <v>3.3435941188941672E-3</v>
      </c>
      <c r="AR96" s="618">
        <v>3.2182279040283068E-3</v>
      </c>
      <c r="AS96" s="618">
        <v>1.464660736685382E-3</v>
      </c>
      <c r="AT96" s="618">
        <v>1.3848064944295378E-3</v>
      </c>
      <c r="AU96" s="618">
        <v>1.2500779772063773E-3</v>
      </c>
      <c r="AV96" s="618">
        <v>1.5948770046950308E-3</v>
      </c>
      <c r="AW96" s="618">
        <v>1.464660736685382E-3</v>
      </c>
      <c r="AX96" s="618">
        <v>1.350169169812608E-3</v>
      </c>
      <c r="AY96" s="618">
        <v>1.6821239137198654E-3</v>
      </c>
      <c r="AZ96" s="618">
        <v>1.611102277610621E-3</v>
      </c>
      <c r="BA96" s="618">
        <v>1.4665713125700992E-3</v>
      </c>
      <c r="BB96" s="618">
        <v>1.7900557548190413E-3</v>
      </c>
      <c r="BC96" s="617">
        <v>1.7266803151511358E-3</v>
      </c>
      <c r="BD96" s="617">
        <v>1.6249054696564679E-3</v>
      </c>
      <c r="BE96" s="617">
        <v>3.2767037111214267E-3</v>
      </c>
      <c r="BF96" s="617">
        <v>2.9206323343606115E-3</v>
      </c>
      <c r="BG96" s="617">
        <v>1.8780848474244786E-3</v>
      </c>
      <c r="BH96" s="617">
        <v>1.6979183850092221E-3</v>
      </c>
      <c r="BI96" s="617"/>
      <c r="BJ96" s="617"/>
      <c r="BK96" s="617"/>
      <c r="BL96" s="617"/>
      <c r="BM96" s="617"/>
      <c r="BN96" s="617"/>
      <c r="BO96" s="617"/>
      <c r="BP96" s="617"/>
      <c r="BQ96" s="617"/>
      <c r="BR96" s="617"/>
      <c r="BS96" s="617"/>
      <c r="BT96" s="617"/>
      <c r="BU96" s="617"/>
      <c r="BV96" s="617"/>
      <c r="BW96" s="617"/>
      <c r="BX96" s="617"/>
      <c r="BY96" s="617"/>
      <c r="BZ96" s="617"/>
      <c r="CA96" s="617"/>
      <c r="CB96" s="617"/>
      <c r="CC96" s="617"/>
      <c r="CD96" s="617"/>
      <c r="CE96" s="617"/>
      <c r="CF96" s="617"/>
      <c r="CG96" s="617"/>
      <c r="CH96" s="617"/>
      <c r="CI96" s="617"/>
      <c r="CJ96" s="617"/>
    </row>
    <row r="97" spans="1:88">
      <c r="A97" s="151">
        <f t="shared" ca="1" si="3"/>
        <v>7</v>
      </c>
      <c r="B97" s="784">
        <f t="shared" si="4"/>
        <v>0</v>
      </c>
      <c r="C97" s="944">
        <f t="shared" si="13"/>
        <v>0</v>
      </c>
      <c r="D97" s="947">
        <f t="shared" si="5"/>
        <v>0</v>
      </c>
      <c r="E97" s="947">
        <f t="shared" si="20"/>
        <v>0</v>
      </c>
      <c r="F97" s="947">
        <f t="shared" si="21"/>
        <v>0</v>
      </c>
      <c r="G97" s="947">
        <f>IF(M96&lt;0.01,0,IF($F$19=$U$4,$G$19,IF(AND($F$21=1,$F$19=$U$2),M96*Adm!$U$4,IF(AND($F$21=2,$F$19=$U$2),M96*Adm!$U$5,IF(AND($F$21=1,$F$19=$U$3),M96*Adm!$V$4,IF(AND($F$21=2,$F$19=$U$3),M96*Adm!$V$5,0))))))</f>
        <v>0</v>
      </c>
      <c r="H97" s="947">
        <f>IF(M96&lt;0.01,0,IF($F$20=$V$3,0,IF(OR($F$10=$T$16,$F$10=$T$17),0,IF($F$10=$T$13,0,$F$11*Adm!$AA$3))))</f>
        <v>0</v>
      </c>
      <c r="I97" s="947">
        <f t="shared" si="14"/>
        <v>0</v>
      </c>
      <c r="J97" s="947">
        <f t="shared" si="0"/>
        <v>0</v>
      </c>
      <c r="K97" s="947">
        <f t="shared" si="8"/>
        <v>0</v>
      </c>
      <c r="L97" s="947">
        <f t="shared" si="1"/>
        <v>0</v>
      </c>
      <c r="M97" s="947">
        <f t="shared" si="9"/>
        <v>0</v>
      </c>
      <c r="N97" s="946"/>
      <c r="P97" s="733"/>
      <c r="Q97" s="733"/>
      <c r="R97" s="733"/>
      <c r="S97" s="785">
        <f t="shared" si="10"/>
        <v>8</v>
      </c>
      <c r="T97" s="786">
        <f t="shared" si="15"/>
        <v>0</v>
      </c>
      <c r="W97" s="790">
        <f t="shared" si="16"/>
        <v>0</v>
      </c>
      <c r="X97" s="818">
        <f t="shared" ca="1" si="11"/>
        <v>0</v>
      </c>
      <c r="Z97" s="843">
        <f t="shared" si="17"/>
        <v>0</v>
      </c>
      <c r="AA97" s="792">
        <f t="shared" si="18"/>
        <v>0</v>
      </c>
      <c r="AB97" s="792">
        <f t="shared" si="19"/>
        <v>0</v>
      </c>
      <c r="AC97" s="789">
        <f t="shared" si="12"/>
        <v>0</v>
      </c>
      <c r="AD97" s="789">
        <f t="shared" si="2"/>
        <v>0</v>
      </c>
      <c r="AE97" s="828" t="e">
        <f>HLOOKUP($AE$39,anticipado,57,0)</f>
        <v>#N/A</v>
      </c>
      <c r="AF97" s="827"/>
      <c r="AG97" s="614">
        <v>3.1457570423159514E-3</v>
      </c>
      <c r="AH97" s="615">
        <v>2.9697409147175276E-3</v>
      </c>
      <c r="AI97" s="616">
        <v>2.8351509972881768E-3</v>
      </c>
      <c r="AJ97" s="616">
        <v>3.2299799038681765E-3</v>
      </c>
      <c r="AK97" s="617">
        <v>3.1457570423159514E-3</v>
      </c>
      <c r="AL97" s="617">
        <v>2.9697409147175276E-3</v>
      </c>
      <c r="AM97" s="617">
        <v>3.3813701684109829E-3</v>
      </c>
      <c r="AN97" s="617">
        <v>3.2642301793412306E-3</v>
      </c>
      <c r="AO97" s="617">
        <v>3.1805959316146392E-3</v>
      </c>
      <c r="AP97" s="617">
        <v>3.5070227392806894E-3</v>
      </c>
      <c r="AQ97" s="617">
        <v>3.3813701684109829E-3</v>
      </c>
      <c r="AR97" s="618">
        <v>3.2552275297408461E-3</v>
      </c>
      <c r="AS97" s="618">
        <v>1.4801204071166723E-3</v>
      </c>
      <c r="AT97" s="618">
        <v>1.3997736311464381E-3</v>
      </c>
      <c r="AU97" s="618">
        <v>1.2640443204644236E-3</v>
      </c>
      <c r="AV97" s="618">
        <v>1.611202488659596E-3</v>
      </c>
      <c r="AW97" s="618">
        <v>1.4801204071166723E-3</v>
      </c>
      <c r="AX97" s="618">
        <v>1.3648272732225042E-3</v>
      </c>
      <c r="AY97" s="618">
        <v>1.6989152928466604E-3</v>
      </c>
      <c r="AZ97" s="618">
        <v>1.6275530599352383E-3</v>
      </c>
      <c r="BA97" s="618">
        <v>1.4821151819775092E-3</v>
      </c>
      <c r="BB97" s="618">
        <v>1.8074624881732654E-3</v>
      </c>
      <c r="BC97" s="617">
        <v>1.7437060265806188E-3</v>
      </c>
      <c r="BD97" s="617">
        <v>1.6413842604110984E-3</v>
      </c>
      <c r="BE97" s="617">
        <v>3.3141591404648378E-3</v>
      </c>
      <c r="BF97" s="617">
        <v>2.9558918390909898E-3</v>
      </c>
      <c r="BG97" s="617">
        <v>1.8959660294572448E-3</v>
      </c>
      <c r="BH97" s="617">
        <v>1.7148236930411365E-3</v>
      </c>
      <c r="BI97" s="617"/>
      <c r="BJ97" s="617"/>
      <c r="BK97" s="617"/>
      <c r="BL97" s="617"/>
      <c r="BM97" s="617"/>
      <c r="BN97" s="617"/>
      <c r="BO97" s="617"/>
      <c r="BP97" s="617"/>
      <c r="BQ97" s="617"/>
      <c r="BR97" s="617"/>
      <c r="BS97" s="617"/>
      <c r="BT97" s="617"/>
      <c r="BU97" s="617"/>
      <c r="BV97" s="617"/>
      <c r="BW97" s="617"/>
      <c r="BX97" s="617"/>
      <c r="BY97" s="617"/>
      <c r="BZ97" s="617"/>
      <c r="CA97" s="617"/>
      <c r="CB97" s="617"/>
      <c r="CC97" s="617"/>
      <c r="CD97" s="617"/>
      <c r="CE97" s="617"/>
      <c r="CF97" s="617"/>
      <c r="CG97" s="617"/>
      <c r="CH97" s="617"/>
      <c r="CI97" s="617"/>
      <c r="CJ97" s="617"/>
    </row>
    <row r="98" spans="1:88">
      <c r="A98" s="151">
        <f t="shared" ca="1" si="3"/>
        <v>8</v>
      </c>
      <c r="B98" s="784">
        <f t="shared" si="4"/>
        <v>0</v>
      </c>
      <c r="C98" s="944">
        <f t="shared" si="13"/>
        <v>0</v>
      </c>
      <c r="D98" s="947">
        <f t="shared" si="5"/>
        <v>0</v>
      </c>
      <c r="E98" s="947">
        <f t="shared" si="20"/>
        <v>0</v>
      </c>
      <c r="F98" s="947">
        <f t="shared" si="21"/>
        <v>0</v>
      </c>
      <c r="G98" s="947">
        <f>IF(M97&lt;0.01,0,IF($F$19=$U$4,$G$19,IF(AND($F$21=1,$F$19=$U$2),M97*Adm!$U$4,IF(AND($F$21=2,$F$19=$U$2),M97*Adm!$U$5,IF(AND($F$21=1,$F$19=$U$3),M97*Adm!$V$4,IF(AND($F$21=2,$F$19=$U$3),M97*Adm!$V$5,0))))))</f>
        <v>0</v>
      </c>
      <c r="H98" s="947">
        <f>IF(M97&lt;0.01,0,IF($F$20=$V$3,0,IF(OR($F$10=$T$16,$F$10=$T$17),0,IF($F$10=$T$13,0,$F$11*Adm!$AA$3))))</f>
        <v>0</v>
      </c>
      <c r="I98" s="947">
        <f t="shared" si="14"/>
        <v>0</v>
      </c>
      <c r="J98" s="947">
        <f t="shared" si="0"/>
        <v>0</v>
      </c>
      <c r="K98" s="947">
        <f t="shared" si="8"/>
        <v>0</v>
      </c>
      <c r="L98" s="947">
        <f t="shared" si="1"/>
        <v>0</v>
      </c>
      <c r="M98" s="947">
        <f t="shared" si="9"/>
        <v>0</v>
      </c>
      <c r="N98" s="946"/>
      <c r="P98" s="733"/>
      <c r="Q98" s="733"/>
      <c r="R98" s="733"/>
      <c r="S98" s="785">
        <f t="shared" si="10"/>
        <v>9</v>
      </c>
      <c r="T98" s="786">
        <f t="shared" si="15"/>
        <v>0</v>
      </c>
      <c r="W98" s="790">
        <f t="shared" si="16"/>
        <v>0</v>
      </c>
      <c r="X98" s="818">
        <f t="shared" ca="1" si="11"/>
        <v>0</v>
      </c>
      <c r="Z98" s="843">
        <f t="shared" si="17"/>
        <v>0</v>
      </c>
      <c r="AA98" s="792">
        <f t="shared" si="18"/>
        <v>0</v>
      </c>
      <c r="AB98" s="792">
        <f t="shared" si="19"/>
        <v>0</v>
      </c>
      <c r="AC98" s="789">
        <f t="shared" si="12"/>
        <v>0</v>
      </c>
      <c r="AD98" s="789">
        <f t="shared" si="2"/>
        <v>0</v>
      </c>
      <c r="AE98" s="828" t="e">
        <f>HLOOKUP($AE$39,anticipado,58,0)</f>
        <v>#N/A</v>
      </c>
      <c r="AF98" s="827"/>
      <c r="AG98" s="614">
        <v>3.1829018326610197E-3</v>
      </c>
      <c r="AH98" s="615">
        <v>3.0056172179446987E-3</v>
      </c>
      <c r="AI98" s="616">
        <v>2.8699618180315681E-3</v>
      </c>
      <c r="AJ98" s="616">
        <v>3.2674231978343164E-3</v>
      </c>
      <c r="AK98" s="617">
        <v>3.1829018326610197E-3</v>
      </c>
      <c r="AL98" s="617">
        <v>3.0056172179446987E-3</v>
      </c>
      <c r="AM98" s="617">
        <v>3.4197026293666809E-3</v>
      </c>
      <c r="AN98" s="617">
        <v>3.3020475291918481E-3</v>
      </c>
      <c r="AO98" s="617">
        <v>3.2181316230419795E-3</v>
      </c>
      <c r="AP98" s="617">
        <v>3.5462003930842967E-3</v>
      </c>
      <c r="AQ98" s="617">
        <v>3.4197026293666809E-3</v>
      </c>
      <c r="AR98" s="618">
        <v>3.2927747610164227E-3</v>
      </c>
      <c r="AS98" s="618">
        <v>1.4957664142052009E-3</v>
      </c>
      <c r="AT98" s="618">
        <v>1.414923741002211E-3</v>
      </c>
      <c r="AU98" s="618">
        <v>1.2781845748920904E-3</v>
      </c>
      <c r="AV98" s="618">
        <v>1.6277216993771657E-3</v>
      </c>
      <c r="AW98" s="618">
        <v>1.4957664142052009E-3</v>
      </c>
      <c r="AX98" s="618">
        <v>1.3796647628537538E-3</v>
      </c>
      <c r="AY98" s="618">
        <v>1.7159031486226437E-3</v>
      </c>
      <c r="AZ98" s="618">
        <v>1.644198911335636E-3</v>
      </c>
      <c r="BA98" s="618">
        <v>1.4978471140011456E-3</v>
      </c>
      <c r="BB98" s="618">
        <v>1.8250703123324572E-3</v>
      </c>
      <c r="BC98" s="617">
        <v>1.7609296508075286E-3</v>
      </c>
      <c r="BD98" s="617">
        <v>1.6580575361673131E-3</v>
      </c>
      <c r="BE98" s="617">
        <v>3.3521686859792959E-3</v>
      </c>
      <c r="BF98" s="617">
        <v>2.9916828104953946E-3</v>
      </c>
      <c r="BG98" s="617">
        <v>1.914051747523785E-3</v>
      </c>
      <c r="BH98" s="617">
        <v>1.7319266471604428E-3</v>
      </c>
      <c r="BI98" s="617"/>
      <c r="BJ98" s="617"/>
      <c r="BK98" s="617"/>
      <c r="BL98" s="617"/>
      <c r="BM98" s="617"/>
      <c r="BN98" s="617"/>
      <c r="BO98" s="617"/>
      <c r="BP98" s="617"/>
      <c r="BQ98" s="617"/>
      <c r="BR98" s="617"/>
      <c r="BS98" s="617"/>
      <c r="BT98" s="617"/>
      <c r="BU98" s="617"/>
      <c r="BV98" s="617"/>
      <c r="BW98" s="617"/>
      <c r="BX98" s="617"/>
      <c r="BY98" s="617"/>
      <c r="BZ98" s="617"/>
      <c r="CA98" s="617"/>
      <c r="CB98" s="617"/>
      <c r="CC98" s="617"/>
      <c r="CD98" s="617"/>
      <c r="CE98" s="617"/>
      <c r="CF98" s="617"/>
      <c r="CG98" s="617"/>
      <c r="CH98" s="617"/>
      <c r="CI98" s="617"/>
      <c r="CJ98" s="617"/>
    </row>
    <row r="99" spans="1:88">
      <c r="A99" s="151">
        <f t="shared" ca="1" si="3"/>
        <v>9</v>
      </c>
      <c r="B99" s="784">
        <f t="shared" si="4"/>
        <v>0</v>
      </c>
      <c r="C99" s="944">
        <f t="shared" si="13"/>
        <v>0</v>
      </c>
      <c r="D99" s="947">
        <f t="shared" si="5"/>
        <v>0</v>
      </c>
      <c r="E99" s="947">
        <f t="shared" si="20"/>
        <v>0</v>
      </c>
      <c r="F99" s="947">
        <f t="shared" si="21"/>
        <v>0</v>
      </c>
      <c r="G99" s="947">
        <f>IF(M98&lt;0.01,0,IF($F$19=$U$4,$G$19,IF(AND($F$21=1,$F$19=$U$2),M98*Adm!$U$4,IF(AND($F$21=2,$F$19=$U$2),M98*Adm!$U$5,IF(AND($F$21=1,$F$19=$U$3),M98*Adm!$V$4,IF(AND($F$21=2,$F$19=$U$3),M98*Adm!$V$5,0))))))</f>
        <v>0</v>
      </c>
      <c r="H99" s="947">
        <f>IF(M98&lt;0.01,0,IF($F$20=$V$3,0,IF(OR($F$10=$T$16,$F$10=$T$17),0,IF($F$10=$T$13,0,$F$11*Adm!$AA$3))))</f>
        <v>0</v>
      </c>
      <c r="I99" s="947">
        <f t="shared" si="14"/>
        <v>0</v>
      </c>
      <c r="J99" s="947">
        <f t="shared" si="0"/>
        <v>0</v>
      </c>
      <c r="K99" s="947">
        <f t="shared" si="8"/>
        <v>0</v>
      </c>
      <c r="L99" s="947">
        <f t="shared" si="1"/>
        <v>0</v>
      </c>
      <c r="M99" s="947">
        <f t="shared" si="9"/>
        <v>0</v>
      </c>
      <c r="N99" s="946"/>
      <c r="P99" s="733"/>
      <c r="Q99" s="733"/>
      <c r="R99" s="733"/>
      <c r="S99" s="785">
        <f t="shared" si="10"/>
        <v>10</v>
      </c>
      <c r="T99" s="786">
        <f t="shared" si="15"/>
        <v>0</v>
      </c>
      <c r="W99" s="790">
        <f t="shared" si="16"/>
        <v>0</v>
      </c>
      <c r="X99" s="818">
        <f t="shared" ca="1" si="11"/>
        <v>0</v>
      </c>
      <c r="Z99" s="843">
        <f t="shared" si="17"/>
        <v>0</v>
      </c>
      <c r="AA99" s="792">
        <f t="shared" si="18"/>
        <v>0</v>
      </c>
      <c r="AB99" s="792">
        <f t="shared" si="19"/>
        <v>0</v>
      </c>
      <c r="AC99" s="789">
        <f t="shared" si="12"/>
        <v>0</v>
      </c>
      <c r="AD99" s="789">
        <f t="shared" si="2"/>
        <v>0</v>
      </c>
      <c r="AE99" s="828" t="e">
        <f>HLOOKUP($AE$39,anticipado,59,0)</f>
        <v>#N/A</v>
      </c>
      <c r="AF99" s="827"/>
      <c r="AG99" s="614">
        <v>3.2206052312605767E-3</v>
      </c>
      <c r="AH99" s="615">
        <v>3.0420363911524096E-3</v>
      </c>
      <c r="AI99" s="616">
        <v>2.9053014797864045E-3</v>
      </c>
      <c r="AJ99" s="616">
        <v>3.3054247173564728E-3</v>
      </c>
      <c r="AK99" s="617">
        <v>3.2206052312605767E-3</v>
      </c>
      <c r="AL99" s="617">
        <v>3.0420363911524096E-3</v>
      </c>
      <c r="AM99" s="617">
        <v>3.4586026678195777E-3</v>
      </c>
      <c r="AN99" s="617">
        <v>3.3404297473523374E-3</v>
      </c>
      <c r="AO99" s="617">
        <v>3.2562329055584563E-3</v>
      </c>
      <c r="AP99" s="617">
        <v>3.5859566921127169E-3</v>
      </c>
      <c r="AQ99" s="617">
        <v>3.4586026678195777E-3</v>
      </c>
      <c r="AR99" s="618">
        <v>3.3308805524201015E-3</v>
      </c>
      <c r="AS99" s="618">
        <v>1.5116014971652343E-3</v>
      </c>
      <c r="AT99" s="618">
        <v>1.4302595233541954E-3</v>
      </c>
      <c r="AU99" s="618">
        <v>1.2925013089577838E-3</v>
      </c>
      <c r="AV99" s="618">
        <v>1.6444374856128948E-3</v>
      </c>
      <c r="AW99" s="618">
        <v>1.5116014971652343E-3</v>
      </c>
      <c r="AX99" s="618">
        <v>1.3946842776476852E-3</v>
      </c>
      <c r="AY99" s="618">
        <v>1.7330903615786822E-3</v>
      </c>
      <c r="AZ99" s="618">
        <v>1.6610427032623194E-3</v>
      </c>
      <c r="BA99" s="618">
        <v>1.5137698827071982E-3</v>
      </c>
      <c r="BB99" s="618">
        <v>1.8428821751854802E-3</v>
      </c>
      <c r="BC99" s="617">
        <v>1.7783540862466886E-3</v>
      </c>
      <c r="BD99" s="617">
        <v>1.6749281524704781E-3</v>
      </c>
      <c r="BE99" s="617">
        <v>3.3907434658823482E-3</v>
      </c>
      <c r="BF99" s="617">
        <v>3.0280158484146859E-3</v>
      </c>
      <c r="BG99" s="617">
        <v>1.9323450004235332E-3</v>
      </c>
      <c r="BH99" s="617">
        <v>1.7492301475820718E-3</v>
      </c>
      <c r="BI99" s="617"/>
      <c r="BJ99" s="617"/>
      <c r="BK99" s="617"/>
      <c r="BL99" s="617"/>
      <c r="BM99" s="617"/>
      <c r="BN99" s="617"/>
      <c r="BO99" s="617"/>
      <c r="BP99" s="617"/>
      <c r="BQ99" s="617"/>
      <c r="BR99" s="617"/>
      <c r="BS99" s="617"/>
      <c r="BT99" s="617"/>
      <c r="BU99" s="617"/>
      <c r="BV99" s="617"/>
      <c r="BW99" s="617"/>
      <c r="BX99" s="617"/>
      <c r="BY99" s="617"/>
      <c r="BZ99" s="617"/>
      <c r="CA99" s="617"/>
      <c r="CB99" s="617"/>
      <c r="CC99" s="617"/>
      <c r="CD99" s="617"/>
      <c r="CE99" s="617"/>
      <c r="CF99" s="617"/>
      <c r="CG99" s="617"/>
      <c r="CH99" s="617"/>
      <c r="CI99" s="617"/>
      <c r="CJ99" s="617"/>
    </row>
    <row r="100" spans="1:88">
      <c r="A100" s="151">
        <f t="shared" ca="1" si="3"/>
        <v>10</v>
      </c>
      <c r="B100" s="784">
        <f t="shared" si="4"/>
        <v>0</v>
      </c>
      <c r="C100" s="944">
        <f t="shared" si="13"/>
        <v>0</v>
      </c>
      <c r="D100" s="947">
        <f t="shared" si="5"/>
        <v>0</v>
      </c>
      <c r="E100" s="947">
        <f t="shared" si="20"/>
        <v>0</v>
      </c>
      <c r="F100" s="947">
        <f t="shared" si="21"/>
        <v>0</v>
      </c>
      <c r="G100" s="947">
        <f>IF(M99&lt;0.01,0,IF($F$19=$U$4,$G$19,IF(AND($F$21=1,$F$19=$U$2),M99*Adm!$U$4,IF(AND($F$21=2,$F$19=$U$2),M99*Adm!$U$5,IF(AND($F$21=1,$F$19=$U$3),M99*Adm!$V$4,IF(AND($F$21=2,$F$19=$U$3),M99*Adm!$V$5,0))))))</f>
        <v>0</v>
      </c>
      <c r="H100" s="947">
        <f>IF(M99&lt;0.01,0,IF($F$20=$V$3,0,IF(OR($F$10=$T$16,$F$10=$T$17),0,IF($F$10=$T$13,0,$F$11*Adm!$AA$3))))</f>
        <v>0</v>
      </c>
      <c r="I100" s="947">
        <f t="shared" si="14"/>
        <v>0</v>
      </c>
      <c r="J100" s="947">
        <f t="shared" si="0"/>
        <v>0</v>
      </c>
      <c r="K100" s="947">
        <f t="shared" si="8"/>
        <v>0</v>
      </c>
      <c r="L100" s="947">
        <f t="shared" si="1"/>
        <v>0</v>
      </c>
      <c r="M100" s="947">
        <f t="shared" si="9"/>
        <v>0</v>
      </c>
      <c r="N100" s="946"/>
      <c r="P100" s="733"/>
      <c r="Q100" s="733"/>
      <c r="R100" s="733"/>
      <c r="S100" s="785">
        <f t="shared" si="10"/>
        <v>11</v>
      </c>
      <c r="T100" s="786">
        <f t="shared" si="15"/>
        <v>0</v>
      </c>
      <c r="W100" s="790">
        <f t="shared" si="16"/>
        <v>0</v>
      </c>
      <c r="X100" s="818">
        <f t="shared" ca="1" si="11"/>
        <v>0</v>
      </c>
      <c r="Z100" s="843">
        <f t="shared" si="17"/>
        <v>0</v>
      </c>
      <c r="AA100" s="792">
        <f t="shared" si="18"/>
        <v>0</v>
      </c>
      <c r="AB100" s="792">
        <f t="shared" si="19"/>
        <v>0</v>
      </c>
      <c r="AC100" s="789">
        <f t="shared" si="12"/>
        <v>0</v>
      </c>
      <c r="AD100" s="789">
        <f t="shared" si="2"/>
        <v>0</v>
      </c>
      <c r="AE100" s="828" t="e">
        <f>HLOOKUP($AE$39,anticipado,60,0)</f>
        <v>#N/A</v>
      </c>
      <c r="AF100" s="827"/>
      <c r="AG100" s="614">
        <v>3.2588785125658121E-3</v>
      </c>
      <c r="AH100" s="615">
        <v>3.0790093298321639E-3</v>
      </c>
      <c r="AI100" s="616">
        <v>2.9411805407193337E-3</v>
      </c>
      <c r="AJ100" s="616">
        <v>3.3439957041838078E-3</v>
      </c>
      <c r="AK100" s="617">
        <v>3.2588785125658121E-3</v>
      </c>
      <c r="AL100" s="617">
        <v>3.0790093298321639E-3</v>
      </c>
      <c r="AM100" s="617">
        <v>3.4980817471360471E-3</v>
      </c>
      <c r="AN100" s="617">
        <v>3.3793882494625982E-3</v>
      </c>
      <c r="AO100" s="617">
        <v>3.2949112363866496E-3</v>
      </c>
      <c r="AP100" s="617">
        <v>3.6263033787587674E-3</v>
      </c>
      <c r="AQ100" s="617">
        <v>3.4980817471360471E-3</v>
      </c>
      <c r="AR100" s="618">
        <v>3.3695561486855744E-3</v>
      </c>
      <c r="AS100" s="618">
        <v>1.5276284461983949E-3</v>
      </c>
      <c r="AT100" s="618">
        <v>1.4457837276482671E-3</v>
      </c>
      <c r="AU100" s="618">
        <v>1.3069971382727295E-3</v>
      </c>
      <c r="AV100" s="618">
        <v>1.6613527496646809E-3</v>
      </c>
      <c r="AW100" s="618">
        <v>1.5276284461983949E-3</v>
      </c>
      <c r="AX100" s="618">
        <v>1.4098885052478631E-3</v>
      </c>
      <c r="AY100" s="618">
        <v>1.7504798665252379E-3</v>
      </c>
      <c r="AZ100" s="618">
        <v>1.6780873612321321E-3</v>
      </c>
      <c r="BA100" s="618">
        <v>1.5298863139639233E-3</v>
      </c>
      <c r="BB100" s="618">
        <v>1.8609010805034081E-3</v>
      </c>
      <c r="BC100" s="617">
        <v>1.7959822860172231E-3</v>
      </c>
      <c r="BD100" s="617">
        <v>1.6919990185566105E-3</v>
      </c>
      <c r="BE100" s="617">
        <v>3.4298948940477496E-3</v>
      </c>
      <c r="BF100" s="617">
        <v>3.0649018308838193E-3</v>
      </c>
      <c r="BG100" s="617">
        <v>1.9508488440621685E-3</v>
      </c>
      <c r="BH100" s="617">
        <v>1.7667371492660774E-3</v>
      </c>
      <c r="BI100" s="617"/>
      <c r="BJ100" s="617"/>
      <c r="BK100" s="617"/>
      <c r="BL100" s="617"/>
      <c r="BM100" s="617"/>
      <c r="BN100" s="617"/>
      <c r="BO100" s="617"/>
      <c r="BP100" s="617"/>
      <c r="BQ100" s="617"/>
      <c r="BR100" s="617"/>
      <c r="BS100" s="617"/>
      <c r="BT100" s="617"/>
      <c r="BU100" s="617"/>
      <c r="BV100" s="617"/>
      <c r="BW100" s="617"/>
      <c r="BX100" s="617"/>
      <c r="BY100" s="617"/>
      <c r="BZ100" s="617"/>
      <c r="CA100" s="617"/>
      <c r="CB100" s="617"/>
      <c r="CC100" s="617"/>
      <c r="CD100" s="617"/>
      <c r="CE100" s="617"/>
      <c r="CF100" s="617"/>
      <c r="CG100" s="617"/>
      <c r="CH100" s="617"/>
      <c r="CI100" s="617"/>
      <c r="CJ100" s="617"/>
    </row>
    <row r="101" spans="1:88">
      <c r="A101" s="151">
        <f t="shared" ca="1" si="3"/>
        <v>11</v>
      </c>
      <c r="B101" s="784">
        <f t="shared" si="4"/>
        <v>0</v>
      </c>
      <c r="C101" s="944">
        <f t="shared" si="13"/>
        <v>0</v>
      </c>
      <c r="D101" s="947">
        <f t="shared" si="5"/>
        <v>0</v>
      </c>
      <c r="E101" s="947">
        <f t="shared" si="20"/>
        <v>0</v>
      </c>
      <c r="F101" s="947">
        <f t="shared" si="21"/>
        <v>0</v>
      </c>
      <c r="G101" s="947">
        <f>IF(M100&lt;0.01,0,IF($F$19=$U$4,$G$19,IF(AND($F$21=1,$F$19=$U$2),M100*Adm!$U$4,IF(AND($F$21=2,$F$19=$U$2),M100*Adm!$U$5,IF(AND($F$21=1,$F$19=$U$3),M100*Adm!$V$4,IF(AND($F$21=2,$F$19=$U$3),M100*Adm!$V$5,0))))))</f>
        <v>0</v>
      </c>
      <c r="H101" s="947">
        <f>IF(M100&lt;0.01,0,IF($F$20=$V$3,0,IF(OR($F$10=$T$16,$F$10=$T$17),0,IF($F$10=$T$13,0,$F$11*Adm!$AA$3))))</f>
        <v>0</v>
      </c>
      <c r="I101" s="947">
        <f t="shared" si="14"/>
        <v>0</v>
      </c>
      <c r="J101" s="947">
        <f t="shared" si="0"/>
        <v>0</v>
      </c>
      <c r="K101" s="947">
        <f t="shared" si="8"/>
        <v>0</v>
      </c>
      <c r="L101" s="947">
        <f t="shared" si="1"/>
        <v>0</v>
      </c>
      <c r="M101" s="947">
        <f t="shared" si="9"/>
        <v>0</v>
      </c>
      <c r="N101" s="946"/>
      <c r="P101" s="733"/>
      <c r="Q101" s="733"/>
      <c r="R101" s="733"/>
      <c r="S101" s="785">
        <f t="shared" si="10"/>
        <v>12</v>
      </c>
      <c r="T101" s="786">
        <f t="shared" si="15"/>
        <v>0</v>
      </c>
      <c r="W101" s="790">
        <f t="shared" si="16"/>
        <v>0</v>
      </c>
      <c r="X101" s="818">
        <f t="shared" ca="1" si="11"/>
        <v>0</v>
      </c>
      <c r="Z101" s="843">
        <f t="shared" si="17"/>
        <v>0</v>
      </c>
      <c r="AA101" s="792">
        <f t="shared" si="18"/>
        <v>0</v>
      </c>
      <c r="AB101" s="792">
        <f t="shared" si="19"/>
        <v>0</v>
      </c>
      <c r="AC101" s="789">
        <f t="shared" si="12"/>
        <v>0</v>
      </c>
      <c r="AD101" s="789">
        <f t="shared" si="2"/>
        <v>0</v>
      </c>
      <c r="AE101" s="828" t="e">
        <f>HLOOKUP($AE$39,anticipado,61,0)</f>
        <v>#N/A</v>
      </c>
      <c r="AF101" s="827"/>
      <c r="AG101" s="614">
        <v>3.2977332517710638E-3</v>
      </c>
      <c r="AH101" s="615">
        <v>3.1165472174598118E-3</v>
      </c>
      <c r="AI101" s="616">
        <v>2.9776098357466854E-3</v>
      </c>
      <c r="AJ101" s="616">
        <v>3.3831476997958753E-3</v>
      </c>
      <c r="AK101" s="617">
        <v>3.2977332517710638E-3</v>
      </c>
      <c r="AL101" s="617">
        <v>3.1165472174598118E-3</v>
      </c>
      <c r="AM101" s="617">
        <v>3.5381516379642359E-3</v>
      </c>
      <c r="AN101" s="617">
        <v>3.4189347567382474E-3</v>
      </c>
      <c r="AO101" s="617">
        <v>3.3341783796394927E-3</v>
      </c>
      <c r="AP101" s="617">
        <v>3.6672525121975463E-3</v>
      </c>
      <c r="AQ101" s="617">
        <v>3.5381516379642359E-3</v>
      </c>
      <c r="AR101" s="618">
        <v>3.4088130943996132E-3</v>
      </c>
      <c r="AS101" s="618">
        <v>1.5438501036826977E-3</v>
      </c>
      <c r="AT101" s="618">
        <v>1.4614991545815565E-3</v>
      </c>
      <c r="AU101" s="618">
        <v>1.3216747266699312E-3</v>
      </c>
      <c r="AV101" s="618">
        <v>1.6784704486255938E-3</v>
      </c>
      <c r="AW101" s="618">
        <v>1.5438501036826977E-3</v>
      </c>
      <c r="AX101" s="618">
        <v>1.4252801831237836E-3</v>
      </c>
      <c r="AY101" s="618">
        <v>1.768074653837012E-3</v>
      </c>
      <c r="AZ101" s="618">
        <v>1.6953358661059969E-3</v>
      </c>
      <c r="BA101" s="618">
        <v>1.5461992866535391E-3</v>
      </c>
      <c r="BB101" s="618">
        <v>1.8791300892709241E-3</v>
      </c>
      <c r="BC101" s="617">
        <v>1.8138172592397307E-3</v>
      </c>
      <c r="BD101" s="617">
        <v>1.7092730986196503E-3</v>
      </c>
      <c r="BE101" s="617">
        <v>3.4696346899115746E-3</v>
      </c>
      <c r="BF101" s="617">
        <v>3.1023519233319093E-3</v>
      </c>
      <c r="BG101" s="617">
        <v>1.9695663928188767E-3</v>
      </c>
      <c r="BH101" s="617">
        <v>1.7844506632156809E-3</v>
      </c>
      <c r="BI101" s="617"/>
      <c r="BJ101" s="617"/>
      <c r="BK101" s="617"/>
      <c r="BL101" s="617"/>
      <c r="BM101" s="617"/>
      <c r="BN101" s="617"/>
      <c r="BO101" s="617"/>
      <c r="BP101" s="617"/>
      <c r="BQ101" s="617"/>
      <c r="BR101" s="617"/>
      <c r="BS101" s="617"/>
      <c r="BT101" s="617"/>
      <c r="BU101" s="617"/>
      <c r="BV101" s="617"/>
      <c r="BW101" s="617"/>
      <c r="BX101" s="617"/>
      <c r="BY101" s="617"/>
      <c r="BZ101" s="617"/>
      <c r="CA101" s="617"/>
      <c r="CB101" s="617"/>
      <c r="CC101" s="617"/>
      <c r="CD101" s="617"/>
      <c r="CE101" s="617"/>
      <c r="CF101" s="617"/>
      <c r="CG101" s="617"/>
      <c r="CH101" s="617"/>
      <c r="CI101" s="617"/>
      <c r="CJ101" s="617"/>
    </row>
    <row r="102" spans="1:88">
      <c r="A102" s="151">
        <f t="shared" ca="1" si="3"/>
        <v>12</v>
      </c>
      <c r="B102" s="784">
        <f t="shared" si="4"/>
        <v>0</v>
      </c>
      <c r="C102" s="944">
        <f t="shared" si="13"/>
        <v>0</v>
      </c>
      <c r="D102" s="947">
        <f t="shared" si="5"/>
        <v>0</v>
      </c>
      <c r="E102" s="947">
        <f t="shared" si="20"/>
        <v>0</v>
      </c>
      <c r="F102" s="947">
        <f t="shared" si="21"/>
        <v>0</v>
      </c>
      <c r="G102" s="947">
        <f>IF(M101&lt;0.01,0,IF($F$19=$U$4,$G$19,IF(AND($F$21=1,$F$19=$U$2),M101*Adm!$U$4,IF(AND($F$21=2,$F$19=$U$2),M101*Adm!$U$5,IF(AND($F$21=1,$F$19=$U$3),M101*Adm!$V$4,IF(AND($F$21=2,$F$19=$U$3),M101*Adm!$V$5,0))))))</f>
        <v>0</v>
      </c>
      <c r="H102" s="947">
        <f>IF(M101&lt;0.01,0,IF($F$20=$V$3,0,IF(OR($F$10=$T$16,$F$10=$T$17),0,IF($F$10=$T$13,0,$F$11*Adm!$AA$3))))</f>
        <v>0</v>
      </c>
      <c r="I102" s="947">
        <f t="shared" si="14"/>
        <v>0</v>
      </c>
      <c r="J102" s="947">
        <f t="shared" si="0"/>
        <v>0</v>
      </c>
      <c r="K102" s="947">
        <f t="shared" si="8"/>
        <v>0</v>
      </c>
      <c r="L102" s="947">
        <f t="shared" si="1"/>
        <v>0</v>
      </c>
      <c r="M102" s="947">
        <f t="shared" si="9"/>
        <v>0</v>
      </c>
      <c r="N102" s="946"/>
      <c r="O102" s="798"/>
      <c r="P102" s="733"/>
      <c r="Q102" s="733"/>
      <c r="R102" s="733"/>
      <c r="S102" s="785">
        <f t="shared" si="10"/>
        <v>1</v>
      </c>
      <c r="T102" s="786">
        <f t="shared" si="15"/>
        <v>0</v>
      </c>
      <c r="U102" s="798"/>
      <c r="V102" s="799"/>
      <c r="W102" s="790">
        <f t="shared" si="16"/>
        <v>0</v>
      </c>
      <c r="X102" s="818">
        <f t="shared" ca="1" si="11"/>
        <v>0</v>
      </c>
      <c r="Y102" s="798"/>
      <c r="Z102" s="843">
        <f t="shared" si="17"/>
        <v>0</v>
      </c>
      <c r="AA102" s="792">
        <f t="shared" si="18"/>
        <v>0</v>
      </c>
      <c r="AB102" s="792">
        <f t="shared" si="19"/>
        <v>0</v>
      </c>
      <c r="AC102" s="789">
        <f t="shared" si="12"/>
        <v>0</v>
      </c>
      <c r="AD102" s="789">
        <f t="shared" si="2"/>
        <v>0</v>
      </c>
      <c r="AE102" s="828" t="e">
        <f>HLOOKUP($AE$39,anticipado,62,0)</f>
        <v>#N/A</v>
      </c>
      <c r="AF102" s="827"/>
      <c r="AG102" s="614">
        <v>3.6362358682960273E-3</v>
      </c>
      <c r="AH102" s="615">
        <v>3.4604030734646514E-3</v>
      </c>
      <c r="AI102" s="616">
        <v>3.3251738311502015E-3</v>
      </c>
      <c r="AJ102" s="616">
        <v>3.7165898693591781E-3</v>
      </c>
      <c r="AK102" s="617">
        <v>3.6362358682960273E-3</v>
      </c>
      <c r="AL102" s="617">
        <v>3.4604030734646514E-3</v>
      </c>
      <c r="AM102" s="617">
        <v>3.8662117059941707E-3</v>
      </c>
      <c r="AN102" s="617">
        <v>3.7526416722679181E-3</v>
      </c>
      <c r="AO102" s="617">
        <v>3.6729809104294351E-3</v>
      </c>
      <c r="AP102" s="617">
        <v>3.9921618911323469E-3</v>
      </c>
      <c r="AQ102" s="617">
        <v>3.8662117059941707E-3</v>
      </c>
      <c r="AR102" s="618">
        <v>3.7409214918458032E-3</v>
      </c>
      <c r="AS102" s="618">
        <v>1.6666220590491102E-3</v>
      </c>
      <c r="AT102" s="618">
        <v>1.5862660772041689E-3</v>
      </c>
      <c r="AU102" s="618">
        <v>1.4489854885195419E-3</v>
      </c>
      <c r="AV102" s="618">
        <v>1.799001531639133E-3</v>
      </c>
      <c r="AW102" s="618">
        <v>1.6666220590491102E-3</v>
      </c>
      <c r="AX102" s="618">
        <v>1.5501873873898806E-3</v>
      </c>
      <c r="AY102" s="618">
        <v>1.8865698818153944E-3</v>
      </c>
      <c r="AZ102" s="618">
        <v>1.815752501290545E-3</v>
      </c>
      <c r="BA102" s="618">
        <v>1.6695055179242783E-3</v>
      </c>
      <c r="BB102" s="618">
        <v>1.995714710933278E-3</v>
      </c>
      <c r="BC102" s="617">
        <v>1.9313473597610128E-3</v>
      </c>
      <c r="BD102" s="617">
        <v>1.8290209472460539E-3</v>
      </c>
      <c r="BE102" s="617">
        <v>3.8006409276656714E-3</v>
      </c>
      <c r="BF102" s="617">
        <v>3.4468036945206233E-3</v>
      </c>
      <c r="BG102" s="617">
        <v>2.0846358291626947E-3</v>
      </c>
      <c r="BH102" s="617">
        <v>1.9028141620572986E-3</v>
      </c>
      <c r="BI102" s="617"/>
      <c r="BJ102" s="617"/>
      <c r="BK102" s="617"/>
      <c r="BL102" s="617"/>
      <c r="BM102" s="617"/>
      <c r="BN102" s="617"/>
      <c r="BO102" s="617"/>
      <c r="BP102" s="617"/>
      <c r="BQ102" s="617"/>
      <c r="BR102" s="617"/>
      <c r="BS102" s="617"/>
      <c r="BT102" s="617"/>
      <c r="BU102" s="617"/>
      <c r="BV102" s="617"/>
      <c r="BW102" s="617"/>
      <c r="BX102" s="617"/>
      <c r="BY102" s="617"/>
      <c r="BZ102" s="617"/>
      <c r="CA102" s="617"/>
      <c r="CB102" s="617"/>
      <c r="CC102" s="617"/>
      <c r="CD102" s="617"/>
      <c r="CE102" s="617"/>
      <c r="CF102" s="617"/>
      <c r="CG102" s="617"/>
      <c r="CH102" s="617"/>
      <c r="CI102" s="617"/>
      <c r="CJ102" s="617"/>
    </row>
    <row r="103" spans="1:88">
      <c r="A103" s="151">
        <f t="shared" ca="1" si="3"/>
        <v>1</v>
      </c>
      <c r="B103" s="784">
        <f t="shared" si="4"/>
        <v>0</v>
      </c>
      <c r="C103" s="944">
        <f t="shared" si="13"/>
        <v>0</v>
      </c>
      <c r="D103" s="947">
        <f t="shared" si="5"/>
        <v>0</v>
      </c>
      <c r="E103" s="947">
        <f t="shared" si="20"/>
        <v>0</v>
      </c>
      <c r="F103" s="947">
        <f t="shared" si="21"/>
        <v>0</v>
      </c>
      <c r="G103" s="947">
        <f>IF(M102&lt;0.01,0,IF($F$19=$U$4,$G$19,IF(AND($F$21=1,$F$19=$U$2),M102*Adm!$U$4,IF(AND($F$21=2,$F$19=$U$2),M102*Adm!$U$5,IF(AND($F$21=1,$F$19=$U$3),M102*Adm!$V$4,IF(AND($F$21=2,$F$19=$U$3),M102*Adm!$V$5,0))))))</f>
        <v>0</v>
      </c>
      <c r="H103" s="947">
        <f>IF(M102&lt;0.01,0,IF($F$20=$V$3,0,IF(OR($F$10=$T$16,$F$10=$T$17),0,IF($F$10=$T$13,0,$F$11*Adm!$AA$3))))</f>
        <v>0</v>
      </c>
      <c r="I103" s="947">
        <f t="shared" si="14"/>
        <v>0</v>
      </c>
      <c r="J103" s="947">
        <f t="shared" si="0"/>
        <v>0</v>
      </c>
      <c r="K103" s="947">
        <f t="shared" si="8"/>
        <v>0</v>
      </c>
      <c r="L103" s="947">
        <f t="shared" si="1"/>
        <v>0</v>
      </c>
      <c r="M103" s="947">
        <f t="shared" si="9"/>
        <v>0</v>
      </c>
      <c r="N103" s="946"/>
      <c r="P103" s="733"/>
      <c r="Q103" s="733"/>
      <c r="R103" s="733"/>
      <c r="S103" s="785">
        <f t="shared" si="10"/>
        <v>2</v>
      </c>
      <c r="T103" s="786">
        <f t="shared" si="15"/>
        <v>0</v>
      </c>
      <c r="W103" s="790">
        <f t="shared" si="16"/>
        <v>0</v>
      </c>
      <c r="X103" s="818">
        <f t="shared" ca="1" si="11"/>
        <v>0</v>
      </c>
      <c r="Z103" s="843">
        <f t="shared" si="17"/>
        <v>0</v>
      </c>
      <c r="AA103" s="792">
        <f t="shared" si="18"/>
        <v>0</v>
      </c>
      <c r="AB103" s="792">
        <f t="shared" si="19"/>
        <v>0</v>
      </c>
      <c r="AC103" s="789">
        <f t="shared" si="12"/>
        <v>0</v>
      </c>
      <c r="AD103" s="789">
        <f t="shared" si="2"/>
        <v>0</v>
      </c>
      <c r="AE103" s="828" t="e">
        <f>HLOOKUP($AE$39,anticipado,63,0)</f>
        <v>#N/A</v>
      </c>
      <c r="AF103" s="827"/>
      <c r="AG103" s="614">
        <v>3.6809833262616311E-3</v>
      </c>
      <c r="AH103" s="615">
        <v>3.5039312458085485E-3</v>
      </c>
      <c r="AI103" s="616">
        <v>3.3676562172709193E-3</v>
      </c>
      <c r="AJ103" s="616">
        <v>3.7615104717343278E-3</v>
      </c>
      <c r="AK103" s="617">
        <v>3.6809833262616311E-3</v>
      </c>
      <c r="AL103" s="617">
        <v>3.5039312458085485E-3</v>
      </c>
      <c r="AM103" s="617">
        <v>3.9119436175406152E-3</v>
      </c>
      <c r="AN103" s="617">
        <v>3.797978506533867E-3</v>
      </c>
      <c r="AO103" s="617">
        <v>3.71816407558208E-3</v>
      </c>
      <c r="AP103" s="617">
        <v>4.0387253710673539E-3</v>
      </c>
      <c r="AQ103" s="617">
        <v>3.9119436175406152E-3</v>
      </c>
      <c r="AR103" s="618">
        <v>3.7859157333409391E-3</v>
      </c>
      <c r="AS103" s="618">
        <v>1.684554169373322E-3</v>
      </c>
      <c r="AT103" s="618">
        <v>1.6037341462869733E-3</v>
      </c>
      <c r="AU103" s="618">
        <v>1.4654659586429491E-3</v>
      </c>
      <c r="AV103" s="618">
        <v>1.8177881234678343E-3</v>
      </c>
      <c r="AW103" s="618">
        <v>1.684554169373322E-3</v>
      </c>
      <c r="AX103" s="618">
        <v>1.5673309059441166E-3</v>
      </c>
      <c r="AY103" s="618">
        <v>1.9057923795072699E-3</v>
      </c>
      <c r="AZ103" s="618">
        <v>1.8346690151131858E-3</v>
      </c>
      <c r="BA103" s="618">
        <v>1.6875432059233792E-3</v>
      </c>
      <c r="BB103" s="618">
        <v>2.0155365550147651E-3</v>
      </c>
      <c r="BC103" s="617">
        <v>1.9507911177724939E-3</v>
      </c>
      <c r="BD103" s="617">
        <v>1.8479475600944714E-3</v>
      </c>
      <c r="BE103" s="617">
        <v>3.8461071353861616E-3</v>
      </c>
      <c r="BF103" s="617">
        <v>3.4902572865792114E-3</v>
      </c>
      <c r="BG103" s="617">
        <v>2.1049191672736492E-3</v>
      </c>
      <c r="BH103" s="617">
        <v>1.9221540240081259E-3</v>
      </c>
      <c r="BI103" s="617"/>
      <c r="BJ103" s="617"/>
      <c r="BK103" s="617"/>
      <c r="BL103" s="617"/>
      <c r="BM103" s="617"/>
      <c r="BN103" s="617"/>
      <c r="BO103" s="617"/>
      <c r="BP103" s="617"/>
      <c r="BQ103" s="617"/>
      <c r="BR103" s="617"/>
      <c r="BS103" s="617"/>
      <c r="BT103" s="617"/>
      <c r="BU103" s="617"/>
      <c r="BV103" s="617"/>
      <c r="BW103" s="617"/>
      <c r="BX103" s="617"/>
      <c r="BY103" s="617"/>
      <c r="BZ103" s="617"/>
      <c r="CA103" s="617"/>
      <c r="CB103" s="617"/>
      <c r="CC103" s="617"/>
      <c r="CD103" s="617"/>
      <c r="CE103" s="617"/>
      <c r="CF103" s="617"/>
      <c r="CG103" s="617"/>
      <c r="CH103" s="617"/>
      <c r="CI103" s="617"/>
      <c r="CJ103" s="617"/>
    </row>
    <row r="104" spans="1:88">
      <c r="A104" s="151">
        <f t="shared" ca="1" si="3"/>
        <v>2</v>
      </c>
      <c r="B104" s="784">
        <f t="shared" si="4"/>
        <v>0</v>
      </c>
      <c r="C104" s="944">
        <f t="shared" si="13"/>
        <v>0</v>
      </c>
      <c r="D104" s="947">
        <f t="shared" si="5"/>
        <v>0</v>
      </c>
      <c r="E104" s="947">
        <f t="shared" si="20"/>
        <v>0</v>
      </c>
      <c r="F104" s="947">
        <f t="shared" si="21"/>
        <v>0</v>
      </c>
      <c r="G104" s="947">
        <f>IF(M103&lt;0.01,0,IF($F$19=$U$4,$G$19,IF(AND($F$21=1,$F$19=$U$2),M103*Adm!$U$4,IF(AND($F$21=2,$F$19=$U$2),M103*Adm!$U$5,IF(AND($F$21=1,$F$19=$U$3),M103*Adm!$V$4,IF(AND($F$21=2,$F$19=$U$3),M103*Adm!$V$5,0))))))</f>
        <v>0</v>
      </c>
      <c r="H104" s="947">
        <f>IF(M103&lt;0.01,0,IF($F$20=$V$3,0,IF(OR($F$10=$T$16,$F$10=$T$17),0,IF($F$10=$T$13,0,$F$11*Adm!$AA$3))))</f>
        <v>0</v>
      </c>
      <c r="I104" s="947">
        <f t="shared" si="14"/>
        <v>0</v>
      </c>
      <c r="J104" s="947">
        <f t="shared" si="0"/>
        <v>0</v>
      </c>
      <c r="K104" s="947">
        <f t="shared" si="8"/>
        <v>0</v>
      </c>
      <c r="L104" s="947">
        <f t="shared" si="1"/>
        <v>0</v>
      </c>
      <c r="M104" s="947">
        <f t="shared" si="9"/>
        <v>0</v>
      </c>
      <c r="N104" s="946"/>
      <c r="P104" s="733"/>
      <c r="Q104" s="733"/>
      <c r="R104" s="733"/>
      <c r="S104" s="785">
        <f t="shared" si="10"/>
        <v>3</v>
      </c>
      <c r="T104" s="786">
        <f t="shared" si="15"/>
        <v>0</v>
      </c>
      <c r="W104" s="790">
        <f t="shared" si="16"/>
        <v>0</v>
      </c>
      <c r="X104" s="818">
        <f t="shared" ca="1" si="11"/>
        <v>0</v>
      </c>
      <c r="Z104" s="843">
        <f t="shared" si="17"/>
        <v>0</v>
      </c>
      <c r="AA104" s="792">
        <f t="shared" si="18"/>
        <v>0</v>
      </c>
      <c r="AB104" s="792">
        <f t="shared" si="19"/>
        <v>0</v>
      </c>
      <c r="AC104" s="789">
        <f t="shared" si="12"/>
        <v>0</v>
      </c>
      <c r="AD104" s="789">
        <f t="shared" si="2"/>
        <v>0</v>
      </c>
      <c r="AE104" s="828" t="e">
        <f>HLOOKUP($AE$39,anticipado,64,0)</f>
        <v>#N/A</v>
      </c>
      <c r="AF104" s="827"/>
      <c r="AG104" s="614">
        <v>3.7264488033619809E-3</v>
      </c>
      <c r="AH104" s="615">
        <v>3.5481619373416997E-3</v>
      </c>
      <c r="AI104" s="616">
        <v>3.4108267413967748E-3</v>
      </c>
      <c r="AJ104" s="616">
        <v>3.8071456646966918E-3</v>
      </c>
      <c r="AK104" s="617">
        <v>3.7264488033619809E-3</v>
      </c>
      <c r="AL104" s="617">
        <v>3.5481619373416997E-3</v>
      </c>
      <c r="AM104" s="617">
        <v>3.9583982017605398E-3</v>
      </c>
      <c r="AN104" s="617">
        <v>3.8440380022070047E-3</v>
      </c>
      <c r="AO104" s="617">
        <v>3.7640737610670659E-3</v>
      </c>
      <c r="AP104" s="617">
        <v>4.0860229766844424E-3</v>
      </c>
      <c r="AQ104" s="617">
        <v>3.9583982017605398E-3</v>
      </c>
      <c r="AR104" s="618">
        <v>3.8316241951679604E-3</v>
      </c>
      <c r="AS104" s="618">
        <v>1.7027098053622408E-3</v>
      </c>
      <c r="AT104" s="618">
        <v>1.6214229430526368E-3</v>
      </c>
      <c r="AU104" s="618">
        <v>1.4821583364372029E-3</v>
      </c>
      <c r="AV104" s="618">
        <v>1.8368054691997771E-3</v>
      </c>
      <c r="AW104" s="618">
        <v>1.7027098053622408E-3</v>
      </c>
      <c r="AX104" s="618">
        <v>1.5846912239914426E-3</v>
      </c>
      <c r="AY104" s="618">
        <v>1.9252478156666154E-3</v>
      </c>
      <c r="AZ104" s="618">
        <v>1.8538177327802401E-3</v>
      </c>
      <c r="BA104" s="618">
        <v>1.7058065971510222E-3</v>
      </c>
      <c r="BB104" s="618">
        <v>2.0355957036271911E-3</v>
      </c>
      <c r="BC104" s="617">
        <v>1.9704690124590983E-3</v>
      </c>
      <c r="BD104" s="617">
        <v>1.8671054272740449E-3</v>
      </c>
      <c r="BE104" s="617">
        <v>3.892294888110567E-3</v>
      </c>
      <c r="BF104" s="617">
        <v>3.5344128089019088E-3</v>
      </c>
      <c r="BG104" s="617">
        <v>2.125443061763768E-3</v>
      </c>
      <c r="BH104" s="617">
        <v>1.9417280771930989E-3</v>
      </c>
      <c r="BI104" s="617"/>
      <c r="BJ104" s="617"/>
      <c r="BK104" s="617"/>
      <c r="BL104" s="617"/>
      <c r="BM104" s="617"/>
      <c r="BN104" s="617"/>
      <c r="BO104" s="617"/>
      <c r="BP104" s="617"/>
      <c r="BQ104" s="617"/>
      <c r="BR104" s="617"/>
      <c r="BS104" s="617"/>
      <c r="BT104" s="617"/>
      <c r="BU104" s="617"/>
      <c r="BV104" s="617"/>
      <c r="BW104" s="617"/>
      <c r="BX104" s="617"/>
      <c r="BY104" s="617"/>
      <c r="BZ104" s="617"/>
      <c r="CA104" s="617"/>
      <c r="CB104" s="617"/>
      <c r="CC104" s="617"/>
      <c r="CD104" s="617"/>
      <c r="CE104" s="617"/>
      <c r="CF104" s="617"/>
      <c r="CG104" s="617"/>
      <c r="CH104" s="617"/>
      <c r="CI104" s="617"/>
      <c r="CJ104" s="617"/>
    </row>
    <row r="105" spans="1:88">
      <c r="A105" s="151">
        <f t="shared" ca="1" si="3"/>
        <v>3</v>
      </c>
      <c r="B105" s="784">
        <f t="shared" si="4"/>
        <v>0</v>
      </c>
      <c r="C105" s="944">
        <f t="shared" si="13"/>
        <v>0</v>
      </c>
      <c r="D105" s="947">
        <f t="shared" si="5"/>
        <v>0</v>
      </c>
      <c r="E105" s="947">
        <f t="shared" si="20"/>
        <v>0</v>
      </c>
      <c r="F105" s="947">
        <f t="shared" si="21"/>
        <v>0</v>
      </c>
      <c r="G105" s="947">
        <f>IF(M104&lt;0.01,0,IF($F$19=$U$4,$G$19,IF(AND($F$21=1,$F$19=$U$2),M104*Adm!$U$4,IF(AND($F$21=2,$F$19=$U$2),M104*Adm!$U$5,IF(AND($F$21=1,$F$19=$U$3),M104*Adm!$V$4,IF(AND($F$21=2,$F$19=$U$3),M104*Adm!$V$5,0))))))</f>
        <v>0</v>
      </c>
      <c r="H105" s="947">
        <f>IF(M104&lt;0.01,0,IF($F$20=$V$3,0,IF(OR($F$10=$T$16,$F$10=$T$17),0,IF($F$10=$T$13,0,$F$11*Adm!$AA$3))))</f>
        <v>0</v>
      </c>
      <c r="I105" s="947">
        <f t="shared" si="14"/>
        <v>0</v>
      </c>
      <c r="J105" s="947">
        <f t="shared" si="0"/>
        <v>0</v>
      </c>
      <c r="K105" s="947">
        <f t="shared" si="8"/>
        <v>0</v>
      </c>
      <c r="L105" s="947">
        <f t="shared" si="1"/>
        <v>0</v>
      </c>
      <c r="M105" s="947">
        <f t="shared" si="9"/>
        <v>0</v>
      </c>
      <c r="N105" s="946"/>
      <c r="P105" s="733"/>
      <c r="Q105" s="733"/>
      <c r="R105" s="733"/>
      <c r="S105" s="785">
        <f t="shared" si="10"/>
        <v>4</v>
      </c>
      <c r="T105" s="786">
        <f t="shared" si="15"/>
        <v>0</v>
      </c>
      <c r="W105" s="790">
        <f t="shared" si="16"/>
        <v>0</v>
      </c>
      <c r="X105" s="818">
        <f t="shared" ca="1" si="11"/>
        <v>0</v>
      </c>
      <c r="Z105" s="843">
        <f t="shared" si="17"/>
        <v>0</v>
      </c>
      <c r="AA105" s="792">
        <f t="shared" si="18"/>
        <v>0</v>
      </c>
      <c r="AB105" s="792">
        <f t="shared" si="19"/>
        <v>0</v>
      </c>
      <c r="AC105" s="789">
        <f t="shared" si="12"/>
        <v>0</v>
      </c>
      <c r="AD105" s="789">
        <f t="shared" si="2"/>
        <v>0</v>
      </c>
      <c r="AE105" s="828" t="e">
        <f>HLOOKUP($AE$39,anticipado,65,0)</f>
        <v>#N/A</v>
      </c>
      <c r="AF105" s="827"/>
      <c r="AG105" s="614">
        <v>3.7726480039307316E-3</v>
      </c>
      <c r="AH105" s="615">
        <v>3.5931104446394108E-3</v>
      </c>
      <c r="AI105" s="616">
        <v>3.4547003205589598E-3</v>
      </c>
      <c r="AJ105" s="616">
        <v>3.8535110301676548E-3</v>
      </c>
      <c r="AK105" s="617">
        <v>3.7726480039307316E-3</v>
      </c>
      <c r="AL105" s="617">
        <v>3.5931104446394108E-3</v>
      </c>
      <c r="AM105" s="617">
        <v>4.0055912460431357E-3</v>
      </c>
      <c r="AN105" s="617">
        <v>3.8908359716607038E-3</v>
      </c>
      <c r="AO105" s="617">
        <v>3.8107259142740948E-3</v>
      </c>
      <c r="AP105" s="617">
        <v>4.1340708101993773E-3</v>
      </c>
      <c r="AQ105" s="617">
        <v>4.0055912460431357E-3</v>
      </c>
      <c r="AR105" s="618">
        <v>3.8780624424613764E-3</v>
      </c>
      <c r="AS105" s="618">
        <v>1.7210924177815949E-3</v>
      </c>
      <c r="AT105" s="618">
        <v>1.6393358873943828E-3</v>
      </c>
      <c r="AU105" s="618">
        <v>1.4990659083202879E-3</v>
      </c>
      <c r="AV105" s="618">
        <v>1.8560571322633124E-3</v>
      </c>
      <c r="AW105" s="618">
        <v>1.7210924177815949E-3</v>
      </c>
      <c r="AX105" s="618">
        <v>1.6022716907459361E-3</v>
      </c>
      <c r="AY105" s="618">
        <v>1.9449397761286498E-3</v>
      </c>
      <c r="AZ105" s="618">
        <v>1.8732022438566838E-3</v>
      </c>
      <c r="BA105" s="618">
        <v>1.7242991882257862E-3</v>
      </c>
      <c r="BB105" s="618">
        <v>2.0558958089567248E-3</v>
      </c>
      <c r="BC105" s="617">
        <v>1.9903846438738531E-3</v>
      </c>
      <c r="BD105" s="617">
        <v>1.8864981142735762E-3</v>
      </c>
      <c r="BE105" s="617">
        <v>3.9392199539757351E-3</v>
      </c>
      <c r="BF105" s="617">
        <v>3.5792855450201009E-3</v>
      </c>
      <c r="BG105" s="617">
        <v>2.146211214845387E-3</v>
      </c>
      <c r="BH105" s="617">
        <v>1.9615399299190901E-3</v>
      </c>
      <c r="BI105" s="617"/>
      <c r="BJ105" s="617"/>
      <c r="BK105" s="617"/>
      <c r="BL105" s="617"/>
      <c r="BM105" s="617"/>
      <c r="BN105" s="617"/>
      <c r="BO105" s="617"/>
      <c r="BP105" s="617"/>
      <c r="BQ105" s="617"/>
      <c r="BR105" s="617"/>
      <c r="BS105" s="617"/>
      <c r="BT105" s="617"/>
      <c r="BU105" s="617"/>
      <c r="BV105" s="617"/>
      <c r="BW105" s="617"/>
      <c r="BX105" s="617"/>
      <c r="BY105" s="617"/>
      <c r="BZ105" s="617"/>
      <c r="CA105" s="617"/>
      <c r="CB105" s="617"/>
      <c r="CC105" s="617"/>
      <c r="CD105" s="617"/>
      <c r="CE105" s="617"/>
      <c r="CF105" s="617"/>
      <c r="CG105" s="617"/>
      <c r="CH105" s="617"/>
      <c r="CI105" s="617"/>
      <c r="CJ105" s="617"/>
    </row>
    <row r="106" spans="1:88">
      <c r="A106" s="151">
        <f t="shared" ca="1" si="3"/>
        <v>4</v>
      </c>
      <c r="B106" s="784">
        <f t="shared" si="4"/>
        <v>0</v>
      </c>
      <c r="C106" s="944">
        <f t="shared" si="13"/>
        <v>0</v>
      </c>
      <c r="D106" s="947">
        <f t="shared" si="5"/>
        <v>0</v>
      </c>
      <c r="E106" s="947">
        <f t="shared" si="20"/>
        <v>0</v>
      </c>
      <c r="F106" s="947">
        <f t="shared" si="21"/>
        <v>0</v>
      </c>
      <c r="G106" s="947">
        <f>IF(M105&lt;0.01,0,IF($F$19=$U$4,$G$19,IF(AND($F$21=1,$F$19=$U$2),M105*Adm!$U$4,IF(AND($F$21=2,$F$19=$U$2),M105*Adm!$U$5,IF(AND($F$21=1,$F$19=$U$3),M105*Adm!$V$4,IF(AND($F$21=2,$F$19=$U$3),M105*Adm!$V$5,0))))))</f>
        <v>0</v>
      </c>
      <c r="H106" s="947">
        <f>IF(M105&lt;0.01,0,IF($F$20=$V$3,0,IF(OR($F$10=$T$16,$F$10=$T$17),0,IF($F$10=$T$13,0,$F$11*Adm!$AA$3))))</f>
        <v>0</v>
      </c>
      <c r="I106" s="947">
        <f t="shared" si="14"/>
        <v>0</v>
      </c>
      <c r="J106" s="947">
        <f t="shared" ref="J106:J169" si="22">IF(M105&lt;0.01,0,IF($X$2&gt;0,D106*$X$3,0))</f>
        <v>0</v>
      </c>
      <c r="K106" s="947">
        <f t="shared" si="8"/>
        <v>0</v>
      </c>
      <c r="L106" s="947">
        <f t="shared" ref="L106:L169" si="23">IF($F$10=$T$2,MIN(M105+D106+G106+H106+I106-K106,X106),0)</f>
        <v>0</v>
      </c>
      <c r="M106" s="947">
        <f t="shared" si="9"/>
        <v>0</v>
      </c>
      <c r="N106" s="946"/>
      <c r="P106" s="733"/>
      <c r="Q106" s="733"/>
      <c r="R106" s="733"/>
      <c r="S106" s="785">
        <f t="shared" si="10"/>
        <v>5</v>
      </c>
      <c r="T106" s="786">
        <f t="shared" si="15"/>
        <v>0</v>
      </c>
      <c r="W106" s="790">
        <f t="shared" si="16"/>
        <v>0</v>
      </c>
      <c r="X106" s="818">
        <f t="shared" ca="1" si="11"/>
        <v>0</v>
      </c>
      <c r="Z106" s="843">
        <f t="shared" si="17"/>
        <v>0</v>
      </c>
      <c r="AA106" s="792">
        <f t="shared" si="18"/>
        <v>0</v>
      </c>
      <c r="AB106" s="792">
        <f t="shared" si="19"/>
        <v>0</v>
      </c>
      <c r="AC106" s="789">
        <f t="shared" si="12"/>
        <v>0</v>
      </c>
      <c r="AD106" s="789">
        <f t="shared" ref="AD106:AD169" si="24">IF(AND($Z$38=2,N105&lt;0.01),0,IF($Z$38=2,(M105*AE106)+D106,0))</f>
        <v>0</v>
      </c>
      <c r="AE106" s="828" t="e">
        <f>HLOOKUP($AE$39,anticipado,66,0)</f>
        <v>#N/A</v>
      </c>
      <c r="AF106" s="827"/>
      <c r="AG106" s="614">
        <v>3.8195970882956114E-3</v>
      </c>
      <c r="AH106" s="615">
        <v>3.6387925052811148E-3</v>
      </c>
      <c r="AI106" s="616">
        <v>3.4992922989685272E-3</v>
      </c>
      <c r="AJ106" s="616">
        <v>3.9006226017140257E-3</v>
      </c>
      <c r="AK106" s="617">
        <v>3.8195970882956114E-3</v>
      </c>
      <c r="AL106" s="617">
        <v>3.6387925052811148E-3</v>
      </c>
      <c r="AM106" s="617">
        <v>4.0535389970631072E-3</v>
      </c>
      <c r="AN106" s="617">
        <v>3.9383886873343562E-3</v>
      </c>
      <c r="AO106" s="617">
        <v>3.8581369474848795E-3</v>
      </c>
      <c r="AP106" s="617">
        <v>4.1828854447466838E-3</v>
      </c>
      <c r="AQ106" s="617">
        <v>4.0535389970631072E-3</v>
      </c>
      <c r="AR106" s="618">
        <v>3.9252464914204428E-3</v>
      </c>
      <c r="AS106" s="618">
        <v>1.7397055254620088E-3</v>
      </c>
      <c r="AT106" s="618">
        <v>1.6574764665223654E-3</v>
      </c>
      <c r="AU106" s="618">
        <v>1.5161920248034119E-3</v>
      </c>
      <c r="AV106" s="618">
        <v>1.8755467469456471E-3</v>
      </c>
      <c r="AW106" s="618">
        <v>1.7397055254620088E-3</v>
      </c>
      <c r="AX106" s="618">
        <v>1.6200757210085702E-3</v>
      </c>
      <c r="AY106" s="618">
        <v>1.9648719181562017E-3</v>
      </c>
      <c r="AZ106" s="618">
        <v>1.8928262094191674E-3</v>
      </c>
      <c r="BA106" s="618">
        <v>1.7430245449663879E-3</v>
      </c>
      <c r="BB106" s="618">
        <v>2.0764405962971056E-3</v>
      </c>
      <c r="BC106" s="617">
        <v>2.010541683860053E-3</v>
      </c>
      <c r="BD106" s="617">
        <v>1.9061292574947279E-3</v>
      </c>
      <c r="BE106" s="617">
        <v>3.9868985596294088E-3</v>
      </c>
      <c r="BF106" s="617">
        <v>3.6248912189812367E-3</v>
      </c>
      <c r="BG106" s="617">
        <v>2.1672274031162724E-3</v>
      </c>
      <c r="BH106" s="617">
        <v>1.9815932624840621E-3</v>
      </c>
      <c r="BI106" s="617"/>
      <c r="BJ106" s="617"/>
      <c r="BK106" s="617"/>
      <c r="BL106" s="617"/>
      <c r="BM106" s="617"/>
      <c r="BN106" s="617"/>
      <c r="BO106" s="617"/>
      <c r="BP106" s="617"/>
      <c r="BQ106" s="617"/>
      <c r="BR106" s="617"/>
      <c r="BS106" s="617"/>
      <c r="BT106" s="617"/>
      <c r="BU106" s="617"/>
      <c r="BV106" s="617"/>
      <c r="BW106" s="617"/>
      <c r="BX106" s="617"/>
      <c r="BY106" s="617"/>
      <c r="BZ106" s="617"/>
      <c r="CA106" s="617"/>
      <c r="CB106" s="617"/>
      <c r="CC106" s="617"/>
      <c r="CD106" s="617"/>
      <c r="CE106" s="617"/>
      <c r="CF106" s="617"/>
      <c r="CG106" s="617"/>
      <c r="CH106" s="617"/>
      <c r="CI106" s="617"/>
      <c r="CJ106" s="617"/>
    </row>
    <row r="107" spans="1:88">
      <c r="A107" s="151">
        <f t="shared" ref="A107:A170" ca="1" si="25">IF(A106=12,1,A106+1)</f>
        <v>5</v>
      </c>
      <c r="B107" s="784">
        <f t="shared" ref="B107:B170" si="26">IF(M106&gt;0,B106-1,0)</f>
        <v>0</v>
      </c>
      <c r="C107" s="944">
        <f t="shared" si="13"/>
        <v>0</v>
      </c>
      <c r="D107" s="947">
        <f t="shared" ref="D107:D170" si="27">IF(M106&lt;0.01,0,M106*$F$14/12)</f>
        <v>0</v>
      </c>
      <c r="E107" s="947">
        <f t="shared" si="20"/>
        <v>0</v>
      </c>
      <c r="F107" s="947">
        <f t="shared" si="21"/>
        <v>0</v>
      </c>
      <c r="G107" s="947">
        <f>IF(M106&lt;0.01,0,IF($F$19=$U$4,$G$19,IF(AND($F$21=1,$F$19=$U$2),M106*Adm!$U$4,IF(AND($F$21=2,$F$19=$U$2),M106*Adm!$U$5,IF(AND($F$21=1,$F$19=$U$3),M106*Adm!$V$4,IF(AND($F$21=2,$F$19=$U$3),M106*Adm!$V$5,0))))))</f>
        <v>0</v>
      </c>
      <c r="H107" s="947">
        <f>IF(M106&lt;0.01,0,IF($F$20=$V$3,0,IF(OR($F$10=$T$16,$F$10=$T$17),0,IF($F$10=$T$13,0,$F$11*Adm!$AA$3))))</f>
        <v>0</v>
      </c>
      <c r="I107" s="947">
        <f t="shared" si="14"/>
        <v>0</v>
      </c>
      <c r="J107" s="947">
        <f t="shared" si="22"/>
        <v>0</v>
      </c>
      <c r="K107" s="947">
        <f t="shared" ref="K107:K170" si="28">IF(M106&lt;0.01,0,F107+G107+H107+I107+J107)</f>
        <v>0</v>
      </c>
      <c r="L107" s="947">
        <f t="shared" si="23"/>
        <v>0</v>
      </c>
      <c r="M107" s="947">
        <f t="shared" ref="M107:M170" si="29">IF(M106&lt;0.001,0,+M106-E107-L107-N107)</f>
        <v>0</v>
      </c>
      <c r="N107" s="946"/>
      <c r="P107" s="733"/>
      <c r="Q107" s="733"/>
      <c r="R107" s="733"/>
      <c r="S107" s="785">
        <f t="shared" ref="S107:S170" si="30">IF(S106=12,1,S106+1)</f>
        <v>6</v>
      </c>
      <c r="T107" s="786">
        <f t="shared" si="15"/>
        <v>0</v>
      </c>
      <c r="W107" s="790">
        <f t="shared" si="16"/>
        <v>0</v>
      </c>
      <c r="X107" s="818">
        <f t="shared" ref="X107:X170" ca="1" si="31">IF(MOD(A107,2)=0,W107*0.05*2,0)</f>
        <v>0</v>
      </c>
      <c r="Z107" s="843">
        <f t="shared" si="17"/>
        <v>0</v>
      </c>
      <c r="AA107" s="792">
        <f t="shared" si="18"/>
        <v>0</v>
      </c>
      <c r="AB107" s="792">
        <f t="shared" si="19"/>
        <v>0</v>
      </c>
      <c r="AC107" s="789">
        <f t="shared" ref="AC107:AC170" si="32">IF(AND(AD107&gt;0.01,$Z$38=2),AD107,0)</f>
        <v>0</v>
      </c>
      <c r="AD107" s="789">
        <f t="shared" si="24"/>
        <v>0</v>
      </c>
      <c r="AE107" s="828" t="e">
        <f>HLOOKUP($AE$39,anticipado,67,0)</f>
        <v>#N/A</v>
      </c>
      <c r="AF107" s="827"/>
      <c r="AG107" s="614">
        <v>3.8673126894703904E-3</v>
      </c>
      <c r="AH107" s="615">
        <v>3.6852243138801666E-3</v>
      </c>
      <c r="AI107" s="616">
        <v>3.5446184634398857E-3</v>
      </c>
      <c r="AJ107" s="616">
        <v>3.948496881050317E-3</v>
      </c>
      <c r="AK107" s="617">
        <v>3.8673126894703904E-3</v>
      </c>
      <c r="AL107" s="617">
        <v>3.6852243138801666E-3</v>
      </c>
      <c r="AM107" s="617">
        <v>4.1022581776222035E-3</v>
      </c>
      <c r="AN107" s="617">
        <v>3.9867128986073004E-3</v>
      </c>
      <c r="AO107" s="617">
        <v>3.9063237549586353E-3</v>
      </c>
      <c r="AP107" s="617">
        <v>4.2324839417378964E-3</v>
      </c>
      <c r="AQ107" s="617">
        <v>4.1022581776222035E-3</v>
      </c>
      <c r="AR107" s="618">
        <v>3.9731928257863876E-3</v>
      </c>
      <c r="AS107" s="618">
        <v>1.7585527169841284E-3</v>
      </c>
      <c r="AT107" s="618">
        <v>1.6758482366252343E-3</v>
      </c>
      <c r="AU107" s="618">
        <v>1.5335401020549558E-3</v>
      </c>
      <c r="AV107" s="618">
        <v>1.8952780201633278E-3</v>
      </c>
      <c r="AW107" s="618">
        <v>1.7585527169841284E-3</v>
      </c>
      <c r="AX107" s="618">
        <v>1.6381067967770205E-3</v>
      </c>
      <c r="AY107" s="618">
        <v>1.9850479722284199E-3</v>
      </c>
      <c r="AZ107" s="618">
        <v>1.912693363846353E-3</v>
      </c>
      <c r="BA107" s="618">
        <v>1.7619863041106252E-3</v>
      </c>
      <c r="BB107" s="618">
        <v>2.0972338658901881E-3</v>
      </c>
      <c r="BC107" s="617">
        <v>2.0309438778513848E-3</v>
      </c>
      <c r="BD107" s="617">
        <v>1.9260025660245426E-3</v>
      </c>
      <c r="BE107" s="617">
        <v>4.0353474070364513E-3</v>
      </c>
      <c r="BF107" s="617">
        <v>3.6712460113569024E-3</v>
      </c>
      <c r="BG107" s="617">
        <v>2.1884954794396706E-3</v>
      </c>
      <c r="BH107" s="617">
        <v>2.0018918289829032E-3</v>
      </c>
      <c r="BI107" s="617"/>
      <c r="BJ107" s="617"/>
      <c r="BK107" s="617"/>
      <c r="BL107" s="617"/>
      <c r="BM107" s="617"/>
      <c r="BN107" s="617"/>
      <c r="BO107" s="617"/>
      <c r="BP107" s="617"/>
      <c r="BQ107" s="617"/>
      <c r="BR107" s="617"/>
      <c r="BS107" s="617"/>
      <c r="BT107" s="617"/>
      <c r="BU107" s="617"/>
      <c r="BV107" s="617"/>
      <c r="BW107" s="617"/>
      <c r="BX107" s="617"/>
      <c r="BY107" s="617"/>
      <c r="BZ107" s="617"/>
      <c r="CA107" s="617"/>
      <c r="CB107" s="617"/>
      <c r="CC107" s="617"/>
      <c r="CD107" s="617"/>
      <c r="CE107" s="617"/>
      <c r="CF107" s="617"/>
      <c r="CG107" s="617"/>
      <c r="CH107" s="617"/>
      <c r="CI107" s="617"/>
      <c r="CJ107" s="617"/>
    </row>
    <row r="108" spans="1:88">
      <c r="A108" s="151">
        <f t="shared" ca="1" si="25"/>
        <v>6</v>
      </c>
      <c r="B108" s="784">
        <f t="shared" si="26"/>
        <v>0</v>
      </c>
      <c r="C108" s="944">
        <f t="shared" ref="C108:C171" si="33">IF(M107&lt;0.01,0,C107+1)</f>
        <v>0</v>
      </c>
      <c r="D108" s="947">
        <f t="shared" si="27"/>
        <v>0</v>
      </c>
      <c r="E108" s="947">
        <f t="shared" si="20"/>
        <v>0</v>
      </c>
      <c r="F108" s="947">
        <f t="shared" si="21"/>
        <v>0</v>
      </c>
      <c r="G108" s="947">
        <f>IF(M107&lt;0.01,0,IF($F$19=$U$4,$G$19,IF(AND($F$21=1,$F$19=$U$2),M107*Adm!$U$4,IF(AND($F$21=2,$F$19=$U$2),M107*Adm!$U$5,IF(AND($F$21=1,$F$19=$U$3),M107*Adm!$V$4,IF(AND($F$21=2,$F$19=$U$3),M107*Adm!$V$5,0))))))</f>
        <v>0</v>
      </c>
      <c r="H108" s="947">
        <f>IF(M107&lt;0.01,0,IF($F$20=$V$3,0,IF(OR($F$10=$T$16,$F$10=$T$17),0,IF($F$10=$T$13,0,$F$11*Adm!$AA$3))))</f>
        <v>0</v>
      </c>
      <c r="I108" s="947">
        <f t="shared" ref="I108:I171" si="34">IF(M107&lt;0.01,0,I107)</f>
        <v>0</v>
      </c>
      <c r="J108" s="947">
        <f t="shared" si="22"/>
        <v>0</v>
      </c>
      <c r="K108" s="947">
        <f t="shared" si="28"/>
        <v>0</v>
      </c>
      <c r="L108" s="947">
        <f t="shared" si="23"/>
        <v>0</v>
      </c>
      <c r="M108" s="947">
        <f t="shared" si="29"/>
        <v>0</v>
      </c>
      <c r="N108" s="946"/>
      <c r="P108" s="733"/>
      <c r="Q108" s="733"/>
      <c r="R108" s="733"/>
      <c r="S108" s="785">
        <f t="shared" si="30"/>
        <v>7</v>
      </c>
      <c r="T108" s="786">
        <f t="shared" ref="T108:T171" si="35">IF(S108=1,$F$17,0)</f>
        <v>0</v>
      </c>
      <c r="W108" s="790">
        <f t="shared" ref="W108:W171" si="36">W107</f>
        <v>0</v>
      </c>
      <c r="X108" s="818">
        <f t="shared" ca="1" si="31"/>
        <v>0</v>
      </c>
      <c r="Z108" s="843">
        <f t="shared" ref="Z108:Z171" si="37">IF(AA108&gt;1,AA108,IF(AC108&gt;1,AC108,0))</f>
        <v>0</v>
      </c>
      <c r="AA108" s="792">
        <f t="shared" ref="AA108:AA171" si="38">IF(AND(OR($AB$38=1,$AB$38=3),N107&gt;0.1),AB108,0)</f>
        <v>0</v>
      </c>
      <c r="AB108" s="792">
        <f t="shared" ref="AB108:AB171" si="39">IF(AND($AB$38=1,$Z$38=2),PMT($F$14/12,B107,-M107),0)</f>
        <v>0</v>
      </c>
      <c r="AC108" s="789">
        <f t="shared" si="32"/>
        <v>0</v>
      </c>
      <c r="AD108" s="789">
        <f t="shared" si="24"/>
        <v>0</v>
      </c>
      <c r="AE108" s="828" t="e">
        <f>HLOOKUP($AE$39,anticipado,68,0)</f>
        <v>#N/A</v>
      </c>
      <c r="AF108" s="827"/>
      <c r="AG108" s="614">
        <v>3.9158119305858054E-3</v>
      </c>
      <c r="AH108" s="615">
        <v>3.7324225388183562E-3</v>
      </c>
      <c r="AI108" s="616">
        <v>3.5906950594878596E-3</v>
      </c>
      <c r="AJ108" s="616">
        <v>3.9971508552701825E-3</v>
      </c>
      <c r="AK108" s="617">
        <v>3.9158119305858054E-3</v>
      </c>
      <c r="AL108" s="617">
        <v>3.7324225388183562E-3</v>
      </c>
      <c r="AM108" s="617">
        <v>4.151766004237503E-3</v>
      </c>
      <c r="AN108" s="617">
        <v>4.0358258494211843E-3</v>
      </c>
      <c r="AO108" s="617">
        <v>3.9553037307769748E-3</v>
      </c>
      <c r="AP108" s="617">
        <v>4.2828838689934895E-3</v>
      </c>
      <c r="AQ108" s="617">
        <v>4.151766004237503E-3</v>
      </c>
      <c r="AR108" s="618">
        <v>4.0219184140475031E-3</v>
      </c>
      <c r="AS108" s="618">
        <v>1.7776376524142267E-3</v>
      </c>
      <c r="AT108" s="618">
        <v>1.6944548245812997E-3</v>
      </c>
      <c r="AU108" s="618">
        <v>1.5511136235106487E-3</v>
      </c>
      <c r="AV108" s="618">
        <v>1.9152547332862478E-3</v>
      </c>
      <c r="AW108" s="618">
        <v>1.7776376524142267E-3</v>
      </c>
      <c r="AX108" s="618">
        <v>1.656368468903306E-3</v>
      </c>
      <c r="AY108" s="618">
        <v>2.0054717438836018E-3</v>
      </c>
      <c r="AZ108" s="618">
        <v>1.9328075166634138E-3</v>
      </c>
      <c r="BA108" s="618">
        <v>1.7811881750859789E-3</v>
      </c>
      <c r="BB108" s="618">
        <v>2.1182794948224489E-3</v>
      </c>
      <c r="BC108" s="617">
        <v>2.0515950467265916E-3</v>
      </c>
      <c r="BD108" s="617">
        <v>1.9461218234615354E-3</v>
      </c>
      <c r="BE108" s="617">
        <v>4.084583691029986E-3</v>
      </c>
      <c r="BF108" s="617">
        <v>3.7183665759545096E-3</v>
      </c>
      <c r="BG108" s="617">
        <v>2.2100193748818011E-3</v>
      </c>
      <c r="BH108" s="617">
        <v>2.0224394591680252E-3</v>
      </c>
      <c r="BI108" s="617"/>
      <c r="BJ108" s="617"/>
      <c r="BK108" s="617"/>
      <c r="BL108" s="617"/>
      <c r="BM108" s="617"/>
      <c r="BN108" s="617"/>
      <c r="BO108" s="617"/>
      <c r="BP108" s="617"/>
      <c r="BQ108" s="617"/>
      <c r="BR108" s="617"/>
      <c r="BS108" s="617"/>
      <c r="BT108" s="617"/>
      <c r="BU108" s="617"/>
      <c r="BV108" s="617"/>
      <c r="BW108" s="617"/>
      <c r="BX108" s="617"/>
      <c r="BY108" s="617"/>
      <c r="BZ108" s="617"/>
      <c r="CA108" s="617"/>
      <c r="CB108" s="617"/>
      <c r="CC108" s="617"/>
      <c r="CD108" s="617"/>
      <c r="CE108" s="617"/>
      <c r="CF108" s="617"/>
      <c r="CG108" s="617"/>
      <c r="CH108" s="617"/>
      <c r="CI108" s="617"/>
      <c r="CJ108" s="617"/>
    </row>
    <row r="109" spans="1:88">
      <c r="A109" s="151">
        <f t="shared" ca="1" si="25"/>
        <v>7</v>
      </c>
      <c r="B109" s="784">
        <f t="shared" si="26"/>
        <v>0</v>
      </c>
      <c r="C109" s="944">
        <f t="shared" si="33"/>
        <v>0</v>
      </c>
      <c r="D109" s="947">
        <f t="shared" si="27"/>
        <v>0</v>
      </c>
      <c r="E109" s="947">
        <f t="shared" si="20"/>
        <v>0</v>
      </c>
      <c r="F109" s="947">
        <f t="shared" si="21"/>
        <v>0</v>
      </c>
      <c r="G109" s="947">
        <f>IF(M108&lt;0.01,0,IF($F$19=$U$4,$G$19,IF(AND($F$21=1,$F$19=$U$2),M108*Adm!$U$4,IF(AND($F$21=2,$F$19=$U$2),M108*Adm!$U$5,IF(AND($F$21=1,$F$19=$U$3),M108*Adm!$V$4,IF(AND($F$21=2,$F$19=$U$3),M108*Adm!$V$5,0))))))</f>
        <v>0</v>
      </c>
      <c r="H109" s="947">
        <f>IF(M108&lt;0.01,0,IF($F$20=$V$3,0,IF(OR($F$10=$T$16,$F$10=$T$17),0,IF($F$10=$T$13,0,$F$11*Adm!$AA$3))))</f>
        <v>0</v>
      </c>
      <c r="I109" s="947">
        <f t="shared" si="34"/>
        <v>0</v>
      </c>
      <c r="J109" s="947">
        <f t="shared" si="22"/>
        <v>0</v>
      </c>
      <c r="K109" s="947">
        <f t="shared" si="28"/>
        <v>0</v>
      </c>
      <c r="L109" s="947">
        <f t="shared" si="23"/>
        <v>0</v>
      </c>
      <c r="M109" s="947">
        <f t="shared" si="29"/>
        <v>0</v>
      </c>
      <c r="N109" s="946"/>
      <c r="P109" s="733"/>
      <c r="Q109" s="733"/>
      <c r="R109" s="733"/>
      <c r="S109" s="785">
        <f t="shared" si="30"/>
        <v>8</v>
      </c>
      <c r="T109" s="786">
        <f t="shared" si="35"/>
        <v>0</v>
      </c>
      <c r="W109" s="790">
        <f t="shared" si="36"/>
        <v>0</v>
      </c>
      <c r="X109" s="818">
        <f t="shared" ca="1" si="31"/>
        <v>0</v>
      </c>
      <c r="Z109" s="843">
        <f t="shared" si="37"/>
        <v>0</v>
      </c>
      <c r="AA109" s="792">
        <f t="shared" si="38"/>
        <v>0</v>
      </c>
      <c r="AB109" s="792">
        <f t="shared" si="39"/>
        <v>0</v>
      </c>
      <c r="AC109" s="789">
        <f t="shared" si="32"/>
        <v>0</v>
      </c>
      <c r="AD109" s="789">
        <f t="shared" si="24"/>
        <v>0</v>
      </c>
      <c r="AE109" s="828" t="e">
        <f>HLOOKUP($AE$39,anticipado,69,0)</f>
        <v>#N/A</v>
      </c>
      <c r="AF109" s="827"/>
      <c r="AG109" s="614">
        <v>3.9651124430979063E-3</v>
      </c>
      <c r="AH109" s="615">
        <v>3.7804043397215567E-3</v>
      </c>
      <c r="AI109" s="616">
        <v>3.6375388081329326E-3</v>
      </c>
      <c r="AJ109" s="616">
        <v>4.0466020148448812E-3</v>
      </c>
      <c r="AK109" s="617">
        <v>3.9651124430979063E-3</v>
      </c>
      <c r="AL109" s="617">
        <v>3.7804043397215567E-3</v>
      </c>
      <c r="AM109" s="617">
        <v>4.2020802055153864E-3</v>
      </c>
      <c r="AN109" s="617">
        <v>4.0857452966897552E-3</v>
      </c>
      <c r="AO109" s="617">
        <v>4.0050947874878777E-3</v>
      </c>
      <c r="AP109" s="617">
        <v>4.3341033196890128E-3</v>
      </c>
      <c r="AQ109" s="617">
        <v>4.2020802055153864E-3</v>
      </c>
      <c r="AR109" s="618">
        <v>4.071440727409884E-3</v>
      </c>
      <c r="AS109" s="618">
        <v>1.7969640650920306E-3</v>
      </c>
      <c r="AT109" s="618">
        <v>1.7132999297211039E-3</v>
      </c>
      <c r="AU109" s="618">
        <v>1.5689161415315411E-3</v>
      </c>
      <c r="AV109" s="618">
        <v>1.9354807440170047E-3</v>
      </c>
      <c r="AW109" s="618">
        <v>1.7969640650920306E-3</v>
      </c>
      <c r="AX109" s="618">
        <v>1.6748643588009222E-3</v>
      </c>
      <c r="AY109" s="618">
        <v>2.0261471156180961E-3</v>
      </c>
      <c r="AZ109" s="618">
        <v>1.953172554442674E-3</v>
      </c>
      <c r="BA109" s="618">
        <v>1.8006339418336985E-3</v>
      </c>
      <c r="BB109" s="618">
        <v>2.1395814389794853E-3</v>
      </c>
      <c r="BC109" s="617">
        <v>2.0724990887206209E-3</v>
      </c>
      <c r="BD109" s="617">
        <v>1.9664908897972307E-3</v>
      </c>
      <c r="BE109" s="617">
        <v>4.1346251176462394E-3</v>
      </c>
      <c r="BF109" s="617">
        <v>3.7662700572689287E-3</v>
      </c>
      <c r="BG109" s="617">
        <v>2.2318031007087626E-3</v>
      </c>
      <c r="BH109" s="617">
        <v>2.0432400603666396E-3</v>
      </c>
      <c r="BI109" s="617"/>
      <c r="BJ109" s="617"/>
      <c r="BK109" s="617"/>
      <c r="BL109" s="617"/>
      <c r="BM109" s="617"/>
      <c r="BN109" s="617"/>
      <c r="BO109" s="617"/>
      <c r="BP109" s="617"/>
      <c r="BQ109" s="617"/>
      <c r="BR109" s="617"/>
      <c r="BS109" s="617"/>
      <c r="BT109" s="617"/>
      <c r="BU109" s="617"/>
      <c r="BV109" s="617"/>
      <c r="BW109" s="617"/>
      <c r="BX109" s="617"/>
      <c r="BY109" s="617"/>
      <c r="BZ109" s="617"/>
      <c r="CA109" s="617"/>
      <c r="CB109" s="617"/>
      <c r="CC109" s="617"/>
      <c r="CD109" s="617"/>
      <c r="CE109" s="617"/>
      <c r="CF109" s="617"/>
      <c r="CG109" s="617"/>
      <c r="CH109" s="617"/>
      <c r="CI109" s="617"/>
      <c r="CJ109" s="617"/>
    </row>
    <row r="110" spans="1:88">
      <c r="A110" s="151">
        <f t="shared" ca="1" si="25"/>
        <v>8</v>
      </c>
      <c r="B110" s="784">
        <f t="shared" si="26"/>
        <v>0</v>
      </c>
      <c r="C110" s="944">
        <f t="shared" si="33"/>
        <v>0</v>
      </c>
      <c r="D110" s="947">
        <f t="shared" si="27"/>
        <v>0</v>
      </c>
      <c r="E110" s="947">
        <f t="shared" si="20"/>
        <v>0</v>
      </c>
      <c r="F110" s="947">
        <f t="shared" si="21"/>
        <v>0</v>
      </c>
      <c r="G110" s="947">
        <f>IF(M109&lt;0.01,0,IF($F$19=$U$4,$G$19,IF(AND($F$21=1,$F$19=$U$2),M109*Adm!$U$4,IF(AND($F$21=2,$F$19=$U$2),M109*Adm!$U$5,IF(AND($F$21=1,$F$19=$U$3),M109*Adm!$V$4,IF(AND($F$21=2,$F$19=$U$3),M109*Adm!$V$5,0))))))</f>
        <v>0</v>
      </c>
      <c r="H110" s="947">
        <f>IF(M109&lt;0.01,0,IF($F$20=$V$3,0,IF(OR($F$10=$T$16,$F$10=$T$17),0,IF($F$10=$T$13,0,$F$11*Adm!$AA$3))))</f>
        <v>0</v>
      </c>
      <c r="I110" s="947">
        <f t="shared" si="34"/>
        <v>0</v>
      </c>
      <c r="J110" s="947">
        <f t="shared" si="22"/>
        <v>0</v>
      </c>
      <c r="K110" s="947">
        <f t="shared" si="28"/>
        <v>0</v>
      </c>
      <c r="L110" s="947">
        <f t="shared" si="23"/>
        <v>0</v>
      </c>
      <c r="M110" s="947">
        <f t="shared" si="29"/>
        <v>0</v>
      </c>
      <c r="N110" s="946"/>
      <c r="P110" s="733"/>
      <c r="Q110" s="733"/>
      <c r="R110" s="733"/>
      <c r="S110" s="785">
        <f t="shared" si="30"/>
        <v>9</v>
      </c>
      <c r="T110" s="786">
        <f t="shared" si="35"/>
        <v>0</v>
      </c>
      <c r="W110" s="790">
        <f t="shared" si="36"/>
        <v>0</v>
      </c>
      <c r="X110" s="818">
        <f t="shared" ca="1" si="31"/>
        <v>0</v>
      </c>
      <c r="Z110" s="843">
        <f t="shared" si="37"/>
        <v>0</v>
      </c>
      <c r="AA110" s="792">
        <f t="shared" si="38"/>
        <v>0</v>
      </c>
      <c r="AB110" s="792">
        <f t="shared" si="39"/>
        <v>0</v>
      </c>
      <c r="AC110" s="789">
        <f t="shared" si="32"/>
        <v>0</v>
      </c>
      <c r="AD110" s="789">
        <f t="shared" si="24"/>
        <v>0</v>
      </c>
      <c r="AE110" s="828" t="e">
        <f>HLOOKUP($AE$39,anticipado,70,0)</f>
        <v>#N/A</v>
      </c>
      <c r="AF110" s="827"/>
      <c r="AG110" s="614">
        <v>4.0152323858145475E-3</v>
      </c>
      <c r="AH110" s="615">
        <v>3.8291873857150935E-3</v>
      </c>
      <c r="AI110" s="616">
        <v>3.6851669234512856E-3</v>
      </c>
      <c r="AJ110" s="616">
        <v>4.0968683724288907E-3</v>
      </c>
      <c r="AK110" s="617">
        <v>4.0152323858145475E-3</v>
      </c>
      <c r="AL110" s="617">
        <v>3.8291873857150935E-3</v>
      </c>
      <c r="AM110" s="617">
        <v>4.2532190413524396E-3</v>
      </c>
      <c r="AN110" s="617">
        <v>4.1364895295374488E-3</v>
      </c>
      <c r="AO110" s="617">
        <v>4.0557153755907951E-3</v>
      </c>
      <c r="AP110" s="617">
        <v>4.3861609321583991E-3</v>
      </c>
      <c r="AQ110" s="617">
        <v>4.2532190413524396E-3</v>
      </c>
      <c r="AR110" s="618">
        <v>4.1217777585738783E-3</v>
      </c>
      <c r="AS110" s="618">
        <v>1.8165357634726547E-3</v>
      </c>
      <c r="AT110" s="618">
        <v>1.7323873256431727E-3</v>
      </c>
      <c r="AU110" s="618">
        <v>1.5869512791115063E-3</v>
      </c>
      <c r="AV110" s="618">
        <v>1.9559599883276269E-3</v>
      </c>
      <c r="AW110" s="618">
        <v>1.8165357634726547E-3</v>
      </c>
      <c r="AX110" s="618">
        <v>1.6935981602031957E-3</v>
      </c>
      <c r="AY110" s="618">
        <v>2.0470780488432414E-3</v>
      </c>
      <c r="AZ110" s="618">
        <v>1.9737924427623453E-3</v>
      </c>
      <c r="BA110" s="618">
        <v>1.8203274646882523E-3</v>
      </c>
      <c r="BB110" s="618">
        <v>2.1611437350605753E-3</v>
      </c>
      <c r="BC110" s="617">
        <v>2.0936599813942661E-3</v>
      </c>
      <c r="BD110" s="617">
        <v>1.9871137033551471E-3</v>
      </c>
      <c r="BE110" s="617">
        <v>4.1854899232842673E-3</v>
      </c>
      <c r="BF110" s="617">
        <v>3.8149741087125976E-3</v>
      </c>
      <c r="BG110" s="617">
        <v>2.253850750445045E-3</v>
      </c>
      <c r="BH110" s="617">
        <v>2.0642976194567568E-3</v>
      </c>
      <c r="BI110" s="617"/>
      <c r="BJ110" s="617"/>
      <c r="BK110" s="617"/>
      <c r="BL110" s="617"/>
      <c r="BM110" s="617"/>
      <c r="BN110" s="617"/>
      <c r="BO110" s="617"/>
      <c r="BP110" s="617"/>
      <c r="BQ110" s="617"/>
      <c r="BR110" s="617"/>
      <c r="BS110" s="617"/>
      <c r="BT110" s="617"/>
      <c r="BU110" s="617"/>
      <c r="BV110" s="617"/>
      <c r="BW110" s="617"/>
      <c r="BX110" s="617"/>
      <c r="BY110" s="617"/>
      <c r="BZ110" s="617"/>
      <c r="CA110" s="617"/>
      <c r="CB110" s="617"/>
      <c r="CC110" s="617"/>
      <c r="CD110" s="617"/>
      <c r="CE110" s="617"/>
      <c r="CF110" s="617"/>
      <c r="CG110" s="617"/>
      <c r="CH110" s="617"/>
      <c r="CI110" s="617"/>
      <c r="CJ110" s="617"/>
    </row>
    <row r="111" spans="1:88">
      <c r="A111" s="151">
        <f t="shared" ca="1" si="25"/>
        <v>9</v>
      </c>
      <c r="B111" s="784">
        <f t="shared" si="26"/>
        <v>0</v>
      </c>
      <c r="C111" s="944">
        <f t="shared" si="33"/>
        <v>0</v>
      </c>
      <c r="D111" s="947">
        <f t="shared" si="27"/>
        <v>0</v>
      </c>
      <c r="E111" s="947">
        <f t="shared" si="20"/>
        <v>0</v>
      </c>
      <c r="F111" s="947">
        <f t="shared" si="21"/>
        <v>0</v>
      </c>
      <c r="G111" s="947">
        <f>IF(M110&lt;0.01,0,IF($F$19=$U$4,$G$19,IF(AND($F$21=1,$F$19=$U$2),M110*Adm!$U$4,IF(AND($F$21=2,$F$19=$U$2),M110*Adm!$U$5,IF(AND($F$21=1,$F$19=$U$3),M110*Adm!$V$4,IF(AND($F$21=2,$F$19=$U$3),M110*Adm!$V$5,0))))))</f>
        <v>0</v>
      </c>
      <c r="H111" s="947">
        <f>IF(M110&lt;0.01,0,IF($F$20=$V$3,0,IF(OR($F$10=$T$16,$F$10=$T$17),0,IF($F$10=$T$13,0,$F$11*Adm!$AA$3))))</f>
        <v>0</v>
      </c>
      <c r="I111" s="947">
        <f t="shared" si="34"/>
        <v>0</v>
      </c>
      <c r="J111" s="947">
        <f t="shared" si="22"/>
        <v>0</v>
      </c>
      <c r="K111" s="947">
        <f t="shared" si="28"/>
        <v>0</v>
      </c>
      <c r="L111" s="947">
        <f t="shared" si="23"/>
        <v>0</v>
      </c>
      <c r="M111" s="947">
        <f t="shared" si="29"/>
        <v>0</v>
      </c>
      <c r="N111" s="946"/>
      <c r="P111" s="733"/>
      <c r="Q111" s="733"/>
      <c r="R111" s="733"/>
      <c r="S111" s="785">
        <f t="shared" si="30"/>
        <v>10</v>
      </c>
      <c r="T111" s="786">
        <f t="shared" si="35"/>
        <v>0</v>
      </c>
      <c r="W111" s="790">
        <f t="shared" si="36"/>
        <v>0</v>
      </c>
      <c r="X111" s="818">
        <f t="shared" ca="1" si="31"/>
        <v>0</v>
      </c>
      <c r="Z111" s="843">
        <f t="shared" si="37"/>
        <v>0</v>
      </c>
      <c r="AA111" s="792">
        <f t="shared" si="38"/>
        <v>0</v>
      </c>
      <c r="AB111" s="792">
        <f t="shared" si="39"/>
        <v>0</v>
      </c>
      <c r="AC111" s="789">
        <f t="shared" si="32"/>
        <v>0</v>
      </c>
      <c r="AD111" s="789">
        <f t="shared" si="24"/>
        <v>0</v>
      </c>
      <c r="AE111" s="828" t="e">
        <f>HLOOKUP($AE$39,anticipado,71,0)</f>
        <v>#N/A</v>
      </c>
      <c r="AF111" s="827"/>
      <c r="AG111" s="614">
        <v>4.0661904647832873E-3</v>
      </c>
      <c r="AH111" s="615">
        <v>3.8787898744997332E-3</v>
      </c>
      <c r="AI111" s="616">
        <v>3.733597130908406E-3</v>
      </c>
      <c r="AJ111" s="616">
        <v>4.1479684825152085E-3</v>
      </c>
      <c r="AK111" s="617">
        <v>4.0661904647832873E-3</v>
      </c>
      <c r="AL111" s="617">
        <v>3.8787898744997332E-3</v>
      </c>
      <c r="AM111" s="617">
        <v>4.3052013230070151E-3</v>
      </c>
      <c r="AN111" s="617">
        <v>4.1880773894106401E-3</v>
      </c>
      <c r="AO111" s="617">
        <v>4.1071845039075024E-3</v>
      </c>
      <c r="AP111" s="617">
        <v>4.4390759106000656E-3</v>
      </c>
      <c r="AQ111" s="617">
        <v>4.3052013230070151E-3</v>
      </c>
      <c r="AR111" s="618">
        <v>4.1729480413586813E-3</v>
      </c>
      <c r="AS111" s="618">
        <v>1.8363566330245474E-3</v>
      </c>
      <c r="AT111" s="618">
        <v>1.7517208620848048E-3</v>
      </c>
      <c r="AU111" s="618">
        <v>1.6052227316359308E-3</v>
      </c>
      <c r="AV111" s="618">
        <v>1.9766964824557043E-3</v>
      </c>
      <c r="AW111" s="618">
        <v>1.8363566330245474E-3</v>
      </c>
      <c r="AX111" s="618">
        <v>1.7125736409746904E-3</v>
      </c>
      <c r="AY111" s="618">
        <v>2.0682685859024718E-3</v>
      </c>
      <c r="AZ111" s="618">
        <v>1.994671228225455E-3</v>
      </c>
      <c r="BA111" s="618">
        <v>1.8402726823141277E-3</v>
      </c>
      <c r="BB111" s="618">
        <v>2.1829705026554405E-3</v>
      </c>
      <c r="BC111" s="617">
        <v>2.1150817836644168E-3</v>
      </c>
      <c r="BD111" s="617">
        <v>2.0079942827892546E-3</v>
      </c>
      <c r="BE111" s="617">
        <v>4.2371968947341387E-3</v>
      </c>
      <c r="BF111" s="617">
        <v>3.8644969116648957E-3</v>
      </c>
      <c r="BG111" s="617">
        <v>2.2761665019958499E-3</v>
      </c>
      <c r="BH111" s="617">
        <v>2.0856162049039955E-3</v>
      </c>
      <c r="BI111" s="617"/>
      <c r="BJ111" s="617"/>
      <c r="BK111" s="617"/>
      <c r="BL111" s="617"/>
      <c r="BM111" s="617"/>
      <c r="BN111" s="617"/>
      <c r="BO111" s="617"/>
      <c r="BP111" s="617"/>
      <c r="BQ111" s="617"/>
      <c r="BR111" s="617"/>
      <c r="BS111" s="617"/>
      <c r="BT111" s="617"/>
      <c r="BU111" s="617"/>
      <c r="BV111" s="617"/>
      <c r="BW111" s="617"/>
      <c r="BX111" s="617"/>
      <c r="BY111" s="617"/>
      <c r="BZ111" s="617"/>
      <c r="CA111" s="617"/>
      <c r="CB111" s="617"/>
      <c r="CC111" s="617"/>
      <c r="CD111" s="617"/>
      <c r="CE111" s="617"/>
      <c r="CF111" s="617"/>
      <c r="CG111" s="617"/>
      <c r="CH111" s="617"/>
      <c r="CI111" s="617"/>
      <c r="CJ111" s="617"/>
    </row>
    <row r="112" spans="1:88">
      <c r="A112" s="151">
        <f t="shared" ca="1" si="25"/>
        <v>10</v>
      </c>
      <c r="B112" s="784">
        <f t="shared" si="26"/>
        <v>0</v>
      </c>
      <c r="C112" s="944">
        <f t="shared" si="33"/>
        <v>0</v>
      </c>
      <c r="D112" s="947">
        <f t="shared" si="27"/>
        <v>0</v>
      </c>
      <c r="E112" s="947">
        <f t="shared" si="20"/>
        <v>0</v>
      </c>
      <c r="F112" s="947">
        <f t="shared" si="21"/>
        <v>0</v>
      </c>
      <c r="G112" s="947">
        <f>IF(M111&lt;0.01,0,IF($F$19=$U$4,$G$19,IF(AND($F$21=1,$F$19=$U$2),M111*Adm!$U$4,IF(AND($F$21=2,$F$19=$U$2),M111*Adm!$U$5,IF(AND($F$21=1,$F$19=$U$3),M111*Adm!$V$4,IF(AND($F$21=2,$F$19=$U$3),M111*Adm!$V$5,0))))))</f>
        <v>0</v>
      </c>
      <c r="H112" s="947">
        <f>IF(M111&lt;0.01,0,IF($F$20=$V$3,0,IF(OR($F$10=$T$16,$F$10=$T$17),0,IF($F$10=$T$13,0,$F$11*Adm!$AA$3))))</f>
        <v>0</v>
      </c>
      <c r="I112" s="947">
        <f t="shared" si="34"/>
        <v>0</v>
      </c>
      <c r="J112" s="947">
        <f t="shared" si="22"/>
        <v>0</v>
      </c>
      <c r="K112" s="947">
        <f t="shared" si="28"/>
        <v>0</v>
      </c>
      <c r="L112" s="947">
        <f t="shared" si="23"/>
        <v>0</v>
      </c>
      <c r="M112" s="947">
        <f t="shared" si="29"/>
        <v>0</v>
      </c>
      <c r="N112" s="946"/>
      <c r="P112" s="733"/>
      <c r="Q112" s="733"/>
      <c r="R112" s="733"/>
      <c r="S112" s="785">
        <f t="shared" si="30"/>
        <v>11</v>
      </c>
      <c r="T112" s="786">
        <f t="shared" si="35"/>
        <v>0</v>
      </c>
      <c r="W112" s="790">
        <f t="shared" si="36"/>
        <v>0</v>
      </c>
      <c r="X112" s="818">
        <f t="shared" ca="1" si="31"/>
        <v>0</v>
      </c>
      <c r="Z112" s="843">
        <f t="shared" si="37"/>
        <v>0</v>
      </c>
      <c r="AA112" s="792">
        <f t="shared" si="38"/>
        <v>0</v>
      </c>
      <c r="AB112" s="792">
        <f t="shared" si="39"/>
        <v>0</v>
      </c>
      <c r="AC112" s="789">
        <f t="shared" si="32"/>
        <v>0</v>
      </c>
      <c r="AD112" s="789">
        <f t="shared" si="24"/>
        <v>0</v>
      </c>
      <c r="AE112" s="828" t="e">
        <f>HLOOKUP($AE$39,anticipado,72,0)</f>
        <v>#N/A</v>
      </c>
      <c r="AF112" s="827"/>
      <c r="AG112" s="614">
        <v>4.1180059540864688E-3</v>
      </c>
      <c r="AH112" s="615">
        <v>3.9292305522916201E-3</v>
      </c>
      <c r="AI112" s="616">
        <v>3.7828476865174152E-3</v>
      </c>
      <c r="AJ112" s="616">
        <v>4.1999214619855025E-3</v>
      </c>
      <c r="AK112" s="617">
        <v>4.1180059540864688E-3</v>
      </c>
      <c r="AL112" s="617">
        <v>3.9292305522916201E-3</v>
      </c>
      <c r="AM112" s="617">
        <v>4.3580464340879132E-3</v>
      </c>
      <c r="AN112" s="617">
        <v>4.2405282911080703E-3</v>
      </c>
      <c r="AO112" s="617">
        <v>4.1595217608860185E-3</v>
      </c>
      <c r="AP112" s="617">
        <v>4.4928680467341536E-3</v>
      </c>
      <c r="AQ112" s="617">
        <v>4.3580464340879132E-3</v>
      </c>
      <c r="AR112" s="618">
        <v>4.2249706712201443E-3</v>
      </c>
      <c r="AS112" s="618">
        <v>1.8564306381854267E-3</v>
      </c>
      <c r="AT112" s="618">
        <v>1.7713044668499389E-3</v>
      </c>
      <c r="AU112" s="618">
        <v>1.6237342686934676E-3</v>
      </c>
      <c r="AV112" s="618">
        <v>1.9976943249620598E-3</v>
      </c>
      <c r="AW112" s="618">
        <v>1.8564306381854267E-3</v>
      </c>
      <c r="AX112" s="618">
        <v>1.7317946449775126E-3</v>
      </c>
      <c r="AY112" s="618">
        <v>2.0897228521507098E-3</v>
      </c>
      <c r="AZ112" s="618">
        <v>2.0158130405411728E-3</v>
      </c>
      <c r="BA112" s="618">
        <v>1.8604736137020198E-3</v>
      </c>
      <c r="BB112" s="618">
        <v>2.205065946385499E-3</v>
      </c>
      <c r="BC112" s="617">
        <v>2.1367686378970809E-3</v>
      </c>
      <c r="BD112" s="617">
        <v>2.0291367291440836E-3</v>
      </c>
      <c r="BE112" s="617">
        <v>4.2897653901198861E-3</v>
      </c>
      <c r="BF112" s="617">
        <v>3.9148571953840769E-3</v>
      </c>
      <c r="BG112" s="617">
        <v>2.2987546198355458E-3</v>
      </c>
      <c r="BH112" s="617">
        <v>2.1071999688614426E-3</v>
      </c>
      <c r="BI112" s="617"/>
      <c r="BJ112" s="617"/>
      <c r="BK112" s="617"/>
      <c r="BL112" s="617"/>
      <c r="BM112" s="617"/>
      <c r="BN112" s="617"/>
      <c r="BO112" s="617"/>
      <c r="BP112" s="617"/>
      <c r="BQ112" s="617"/>
      <c r="BR112" s="617"/>
      <c r="BS112" s="617"/>
      <c r="BT112" s="617"/>
      <c r="BU112" s="617"/>
      <c r="BV112" s="617"/>
      <c r="BW112" s="617"/>
      <c r="BX112" s="617"/>
      <c r="BY112" s="617"/>
      <c r="BZ112" s="617"/>
      <c r="CA112" s="617"/>
      <c r="CB112" s="617"/>
      <c r="CC112" s="617"/>
      <c r="CD112" s="617"/>
      <c r="CE112" s="617"/>
      <c r="CF112" s="617"/>
      <c r="CG112" s="617"/>
      <c r="CH112" s="617"/>
      <c r="CI112" s="617"/>
      <c r="CJ112" s="617"/>
    </row>
    <row r="113" spans="1:88">
      <c r="A113" s="151">
        <f t="shared" ca="1" si="25"/>
        <v>11</v>
      </c>
      <c r="B113" s="784">
        <f t="shared" si="26"/>
        <v>0</v>
      </c>
      <c r="C113" s="944">
        <f t="shared" si="33"/>
        <v>0</v>
      </c>
      <c r="D113" s="947">
        <f t="shared" si="27"/>
        <v>0</v>
      </c>
      <c r="E113" s="947">
        <f t="shared" si="20"/>
        <v>0</v>
      </c>
      <c r="F113" s="947">
        <f t="shared" si="21"/>
        <v>0</v>
      </c>
      <c r="G113" s="947">
        <f>IF(M112&lt;0.01,0,IF($F$19=$U$4,$G$19,IF(AND($F$21=1,$F$19=$U$2),M112*Adm!$U$4,IF(AND($F$21=2,$F$19=$U$2),M112*Adm!$U$5,IF(AND($F$21=1,$F$19=$U$3),M112*Adm!$V$4,IF(AND($F$21=2,$F$19=$U$3),M112*Adm!$V$5,0))))))</f>
        <v>0</v>
      </c>
      <c r="H113" s="947">
        <f>IF(M112&lt;0.01,0,IF($F$20=$V$3,0,IF(OR($F$10=$T$16,$F$10=$T$17),0,IF($F$10=$T$13,0,$F$11*Adm!$AA$3))))</f>
        <v>0</v>
      </c>
      <c r="I113" s="947">
        <f t="shared" si="34"/>
        <v>0</v>
      </c>
      <c r="J113" s="947">
        <f t="shared" si="22"/>
        <v>0</v>
      </c>
      <c r="K113" s="947">
        <f t="shared" si="28"/>
        <v>0</v>
      </c>
      <c r="L113" s="947">
        <f t="shared" si="23"/>
        <v>0</v>
      </c>
      <c r="M113" s="947">
        <f t="shared" si="29"/>
        <v>0</v>
      </c>
      <c r="N113" s="946"/>
      <c r="P113" s="733"/>
      <c r="Q113" s="733"/>
      <c r="R113" s="733"/>
      <c r="S113" s="785">
        <f t="shared" si="30"/>
        <v>12</v>
      </c>
      <c r="T113" s="786">
        <f t="shared" si="35"/>
        <v>0</v>
      </c>
      <c r="W113" s="790">
        <f t="shared" si="36"/>
        <v>0</v>
      </c>
      <c r="X113" s="818">
        <f t="shared" ca="1" si="31"/>
        <v>0</v>
      </c>
      <c r="Z113" s="843">
        <f t="shared" si="37"/>
        <v>0</v>
      </c>
      <c r="AA113" s="792">
        <f t="shared" si="38"/>
        <v>0</v>
      </c>
      <c r="AB113" s="792">
        <f t="shared" si="39"/>
        <v>0</v>
      </c>
      <c r="AC113" s="789">
        <f t="shared" si="32"/>
        <v>0</v>
      </c>
      <c r="AD113" s="789">
        <f t="shared" si="24"/>
        <v>0</v>
      </c>
      <c r="AE113" s="828" t="e">
        <f>HLOOKUP($AE$39,anticipado,73,0)</f>
        <v>#N/A</v>
      </c>
      <c r="AF113" s="827"/>
      <c r="AG113" s="614">
        <v>4.1706987175922101E-3</v>
      </c>
      <c r="AH113" s="615">
        <v>3.9805287346722168E-3</v>
      </c>
      <c r="AI113" s="616">
        <v>3.8329373968656985E-3</v>
      </c>
      <c r="AJ113" s="616">
        <v>4.2527470116029576E-3</v>
      </c>
      <c r="AK113" s="617">
        <v>4.1706987175922101E-3</v>
      </c>
      <c r="AL113" s="617">
        <v>3.9805287346722168E-3</v>
      </c>
      <c r="AM113" s="617">
        <v>4.4117743525093987E-3</v>
      </c>
      <c r="AN113" s="617">
        <v>4.2938622447798586E-3</v>
      </c>
      <c r="AO113" s="617">
        <v>4.2127473368878555E-3</v>
      </c>
      <c r="AP113" s="617">
        <v>4.5475577424622885E-3</v>
      </c>
      <c r="AQ113" s="617">
        <v>4.4117743525093987E-3</v>
      </c>
      <c r="AR113" s="618">
        <v>4.2778653267095618E-3</v>
      </c>
      <c r="AS113" s="618">
        <v>1.8767618243783117E-3</v>
      </c>
      <c r="AT113" s="618">
        <v>1.7911421477960386E-3</v>
      </c>
      <c r="AU113" s="618">
        <v>1.6424897359426653E-3</v>
      </c>
      <c r="AV113" s="618">
        <v>2.0189576988521919E-3</v>
      </c>
      <c r="AW113" s="618">
        <v>1.8767618243783117E-3</v>
      </c>
      <c r="AX113" s="618">
        <v>1.7512650939944727E-3</v>
      </c>
      <c r="AY113" s="618">
        <v>2.1114450580983274E-3</v>
      </c>
      <c r="AZ113" s="618">
        <v>2.0372220946707348E-3</v>
      </c>
      <c r="BA113" s="618">
        <v>1.880934360226577E-3</v>
      </c>
      <c r="BB113" s="618">
        <v>2.2274343581119337E-3</v>
      </c>
      <c r="BC113" s="617">
        <v>2.1587247720654804E-3</v>
      </c>
      <c r="BD113" s="617">
        <v>2.0505452279786715E-3</v>
      </c>
      <c r="BE113" s="617">
        <v>4.3432153608063146E-3</v>
      </c>
      <c r="BF113" s="617">
        <v>3.9660742578276811E-3</v>
      </c>
      <c r="BG113" s="617">
        <v>2.3216194572646793E-3</v>
      </c>
      <c r="BH113" s="617">
        <v>2.1290531493347912E-3</v>
      </c>
      <c r="BI113" s="617"/>
      <c r="BJ113" s="617"/>
      <c r="BK113" s="617"/>
      <c r="BL113" s="617"/>
      <c r="BM113" s="617"/>
      <c r="BN113" s="617"/>
      <c r="BO113" s="617"/>
      <c r="BP113" s="617"/>
      <c r="BQ113" s="617"/>
      <c r="BR113" s="617"/>
      <c r="BS113" s="617"/>
      <c r="BT113" s="617"/>
      <c r="BU113" s="617"/>
      <c r="BV113" s="617"/>
      <c r="BW113" s="617"/>
      <c r="BX113" s="617"/>
      <c r="BY113" s="617"/>
      <c r="BZ113" s="617"/>
      <c r="CA113" s="617"/>
      <c r="CB113" s="617"/>
      <c r="CC113" s="617"/>
      <c r="CD113" s="617"/>
      <c r="CE113" s="617"/>
      <c r="CF113" s="617"/>
      <c r="CG113" s="617"/>
      <c r="CH113" s="617"/>
      <c r="CI113" s="617"/>
      <c r="CJ113" s="617"/>
    </row>
    <row r="114" spans="1:88">
      <c r="A114" s="151">
        <f t="shared" ca="1" si="25"/>
        <v>12</v>
      </c>
      <c r="B114" s="784">
        <f t="shared" si="26"/>
        <v>0</v>
      </c>
      <c r="C114" s="944">
        <f t="shared" si="33"/>
        <v>0</v>
      </c>
      <c r="D114" s="947">
        <f t="shared" si="27"/>
        <v>0</v>
      </c>
      <c r="E114" s="947">
        <f t="shared" si="20"/>
        <v>0</v>
      </c>
      <c r="F114" s="947">
        <f t="shared" si="21"/>
        <v>0</v>
      </c>
      <c r="G114" s="947">
        <f>IF(M113&lt;0.01,0,IF($F$19=$U$4,$G$19,IF(AND($F$21=1,$F$19=$U$2),M113*Adm!$U$4,IF(AND($F$21=2,$F$19=$U$2),M113*Adm!$U$5,IF(AND($F$21=1,$F$19=$U$3),M113*Adm!$V$4,IF(AND($F$21=2,$F$19=$U$3),M113*Adm!$V$5,0))))))</f>
        <v>0</v>
      </c>
      <c r="H114" s="947">
        <f>IF(M113&lt;0.01,0,IF($F$20=$V$3,0,IF(OR($F$10=$T$16,$F$10=$T$17),0,IF($F$10=$T$13,0,$F$11*Adm!$AA$3))))</f>
        <v>0</v>
      </c>
      <c r="I114" s="947">
        <f t="shared" si="34"/>
        <v>0</v>
      </c>
      <c r="J114" s="947">
        <f t="shared" si="22"/>
        <v>0</v>
      </c>
      <c r="K114" s="947">
        <f t="shared" si="28"/>
        <v>0</v>
      </c>
      <c r="L114" s="947">
        <f t="shared" si="23"/>
        <v>0</v>
      </c>
      <c r="M114" s="947">
        <f t="shared" si="29"/>
        <v>0</v>
      </c>
      <c r="N114" s="946"/>
      <c r="P114" s="733"/>
      <c r="Q114" s="733"/>
      <c r="R114" s="733"/>
      <c r="S114" s="785">
        <f t="shared" si="30"/>
        <v>1</v>
      </c>
      <c r="T114" s="786">
        <f t="shared" si="35"/>
        <v>0</v>
      </c>
      <c r="W114" s="790">
        <f t="shared" si="36"/>
        <v>0</v>
      </c>
      <c r="X114" s="818">
        <f t="shared" ca="1" si="31"/>
        <v>0</v>
      </c>
      <c r="Z114" s="843">
        <f t="shared" si="37"/>
        <v>0</v>
      </c>
      <c r="AA114" s="792">
        <f t="shared" si="38"/>
        <v>0</v>
      </c>
      <c r="AB114" s="792">
        <f t="shared" si="39"/>
        <v>0</v>
      </c>
      <c r="AC114" s="789">
        <f t="shared" si="32"/>
        <v>0</v>
      </c>
      <c r="AD114" s="789">
        <f t="shared" si="24"/>
        <v>0</v>
      </c>
      <c r="AE114" s="828" t="e">
        <f>HLOOKUP($AE$39,anticipado,74,0)</f>
        <v>#N/A</v>
      </c>
      <c r="AF114" s="827"/>
      <c r="AG114" s="614">
        <v>4.5455214625057076E-3</v>
      </c>
      <c r="AH114" s="615">
        <v>4.3603969366069126E-3</v>
      </c>
      <c r="AI114" s="616">
        <v>4.2161911143908659E-3</v>
      </c>
      <c r="AJ114" s="616">
        <v>4.6222520744611658E-3</v>
      </c>
      <c r="AK114" s="617">
        <v>4.5455214625057076E-3</v>
      </c>
      <c r="AL114" s="617">
        <v>4.3603969366069126E-3</v>
      </c>
      <c r="AM114" s="617">
        <v>4.7759824819681457E-3</v>
      </c>
      <c r="AN114" s="617">
        <v>4.6638857092545505E-3</v>
      </c>
      <c r="AO114" s="617">
        <v>4.5881374320330785E-3</v>
      </c>
      <c r="AP114" s="617">
        <v>4.9088701844240377E-3</v>
      </c>
      <c r="AQ114" s="617">
        <v>4.7759824819681457E-3</v>
      </c>
      <c r="AR114" s="618">
        <v>4.6459852658889472E-3</v>
      </c>
      <c r="AS114" s="618">
        <v>2.0070778632907097E-3</v>
      </c>
      <c r="AT114" s="618">
        <v>1.923433708164365E-3</v>
      </c>
      <c r="AU114" s="618">
        <v>1.7771913209391726E-3</v>
      </c>
      <c r="AV114" s="618">
        <v>2.1471457825014539E-3</v>
      </c>
      <c r="AW114" s="618">
        <v>2.0070778632907097E-3</v>
      </c>
      <c r="AX114" s="618">
        <v>1.8836155462749434E-3</v>
      </c>
      <c r="AY114" s="618">
        <v>2.2376072299715795E-3</v>
      </c>
      <c r="AZ114" s="618">
        <v>2.1653250533041003E-3</v>
      </c>
      <c r="BA114" s="618">
        <v>2.0118423655122253E-3</v>
      </c>
      <c r="BB114" s="618">
        <v>2.3517475870718221E-3</v>
      </c>
      <c r="BC114" s="617">
        <v>2.2839307136619967E-3</v>
      </c>
      <c r="BD114" s="617">
        <v>2.1779462920722787E-3</v>
      </c>
      <c r="BE114" s="617">
        <v>4.7104232253465748E-3</v>
      </c>
      <c r="BF114" s="617">
        <v>4.346538853782533E-3</v>
      </c>
      <c r="BG114" s="617">
        <v>2.4444631133254311E-3</v>
      </c>
      <c r="BH114" s="617">
        <v>2.2551085398060076E-3</v>
      </c>
      <c r="BI114" s="617"/>
      <c r="BJ114" s="617"/>
      <c r="BK114" s="617"/>
      <c r="BL114" s="617"/>
      <c r="BM114" s="617"/>
      <c r="BN114" s="617"/>
      <c r="BO114" s="617"/>
      <c r="BP114" s="617"/>
      <c r="BQ114" s="617"/>
      <c r="BR114" s="617"/>
      <c r="BS114" s="617"/>
      <c r="BT114" s="617"/>
      <c r="BU114" s="617"/>
      <c r="BV114" s="617"/>
      <c r="BW114" s="617"/>
      <c r="BX114" s="617"/>
      <c r="BY114" s="617"/>
      <c r="BZ114" s="617"/>
      <c r="CA114" s="617"/>
      <c r="CB114" s="617"/>
      <c r="CC114" s="617"/>
      <c r="CD114" s="617"/>
      <c r="CE114" s="617"/>
      <c r="CF114" s="617"/>
      <c r="CG114" s="617"/>
      <c r="CH114" s="617"/>
      <c r="CI114" s="617"/>
      <c r="CJ114" s="617"/>
    </row>
    <row r="115" spans="1:88">
      <c r="A115" s="151">
        <f t="shared" ca="1" si="25"/>
        <v>1</v>
      </c>
      <c r="B115" s="784">
        <f t="shared" si="26"/>
        <v>0</v>
      </c>
      <c r="C115" s="944">
        <f t="shared" si="33"/>
        <v>0</v>
      </c>
      <c r="D115" s="947">
        <f t="shared" si="27"/>
        <v>0</v>
      </c>
      <c r="E115" s="947">
        <f t="shared" si="20"/>
        <v>0</v>
      </c>
      <c r="F115" s="947">
        <f t="shared" si="21"/>
        <v>0</v>
      </c>
      <c r="G115" s="947">
        <f>IF(M114&lt;0.01,0,IF($F$19=$U$4,$G$19,IF(AND($F$21=1,$F$19=$U$2),M114*Adm!$U$4,IF(AND($F$21=2,$F$19=$U$2),M114*Adm!$U$5,IF(AND($F$21=1,$F$19=$U$3),M114*Adm!$V$4,IF(AND($F$21=2,$F$19=$U$3),M114*Adm!$V$5,0))))))</f>
        <v>0</v>
      </c>
      <c r="H115" s="947">
        <f>IF(M114&lt;0.01,0,IF($F$20=$V$3,0,IF(OR($F$10=$T$16,$F$10=$T$17),0,IF($F$10=$T$13,0,$F$11*Adm!$AA$3))))</f>
        <v>0</v>
      </c>
      <c r="I115" s="947">
        <f t="shared" si="34"/>
        <v>0</v>
      </c>
      <c r="J115" s="947">
        <f t="shared" si="22"/>
        <v>0</v>
      </c>
      <c r="K115" s="947">
        <f t="shared" si="28"/>
        <v>0</v>
      </c>
      <c r="L115" s="947">
        <f t="shared" si="23"/>
        <v>0</v>
      </c>
      <c r="M115" s="947">
        <f t="shared" si="29"/>
        <v>0</v>
      </c>
      <c r="N115" s="946"/>
      <c r="P115" s="733"/>
      <c r="Q115" s="733"/>
      <c r="R115" s="733"/>
      <c r="S115" s="785">
        <f t="shared" si="30"/>
        <v>2</v>
      </c>
      <c r="T115" s="786">
        <f t="shared" si="35"/>
        <v>0</v>
      </c>
      <c r="W115" s="790">
        <f t="shared" si="36"/>
        <v>0</v>
      </c>
      <c r="X115" s="818">
        <f t="shared" ca="1" si="31"/>
        <v>0</v>
      </c>
      <c r="Z115" s="843">
        <f t="shared" si="37"/>
        <v>0</v>
      </c>
      <c r="AA115" s="792">
        <f t="shared" si="38"/>
        <v>0</v>
      </c>
      <c r="AB115" s="792">
        <f t="shared" si="39"/>
        <v>0</v>
      </c>
      <c r="AC115" s="789">
        <f t="shared" si="32"/>
        <v>0</v>
      </c>
      <c r="AD115" s="789">
        <f t="shared" si="24"/>
        <v>0</v>
      </c>
      <c r="AE115" s="828" t="e">
        <f>HLOOKUP($AE$39,anticipado,75,0)</f>
        <v>#N/A</v>
      </c>
      <c r="AF115" s="827"/>
      <c r="AG115" s="614">
        <v>4.6056617193140029E-3</v>
      </c>
      <c r="AH115" s="615">
        <v>4.4192371670117988E-3</v>
      </c>
      <c r="AI115" s="616">
        <v>4.2738779319527838E-3</v>
      </c>
      <c r="AJ115" s="616">
        <v>4.6823754425839434E-3</v>
      </c>
      <c r="AK115" s="617">
        <v>4.6056617193140029E-3</v>
      </c>
      <c r="AL115" s="617">
        <v>4.4192371670117988E-3</v>
      </c>
      <c r="AM115" s="617">
        <v>4.836893260764287E-3</v>
      </c>
      <c r="AN115" s="617">
        <v>4.7245530044529582E-3</v>
      </c>
      <c r="AO115" s="617">
        <v>4.6488485008137964E-3</v>
      </c>
      <c r="AP115" s="617">
        <v>4.9707008447527701E-3</v>
      </c>
      <c r="AQ115" s="617">
        <v>4.836893260764287E-3</v>
      </c>
      <c r="AR115" s="618">
        <v>4.7061405876179232E-3</v>
      </c>
      <c r="AS115" s="618">
        <v>2.0293651888471406E-3</v>
      </c>
      <c r="AT115" s="618">
        <v>1.9452716146304582E-3</v>
      </c>
      <c r="AU115" s="618">
        <v>1.7979957073102628E-3</v>
      </c>
      <c r="AV115" s="618">
        <v>2.170324918871743E-3</v>
      </c>
      <c r="AW115" s="618">
        <v>2.0293651888471406E-3</v>
      </c>
      <c r="AX115" s="618">
        <v>1.9050826404468212E-3</v>
      </c>
      <c r="AY115" s="618">
        <v>2.2612017579284761E-3</v>
      </c>
      <c r="AZ115" s="618">
        <v>2.1886498984696945E-3</v>
      </c>
      <c r="BA115" s="618">
        <v>2.0342763049980318E-3</v>
      </c>
      <c r="BB115" s="618">
        <v>2.3759532310809977E-3</v>
      </c>
      <c r="BC115" s="617">
        <v>2.3077393347002021E-3</v>
      </c>
      <c r="BD115" s="617">
        <v>2.2012530464653552E-3</v>
      </c>
      <c r="BE115" s="617">
        <v>4.7711302030452171E-3</v>
      </c>
      <c r="BF115" s="617">
        <v>4.4053126623160004E-3</v>
      </c>
      <c r="BG115" s="617">
        <v>2.4691378609874364E-3</v>
      </c>
      <c r="BH115" s="617">
        <v>2.2788334093705085E-3</v>
      </c>
      <c r="BI115" s="617"/>
      <c r="BJ115" s="617"/>
      <c r="BK115" s="617"/>
      <c r="BL115" s="617"/>
      <c r="BM115" s="617"/>
      <c r="BN115" s="617"/>
      <c r="BO115" s="617"/>
      <c r="BP115" s="617"/>
      <c r="BQ115" s="617"/>
      <c r="BR115" s="617"/>
      <c r="BS115" s="617"/>
      <c r="BT115" s="617"/>
      <c r="BU115" s="617"/>
      <c r="BV115" s="617"/>
      <c r="BW115" s="617"/>
      <c r="BX115" s="617"/>
      <c r="BY115" s="617"/>
      <c r="BZ115" s="617"/>
      <c r="CA115" s="617"/>
      <c r="CB115" s="617"/>
      <c r="CC115" s="617"/>
      <c r="CD115" s="617"/>
      <c r="CE115" s="617"/>
      <c r="CF115" s="617"/>
      <c r="CG115" s="617"/>
      <c r="CH115" s="617"/>
      <c r="CI115" s="617"/>
      <c r="CJ115" s="617"/>
    </row>
    <row r="116" spans="1:88">
      <c r="A116" s="151">
        <f t="shared" ca="1" si="25"/>
        <v>2</v>
      </c>
      <c r="B116" s="784">
        <f t="shared" si="26"/>
        <v>0</v>
      </c>
      <c r="C116" s="944">
        <f t="shared" si="33"/>
        <v>0</v>
      </c>
      <c r="D116" s="947">
        <f t="shared" si="27"/>
        <v>0</v>
      </c>
      <c r="E116" s="947">
        <f t="shared" si="20"/>
        <v>0</v>
      </c>
      <c r="F116" s="947">
        <f t="shared" si="21"/>
        <v>0</v>
      </c>
      <c r="G116" s="947">
        <f>IF(M115&lt;0.01,0,IF($F$19=$U$4,$G$19,IF(AND($F$21=1,$F$19=$U$2),M115*Adm!$U$4,IF(AND($F$21=2,$F$19=$U$2),M115*Adm!$U$5,IF(AND($F$21=1,$F$19=$U$3),M115*Adm!$V$4,IF(AND($F$21=2,$F$19=$U$3),M115*Adm!$V$5,0))))))</f>
        <v>0</v>
      </c>
      <c r="H116" s="947">
        <f>IF(M115&lt;0.01,0,IF($F$20=$V$3,0,IF(OR($F$10=$T$16,$F$10=$T$17),0,IF($F$10=$T$13,0,$F$11*Adm!$AA$3))))</f>
        <v>0</v>
      </c>
      <c r="I116" s="947">
        <f t="shared" si="34"/>
        <v>0</v>
      </c>
      <c r="J116" s="947">
        <f t="shared" si="22"/>
        <v>0</v>
      </c>
      <c r="K116" s="947">
        <f t="shared" si="28"/>
        <v>0</v>
      </c>
      <c r="L116" s="947">
        <f t="shared" si="23"/>
        <v>0</v>
      </c>
      <c r="M116" s="947">
        <f t="shared" si="29"/>
        <v>0</v>
      </c>
      <c r="N116" s="946"/>
      <c r="P116" s="733"/>
      <c r="Q116" s="733"/>
      <c r="R116" s="733"/>
      <c r="S116" s="785">
        <f t="shared" si="30"/>
        <v>3</v>
      </c>
      <c r="T116" s="786">
        <f t="shared" si="35"/>
        <v>0</v>
      </c>
      <c r="W116" s="790">
        <f t="shared" si="36"/>
        <v>0</v>
      </c>
      <c r="X116" s="818">
        <f t="shared" ca="1" si="31"/>
        <v>0</v>
      </c>
      <c r="Z116" s="843">
        <f t="shared" si="37"/>
        <v>0</v>
      </c>
      <c r="AA116" s="792">
        <f t="shared" si="38"/>
        <v>0</v>
      </c>
      <c r="AB116" s="792">
        <f t="shared" si="39"/>
        <v>0</v>
      </c>
      <c r="AC116" s="789">
        <f t="shared" si="32"/>
        <v>0</v>
      </c>
      <c r="AD116" s="789">
        <f t="shared" si="24"/>
        <v>0</v>
      </c>
      <c r="AE116" s="828" t="e">
        <f>HLOOKUP($AE$39,anticipado,76,0)</f>
        <v>#N/A</v>
      </c>
      <c r="AF116" s="827"/>
      <c r="AG116" s="614">
        <v>4.666879620459685E-3</v>
      </c>
      <c r="AH116" s="615">
        <v>4.4791361090717446E-3</v>
      </c>
      <c r="AI116" s="616">
        <v>4.3326050251675042E-3</v>
      </c>
      <c r="AJ116" s="616">
        <v>4.7435673815611184E-3</v>
      </c>
      <c r="AK116" s="617">
        <v>4.666879620459685E-3</v>
      </c>
      <c r="AL116" s="617">
        <v>4.4791361090717446E-3</v>
      </c>
      <c r="AM116" s="617">
        <v>4.8988806954330328E-3</v>
      </c>
      <c r="AN116" s="617">
        <v>4.7863011854859484E-3</v>
      </c>
      <c r="AO116" s="617">
        <v>4.7106502163083899E-3</v>
      </c>
      <c r="AP116" s="617">
        <v>5.0336230731559128E-3</v>
      </c>
      <c r="AQ116" s="617">
        <v>4.8988806954330328E-3</v>
      </c>
      <c r="AR116" s="618">
        <v>4.7673629097128439E-3</v>
      </c>
      <c r="AS116" s="618">
        <v>2.0519458253633219E-3</v>
      </c>
      <c r="AT116" s="618">
        <v>1.9674005067651947E-3</v>
      </c>
      <c r="AU116" s="618">
        <v>1.8190815489264112E-3</v>
      </c>
      <c r="AV116" s="618">
        <v>2.1938052414797468E-3</v>
      </c>
      <c r="AW116" s="618">
        <v>2.0519458253633219E-3</v>
      </c>
      <c r="AX116" s="618">
        <v>1.9268358313356646E-3</v>
      </c>
      <c r="AY116" s="618">
        <v>2.2850991159613695E-3</v>
      </c>
      <c r="AZ116" s="618">
        <v>2.2122777114868585E-3</v>
      </c>
      <c r="BA116" s="618">
        <v>2.0570066438534138E-3</v>
      </c>
      <c r="BB116" s="618">
        <v>2.4004662563850139E-3</v>
      </c>
      <c r="BC116" s="617">
        <v>2.3318517917359977E-3</v>
      </c>
      <c r="BD116" s="617">
        <v>2.2248611798103305E-3</v>
      </c>
      <c r="BE116" s="617">
        <v>4.8329143401033992E-3</v>
      </c>
      <c r="BF116" s="617">
        <v>4.465144788295735E-3</v>
      </c>
      <c r="BG116" s="617">
        <v>2.4941233716243173E-3</v>
      </c>
      <c r="BH116" s="617">
        <v>2.3028626350293005E-3</v>
      </c>
      <c r="BI116" s="617"/>
      <c r="BJ116" s="617"/>
      <c r="BK116" s="617"/>
      <c r="BL116" s="617"/>
      <c r="BM116" s="617"/>
      <c r="BN116" s="617"/>
      <c r="BO116" s="617"/>
      <c r="BP116" s="617"/>
      <c r="BQ116" s="617"/>
      <c r="BR116" s="617"/>
      <c r="BS116" s="617"/>
      <c r="BT116" s="617"/>
      <c r="BU116" s="617"/>
      <c r="BV116" s="617"/>
      <c r="BW116" s="617"/>
      <c r="BX116" s="617"/>
      <c r="BY116" s="617"/>
      <c r="BZ116" s="617"/>
      <c r="CA116" s="617"/>
      <c r="CB116" s="617"/>
      <c r="CC116" s="617"/>
      <c r="CD116" s="617"/>
      <c r="CE116" s="617"/>
      <c r="CF116" s="617"/>
      <c r="CG116" s="617"/>
      <c r="CH116" s="617"/>
      <c r="CI116" s="617"/>
      <c r="CJ116" s="617"/>
    </row>
    <row r="117" spans="1:88">
      <c r="A117" s="151">
        <f t="shared" ca="1" si="25"/>
        <v>3</v>
      </c>
      <c r="B117" s="784">
        <f t="shared" si="26"/>
        <v>0</v>
      </c>
      <c r="C117" s="944">
        <f t="shared" si="33"/>
        <v>0</v>
      </c>
      <c r="D117" s="947">
        <f t="shared" si="27"/>
        <v>0</v>
      </c>
      <c r="E117" s="947">
        <f t="shared" si="20"/>
        <v>0</v>
      </c>
      <c r="F117" s="947">
        <f t="shared" si="21"/>
        <v>0</v>
      </c>
      <c r="G117" s="947">
        <f>IF(M116&lt;0.01,0,IF($F$19=$U$4,$G$19,IF(AND($F$21=1,$F$19=$U$2),M116*Adm!$U$4,IF(AND($F$21=2,$F$19=$U$2),M116*Adm!$U$5,IF(AND($F$21=1,$F$19=$U$3),M116*Adm!$V$4,IF(AND($F$21=2,$F$19=$U$3),M116*Adm!$V$5,0))))))</f>
        <v>0</v>
      </c>
      <c r="H117" s="947">
        <f>IF(M116&lt;0.01,0,IF($F$20=$V$3,0,IF(OR($F$10=$T$16,$F$10=$T$17),0,IF($F$10=$T$13,0,$F$11*Adm!$AA$3))))</f>
        <v>0</v>
      </c>
      <c r="I117" s="947">
        <f t="shared" si="34"/>
        <v>0</v>
      </c>
      <c r="J117" s="947">
        <f t="shared" si="22"/>
        <v>0</v>
      </c>
      <c r="K117" s="947">
        <f t="shared" si="28"/>
        <v>0</v>
      </c>
      <c r="L117" s="947">
        <f t="shared" si="23"/>
        <v>0</v>
      </c>
      <c r="M117" s="947">
        <f t="shared" si="29"/>
        <v>0</v>
      </c>
      <c r="N117" s="946"/>
      <c r="P117" s="733"/>
      <c r="Q117" s="733"/>
      <c r="R117" s="733"/>
      <c r="S117" s="785">
        <f t="shared" si="30"/>
        <v>4</v>
      </c>
      <c r="T117" s="786">
        <f t="shared" si="35"/>
        <v>0</v>
      </c>
      <c r="W117" s="790">
        <f t="shared" si="36"/>
        <v>0</v>
      </c>
      <c r="X117" s="818">
        <f t="shared" ca="1" si="31"/>
        <v>0</v>
      </c>
      <c r="Z117" s="843">
        <f t="shared" si="37"/>
        <v>0</v>
      </c>
      <c r="AA117" s="792">
        <f t="shared" si="38"/>
        <v>0</v>
      </c>
      <c r="AB117" s="792">
        <f t="shared" si="39"/>
        <v>0</v>
      </c>
      <c r="AC117" s="789">
        <f t="shared" si="32"/>
        <v>0</v>
      </c>
      <c r="AD117" s="789">
        <f t="shared" si="24"/>
        <v>0</v>
      </c>
      <c r="AE117" s="828" t="e">
        <f>HLOOKUP($AE$39,anticipado,77,0)</f>
        <v>#N/A</v>
      </c>
      <c r="AF117" s="827"/>
      <c r="AG117" s="614">
        <v>4.729202073966177E-3</v>
      </c>
      <c r="AH117" s="615">
        <v>4.540120085074149E-3</v>
      </c>
      <c r="AI117" s="616">
        <v>4.3923981437159563E-3</v>
      </c>
      <c r="AJ117" s="616">
        <v>4.8058544745385656E-3</v>
      </c>
      <c r="AK117" s="617">
        <v>4.729202073966177E-3</v>
      </c>
      <c r="AL117" s="617">
        <v>4.540120085074149E-3</v>
      </c>
      <c r="AM117" s="617">
        <v>4.9619716078595751E-3</v>
      </c>
      <c r="AN117" s="617">
        <v>4.8491572406887742E-3</v>
      </c>
      <c r="AO117" s="617">
        <v>4.7735699154866562E-3</v>
      </c>
      <c r="AP117" s="617">
        <v>5.097664169069354E-3</v>
      </c>
      <c r="AQ117" s="617">
        <v>4.9619716078595751E-3</v>
      </c>
      <c r="AR117" s="618">
        <v>4.8296787570659937E-3</v>
      </c>
      <c r="AS117" s="618">
        <v>2.0748246615310815E-3</v>
      </c>
      <c r="AT117" s="618">
        <v>1.989825249737719E-3</v>
      </c>
      <c r="AU117" s="618">
        <v>1.8404535503688229E-3</v>
      </c>
      <c r="AV117" s="618">
        <v>2.2175917761494885E-3</v>
      </c>
      <c r="AW117" s="618">
        <v>2.0748246615310815E-3</v>
      </c>
      <c r="AX117" s="618">
        <v>1.9488798863641088E-3</v>
      </c>
      <c r="AY117" s="618">
        <v>2.3093043429511452E-3</v>
      </c>
      <c r="AZ117" s="618">
        <v>2.2362135539139025E-3</v>
      </c>
      <c r="BA117" s="618">
        <v>2.080038340442303E-3</v>
      </c>
      <c r="BB117" s="618">
        <v>2.4252917786579519E-3</v>
      </c>
      <c r="BC117" s="617">
        <v>2.3562731351776727E-3</v>
      </c>
      <c r="BD117" s="617">
        <v>2.248775713626066E-3</v>
      </c>
      <c r="BE117" s="617">
        <v>4.8958024888854194E-3</v>
      </c>
      <c r="BF117" s="617">
        <v>4.5260615450685004E-3</v>
      </c>
      <c r="BG117" s="617">
        <v>2.5194248186562137E-3</v>
      </c>
      <c r="BH117" s="617">
        <v>2.3272012861323597E-3</v>
      </c>
      <c r="BI117" s="617"/>
      <c r="BJ117" s="617"/>
      <c r="BK117" s="617"/>
      <c r="BL117" s="617"/>
      <c r="BM117" s="617"/>
      <c r="BN117" s="617"/>
      <c r="BO117" s="617"/>
      <c r="BP117" s="617"/>
      <c r="BQ117" s="617"/>
      <c r="BR117" s="617"/>
      <c r="BS117" s="617"/>
      <c r="BT117" s="617"/>
      <c r="BU117" s="617"/>
      <c r="BV117" s="617"/>
      <c r="BW117" s="617"/>
      <c r="BX117" s="617"/>
      <c r="BY117" s="617"/>
      <c r="BZ117" s="617"/>
      <c r="CA117" s="617"/>
      <c r="CB117" s="617"/>
      <c r="CC117" s="617"/>
      <c r="CD117" s="617"/>
      <c r="CE117" s="617"/>
      <c r="CF117" s="617"/>
      <c r="CG117" s="617"/>
      <c r="CH117" s="617"/>
      <c r="CI117" s="617"/>
      <c r="CJ117" s="617"/>
    </row>
    <row r="118" spans="1:88">
      <c r="A118" s="151">
        <f t="shared" ca="1" si="25"/>
        <v>4</v>
      </c>
      <c r="B118" s="784">
        <f t="shared" si="26"/>
        <v>0</v>
      </c>
      <c r="C118" s="944">
        <f t="shared" si="33"/>
        <v>0</v>
      </c>
      <c r="D118" s="947">
        <f t="shared" si="27"/>
        <v>0</v>
      </c>
      <c r="E118" s="947">
        <f t="shared" si="20"/>
        <v>0</v>
      </c>
      <c r="F118" s="947">
        <f t="shared" si="21"/>
        <v>0</v>
      </c>
      <c r="G118" s="947">
        <f>IF(M117&lt;0.01,0,IF($F$19=$U$4,$G$19,IF(AND($F$21=1,$F$19=$U$2),M117*Adm!$U$4,IF(AND($F$21=2,$F$19=$U$2),M117*Adm!$U$5,IF(AND($F$21=1,$F$19=$U$3),M117*Adm!$V$4,IF(AND($F$21=2,$F$19=$U$3),M117*Adm!$V$5,0))))))</f>
        <v>0</v>
      </c>
      <c r="H118" s="947">
        <f>IF(M117&lt;0.01,0,IF($F$20=$V$3,0,IF(OR($F$10=$T$16,$F$10=$T$17),0,IF($F$10=$T$13,0,$F$11*Adm!$AA$3))))</f>
        <v>0</v>
      </c>
      <c r="I118" s="947">
        <f t="shared" si="34"/>
        <v>0</v>
      </c>
      <c r="J118" s="947">
        <f t="shared" si="22"/>
        <v>0</v>
      </c>
      <c r="K118" s="947">
        <f t="shared" si="28"/>
        <v>0</v>
      </c>
      <c r="L118" s="947">
        <f t="shared" si="23"/>
        <v>0</v>
      </c>
      <c r="M118" s="947">
        <f t="shared" si="29"/>
        <v>0</v>
      </c>
      <c r="N118" s="946"/>
      <c r="P118" s="733"/>
      <c r="Q118" s="733"/>
      <c r="R118" s="733"/>
      <c r="S118" s="785">
        <f t="shared" si="30"/>
        <v>5</v>
      </c>
      <c r="T118" s="786">
        <f t="shared" si="35"/>
        <v>0</v>
      </c>
      <c r="W118" s="790">
        <f t="shared" si="36"/>
        <v>0</v>
      </c>
      <c r="X118" s="818">
        <f t="shared" ca="1" si="31"/>
        <v>0</v>
      </c>
      <c r="Z118" s="843">
        <f t="shared" si="37"/>
        <v>0</v>
      </c>
      <c r="AA118" s="792">
        <f t="shared" si="38"/>
        <v>0</v>
      </c>
      <c r="AB118" s="792">
        <f t="shared" si="39"/>
        <v>0</v>
      </c>
      <c r="AC118" s="789">
        <f t="shared" si="32"/>
        <v>0</v>
      </c>
      <c r="AD118" s="789">
        <f t="shared" si="24"/>
        <v>0</v>
      </c>
      <c r="AE118" s="828" t="e">
        <f>HLOOKUP($AE$39,anticipado,78,0)</f>
        <v>#N/A</v>
      </c>
      <c r="AF118" s="827"/>
      <c r="AG118" s="614">
        <v>4.7926568847332218E-3</v>
      </c>
      <c r="AH118" s="615">
        <v>4.6022162894578189E-3</v>
      </c>
      <c r="AI118" s="616">
        <v>4.4532838854566712E-3</v>
      </c>
      <c r="AJ118" s="616">
        <v>4.8692641881253121E-3</v>
      </c>
      <c r="AK118" s="617">
        <v>4.7926568847332218E-3</v>
      </c>
      <c r="AL118" s="617">
        <v>4.6022162894578189E-3</v>
      </c>
      <c r="AM118" s="617">
        <v>5.0261937135909034E-3</v>
      </c>
      <c r="AN118" s="617">
        <v>4.9131490588323664E-3</v>
      </c>
      <c r="AO118" s="617">
        <v>4.8376358502179298E-3</v>
      </c>
      <c r="AP118" s="617">
        <v>5.1628523457717436E-3</v>
      </c>
      <c r="AQ118" s="617">
        <v>5.0261937135909034E-3</v>
      </c>
      <c r="AR118" s="618">
        <v>4.8931155356471967E-3</v>
      </c>
      <c r="AS118" s="618">
        <v>2.0980066913577613E-3</v>
      </c>
      <c r="AT118" s="618">
        <v>2.0125508133871915E-3</v>
      </c>
      <c r="AU118" s="618">
        <v>1.8621165165845436E-3</v>
      </c>
      <c r="AV118" s="618">
        <v>2.2416896577685248E-3</v>
      </c>
      <c r="AW118" s="618">
        <v>2.0980066913577613E-3</v>
      </c>
      <c r="AX118" s="618">
        <v>1.9712196749950518E-3</v>
      </c>
      <c r="AY118" s="618">
        <v>2.3338225872282879E-3</v>
      </c>
      <c r="AZ118" s="618">
        <v>2.2604625973499733E-3</v>
      </c>
      <c r="BA118" s="618">
        <v>2.1033764603278693E-3</v>
      </c>
      <c r="BB118" s="618">
        <v>2.4504350251596503E-3</v>
      </c>
      <c r="BC118" s="617">
        <v>2.3810085252141226E-3</v>
      </c>
      <c r="BD118" s="617">
        <v>2.2730017783881558E-3</v>
      </c>
      <c r="BE118" s="617">
        <v>4.9598223965871806E-3</v>
      </c>
      <c r="BF118" s="617">
        <v>4.5880901177348951E-3</v>
      </c>
      <c r="BG118" s="617">
        <v>2.5450474887061736E-3</v>
      </c>
      <c r="BH118" s="617">
        <v>2.3518545423145709E-3</v>
      </c>
      <c r="BI118" s="617"/>
      <c r="BJ118" s="617"/>
      <c r="BK118" s="617"/>
      <c r="BL118" s="617"/>
      <c r="BM118" s="617"/>
      <c r="BN118" s="617"/>
      <c r="BO118" s="617"/>
      <c r="BP118" s="617"/>
      <c r="BQ118" s="617"/>
      <c r="BR118" s="617"/>
      <c r="BS118" s="617"/>
      <c r="BT118" s="617"/>
      <c r="BU118" s="617"/>
      <c r="BV118" s="617"/>
      <c r="BW118" s="617"/>
      <c r="BX118" s="617"/>
      <c r="BY118" s="617"/>
      <c r="BZ118" s="617"/>
      <c r="CA118" s="617"/>
      <c r="CB118" s="617"/>
      <c r="CC118" s="617"/>
      <c r="CD118" s="617"/>
      <c r="CE118" s="617"/>
      <c r="CF118" s="617"/>
      <c r="CG118" s="617"/>
      <c r="CH118" s="617"/>
      <c r="CI118" s="617"/>
      <c r="CJ118" s="617"/>
    </row>
    <row r="119" spans="1:88">
      <c r="A119" s="151">
        <f t="shared" ca="1" si="25"/>
        <v>5</v>
      </c>
      <c r="B119" s="784">
        <f t="shared" si="26"/>
        <v>0</v>
      </c>
      <c r="C119" s="944">
        <f t="shared" si="33"/>
        <v>0</v>
      </c>
      <c r="D119" s="947">
        <f t="shared" si="27"/>
        <v>0</v>
      </c>
      <c r="E119" s="947">
        <f t="shared" ref="E119:E182" si="40">IF(M118&lt;0.01,0,MIN(M118,F119-D119))</f>
        <v>0</v>
      </c>
      <c r="F119" s="947">
        <f t="shared" ref="F119:F182" si="41">IF(M118&lt;0.01,0,MIN(M118+D119,IF(Z119&gt;0,Z119,F118*(1+T119))))</f>
        <v>0</v>
      </c>
      <c r="G119" s="947">
        <f>IF(M118&lt;0.01,0,IF($F$19=$U$4,$G$19,IF(AND($F$21=1,$F$19=$U$2),M118*Adm!$U$4,IF(AND($F$21=2,$F$19=$U$2),M118*Adm!$U$5,IF(AND($F$21=1,$F$19=$U$3),M118*Adm!$V$4,IF(AND($F$21=2,$F$19=$U$3),M118*Adm!$V$5,0))))))</f>
        <v>0</v>
      </c>
      <c r="H119" s="947">
        <f>IF(M118&lt;0.01,0,IF($F$20=$V$3,0,IF(OR($F$10=$T$16,$F$10=$T$17),0,IF($F$10=$T$13,0,$F$11*Adm!$AA$3))))</f>
        <v>0</v>
      </c>
      <c r="I119" s="947">
        <f t="shared" si="34"/>
        <v>0</v>
      </c>
      <c r="J119" s="947">
        <f t="shared" si="22"/>
        <v>0</v>
      </c>
      <c r="K119" s="947">
        <f t="shared" si="28"/>
        <v>0</v>
      </c>
      <c r="L119" s="947">
        <f t="shared" si="23"/>
        <v>0</v>
      </c>
      <c r="M119" s="947">
        <f t="shared" si="29"/>
        <v>0</v>
      </c>
      <c r="N119" s="946"/>
      <c r="P119" s="733"/>
      <c r="Q119" s="733"/>
      <c r="R119" s="733"/>
      <c r="S119" s="785">
        <f t="shared" si="30"/>
        <v>6</v>
      </c>
      <c r="T119" s="786">
        <f t="shared" si="35"/>
        <v>0</v>
      </c>
      <c r="W119" s="790">
        <f t="shared" si="36"/>
        <v>0</v>
      </c>
      <c r="X119" s="818">
        <f t="shared" ca="1" si="31"/>
        <v>0</v>
      </c>
      <c r="Z119" s="843">
        <f t="shared" si="37"/>
        <v>0</v>
      </c>
      <c r="AA119" s="792">
        <f t="shared" si="38"/>
        <v>0</v>
      </c>
      <c r="AB119" s="792">
        <f t="shared" si="39"/>
        <v>0</v>
      </c>
      <c r="AC119" s="789">
        <f t="shared" si="32"/>
        <v>0</v>
      </c>
      <c r="AD119" s="789">
        <f t="shared" si="24"/>
        <v>0</v>
      </c>
      <c r="AE119" s="828" t="e">
        <f>HLOOKUP($AE$39,anticipado,79,0)</f>
        <v>#N/A</v>
      </c>
      <c r="AF119" s="827"/>
      <c r="AG119" s="614">
        <v>4.8572727922528659E-3</v>
      </c>
      <c r="AH119" s="615">
        <v>4.6654528252748247E-3</v>
      </c>
      <c r="AI119" s="616">
        <v>4.5152897316792645E-3</v>
      </c>
      <c r="AJ119" s="616">
        <v>4.9338249094334399E-3</v>
      </c>
      <c r="AK119" s="617">
        <v>4.8572727922528659E-3</v>
      </c>
      <c r="AL119" s="617">
        <v>4.6654528252748247E-3</v>
      </c>
      <c r="AM119" s="617">
        <v>5.0915756593950222E-3</v>
      </c>
      <c r="AN119" s="617">
        <v>4.9783054670229114E-3</v>
      </c>
      <c r="AO119" s="617">
        <v>4.9028772259028788E-3</v>
      </c>
      <c r="AP119" s="617">
        <v>5.2292167689704828E-3</v>
      </c>
      <c r="AQ119" s="617">
        <v>5.0915756593950222E-3</v>
      </c>
      <c r="AR119" s="618">
        <v>4.9577015694239395E-3</v>
      </c>
      <c r="AS119" s="618">
        <v>2.1214970170192354E-3</v>
      </c>
      <c r="AT119" s="618">
        <v>2.0355822750531853E-3</v>
      </c>
      <c r="AU119" s="618">
        <v>1.884075355574472E-3</v>
      </c>
      <c r="AV119" s="618">
        <v>2.2661041332657475E-3</v>
      </c>
      <c r="AW119" s="618">
        <v>2.1214970170192354E-3</v>
      </c>
      <c r="AX119" s="618">
        <v>1.9938601714760821E-3</v>
      </c>
      <c r="AY119" s="618">
        <v>2.3586591095646346E-3</v>
      </c>
      <c r="AZ119" s="618">
        <v>2.2850301264452071E-3</v>
      </c>
      <c r="BA119" s="618">
        <v>2.1270261791869944E-3</v>
      </c>
      <c r="BB119" s="618">
        <v>2.4759013377991467E-3</v>
      </c>
      <c r="BC119" s="617">
        <v>2.4060632348180825E-3</v>
      </c>
      <c r="BD119" s="617">
        <v>2.2975446165036948E-3</v>
      </c>
      <c r="BE119" s="617">
        <v>5.0250027428530618E-3</v>
      </c>
      <c r="BF119" s="617">
        <v>4.6512585995907236E-3</v>
      </c>
      <c r="BG119" s="617">
        <v>2.5709967847179762E-3</v>
      </c>
      <c r="BH119" s="617">
        <v>2.3768276965151626E-3</v>
      </c>
      <c r="BI119" s="617"/>
      <c r="BJ119" s="617"/>
      <c r="BK119" s="617"/>
      <c r="BL119" s="617"/>
      <c r="BM119" s="617"/>
      <c r="BN119" s="617"/>
      <c r="BO119" s="617"/>
      <c r="BP119" s="617"/>
      <c r="BQ119" s="617"/>
      <c r="BR119" s="617"/>
      <c r="BS119" s="617"/>
      <c r="BT119" s="617"/>
      <c r="BU119" s="617"/>
      <c r="BV119" s="617"/>
      <c r="BW119" s="617"/>
      <c r="BX119" s="617"/>
      <c r="BY119" s="617"/>
      <c r="BZ119" s="617"/>
      <c r="CA119" s="617"/>
      <c r="CB119" s="617"/>
      <c r="CC119" s="617"/>
      <c r="CD119" s="617"/>
      <c r="CE119" s="617"/>
      <c r="CF119" s="617"/>
      <c r="CG119" s="617"/>
      <c r="CH119" s="617"/>
      <c r="CI119" s="617"/>
      <c r="CJ119" s="617"/>
    </row>
    <row r="120" spans="1:88">
      <c r="A120" s="151">
        <f t="shared" ca="1" si="25"/>
        <v>6</v>
      </c>
      <c r="B120" s="784">
        <f t="shared" si="26"/>
        <v>0</v>
      </c>
      <c r="C120" s="944">
        <f t="shared" si="33"/>
        <v>0</v>
      </c>
      <c r="D120" s="947">
        <f t="shared" si="27"/>
        <v>0</v>
      </c>
      <c r="E120" s="947">
        <f t="shared" si="40"/>
        <v>0</v>
      </c>
      <c r="F120" s="947">
        <f t="shared" si="41"/>
        <v>0</v>
      </c>
      <c r="G120" s="947">
        <f>IF(M119&lt;0.01,0,IF($F$19=$U$4,$G$19,IF(AND($F$21=1,$F$19=$U$2),M119*Adm!$U$4,IF(AND($F$21=2,$F$19=$U$2),M119*Adm!$U$5,IF(AND($F$21=1,$F$19=$U$3),M119*Adm!$V$4,IF(AND($F$21=2,$F$19=$U$3),M119*Adm!$V$5,0))))))</f>
        <v>0</v>
      </c>
      <c r="H120" s="947">
        <f>IF(M119&lt;0.01,0,IF($F$20=$V$3,0,IF(OR($F$10=$T$16,$F$10=$T$17),0,IF($F$10=$T$13,0,$F$11*Adm!$AA$3))))</f>
        <v>0</v>
      </c>
      <c r="I120" s="947">
        <f t="shared" si="34"/>
        <v>0</v>
      </c>
      <c r="J120" s="947">
        <f t="shared" si="22"/>
        <v>0</v>
      </c>
      <c r="K120" s="947">
        <f t="shared" si="28"/>
        <v>0</v>
      </c>
      <c r="L120" s="947">
        <f t="shared" si="23"/>
        <v>0</v>
      </c>
      <c r="M120" s="947">
        <f t="shared" si="29"/>
        <v>0</v>
      </c>
      <c r="N120" s="946"/>
      <c r="P120" s="733"/>
      <c r="Q120" s="733"/>
      <c r="R120" s="733"/>
      <c r="S120" s="785">
        <f t="shared" si="30"/>
        <v>7</v>
      </c>
      <c r="T120" s="786">
        <f t="shared" si="35"/>
        <v>0</v>
      </c>
      <c r="W120" s="790">
        <f t="shared" si="36"/>
        <v>0</v>
      </c>
      <c r="X120" s="818">
        <f t="shared" ca="1" si="31"/>
        <v>0</v>
      </c>
      <c r="Z120" s="843">
        <f t="shared" si="37"/>
        <v>0</v>
      </c>
      <c r="AA120" s="792">
        <f t="shared" si="38"/>
        <v>0</v>
      </c>
      <c r="AB120" s="792">
        <f t="shared" si="39"/>
        <v>0</v>
      </c>
      <c r="AC120" s="789">
        <f t="shared" si="32"/>
        <v>0</v>
      </c>
      <c r="AD120" s="789">
        <f t="shared" si="24"/>
        <v>0</v>
      </c>
      <c r="AE120" s="828" t="e">
        <f>HLOOKUP($AE$39,anticipado,80,0)</f>
        <v>#N/A</v>
      </c>
      <c r="AF120" s="827"/>
      <c r="AG120" s="614">
        <v>4.9230795102452578E-3</v>
      </c>
      <c r="AH120" s="615">
        <v>4.7298587424975305E-3</v>
      </c>
      <c r="AI120" s="616">
        <v>4.5784440841316288E-3</v>
      </c>
      <c r="AJ120" s="616">
        <v>4.9995659849976113E-3</v>
      </c>
      <c r="AK120" s="617">
        <v>4.9230795102452578E-3</v>
      </c>
      <c r="AL120" s="617">
        <v>4.7298587424975305E-3</v>
      </c>
      <c r="AM120" s="617">
        <v>5.1581470627307452E-3</v>
      </c>
      <c r="AN120" s="617">
        <v>5.0446562705322613E-3</v>
      </c>
      <c r="AO120" s="617">
        <v>4.9693242420798325E-3</v>
      </c>
      <c r="AP120" s="617">
        <v>5.2967875973596711E-3</v>
      </c>
      <c r="AQ120" s="617">
        <v>5.1581470627307452E-3</v>
      </c>
      <c r="AR120" s="618">
        <v>5.0234661391539747E-3</v>
      </c>
      <c r="AS120" s="618">
        <v>2.1453008518064016E-3</v>
      </c>
      <c r="AT120" s="618">
        <v>2.0589248224986562E-3</v>
      </c>
      <c r="AU120" s="618">
        <v>1.9063350811685204E-3</v>
      </c>
      <c r="AV120" s="618">
        <v>2.2908405646874545E-3</v>
      </c>
      <c r="AW120" s="618">
        <v>2.1453008518064016E-3</v>
      </c>
      <c r="AX120" s="618">
        <v>2.0168064576732039E-3</v>
      </c>
      <c r="AY120" s="618">
        <v>2.3838192862639654E-3</v>
      </c>
      <c r="AZ120" s="618">
        <v>2.3099215420104131E-3</v>
      </c>
      <c r="BA120" s="618">
        <v>2.1509927858205991E-3</v>
      </c>
      <c r="BB120" s="618">
        <v>2.5016961762997238E-3</v>
      </c>
      <c r="BC120" s="617">
        <v>2.4314426528486105E-3</v>
      </c>
      <c r="BD120" s="617">
        <v>2.3224095853841913E-3</v>
      </c>
      <c r="BE120" s="617">
        <v>5.0913731793067896E-3</v>
      </c>
      <c r="BF120" s="617">
        <v>4.7155960304123105E-3</v>
      </c>
      <c r="BG120" s="617">
        <v>2.5972782291776844E-3</v>
      </c>
      <c r="BH120" s="617">
        <v>2.402126158097029E-3</v>
      </c>
      <c r="BI120" s="617"/>
      <c r="BJ120" s="617"/>
      <c r="BK120" s="617"/>
      <c r="BL120" s="617"/>
      <c r="BM120" s="617"/>
      <c r="BN120" s="617"/>
      <c r="BO120" s="617"/>
      <c r="BP120" s="617"/>
      <c r="BQ120" s="617"/>
      <c r="BR120" s="617"/>
      <c r="BS120" s="617"/>
      <c r="BT120" s="617"/>
      <c r="BU120" s="617"/>
      <c r="BV120" s="617"/>
      <c r="BW120" s="617"/>
      <c r="BX120" s="617"/>
      <c r="BY120" s="617"/>
      <c r="BZ120" s="617"/>
      <c r="CA120" s="617"/>
      <c r="CB120" s="617"/>
      <c r="CC120" s="617"/>
      <c r="CD120" s="617"/>
      <c r="CE120" s="617"/>
      <c r="CF120" s="617"/>
      <c r="CG120" s="617"/>
      <c r="CH120" s="617"/>
      <c r="CI120" s="617"/>
      <c r="CJ120" s="617"/>
    </row>
    <row r="121" spans="1:88">
      <c r="A121" s="151">
        <f t="shared" ca="1" si="25"/>
        <v>7</v>
      </c>
      <c r="B121" s="784">
        <f t="shared" si="26"/>
        <v>0</v>
      </c>
      <c r="C121" s="944">
        <f t="shared" si="33"/>
        <v>0</v>
      </c>
      <c r="D121" s="947">
        <f t="shared" si="27"/>
        <v>0</v>
      </c>
      <c r="E121" s="947">
        <f t="shared" si="40"/>
        <v>0</v>
      </c>
      <c r="F121" s="947">
        <f t="shared" si="41"/>
        <v>0</v>
      </c>
      <c r="G121" s="947">
        <f>IF(M120&lt;0.01,0,IF($F$19=$U$4,$G$19,IF(AND($F$21=1,$F$19=$U$2),M120*Adm!$U$4,IF(AND($F$21=2,$F$19=$U$2),M120*Adm!$U$5,IF(AND($F$21=1,$F$19=$U$3),M120*Adm!$V$4,IF(AND($F$21=2,$F$19=$U$3),M120*Adm!$V$5,0))))))</f>
        <v>0</v>
      </c>
      <c r="H121" s="947">
        <f>IF(M120&lt;0.01,0,IF($F$20=$V$3,0,IF(OR($F$10=$T$16,$F$10=$T$17),0,IF($F$10=$T$13,0,$F$11*Adm!$AA$3))))</f>
        <v>0</v>
      </c>
      <c r="I121" s="947">
        <f t="shared" si="34"/>
        <v>0</v>
      </c>
      <c r="J121" s="947">
        <f t="shared" si="22"/>
        <v>0</v>
      </c>
      <c r="K121" s="947">
        <f t="shared" si="28"/>
        <v>0</v>
      </c>
      <c r="L121" s="947">
        <f t="shared" si="23"/>
        <v>0</v>
      </c>
      <c r="M121" s="947">
        <f t="shared" si="29"/>
        <v>0</v>
      </c>
      <c r="N121" s="946"/>
      <c r="P121" s="733"/>
      <c r="Q121" s="733"/>
      <c r="R121" s="733"/>
      <c r="S121" s="785">
        <f t="shared" si="30"/>
        <v>8</v>
      </c>
      <c r="T121" s="786">
        <f t="shared" si="35"/>
        <v>0</v>
      </c>
      <c r="W121" s="790">
        <f t="shared" si="36"/>
        <v>0</v>
      </c>
      <c r="X121" s="818">
        <f t="shared" ca="1" si="31"/>
        <v>0</v>
      </c>
      <c r="Z121" s="843">
        <f t="shared" si="37"/>
        <v>0</v>
      </c>
      <c r="AA121" s="792">
        <f t="shared" si="38"/>
        <v>0</v>
      </c>
      <c r="AB121" s="792">
        <f t="shared" si="39"/>
        <v>0</v>
      </c>
      <c r="AC121" s="789">
        <f t="shared" si="32"/>
        <v>0</v>
      </c>
      <c r="AD121" s="789">
        <f t="shared" si="24"/>
        <v>0</v>
      </c>
      <c r="AE121" s="828" t="e">
        <f>HLOOKUP($AE$39,anticipado,81,0)</f>
        <v>#N/A</v>
      </c>
      <c r="AF121" s="827"/>
      <c r="AG121" s="614">
        <v>4.9901077683293009E-3</v>
      </c>
      <c r="AH121" s="615">
        <v>4.7954640782806842E-3</v>
      </c>
      <c r="AI121" s="616">
        <v>4.6427763039258206E-3</v>
      </c>
      <c r="AJ121" s="616">
        <v>5.0665177616864296E-3</v>
      </c>
      <c r="AK121" s="617">
        <v>4.9901077683293009E-3</v>
      </c>
      <c r="AL121" s="617">
        <v>4.7954640782806842E-3</v>
      </c>
      <c r="AM121" s="617">
        <v>5.2259385532424495E-3</v>
      </c>
      <c r="AN121" s="617">
        <v>5.1122322946749186E-3</v>
      </c>
      <c r="AO121" s="617">
        <v>5.0370081351244463E-3</v>
      </c>
      <c r="AP121" s="617">
        <v>5.3655960252686225E-3</v>
      </c>
      <c r="AQ121" s="617">
        <v>5.2259385532424495E-3</v>
      </c>
      <c r="AR121" s="618">
        <v>5.0904395231621841E-3</v>
      </c>
      <c r="AS121" s="618">
        <v>2.1694235231687277E-3</v>
      </c>
      <c r="AT121" s="618">
        <v>2.0825837569290705E-3</v>
      </c>
      <c r="AU121" s="618">
        <v>1.9289008158911948E-3</v>
      </c>
      <c r="AV121" s="618">
        <v>2.3159044323755088E-3</v>
      </c>
      <c r="AW121" s="618">
        <v>2.1694235231687277E-3</v>
      </c>
      <c r="AX121" s="618">
        <v>2.0400637259972766E-3</v>
      </c>
      <c r="AY121" s="618">
        <v>2.4093086123552127E-3</v>
      </c>
      <c r="AZ121" s="618">
        <v>2.335142364230131E-3</v>
      </c>
      <c r="BA121" s="618">
        <v>2.1752816852634591E-3</v>
      </c>
      <c r="BB121" s="618">
        <v>2.5278251214694981E-3</v>
      </c>
      <c r="BC121" s="617">
        <v>2.4571522872566787E-3</v>
      </c>
      <c r="BD121" s="617">
        <v>2.3476021606204491E-3</v>
      </c>
      <c r="BE121" s="617">
        <v>5.1589643711109036E-3</v>
      </c>
      <c r="BF121" s="617">
        <v>4.7811324366955925E-3</v>
      </c>
      <c r="BG121" s="617">
        <v>2.6238974674429481E-3</v>
      </c>
      <c r="BH121" s="617">
        <v>2.4277554560698344E-3</v>
      </c>
      <c r="BI121" s="617"/>
      <c r="BJ121" s="617"/>
      <c r="BK121" s="617"/>
      <c r="BL121" s="617"/>
      <c r="BM121" s="617"/>
      <c r="BN121" s="617"/>
      <c r="BO121" s="617"/>
      <c r="BP121" s="617"/>
      <c r="BQ121" s="617"/>
      <c r="BR121" s="617"/>
      <c r="BS121" s="617"/>
      <c r="BT121" s="617"/>
      <c r="BU121" s="617"/>
      <c r="BV121" s="617"/>
      <c r="BW121" s="617"/>
      <c r="BX121" s="617"/>
      <c r="BY121" s="617"/>
      <c r="BZ121" s="617"/>
      <c r="CA121" s="617"/>
      <c r="CB121" s="617"/>
      <c r="CC121" s="617"/>
      <c r="CD121" s="617"/>
      <c r="CE121" s="617"/>
      <c r="CF121" s="617"/>
      <c r="CG121" s="617"/>
      <c r="CH121" s="617"/>
      <c r="CI121" s="617"/>
      <c r="CJ121" s="617"/>
    </row>
    <row r="122" spans="1:88">
      <c r="A122" s="151">
        <f t="shared" ca="1" si="25"/>
        <v>8</v>
      </c>
      <c r="B122" s="784">
        <f t="shared" si="26"/>
        <v>0</v>
      </c>
      <c r="C122" s="944">
        <f t="shared" si="33"/>
        <v>0</v>
      </c>
      <c r="D122" s="947">
        <f t="shared" si="27"/>
        <v>0</v>
      </c>
      <c r="E122" s="947">
        <f t="shared" si="40"/>
        <v>0</v>
      </c>
      <c r="F122" s="947">
        <f t="shared" si="41"/>
        <v>0</v>
      </c>
      <c r="G122" s="947">
        <f>IF(M121&lt;0.01,0,IF($F$19=$U$4,$G$19,IF(AND($F$21=1,$F$19=$U$2),M121*Adm!$U$4,IF(AND($F$21=2,$F$19=$U$2),M121*Adm!$U$5,IF(AND($F$21=1,$F$19=$U$3),M121*Adm!$V$4,IF(AND($F$21=2,$F$19=$U$3),M121*Adm!$V$5,0))))))</f>
        <v>0</v>
      </c>
      <c r="H122" s="947">
        <f>IF(M121&lt;0.01,0,IF($F$20=$V$3,0,IF(OR($F$10=$T$16,$F$10=$T$17),0,IF($F$10=$T$13,0,$F$11*Adm!$AA$3))))</f>
        <v>0</v>
      </c>
      <c r="I122" s="947">
        <f t="shared" si="34"/>
        <v>0</v>
      </c>
      <c r="J122" s="947">
        <f t="shared" si="22"/>
        <v>0</v>
      </c>
      <c r="K122" s="947">
        <f t="shared" si="28"/>
        <v>0</v>
      </c>
      <c r="L122" s="947">
        <f t="shared" si="23"/>
        <v>0</v>
      </c>
      <c r="M122" s="947">
        <f t="shared" si="29"/>
        <v>0</v>
      </c>
      <c r="N122" s="946"/>
      <c r="P122" s="733"/>
      <c r="Q122" s="733"/>
      <c r="R122" s="733"/>
      <c r="S122" s="785">
        <f t="shared" si="30"/>
        <v>9</v>
      </c>
      <c r="T122" s="786">
        <f t="shared" si="35"/>
        <v>0</v>
      </c>
      <c r="W122" s="790">
        <f t="shared" si="36"/>
        <v>0</v>
      </c>
      <c r="X122" s="818">
        <f t="shared" ca="1" si="31"/>
        <v>0</v>
      </c>
      <c r="Z122" s="843">
        <f t="shared" si="37"/>
        <v>0</v>
      </c>
      <c r="AA122" s="792">
        <f t="shared" si="38"/>
        <v>0</v>
      </c>
      <c r="AB122" s="792">
        <f t="shared" si="39"/>
        <v>0</v>
      </c>
      <c r="AC122" s="789">
        <f t="shared" si="32"/>
        <v>0</v>
      </c>
      <c r="AD122" s="789">
        <f t="shared" si="24"/>
        <v>0</v>
      </c>
      <c r="AE122" s="828" t="e">
        <f>HLOOKUP($AE$39,anticipado,82,0)</f>
        <v>#N/A</v>
      </c>
      <c r="AF122" s="827"/>
      <c r="AG122" s="614">
        <v>5.0583893558510092E-3</v>
      </c>
      <c r="AH122" s="615">
        <v>4.8622998992959836E-3</v>
      </c>
      <c r="AI122" s="616">
        <v>4.708316752434839E-3</v>
      </c>
      <c r="AJ122" s="616">
        <v>5.1347116297256129E-3</v>
      </c>
      <c r="AK122" s="617">
        <v>5.0583893558510092E-3</v>
      </c>
      <c r="AL122" s="617">
        <v>4.8622998992959836E-3</v>
      </c>
      <c r="AM122" s="617">
        <v>5.2949818164020057E-3</v>
      </c>
      <c r="AN122" s="617">
        <v>5.1810654288553604E-3</v>
      </c>
      <c r="AO122" s="617">
        <v>5.1059612231696668E-3</v>
      </c>
      <c r="AP122" s="617">
        <v>5.4356743275277329E-3</v>
      </c>
      <c r="AQ122" s="617">
        <v>5.2949818164020057E-3</v>
      </c>
      <c r="AR122" s="618">
        <v>5.1586530402211346E-3</v>
      </c>
      <c r="AS122" s="618">
        <v>2.193870475858597E-3</v>
      </c>
      <c r="AT122" s="618">
        <v>2.1065644961113712E-3</v>
      </c>
      <c r="AU122" s="618">
        <v>1.9517777939211151E-3</v>
      </c>
      <c r="AV122" s="618">
        <v>2.3413013382515323E-3</v>
      </c>
      <c r="AW122" s="618">
        <v>2.193870475858597E-3</v>
      </c>
      <c r="AX122" s="618">
        <v>2.0636372824266941E-3</v>
      </c>
      <c r="AY122" s="618">
        <v>2.4351327048923455E-3</v>
      </c>
      <c r="AZ122" s="618">
        <v>2.3606982359831137E-3</v>
      </c>
      <c r="BA122" s="618">
        <v>2.1998984019974172E-3</v>
      </c>
      <c r="BB122" s="618">
        <v>2.5542938785816927E-3</v>
      </c>
      <c r="BC122" s="617">
        <v>2.4831977683979082E-3</v>
      </c>
      <c r="BD122" s="617">
        <v>2.3731279392633677E-3</v>
      </c>
      <c r="BE122" s="617">
        <v>5.2278080406772823E-3</v>
      </c>
      <c r="BF122" s="617">
        <v>4.847898873966275E-3</v>
      </c>
      <c r="BG122" s="617">
        <v>2.6508602711843073E-3</v>
      </c>
      <c r="BH122" s="617">
        <v>2.4537212424209057E-3</v>
      </c>
      <c r="BI122" s="617"/>
      <c r="BJ122" s="617"/>
      <c r="BK122" s="617"/>
      <c r="BL122" s="617"/>
      <c r="BM122" s="617"/>
      <c r="BN122" s="617"/>
      <c r="BO122" s="617"/>
      <c r="BP122" s="617"/>
      <c r="BQ122" s="617"/>
      <c r="BR122" s="617"/>
      <c r="BS122" s="617"/>
      <c r="BT122" s="617"/>
      <c r="BU122" s="617"/>
      <c r="BV122" s="617"/>
      <c r="BW122" s="617"/>
      <c r="BX122" s="617"/>
      <c r="BY122" s="617"/>
      <c r="BZ122" s="617"/>
      <c r="CA122" s="617"/>
      <c r="CB122" s="617"/>
      <c r="CC122" s="617"/>
      <c r="CD122" s="617"/>
      <c r="CE122" s="617"/>
      <c r="CF122" s="617"/>
      <c r="CG122" s="617"/>
      <c r="CH122" s="617"/>
      <c r="CI122" s="617"/>
      <c r="CJ122" s="617"/>
    </row>
    <row r="123" spans="1:88">
      <c r="A123" s="151">
        <f t="shared" ca="1" si="25"/>
        <v>9</v>
      </c>
      <c r="B123" s="784">
        <f t="shared" si="26"/>
        <v>0</v>
      </c>
      <c r="C123" s="944">
        <f t="shared" si="33"/>
        <v>0</v>
      </c>
      <c r="D123" s="947">
        <f t="shared" si="27"/>
        <v>0</v>
      </c>
      <c r="E123" s="947">
        <f t="shared" si="40"/>
        <v>0</v>
      </c>
      <c r="F123" s="947">
        <f t="shared" si="41"/>
        <v>0</v>
      </c>
      <c r="G123" s="947">
        <f>IF(M122&lt;0.01,0,IF($F$19=$U$4,$G$19,IF(AND($F$21=1,$F$19=$U$2),M122*Adm!$U$4,IF(AND($F$21=2,$F$19=$U$2),M122*Adm!$U$5,IF(AND($F$21=1,$F$19=$U$3),M122*Adm!$V$4,IF(AND($F$21=2,$F$19=$U$3),M122*Adm!$V$5,0))))))</f>
        <v>0</v>
      </c>
      <c r="H123" s="947">
        <f>IF(M122&lt;0.01,0,IF($F$20=$V$3,0,IF(OR($F$10=$T$16,$F$10=$T$17),0,IF($F$10=$T$13,0,$F$11*Adm!$AA$3))))</f>
        <v>0</v>
      </c>
      <c r="I123" s="947">
        <f t="shared" si="34"/>
        <v>0</v>
      </c>
      <c r="J123" s="947">
        <f t="shared" si="22"/>
        <v>0</v>
      </c>
      <c r="K123" s="947">
        <f t="shared" si="28"/>
        <v>0</v>
      </c>
      <c r="L123" s="947">
        <f t="shared" si="23"/>
        <v>0</v>
      </c>
      <c r="M123" s="947">
        <f t="shared" si="29"/>
        <v>0</v>
      </c>
      <c r="N123" s="946"/>
      <c r="P123" s="733"/>
      <c r="Q123" s="733"/>
      <c r="R123" s="733"/>
      <c r="S123" s="785">
        <f t="shared" si="30"/>
        <v>10</v>
      </c>
      <c r="T123" s="786">
        <f t="shared" si="35"/>
        <v>0</v>
      </c>
      <c r="W123" s="790">
        <f t="shared" si="36"/>
        <v>0</v>
      </c>
      <c r="X123" s="818">
        <f t="shared" ca="1" si="31"/>
        <v>0</v>
      </c>
      <c r="Z123" s="843">
        <f t="shared" si="37"/>
        <v>0</v>
      </c>
      <c r="AA123" s="792">
        <f t="shared" si="38"/>
        <v>0</v>
      </c>
      <c r="AB123" s="792">
        <f t="shared" si="39"/>
        <v>0</v>
      </c>
      <c r="AC123" s="789">
        <f t="shared" si="32"/>
        <v>0</v>
      </c>
      <c r="AD123" s="789">
        <f t="shared" si="24"/>
        <v>0</v>
      </c>
      <c r="AE123" s="828" t="e">
        <f>HLOOKUP($AE$39,anticipado,83,0)</f>
        <v>#N/A</v>
      </c>
      <c r="AF123" s="827"/>
      <c r="AG123" s="614">
        <v>5.1279571680010998E-3</v>
      </c>
      <c r="AH123" s="615">
        <v>4.9303983462646254E-3</v>
      </c>
      <c r="AI123" s="616">
        <v>4.7750968343000964E-3</v>
      </c>
      <c r="AJ123" s="616">
        <v>5.2041800679612244E-3</v>
      </c>
      <c r="AK123" s="617">
        <v>5.1279571680010998E-3</v>
      </c>
      <c r="AL123" s="617">
        <v>4.9303983462646254E-3</v>
      </c>
      <c r="AM123" s="617">
        <v>5.3653096394286606E-3</v>
      </c>
      <c r="AN123" s="617">
        <v>5.2511886729180324E-3</v>
      </c>
      <c r="AO123" s="617">
        <v>5.1762169533818882E-3</v>
      </c>
      <c r="AP123" s="617">
        <v>5.5070559066873739E-3</v>
      </c>
      <c r="AQ123" s="617">
        <v>5.3653096394286606E-3</v>
      </c>
      <c r="AR123" s="618">
        <v>5.2281390946630072E-3</v>
      </c>
      <c r="AS123" s="618">
        <v>2.2186472751803748E-3</v>
      </c>
      <c r="AT123" s="618">
        <v>2.1308725775966539E-3</v>
      </c>
      <c r="AU123" s="618">
        <v>1.9749713641480575E-3</v>
      </c>
      <c r="AV123" s="618">
        <v>2.3670370092113069E-3</v>
      </c>
      <c r="AW123" s="618">
        <v>2.2186472751803748E-3</v>
      </c>
      <c r="AX123" s="618">
        <v>2.087532549630091E-3</v>
      </c>
      <c r="AY123" s="618">
        <v>2.4612973063650647E-3</v>
      </c>
      <c r="AZ123" s="618">
        <v>2.3865949262744314E-3</v>
      </c>
      <c r="BA123" s="618">
        <v>2.2248485832719873E-3</v>
      </c>
      <c r="BB123" s="618">
        <v>2.5811082808689114E-3</v>
      </c>
      <c r="BC123" s="617">
        <v>2.5095848524566296E-3</v>
      </c>
      <c r="BD123" s="617">
        <v>2.3989926432148065E-3</v>
      </c>
      <c r="BE123" s="617">
        <v>5.297937013659792E-3</v>
      </c>
      <c r="BF123" s="617">
        <v>4.9159274712864834E-3</v>
      </c>
      <c r="BG123" s="617">
        <v>2.6781725419428998E-3</v>
      </c>
      <c r="BH123" s="617">
        <v>2.4800292955581942E-3</v>
      </c>
      <c r="BI123" s="617"/>
      <c r="BJ123" s="617"/>
      <c r="BK123" s="617"/>
      <c r="BL123" s="617"/>
      <c r="BM123" s="617"/>
      <c r="BN123" s="617"/>
      <c r="BO123" s="617"/>
      <c r="BP123" s="617"/>
      <c r="BQ123" s="617"/>
      <c r="BR123" s="617"/>
      <c r="BS123" s="617"/>
      <c r="BT123" s="617"/>
      <c r="BU123" s="617"/>
      <c r="BV123" s="617"/>
      <c r="BW123" s="617"/>
      <c r="BX123" s="617"/>
      <c r="BY123" s="617"/>
      <c r="BZ123" s="617"/>
      <c r="CA123" s="617"/>
      <c r="CB123" s="617"/>
      <c r="CC123" s="617"/>
      <c r="CD123" s="617"/>
      <c r="CE123" s="617"/>
      <c r="CF123" s="617"/>
      <c r="CG123" s="617"/>
      <c r="CH123" s="617"/>
      <c r="CI123" s="617"/>
      <c r="CJ123" s="617"/>
    </row>
    <row r="124" spans="1:88">
      <c r="A124" s="151">
        <f t="shared" ca="1" si="25"/>
        <v>10</v>
      </c>
      <c r="B124" s="784">
        <f t="shared" si="26"/>
        <v>0</v>
      </c>
      <c r="C124" s="944">
        <f t="shared" si="33"/>
        <v>0</v>
      </c>
      <c r="D124" s="947">
        <f t="shared" si="27"/>
        <v>0</v>
      </c>
      <c r="E124" s="947">
        <f t="shared" si="40"/>
        <v>0</v>
      </c>
      <c r="F124" s="947">
        <f t="shared" si="41"/>
        <v>0</v>
      </c>
      <c r="G124" s="947">
        <f>IF(M123&lt;0.01,0,IF($F$19=$U$4,$G$19,IF(AND($F$21=1,$F$19=$U$2),M123*Adm!$U$4,IF(AND($F$21=2,$F$19=$U$2),M123*Adm!$U$5,IF(AND($F$21=1,$F$19=$U$3),M123*Adm!$V$4,IF(AND($F$21=2,$F$19=$U$3),M123*Adm!$V$5,0))))))</f>
        <v>0</v>
      </c>
      <c r="H124" s="947">
        <f>IF(M123&lt;0.01,0,IF($F$20=$V$3,0,IF(OR($F$10=$T$16,$F$10=$T$17),0,IF($F$10=$T$13,0,$F$11*Adm!$AA$3))))</f>
        <v>0</v>
      </c>
      <c r="I124" s="947">
        <f t="shared" si="34"/>
        <v>0</v>
      </c>
      <c r="J124" s="947">
        <f t="shared" si="22"/>
        <v>0</v>
      </c>
      <c r="K124" s="947">
        <f t="shared" si="28"/>
        <v>0</v>
      </c>
      <c r="L124" s="947">
        <f t="shared" si="23"/>
        <v>0</v>
      </c>
      <c r="M124" s="947">
        <f t="shared" si="29"/>
        <v>0</v>
      </c>
      <c r="N124" s="946"/>
      <c r="P124" s="733"/>
      <c r="Q124" s="733"/>
      <c r="R124" s="733"/>
      <c r="S124" s="785">
        <f t="shared" si="30"/>
        <v>11</v>
      </c>
      <c r="T124" s="786">
        <f t="shared" si="35"/>
        <v>0</v>
      </c>
      <c r="W124" s="790">
        <f t="shared" si="36"/>
        <v>0</v>
      </c>
      <c r="X124" s="818">
        <f t="shared" ca="1" si="31"/>
        <v>0</v>
      </c>
      <c r="Z124" s="843">
        <f t="shared" si="37"/>
        <v>0</v>
      </c>
      <c r="AA124" s="792">
        <f t="shared" si="38"/>
        <v>0</v>
      </c>
      <c r="AB124" s="792">
        <f t="shared" si="39"/>
        <v>0</v>
      </c>
      <c r="AC124" s="789">
        <f t="shared" si="32"/>
        <v>0</v>
      </c>
      <c r="AD124" s="789">
        <f t="shared" si="24"/>
        <v>0</v>
      </c>
      <c r="AE124" s="828" t="e">
        <f>HLOOKUP($AE$39,anticipado,84,0)</f>
        <v>#N/A</v>
      </c>
      <c r="AF124" s="827"/>
      <c r="AG124" s="614">
        <v>5.1988452543625463E-3</v>
      </c>
      <c r="AH124" s="615">
        <v>4.999792680822168E-3</v>
      </c>
      <c r="AI124" s="616">
        <v>4.8431490426778722E-3</v>
      </c>
      <c r="AJ124" s="616">
        <v>5.2749566915002667E-3</v>
      </c>
      <c r="AK124" s="617">
        <v>5.1988452543625463E-3</v>
      </c>
      <c r="AL124" s="617">
        <v>4.999792680822168E-3</v>
      </c>
      <c r="AM124" s="617">
        <v>5.4369559596268054E-3</v>
      </c>
      <c r="AN124" s="617">
        <v>5.3226361859417173E-3</v>
      </c>
      <c r="AO124" s="617">
        <v>5.2478099517387329E-3</v>
      </c>
      <c r="AP124" s="617">
        <v>5.5797753427350629E-3</v>
      </c>
      <c r="AQ124" s="617">
        <v>5.4369559596268054E-3</v>
      </c>
      <c r="AR124" s="618">
        <v>5.2989312238595782E-3</v>
      </c>
      <c r="AS124" s="618">
        <v>2.2437596103482959E-3</v>
      </c>
      <c r="AT124" s="618">
        <v>2.1555136620506408E-3</v>
      </c>
      <c r="AU124" s="618">
        <v>1.9984869933312769E-3</v>
      </c>
      <c r="AV124" s="618">
        <v>2.393117300633739E-3</v>
      </c>
      <c r="AW124" s="618">
        <v>2.2437596103482959E-3</v>
      </c>
      <c r="AX124" s="618">
        <v>2.1117550701928705E-3</v>
      </c>
      <c r="AY124" s="618">
        <v>2.4878082882246822E-3</v>
      </c>
      <c r="AZ124" s="618">
        <v>2.4128383337836158E-3</v>
      </c>
      <c r="BA124" s="618">
        <v>2.2501380025365929E-3</v>
      </c>
      <c r="BB124" s="618">
        <v>2.6082742931359134E-3</v>
      </c>
      <c r="BC124" s="617">
        <v>2.5363194249856716E-3</v>
      </c>
      <c r="BD124" s="617">
        <v>2.4252021227328772E-3</v>
      </c>
      <c r="BE124" s="617">
        <v>5.3693852673692578E-3</v>
      </c>
      <c r="BF124" s="617">
        <v>4.9852514780921384E-3</v>
      </c>
      <c r="BG124" s="617">
        <v>2.7058403148092188E-3</v>
      </c>
      <c r="BH124" s="617">
        <v>2.5066855238697013E-3</v>
      </c>
      <c r="BI124" s="617"/>
      <c r="BJ124" s="617"/>
      <c r="BK124" s="617"/>
      <c r="BL124" s="617"/>
      <c r="BM124" s="617"/>
      <c r="BN124" s="617"/>
      <c r="BO124" s="617"/>
      <c r="BP124" s="617"/>
      <c r="BQ124" s="617"/>
      <c r="BR124" s="617"/>
      <c r="BS124" s="617"/>
      <c r="BT124" s="617"/>
      <c r="BU124" s="617"/>
      <c r="BV124" s="617"/>
      <c r="BW124" s="617"/>
      <c r="BX124" s="617"/>
      <c r="BY124" s="617"/>
      <c r="BZ124" s="617"/>
      <c r="CA124" s="617"/>
      <c r="CB124" s="617"/>
      <c r="CC124" s="617"/>
      <c r="CD124" s="617"/>
      <c r="CE124" s="617"/>
      <c r="CF124" s="617"/>
      <c r="CG124" s="617"/>
      <c r="CH124" s="617"/>
      <c r="CI124" s="617"/>
      <c r="CJ124" s="617"/>
    </row>
    <row r="125" spans="1:88">
      <c r="A125" s="151">
        <f t="shared" ca="1" si="25"/>
        <v>11</v>
      </c>
      <c r="B125" s="784">
        <f t="shared" si="26"/>
        <v>0</v>
      </c>
      <c r="C125" s="944">
        <f t="shared" si="33"/>
        <v>0</v>
      </c>
      <c r="D125" s="947">
        <f t="shared" si="27"/>
        <v>0</v>
      </c>
      <c r="E125" s="947">
        <f t="shared" si="40"/>
        <v>0</v>
      </c>
      <c r="F125" s="947">
        <f t="shared" si="41"/>
        <v>0</v>
      </c>
      <c r="G125" s="947">
        <f>IF(M124&lt;0.01,0,IF($F$19=$U$4,$G$19,IF(AND($F$21=1,$F$19=$U$2),M124*Adm!$U$4,IF(AND($F$21=2,$F$19=$U$2),M124*Adm!$U$5,IF(AND($F$21=1,$F$19=$U$3),M124*Adm!$V$4,IF(AND($F$21=2,$F$19=$U$3),M124*Adm!$V$5,0))))))</f>
        <v>0</v>
      </c>
      <c r="H125" s="947">
        <f>IF(M124&lt;0.01,0,IF($F$20=$V$3,0,IF(OR($F$10=$T$16,$F$10=$T$17),0,IF($F$10=$T$13,0,$F$11*Adm!$AA$3))))</f>
        <v>0</v>
      </c>
      <c r="I125" s="947">
        <f t="shared" si="34"/>
        <v>0</v>
      </c>
      <c r="J125" s="947">
        <f t="shared" si="22"/>
        <v>0</v>
      </c>
      <c r="K125" s="947">
        <f t="shared" si="28"/>
        <v>0</v>
      </c>
      <c r="L125" s="947">
        <f t="shared" si="23"/>
        <v>0</v>
      </c>
      <c r="M125" s="947">
        <f t="shared" si="29"/>
        <v>0</v>
      </c>
      <c r="N125" s="946"/>
      <c r="P125" s="733"/>
      <c r="Q125" s="733"/>
      <c r="R125" s="733"/>
      <c r="S125" s="785">
        <f t="shared" si="30"/>
        <v>12</v>
      </c>
      <c r="T125" s="786">
        <f t="shared" si="35"/>
        <v>0</v>
      </c>
      <c r="W125" s="790">
        <f t="shared" si="36"/>
        <v>0</v>
      </c>
      <c r="X125" s="818">
        <f t="shared" ca="1" si="31"/>
        <v>0</v>
      </c>
      <c r="Z125" s="843">
        <f t="shared" si="37"/>
        <v>0</v>
      </c>
      <c r="AA125" s="792">
        <f t="shared" si="38"/>
        <v>0</v>
      </c>
      <c r="AB125" s="792">
        <f t="shared" si="39"/>
        <v>0</v>
      </c>
      <c r="AC125" s="789">
        <f t="shared" si="32"/>
        <v>0</v>
      </c>
      <c r="AD125" s="789">
        <f t="shared" si="24"/>
        <v>0</v>
      </c>
      <c r="AE125" s="828" t="e">
        <f>HLOOKUP($AE$39,anticipado,85,0)</f>
        <v>#N/A</v>
      </c>
      <c r="AF125" s="827"/>
      <c r="AG125" s="614">
        <v>5.2710888700387487E-3</v>
      </c>
      <c r="AH125" s="615">
        <v>5.0705173348594423E-3</v>
      </c>
      <c r="AI125" s="616">
        <v>4.9125070068618314E-3</v>
      </c>
      <c r="AJ125" s="616">
        <v>5.3470763018755472E-3</v>
      </c>
      <c r="AK125" s="617">
        <v>5.2710888700387487E-3</v>
      </c>
      <c r="AL125" s="617">
        <v>5.0705173348594423E-3</v>
      </c>
      <c r="AM125" s="617">
        <v>5.5099559152914429E-3</v>
      </c>
      <c r="AN125" s="617">
        <v>5.3954433376300036E-3</v>
      </c>
      <c r="AO125" s="617">
        <v>5.320776075464286E-3</v>
      </c>
      <c r="AP125" s="617">
        <v>5.6538684454664982E-3</v>
      </c>
      <c r="AQ125" s="617">
        <v>5.5099559152914429E-3</v>
      </c>
      <c r="AR125" s="618">
        <v>5.3710641482165571E-3</v>
      </c>
      <c r="AS125" s="618">
        <v>2.2692132979574282E-3</v>
      </c>
      <c r="AT125" s="618">
        <v>2.1804935366961276E-3</v>
      </c>
      <c r="AU125" s="618">
        <v>2.0223302693630771E-3</v>
      </c>
      <c r="AV125" s="618">
        <v>2.419548200008862E-3</v>
      </c>
      <c r="AW125" s="618">
        <v>2.2692132979574282E-3</v>
      </c>
      <c r="AX125" s="618">
        <v>2.1363105099516809E-3</v>
      </c>
      <c r="AY125" s="618">
        <v>2.5146716545297785E-3</v>
      </c>
      <c r="AZ125" s="618">
        <v>2.4394344905334388E-3</v>
      </c>
      <c r="BA125" s="618">
        <v>2.2757725629888302E-3</v>
      </c>
      <c r="BB125" s="618">
        <v>2.6357980154956221E-3</v>
      </c>
      <c r="BC125" s="617">
        <v>2.5634075045664569E-3</v>
      </c>
      <c r="BD125" s="617">
        <v>2.4517623600561517E-3</v>
      </c>
      <c r="BE125" s="617">
        <v>5.4421879817609263E-3</v>
      </c>
      <c r="BF125" s="617">
        <v>5.0559053135046548E-3</v>
      </c>
      <c r="BG125" s="617">
        <v>2.7338697622277127E-3</v>
      </c>
      <c r="BH125" s="617">
        <v>2.5336959694039866E-3</v>
      </c>
      <c r="BI125" s="617"/>
      <c r="BJ125" s="617"/>
      <c r="BK125" s="617"/>
      <c r="BL125" s="617"/>
      <c r="BM125" s="617"/>
      <c r="BN125" s="617"/>
      <c r="BO125" s="617"/>
      <c r="BP125" s="617"/>
      <c r="BQ125" s="617"/>
      <c r="BR125" s="617"/>
      <c r="BS125" s="617"/>
      <c r="BT125" s="617"/>
      <c r="BU125" s="617"/>
      <c r="BV125" s="617"/>
      <c r="BW125" s="617"/>
      <c r="BX125" s="617"/>
      <c r="BY125" s="617"/>
      <c r="BZ125" s="617"/>
      <c r="CA125" s="617"/>
      <c r="CB125" s="617"/>
      <c r="CC125" s="617"/>
      <c r="CD125" s="617"/>
      <c r="CE125" s="617"/>
      <c r="CF125" s="617"/>
      <c r="CG125" s="617"/>
      <c r="CH125" s="617"/>
      <c r="CI125" s="617"/>
      <c r="CJ125" s="617"/>
    </row>
    <row r="126" spans="1:88">
      <c r="A126" s="151">
        <f t="shared" ca="1" si="25"/>
        <v>12</v>
      </c>
      <c r="B126" s="784">
        <f t="shared" si="26"/>
        <v>0</v>
      </c>
      <c r="C126" s="944">
        <f t="shared" si="33"/>
        <v>0</v>
      </c>
      <c r="D126" s="947">
        <f t="shared" si="27"/>
        <v>0</v>
      </c>
      <c r="E126" s="947">
        <f t="shared" si="40"/>
        <v>0</v>
      </c>
      <c r="F126" s="947">
        <f t="shared" si="41"/>
        <v>0</v>
      </c>
      <c r="G126" s="947">
        <f>IF(M125&lt;0.01,0,IF($F$19=$U$4,$G$19,IF(AND($F$21=1,$F$19=$U$2),M125*Adm!$U$4,IF(AND($F$21=2,$F$19=$U$2),M125*Adm!$U$5,IF(AND($F$21=1,$F$19=$U$3),M125*Adm!$V$4,IF(AND($F$21=2,$F$19=$U$3),M125*Adm!$V$5,0))))))</f>
        <v>0</v>
      </c>
      <c r="H126" s="947">
        <f>IF(M125&lt;0.01,0,IF($F$20=$V$3,0,IF(OR($F$10=$T$16,$F$10=$T$17),0,IF($F$10=$T$13,0,$F$11*Adm!$AA$3))))</f>
        <v>0</v>
      </c>
      <c r="I126" s="947">
        <f t="shared" si="34"/>
        <v>0</v>
      </c>
      <c r="J126" s="947">
        <f t="shared" si="22"/>
        <v>0</v>
      </c>
      <c r="K126" s="947">
        <f t="shared" si="28"/>
        <v>0</v>
      </c>
      <c r="L126" s="947">
        <f t="shared" si="23"/>
        <v>0</v>
      </c>
      <c r="M126" s="947">
        <f t="shared" si="29"/>
        <v>0</v>
      </c>
      <c r="N126" s="946"/>
      <c r="P126" s="733"/>
      <c r="Q126" s="733"/>
      <c r="R126" s="733"/>
      <c r="S126" s="785">
        <f t="shared" si="30"/>
        <v>1</v>
      </c>
      <c r="T126" s="786">
        <f t="shared" si="35"/>
        <v>0</v>
      </c>
      <c r="W126" s="790">
        <f t="shared" si="36"/>
        <v>0</v>
      </c>
      <c r="X126" s="818">
        <f t="shared" ca="1" si="31"/>
        <v>0</v>
      </c>
      <c r="Z126" s="843">
        <f t="shared" si="37"/>
        <v>0</v>
      </c>
      <c r="AA126" s="792">
        <f t="shared" si="38"/>
        <v>0</v>
      </c>
      <c r="AB126" s="792">
        <f t="shared" si="39"/>
        <v>0</v>
      </c>
      <c r="AC126" s="789">
        <f t="shared" si="32"/>
        <v>0</v>
      </c>
      <c r="AD126" s="789">
        <f t="shared" si="24"/>
        <v>0</v>
      </c>
      <c r="AE126" s="828" t="e">
        <f>HLOOKUP($AE$39,anticipado,86,0)</f>
        <v>#N/A</v>
      </c>
      <c r="AF126" s="827"/>
      <c r="AG126" s="614">
        <v>5.6939676427619238E-3</v>
      </c>
      <c r="AH126" s="615">
        <v>5.4980481615558375E-3</v>
      </c>
      <c r="AI126" s="616">
        <v>5.3429940143225815E-3</v>
      </c>
      <c r="AJ126" s="616">
        <v>5.7642143133896069E-3</v>
      </c>
      <c r="AK126" s="617">
        <v>5.6939676427619238E-3</v>
      </c>
      <c r="AL126" s="617">
        <v>5.4980481615558375E-3</v>
      </c>
      <c r="AM126" s="617">
        <v>5.9218712134921575E-3</v>
      </c>
      <c r="AN126" s="617">
        <v>5.8134712648552538E-3</v>
      </c>
      <c r="AO126" s="617">
        <v>5.7446146133293251E-3</v>
      </c>
      <c r="AP126" s="617">
        <v>6.0632316174191224E-3</v>
      </c>
      <c r="AQ126" s="617">
        <v>5.9218712134921575E-3</v>
      </c>
      <c r="AR126" s="618">
        <v>5.786729836101622E-3</v>
      </c>
      <c r="AS126" s="618">
        <v>2.4087144284279374E-3</v>
      </c>
      <c r="AT126" s="618">
        <v>2.3219596333939239E-3</v>
      </c>
      <c r="AU126" s="618">
        <v>2.166055307021483E-3</v>
      </c>
      <c r="AV126" s="618">
        <v>2.5570491889965988E-3</v>
      </c>
      <c r="AW126" s="618">
        <v>2.4087144284279374E-3</v>
      </c>
      <c r="AX126" s="618">
        <v>2.2777333747221106E-3</v>
      </c>
      <c r="AY126" s="618">
        <v>2.6501458145068765E-3</v>
      </c>
      <c r="AZ126" s="618">
        <v>2.5768867946743121E-3</v>
      </c>
      <c r="BA126" s="618">
        <v>2.4159425509224447E-3</v>
      </c>
      <c r="BB126" s="618">
        <v>2.7694892107722755E-3</v>
      </c>
      <c r="BC126" s="617">
        <v>2.6979304657268294E-3</v>
      </c>
      <c r="BD126" s="617">
        <v>2.5884662678830623E-3</v>
      </c>
      <c r="BE126" s="617">
        <v>5.8572077996508435E-3</v>
      </c>
      <c r="BF126" s="617">
        <v>5.4840394003943084E-3</v>
      </c>
      <c r="BG126" s="617">
        <v>2.8661398699116425E-3</v>
      </c>
      <c r="BH126" s="617">
        <v>2.6690941464600419E-3</v>
      </c>
      <c r="BI126" s="617"/>
      <c r="BJ126" s="617"/>
      <c r="BK126" s="617"/>
      <c r="BL126" s="617"/>
      <c r="BM126" s="617"/>
      <c r="BN126" s="617"/>
      <c r="BO126" s="617"/>
      <c r="BP126" s="617"/>
      <c r="BQ126" s="617"/>
      <c r="BR126" s="617"/>
      <c r="BS126" s="617"/>
      <c r="BT126" s="617"/>
      <c r="BU126" s="617"/>
      <c r="BV126" s="617"/>
      <c r="BW126" s="617"/>
      <c r="BX126" s="617"/>
      <c r="BY126" s="617"/>
      <c r="BZ126" s="617"/>
      <c r="CA126" s="617"/>
      <c r="CB126" s="617"/>
      <c r="CC126" s="617"/>
      <c r="CD126" s="617"/>
      <c r="CE126" s="617"/>
      <c r="CF126" s="617"/>
      <c r="CG126" s="617"/>
      <c r="CH126" s="617"/>
      <c r="CI126" s="617"/>
      <c r="CJ126" s="617"/>
    </row>
    <row r="127" spans="1:88">
      <c r="A127" s="151">
        <f t="shared" ca="1" si="25"/>
        <v>1</v>
      </c>
      <c r="B127" s="784">
        <f t="shared" si="26"/>
        <v>0</v>
      </c>
      <c r="C127" s="944">
        <f t="shared" si="33"/>
        <v>0</v>
      </c>
      <c r="D127" s="947">
        <f t="shared" si="27"/>
        <v>0</v>
      </c>
      <c r="E127" s="947">
        <f t="shared" si="40"/>
        <v>0</v>
      </c>
      <c r="F127" s="947">
        <f t="shared" si="41"/>
        <v>0</v>
      </c>
      <c r="G127" s="947">
        <f>IF(M126&lt;0.01,0,IF($F$19=$U$4,$G$19,IF(AND($F$21=1,$F$19=$U$2),M126*Adm!$U$4,IF(AND($F$21=2,$F$19=$U$2),M126*Adm!$U$5,IF(AND($F$21=1,$F$19=$U$3),M126*Adm!$V$4,IF(AND($F$21=2,$F$19=$U$3),M126*Adm!$V$5,0))))))</f>
        <v>0</v>
      </c>
      <c r="H127" s="947">
        <f>IF(M126&lt;0.01,0,IF($F$20=$V$3,0,IF(OR($F$10=$T$16,$F$10=$T$17),0,IF($F$10=$T$13,0,$F$11*Adm!$AA$3))))</f>
        <v>0</v>
      </c>
      <c r="I127" s="947">
        <f t="shared" si="34"/>
        <v>0</v>
      </c>
      <c r="J127" s="947">
        <f t="shared" si="22"/>
        <v>0</v>
      </c>
      <c r="K127" s="947">
        <f t="shared" si="28"/>
        <v>0</v>
      </c>
      <c r="L127" s="947">
        <f t="shared" si="23"/>
        <v>0</v>
      </c>
      <c r="M127" s="947">
        <f t="shared" si="29"/>
        <v>0</v>
      </c>
      <c r="N127" s="946"/>
      <c r="P127" s="733"/>
      <c r="Q127" s="733"/>
      <c r="R127" s="733"/>
      <c r="S127" s="785">
        <f t="shared" si="30"/>
        <v>2</v>
      </c>
      <c r="T127" s="786">
        <f t="shared" si="35"/>
        <v>0</v>
      </c>
      <c r="W127" s="790">
        <f t="shared" si="36"/>
        <v>0</v>
      </c>
      <c r="X127" s="818">
        <f t="shared" ca="1" si="31"/>
        <v>0</v>
      </c>
      <c r="Z127" s="843">
        <f t="shared" si="37"/>
        <v>0</v>
      </c>
      <c r="AA127" s="792">
        <f t="shared" si="38"/>
        <v>0</v>
      </c>
      <c r="AB127" s="792">
        <f t="shared" si="39"/>
        <v>0</v>
      </c>
      <c r="AC127" s="789">
        <f t="shared" si="32"/>
        <v>0</v>
      </c>
      <c r="AD127" s="789">
        <f t="shared" si="24"/>
        <v>0</v>
      </c>
      <c r="AE127" s="828" t="e">
        <f>HLOOKUP($AE$39,anticipado,87,0)</f>
        <v>#N/A</v>
      </c>
      <c r="AF127" s="827"/>
      <c r="AG127" s="614">
        <v>5.7759662787777886E-3</v>
      </c>
      <c r="AH127" s="615">
        <v>5.5786144394849952E-3</v>
      </c>
      <c r="AI127" s="616">
        <v>5.4222336449163801E-3</v>
      </c>
      <c r="AJ127" s="616">
        <v>5.8458984088313832E-3</v>
      </c>
      <c r="AK127" s="617">
        <v>5.7759662787777886E-3</v>
      </c>
      <c r="AL127" s="617">
        <v>5.5786144394849952E-3</v>
      </c>
      <c r="AM127" s="617">
        <v>6.0043094411688621E-3</v>
      </c>
      <c r="AN127" s="617">
        <v>5.8959018410994438E-3</v>
      </c>
      <c r="AO127" s="617">
        <v>5.8273987152443578E-3</v>
      </c>
      <c r="AP127" s="617">
        <v>6.1467328233000022E-3</v>
      </c>
      <c r="AQ127" s="617">
        <v>6.0043094411688621E-3</v>
      </c>
      <c r="AR127" s="618">
        <v>5.8683808691660372E-3</v>
      </c>
      <c r="AS127" s="618">
        <v>2.436442205360002E-3</v>
      </c>
      <c r="AT127" s="618">
        <v>2.3492602911758839E-3</v>
      </c>
      <c r="AU127" s="618">
        <v>2.1922658741529988E-3</v>
      </c>
      <c r="AV127" s="618">
        <v>2.5857155400764221E-3</v>
      </c>
      <c r="AW127" s="618">
        <v>2.436442205360002E-3</v>
      </c>
      <c r="AX127" s="618">
        <v>2.3046021298571443E-3</v>
      </c>
      <c r="AY127" s="618">
        <v>2.6791981213579266E-3</v>
      </c>
      <c r="AZ127" s="618">
        <v>2.6057197177264992E-3</v>
      </c>
      <c r="BA127" s="618">
        <v>2.443872148557737E-3</v>
      </c>
      <c r="BB127" s="618">
        <v>2.7991665953759366E-3</v>
      </c>
      <c r="BC127" s="617">
        <v>2.7271864273550558E-3</v>
      </c>
      <c r="BD127" s="617">
        <v>2.6172428760596056E-3</v>
      </c>
      <c r="BE127" s="617">
        <v>5.9395379107350888E-3</v>
      </c>
      <c r="BF127" s="617">
        <v>5.5645517808060449E-3</v>
      </c>
      <c r="BG127" s="617">
        <v>2.8962953740663713E-3</v>
      </c>
      <c r="BH127" s="617">
        <v>2.6982939312544573E-3</v>
      </c>
      <c r="BI127" s="617"/>
      <c r="BJ127" s="617"/>
      <c r="BK127" s="617"/>
      <c r="BL127" s="617"/>
      <c r="BM127" s="617"/>
      <c r="BN127" s="617"/>
      <c r="BO127" s="617"/>
      <c r="BP127" s="617"/>
      <c r="BQ127" s="617"/>
      <c r="BR127" s="617"/>
      <c r="BS127" s="617"/>
      <c r="BT127" s="617"/>
      <c r="BU127" s="617"/>
      <c r="BV127" s="617"/>
      <c r="BW127" s="617"/>
      <c r="BX127" s="617"/>
      <c r="BY127" s="617"/>
      <c r="BZ127" s="617"/>
      <c r="CA127" s="617"/>
      <c r="CB127" s="617"/>
      <c r="CC127" s="617"/>
      <c r="CD127" s="617"/>
      <c r="CE127" s="617"/>
      <c r="CF127" s="617"/>
      <c r="CG127" s="617"/>
      <c r="CH127" s="617"/>
      <c r="CI127" s="617"/>
      <c r="CJ127" s="617"/>
    </row>
    <row r="128" spans="1:88">
      <c r="A128" s="151">
        <f t="shared" ca="1" si="25"/>
        <v>2</v>
      </c>
      <c r="B128" s="784">
        <f t="shared" si="26"/>
        <v>0</v>
      </c>
      <c r="C128" s="944">
        <f t="shared" si="33"/>
        <v>0</v>
      </c>
      <c r="D128" s="947">
        <f t="shared" si="27"/>
        <v>0</v>
      </c>
      <c r="E128" s="947">
        <f t="shared" si="40"/>
        <v>0</v>
      </c>
      <c r="F128" s="947">
        <f t="shared" si="41"/>
        <v>0</v>
      </c>
      <c r="G128" s="947">
        <f>IF(M127&lt;0.01,0,IF($F$19=$U$4,$G$19,IF(AND($F$21=1,$F$19=$U$2),M127*Adm!$U$4,IF(AND($F$21=2,$F$19=$U$2),M127*Adm!$U$5,IF(AND($F$21=1,$F$19=$U$3),M127*Adm!$V$4,IF(AND($F$21=2,$F$19=$U$3),M127*Adm!$V$5,0))))))</f>
        <v>0</v>
      </c>
      <c r="H128" s="947">
        <f>IF(M127&lt;0.01,0,IF($F$20=$V$3,0,IF(OR($F$10=$T$16,$F$10=$T$17),0,IF($F$10=$T$13,0,$F$11*Adm!$AA$3))))</f>
        <v>0</v>
      </c>
      <c r="I128" s="947">
        <f t="shared" si="34"/>
        <v>0</v>
      </c>
      <c r="J128" s="947">
        <f t="shared" si="22"/>
        <v>0</v>
      </c>
      <c r="K128" s="947">
        <f t="shared" si="28"/>
        <v>0</v>
      </c>
      <c r="L128" s="947">
        <f t="shared" si="23"/>
        <v>0</v>
      </c>
      <c r="M128" s="947">
        <f t="shared" si="29"/>
        <v>0</v>
      </c>
      <c r="N128" s="946"/>
      <c r="P128" s="733"/>
      <c r="Q128" s="733"/>
      <c r="R128" s="733"/>
      <c r="S128" s="785">
        <f t="shared" si="30"/>
        <v>3</v>
      </c>
      <c r="T128" s="786">
        <f t="shared" si="35"/>
        <v>0</v>
      </c>
      <c r="W128" s="790">
        <f t="shared" si="36"/>
        <v>0</v>
      </c>
      <c r="X128" s="818">
        <f t="shared" ca="1" si="31"/>
        <v>0</v>
      </c>
      <c r="Z128" s="843">
        <f t="shared" si="37"/>
        <v>0</v>
      </c>
      <c r="AA128" s="792">
        <f t="shared" si="38"/>
        <v>0</v>
      </c>
      <c r="AB128" s="792">
        <f t="shared" si="39"/>
        <v>0</v>
      </c>
      <c r="AC128" s="789">
        <f t="shared" si="32"/>
        <v>0</v>
      </c>
      <c r="AD128" s="789">
        <f t="shared" si="24"/>
        <v>0</v>
      </c>
      <c r="AE128" s="828" t="e">
        <f>HLOOKUP($AE$39,anticipado,88,0)</f>
        <v>#N/A</v>
      </c>
      <c r="AF128" s="827"/>
      <c r="AG128" s="614">
        <v>5.8596290074856327E-3</v>
      </c>
      <c r="AH128" s="615">
        <v>5.6608198971408357E-3</v>
      </c>
      <c r="AI128" s="616">
        <v>5.5030868491231797E-3</v>
      </c>
      <c r="AJ128" s="616">
        <v>5.9292271727798586E-3</v>
      </c>
      <c r="AK128" s="617">
        <v>5.8596290074856327E-3</v>
      </c>
      <c r="AL128" s="617">
        <v>5.6608198971408357E-3</v>
      </c>
      <c r="AM128" s="617">
        <v>6.0884001963587278E-3</v>
      </c>
      <c r="AN128" s="617">
        <v>5.9799970368894506E-3</v>
      </c>
      <c r="AO128" s="617">
        <v>5.9118680330641112E-3</v>
      </c>
      <c r="AP128" s="617">
        <v>6.2319075316542554E-3</v>
      </c>
      <c r="AQ128" s="617">
        <v>6.0884001963587278E-3</v>
      </c>
      <c r="AR128" s="618">
        <v>5.9516727909084497E-3</v>
      </c>
      <c r="AS128" s="618">
        <v>2.4645576707000827E-3</v>
      </c>
      <c r="AT128" s="618">
        <v>2.37694698224164E-3</v>
      </c>
      <c r="AU128" s="618">
        <v>2.2188518884642778E-3</v>
      </c>
      <c r="AV128" s="618">
        <v>2.6147784097776002E-3</v>
      </c>
      <c r="AW128" s="618">
        <v>2.4645576707000827E-3</v>
      </c>
      <c r="AX128" s="618">
        <v>2.3318506330083787E-3</v>
      </c>
      <c r="AY128" s="618">
        <v>2.7086478166048417E-3</v>
      </c>
      <c r="AZ128" s="618">
        <v>2.6349514235164918E-3</v>
      </c>
      <c r="BA128" s="618">
        <v>2.4721938419883594E-3</v>
      </c>
      <c r="BB128" s="618">
        <v>2.8292461956970867E-3</v>
      </c>
      <c r="BC128" s="617">
        <v>2.75684050854103E-3</v>
      </c>
      <c r="BD128" s="617">
        <v>2.6464157532834856E-3</v>
      </c>
      <c r="BE128" s="617">
        <v>6.0235241099176381E-3</v>
      </c>
      <c r="BF128" s="617">
        <v>5.6467033175423738E-3</v>
      </c>
      <c r="BG128" s="617">
        <v>2.9268566677209031E-3</v>
      </c>
      <c r="BH128" s="617">
        <v>2.7278930276060467E-3</v>
      </c>
      <c r="BI128" s="617"/>
      <c r="BJ128" s="617"/>
      <c r="BK128" s="617"/>
      <c r="BL128" s="617"/>
      <c r="BM128" s="617"/>
      <c r="BN128" s="617"/>
      <c r="BO128" s="617"/>
      <c r="BP128" s="617"/>
      <c r="BQ128" s="617"/>
      <c r="BR128" s="617"/>
      <c r="BS128" s="617"/>
      <c r="BT128" s="617"/>
      <c r="BU128" s="617"/>
      <c r="BV128" s="617"/>
      <c r="BW128" s="617"/>
      <c r="BX128" s="617"/>
      <c r="BY128" s="617"/>
      <c r="BZ128" s="617"/>
      <c r="CA128" s="617"/>
      <c r="CB128" s="617"/>
      <c r="CC128" s="617"/>
      <c r="CD128" s="617"/>
      <c r="CE128" s="617"/>
      <c r="CF128" s="617"/>
      <c r="CG128" s="617"/>
      <c r="CH128" s="617"/>
      <c r="CI128" s="617"/>
      <c r="CJ128" s="617"/>
    </row>
    <row r="129" spans="1:88">
      <c r="A129" s="151">
        <f t="shared" ca="1" si="25"/>
        <v>3</v>
      </c>
      <c r="B129" s="784">
        <f t="shared" si="26"/>
        <v>0</v>
      </c>
      <c r="C129" s="944">
        <f t="shared" si="33"/>
        <v>0</v>
      </c>
      <c r="D129" s="947">
        <f t="shared" si="27"/>
        <v>0</v>
      </c>
      <c r="E129" s="947">
        <f t="shared" si="40"/>
        <v>0</v>
      </c>
      <c r="F129" s="947">
        <f t="shared" si="41"/>
        <v>0</v>
      </c>
      <c r="G129" s="947">
        <f>IF(M128&lt;0.01,0,IF($F$19=$U$4,$G$19,IF(AND($F$21=1,$F$19=$U$2),M128*Adm!$U$4,IF(AND($F$21=2,$F$19=$U$2),M128*Adm!$U$5,IF(AND($F$21=1,$F$19=$U$3),M128*Adm!$V$4,IF(AND($F$21=2,$F$19=$U$3),M128*Adm!$V$5,0))))))</f>
        <v>0</v>
      </c>
      <c r="H129" s="947">
        <f>IF(M128&lt;0.01,0,IF($F$20=$V$3,0,IF(OR($F$10=$T$16,$F$10=$T$17),0,IF($F$10=$T$13,0,$F$11*Adm!$AA$3))))</f>
        <v>0</v>
      </c>
      <c r="I129" s="947">
        <f t="shared" si="34"/>
        <v>0</v>
      </c>
      <c r="J129" s="947">
        <f t="shared" si="22"/>
        <v>0</v>
      </c>
      <c r="K129" s="947">
        <f t="shared" si="28"/>
        <v>0</v>
      </c>
      <c r="L129" s="947">
        <f t="shared" si="23"/>
        <v>0</v>
      </c>
      <c r="M129" s="947">
        <f t="shared" si="29"/>
        <v>0</v>
      </c>
      <c r="N129" s="946"/>
      <c r="P129" s="733"/>
      <c r="Q129" s="733"/>
      <c r="R129" s="733"/>
      <c r="S129" s="785">
        <f t="shared" si="30"/>
        <v>4</v>
      </c>
      <c r="T129" s="786">
        <f t="shared" si="35"/>
        <v>0</v>
      </c>
      <c r="W129" s="790">
        <f t="shared" si="36"/>
        <v>0</v>
      </c>
      <c r="X129" s="818">
        <f t="shared" ca="1" si="31"/>
        <v>0</v>
      </c>
      <c r="Z129" s="843">
        <f t="shared" si="37"/>
        <v>0</v>
      </c>
      <c r="AA129" s="792">
        <f t="shared" si="38"/>
        <v>0</v>
      </c>
      <c r="AB129" s="792">
        <f t="shared" si="39"/>
        <v>0</v>
      </c>
      <c r="AC129" s="789">
        <f t="shared" si="32"/>
        <v>0</v>
      </c>
      <c r="AD129" s="789">
        <f t="shared" si="24"/>
        <v>0</v>
      </c>
      <c r="AE129" s="828" t="e">
        <f>HLOOKUP($AE$39,anticipado,89,0)</f>
        <v>#N/A</v>
      </c>
      <c r="AF129" s="827"/>
      <c r="AG129" s="614">
        <v>5.9450038245350547E-3</v>
      </c>
      <c r="AH129" s="615">
        <v>5.7447116155238806E-3</v>
      </c>
      <c r="AI129" s="616">
        <v>5.5855997651742106E-3</v>
      </c>
      <c r="AJ129" s="616">
        <v>6.014247830654601E-3</v>
      </c>
      <c r="AK129" s="617">
        <v>5.9450038245350547E-3</v>
      </c>
      <c r="AL129" s="617">
        <v>5.7447116155238806E-3</v>
      </c>
      <c r="AM129" s="617">
        <v>6.1741909768020867E-3</v>
      </c>
      <c r="AN129" s="617">
        <v>6.0658048406517992E-3</v>
      </c>
      <c r="AO129" s="617">
        <v>5.9980713734271805E-3</v>
      </c>
      <c r="AP129" s="617">
        <v>6.3188040290025086E-3</v>
      </c>
      <c r="AQ129" s="617">
        <v>6.1741909768020867E-3</v>
      </c>
      <c r="AR129" s="618">
        <v>6.0366526756379458E-3</v>
      </c>
      <c r="AS129" s="618">
        <v>2.4930678410328777E-3</v>
      </c>
      <c r="AT129" s="618">
        <v>2.4050267127533214E-3</v>
      </c>
      <c r="AU129" s="618">
        <v>2.2458201548842946E-3</v>
      </c>
      <c r="AV129" s="618">
        <v>2.6442449882674154E-3</v>
      </c>
      <c r="AW129" s="618">
        <v>2.4930678410328777E-3</v>
      </c>
      <c r="AX129" s="618">
        <v>2.3594857502737005E-3</v>
      </c>
      <c r="AY129" s="618">
        <v>2.7385020870512458E-3</v>
      </c>
      <c r="AZ129" s="618">
        <v>2.6645891528831529E-3</v>
      </c>
      <c r="BA129" s="618">
        <v>2.5009147552383917E-3</v>
      </c>
      <c r="BB129" s="618">
        <v>2.8597352899361072E-3</v>
      </c>
      <c r="BC129" s="617">
        <v>2.7868999025466115E-3</v>
      </c>
      <c r="BD129" s="617">
        <v>2.6759920747687245E-3</v>
      </c>
      <c r="BE129" s="617">
        <v>6.1092140453714141E-3</v>
      </c>
      <c r="BF129" s="617">
        <v>5.7305410948656592E-3</v>
      </c>
      <c r="BG129" s="617">
        <v>2.9578310974819333E-3</v>
      </c>
      <c r="BH129" s="617">
        <v>2.7578986651814923E-3</v>
      </c>
      <c r="BI129" s="617"/>
      <c r="BJ129" s="617"/>
      <c r="BK129" s="617"/>
      <c r="BL129" s="617"/>
      <c r="BM129" s="617"/>
      <c r="BN129" s="617"/>
      <c r="BO129" s="617"/>
      <c r="BP129" s="617"/>
      <c r="BQ129" s="617"/>
      <c r="BR129" s="617"/>
      <c r="BS129" s="617"/>
      <c r="BT129" s="617"/>
      <c r="BU129" s="617"/>
      <c r="BV129" s="617"/>
      <c r="BW129" s="617"/>
      <c r="BX129" s="617"/>
      <c r="BY129" s="617"/>
      <c r="BZ129" s="617"/>
      <c r="CA129" s="617"/>
      <c r="CB129" s="617"/>
      <c r="CC129" s="617"/>
      <c r="CD129" s="617"/>
      <c r="CE129" s="617"/>
      <c r="CF129" s="617"/>
      <c r="CG129" s="617"/>
      <c r="CH129" s="617"/>
      <c r="CI129" s="617"/>
      <c r="CJ129" s="617"/>
    </row>
    <row r="130" spans="1:88">
      <c r="A130" s="151">
        <f t="shared" ca="1" si="25"/>
        <v>4</v>
      </c>
      <c r="B130" s="784">
        <f t="shared" si="26"/>
        <v>0</v>
      </c>
      <c r="C130" s="944">
        <f t="shared" si="33"/>
        <v>0</v>
      </c>
      <c r="D130" s="947">
        <f t="shared" si="27"/>
        <v>0</v>
      </c>
      <c r="E130" s="947">
        <f t="shared" si="40"/>
        <v>0</v>
      </c>
      <c r="F130" s="947">
        <f t="shared" si="41"/>
        <v>0</v>
      </c>
      <c r="G130" s="947">
        <f>IF(M129&lt;0.01,0,IF($F$19=$U$4,$G$19,IF(AND($F$21=1,$F$19=$U$2),M129*Adm!$U$4,IF(AND($F$21=2,$F$19=$U$2),M129*Adm!$U$5,IF(AND($F$21=1,$F$19=$U$3),M129*Adm!$V$4,IF(AND($F$21=2,$F$19=$U$3),M129*Adm!$V$5,0))))))</f>
        <v>0</v>
      </c>
      <c r="H130" s="947">
        <f>IF(M129&lt;0.01,0,IF($F$20=$V$3,0,IF(OR($F$10=$T$16,$F$10=$T$17),0,IF($F$10=$T$13,0,$F$11*Adm!$AA$3))))</f>
        <v>0</v>
      </c>
      <c r="I130" s="947">
        <f t="shared" si="34"/>
        <v>0</v>
      </c>
      <c r="J130" s="947">
        <f t="shared" si="22"/>
        <v>0</v>
      </c>
      <c r="K130" s="947">
        <f t="shared" si="28"/>
        <v>0</v>
      </c>
      <c r="L130" s="947">
        <f t="shared" si="23"/>
        <v>0</v>
      </c>
      <c r="M130" s="947">
        <f t="shared" si="29"/>
        <v>0</v>
      </c>
      <c r="N130" s="946"/>
      <c r="P130" s="733"/>
      <c r="Q130" s="733"/>
      <c r="R130" s="733"/>
      <c r="S130" s="785">
        <f t="shared" si="30"/>
        <v>5</v>
      </c>
      <c r="T130" s="786">
        <f t="shared" si="35"/>
        <v>0</v>
      </c>
      <c r="W130" s="790">
        <f t="shared" si="36"/>
        <v>0</v>
      </c>
      <c r="X130" s="818">
        <f t="shared" ca="1" si="31"/>
        <v>0</v>
      </c>
      <c r="Z130" s="843">
        <f t="shared" si="37"/>
        <v>0</v>
      </c>
      <c r="AA130" s="792">
        <f t="shared" si="38"/>
        <v>0</v>
      </c>
      <c r="AB130" s="792">
        <f t="shared" si="39"/>
        <v>0</v>
      </c>
      <c r="AC130" s="789">
        <f t="shared" si="32"/>
        <v>0</v>
      </c>
      <c r="AD130" s="789">
        <f t="shared" si="24"/>
        <v>0</v>
      </c>
      <c r="AE130" s="828" t="e">
        <f>HLOOKUP($AE$39,anticipado,90,0)</f>
        <v>#N/A</v>
      </c>
      <c r="AF130" s="827"/>
      <c r="AG130" s="614">
        <v>6.0321405813479169E-3</v>
      </c>
      <c r="AH130" s="615">
        <v>5.830338486661521E-3</v>
      </c>
      <c r="AI130" s="616">
        <v>5.6698202965485391E-3</v>
      </c>
      <c r="AJ130" s="616">
        <v>6.1010094265532512E-3</v>
      </c>
      <c r="AK130" s="617">
        <v>6.0321405813479169E-3</v>
      </c>
      <c r="AL130" s="617">
        <v>5.830338486661521E-3</v>
      </c>
      <c r="AM130" s="617">
        <v>6.2617311124353288E-3</v>
      </c>
      <c r="AN130" s="617">
        <v>6.1533750965287338E-3</v>
      </c>
      <c r="AO130" s="617">
        <v>6.0860594382761294E-3</v>
      </c>
      <c r="AP130" s="617">
        <v>6.4074724725992349E-3</v>
      </c>
      <c r="AQ130" s="617">
        <v>6.2617311124353288E-3</v>
      </c>
      <c r="AR130" s="618">
        <v>6.1233694091003604E-3</v>
      </c>
      <c r="AS130" s="618">
        <v>2.5219798986713606E-3</v>
      </c>
      <c r="AT130" s="618">
        <v>2.4335066542516132E-3</v>
      </c>
      <c r="AU130" s="618">
        <v>2.2731776377400755E-3</v>
      </c>
      <c r="AV130" s="618">
        <v>2.6741226366712536E-3</v>
      </c>
      <c r="AW130" s="618">
        <v>2.5219798986713606E-3</v>
      </c>
      <c r="AX130" s="618">
        <v>2.3875145089825643E-3</v>
      </c>
      <c r="AY130" s="618">
        <v>2.7687682904141801E-3</v>
      </c>
      <c r="AZ130" s="618">
        <v>2.6946403191440448E-3</v>
      </c>
      <c r="BA130" s="618">
        <v>2.5300421812461025E-3</v>
      </c>
      <c r="BB130" s="618">
        <v>2.8906413300033929E-3</v>
      </c>
      <c r="BC130" s="617">
        <v>2.8173719737680817E-3</v>
      </c>
      <c r="BD130" s="617">
        <v>2.7059791862611825E-3</v>
      </c>
      <c r="BE130" s="617">
        <v>6.196657204601717E-3</v>
      </c>
      <c r="BF130" s="617">
        <v>5.8161140081835049E-3</v>
      </c>
      <c r="BG130" s="617">
        <v>2.9892261857699096E-3</v>
      </c>
      <c r="BH130" s="617">
        <v>2.7883182458486896E-3</v>
      </c>
      <c r="BI130" s="617"/>
      <c r="BJ130" s="617"/>
      <c r="BK130" s="617"/>
      <c r="BL130" s="617"/>
      <c r="BM130" s="617"/>
      <c r="BN130" s="617"/>
      <c r="BO130" s="617"/>
      <c r="BP130" s="617"/>
      <c r="BQ130" s="617"/>
      <c r="BR130" s="617"/>
      <c r="BS130" s="617"/>
      <c r="BT130" s="617"/>
      <c r="BU130" s="617"/>
      <c r="BV130" s="617"/>
      <c r="BW130" s="617"/>
      <c r="BX130" s="617"/>
      <c r="BY130" s="617"/>
      <c r="BZ130" s="617"/>
      <c r="CA130" s="617"/>
      <c r="CB130" s="617"/>
      <c r="CC130" s="617"/>
      <c r="CD130" s="617"/>
      <c r="CE130" s="617"/>
      <c r="CF130" s="617"/>
      <c r="CG130" s="617"/>
      <c r="CH130" s="617"/>
      <c r="CI130" s="617"/>
      <c r="CJ130" s="617"/>
    </row>
    <row r="131" spans="1:88">
      <c r="A131" s="151">
        <f t="shared" ca="1" si="25"/>
        <v>5</v>
      </c>
      <c r="B131" s="784">
        <f t="shared" si="26"/>
        <v>0</v>
      </c>
      <c r="C131" s="944">
        <f t="shared" si="33"/>
        <v>0</v>
      </c>
      <c r="D131" s="947">
        <f t="shared" si="27"/>
        <v>0</v>
      </c>
      <c r="E131" s="947">
        <f t="shared" si="40"/>
        <v>0</v>
      </c>
      <c r="F131" s="947">
        <f t="shared" si="41"/>
        <v>0</v>
      </c>
      <c r="G131" s="947">
        <f>IF(M130&lt;0.01,0,IF($F$19=$U$4,$G$19,IF(AND($F$21=1,$F$19=$U$2),M130*Adm!$U$4,IF(AND($F$21=2,$F$19=$U$2),M130*Adm!$U$5,IF(AND($F$21=1,$F$19=$U$3),M130*Adm!$V$4,IF(AND($F$21=2,$F$19=$U$3),M130*Adm!$V$5,0))))))</f>
        <v>0</v>
      </c>
      <c r="H131" s="947">
        <f>IF(M130&lt;0.01,0,IF($F$20=$V$3,0,IF(OR($F$10=$T$16,$F$10=$T$17),0,IF($F$10=$T$13,0,$F$11*Adm!$AA$3))))</f>
        <v>0</v>
      </c>
      <c r="I131" s="947">
        <f t="shared" si="34"/>
        <v>0</v>
      </c>
      <c r="J131" s="947">
        <f t="shared" si="22"/>
        <v>0</v>
      </c>
      <c r="K131" s="947">
        <f t="shared" si="28"/>
        <v>0</v>
      </c>
      <c r="L131" s="947">
        <f t="shared" si="23"/>
        <v>0</v>
      </c>
      <c r="M131" s="947">
        <f t="shared" si="29"/>
        <v>0</v>
      </c>
      <c r="N131" s="946"/>
      <c r="P131" s="733"/>
      <c r="Q131" s="733"/>
      <c r="R131" s="733"/>
      <c r="S131" s="785">
        <f t="shared" si="30"/>
        <v>6</v>
      </c>
      <c r="T131" s="786">
        <f t="shared" si="35"/>
        <v>0</v>
      </c>
      <c r="W131" s="790">
        <f t="shared" si="36"/>
        <v>0</v>
      </c>
      <c r="X131" s="818">
        <f t="shared" ca="1" si="31"/>
        <v>0</v>
      </c>
      <c r="Z131" s="843">
        <f t="shared" si="37"/>
        <v>0</v>
      </c>
      <c r="AA131" s="792">
        <f t="shared" si="38"/>
        <v>0</v>
      </c>
      <c r="AB131" s="792">
        <f t="shared" si="39"/>
        <v>0</v>
      </c>
      <c r="AC131" s="789">
        <f t="shared" si="32"/>
        <v>0</v>
      </c>
      <c r="AD131" s="789">
        <f t="shared" si="24"/>
        <v>0</v>
      </c>
      <c r="AE131" s="828" t="e">
        <f>HLOOKUP($AE$39,anticipado,91,0)</f>
        <v>#N/A</v>
      </c>
      <c r="AF131" s="827"/>
      <c r="AG131" s="614">
        <v>6.1210910757421534E-3</v>
      </c>
      <c r="AH131" s="615">
        <v>5.917751301596161E-3</v>
      </c>
      <c r="AI131" s="616">
        <v>5.7557981972803443E-3</v>
      </c>
      <c r="AJ131" s="616">
        <v>6.1895629116998328E-3</v>
      </c>
      <c r="AK131" s="617">
        <v>6.1210910757421534E-3</v>
      </c>
      <c r="AL131" s="617">
        <v>5.917751301596161E-3</v>
      </c>
      <c r="AM131" s="617">
        <v>6.3510718546382757E-3</v>
      </c>
      <c r="AN131" s="617">
        <v>6.2427595950038262E-3</v>
      </c>
      <c r="AO131" s="617">
        <v>6.1758849178151099E-3</v>
      </c>
      <c r="AP131" s="617">
        <v>6.4979649819525776E-3</v>
      </c>
      <c r="AQ131" s="617">
        <v>6.3510718546382757E-3</v>
      </c>
      <c r="AR131" s="618">
        <v>6.2118737765032624E-3</v>
      </c>
      <c r="AS131" s="618">
        <v>2.5513011965850475E-3</v>
      </c>
      <c r="AT131" s="618">
        <v>2.4623941485696311E-3</v>
      </c>
      <c r="AU131" s="618">
        <v>2.3009314654539263E-3</v>
      </c>
      <c r="AV131" s="618">
        <v>2.7044188921911917E-3</v>
      </c>
      <c r="AW131" s="618">
        <v>2.5513011965850475E-3</v>
      </c>
      <c r="AX131" s="618">
        <v>2.4159441024611756E-3</v>
      </c>
      <c r="AY131" s="618">
        <v>2.7994539604425926E-3</v>
      </c>
      <c r="AZ131" s="618">
        <v>2.7251125132691577E-3</v>
      </c>
      <c r="BA131" s="618">
        <v>2.5595835869064278E-3</v>
      </c>
      <c r="BB131" s="618">
        <v>2.921971946740278E-3</v>
      </c>
      <c r="BC131" s="617">
        <v>2.8482642628632412E-3</v>
      </c>
      <c r="BD131" s="617">
        <v>2.7363846091423461E-3</v>
      </c>
      <c r="BE131" s="617">
        <v>6.28590500411023E-3</v>
      </c>
      <c r="BF131" s="617">
        <v>5.9034728520431434E-3</v>
      </c>
      <c r="BG131" s="617">
        <v>3.0210496361171976E-3</v>
      </c>
      <c r="BH131" s="617">
        <v>2.8191593488418902E-3</v>
      </c>
      <c r="BI131" s="617"/>
      <c r="BJ131" s="617"/>
      <c r="BK131" s="617"/>
      <c r="BL131" s="617"/>
      <c r="BM131" s="617"/>
      <c r="BN131" s="617"/>
      <c r="BO131" s="617"/>
      <c r="BP131" s="617"/>
      <c r="BQ131" s="617"/>
      <c r="BR131" s="617"/>
      <c r="BS131" s="617"/>
      <c r="BT131" s="617"/>
      <c r="BU131" s="617"/>
      <c r="BV131" s="617"/>
      <c r="BW131" s="617"/>
      <c r="BX131" s="617"/>
      <c r="BY131" s="617"/>
      <c r="BZ131" s="617"/>
      <c r="CA131" s="617"/>
      <c r="CB131" s="617"/>
      <c r="CC131" s="617"/>
      <c r="CD131" s="617"/>
      <c r="CE131" s="617"/>
      <c r="CF131" s="617"/>
      <c r="CG131" s="617"/>
      <c r="CH131" s="617"/>
      <c r="CI131" s="617"/>
      <c r="CJ131" s="617"/>
    </row>
    <row r="132" spans="1:88">
      <c r="A132" s="151">
        <f t="shared" ca="1" si="25"/>
        <v>6</v>
      </c>
      <c r="B132" s="784">
        <f t="shared" si="26"/>
        <v>0</v>
      </c>
      <c r="C132" s="944">
        <f t="shared" si="33"/>
        <v>0</v>
      </c>
      <c r="D132" s="947">
        <f t="shared" si="27"/>
        <v>0</v>
      </c>
      <c r="E132" s="947">
        <f t="shared" si="40"/>
        <v>0</v>
      </c>
      <c r="F132" s="947">
        <f t="shared" si="41"/>
        <v>0</v>
      </c>
      <c r="G132" s="947">
        <f>IF(M131&lt;0.01,0,IF($F$19=$U$4,$G$19,IF(AND($F$21=1,$F$19=$U$2),M131*Adm!$U$4,IF(AND($F$21=2,$F$19=$U$2),M131*Adm!$U$5,IF(AND($F$21=1,$F$19=$U$3),M131*Adm!$V$4,IF(AND($F$21=2,$F$19=$U$3),M131*Adm!$V$5,0))))))</f>
        <v>0</v>
      </c>
      <c r="H132" s="947">
        <f>IF(M131&lt;0.01,0,IF($F$20=$V$3,0,IF(OR($F$10=$T$16,$F$10=$T$17),0,IF($F$10=$T$13,0,$F$11*Adm!$AA$3))))</f>
        <v>0</v>
      </c>
      <c r="I132" s="947">
        <f t="shared" si="34"/>
        <v>0</v>
      </c>
      <c r="J132" s="947">
        <f t="shared" si="22"/>
        <v>0</v>
      </c>
      <c r="K132" s="947">
        <f t="shared" si="28"/>
        <v>0</v>
      </c>
      <c r="L132" s="947">
        <f t="shared" si="23"/>
        <v>0</v>
      </c>
      <c r="M132" s="947">
        <f t="shared" si="29"/>
        <v>0</v>
      </c>
      <c r="N132" s="946"/>
      <c r="P132" s="733"/>
      <c r="Q132" s="733"/>
      <c r="R132" s="733"/>
      <c r="S132" s="785">
        <f t="shared" si="30"/>
        <v>7</v>
      </c>
      <c r="T132" s="786">
        <f t="shared" si="35"/>
        <v>0</v>
      </c>
      <c r="W132" s="790">
        <f t="shared" si="36"/>
        <v>0</v>
      </c>
      <c r="X132" s="818">
        <f t="shared" ca="1" si="31"/>
        <v>0</v>
      </c>
      <c r="Z132" s="843">
        <f t="shared" si="37"/>
        <v>0</v>
      </c>
      <c r="AA132" s="792">
        <f t="shared" si="38"/>
        <v>0</v>
      </c>
      <c r="AB132" s="792">
        <f t="shared" si="39"/>
        <v>0</v>
      </c>
      <c r="AC132" s="789">
        <f t="shared" si="32"/>
        <v>0</v>
      </c>
      <c r="AD132" s="789">
        <f t="shared" si="24"/>
        <v>0</v>
      </c>
      <c r="AE132" s="828" t="e">
        <f>HLOOKUP($AE$39,anticipado,92,0)</f>
        <v>#N/A</v>
      </c>
      <c r="AF132" s="827"/>
      <c r="AG132" s="614">
        <v>6.2119091479190753E-3</v>
      </c>
      <c r="AH132" s="615">
        <v>6.0070028435542811E-3</v>
      </c>
      <c r="AI132" s="616">
        <v>5.8435851622623599E-3</v>
      </c>
      <c r="AJ132" s="616">
        <v>6.2799612381060277E-3</v>
      </c>
      <c r="AK132" s="617">
        <v>6.2119091479190753E-3</v>
      </c>
      <c r="AL132" s="617">
        <v>6.0070028435542811E-3</v>
      </c>
      <c r="AM132" s="617">
        <v>6.4422664707499541E-3</v>
      </c>
      <c r="AN132" s="617">
        <v>6.3340121688913245E-3</v>
      </c>
      <c r="AO132" s="617">
        <v>6.2676025889932445E-3</v>
      </c>
      <c r="AP132" s="617">
        <v>6.5903357357703128E-3</v>
      </c>
      <c r="AQ132" s="617">
        <v>6.4422664707499541E-3</v>
      </c>
      <c r="AR132" s="618">
        <v>6.3022185557247085E-3</v>
      </c>
      <c r="AS132" s="618">
        <v>2.5810392635054712E-3</v>
      </c>
      <c r="AT132" s="618">
        <v>2.4916967129233344E-3</v>
      </c>
      <c r="AU132" s="618">
        <v>2.3290889354081207E-3</v>
      </c>
      <c r="AV132" s="618">
        <v>2.7351414734098473E-3</v>
      </c>
      <c r="AW132" s="618">
        <v>2.5810392635054712E-3</v>
      </c>
      <c r="AX132" s="618">
        <v>2.4447818949679852E-3</v>
      </c>
      <c r="AY132" s="618">
        <v>2.8305668122210292E-3</v>
      </c>
      <c r="AZ132" s="618">
        <v>2.75601350924216E-3</v>
      </c>
      <c r="BA132" s="618">
        <v>2.5895466182954429E-3</v>
      </c>
      <c r="BB132" s="618">
        <v>2.9537349553295498E-3</v>
      </c>
      <c r="BC132" s="617">
        <v>2.8795844920641222E-3</v>
      </c>
      <c r="BD132" s="617">
        <v>2.7672160457177298E-3</v>
      </c>
      <c r="BE132" s="617">
        <v>6.3770108843561627E-3</v>
      </c>
      <c r="BF132" s="617">
        <v>5.9926704133071379E-3</v>
      </c>
      <c r="BG132" s="617">
        <v>3.0533093386591009E-3</v>
      </c>
      <c r="BH132" s="617">
        <v>2.8504297361140458E-3</v>
      </c>
      <c r="BI132" s="617"/>
      <c r="BJ132" s="617"/>
      <c r="BK132" s="617"/>
      <c r="BL132" s="617"/>
      <c r="BM132" s="617"/>
      <c r="BN132" s="617"/>
      <c r="BO132" s="617"/>
      <c r="BP132" s="617"/>
      <c r="BQ132" s="617"/>
      <c r="BR132" s="617"/>
      <c r="BS132" s="617"/>
      <c r="BT132" s="617"/>
      <c r="BU132" s="617"/>
      <c r="BV132" s="617"/>
      <c r="BW132" s="617"/>
      <c r="BX132" s="617"/>
      <c r="BY132" s="617"/>
      <c r="BZ132" s="617"/>
      <c r="CA132" s="617"/>
      <c r="CB132" s="617"/>
      <c r="CC132" s="617"/>
      <c r="CD132" s="617"/>
      <c r="CE132" s="617"/>
      <c r="CF132" s="617"/>
      <c r="CG132" s="617"/>
      <c r="CH132" s="617"/>
      <c r="CI132" s="617"/>
      <c r="CJ132" s="617"/>
    </row>
    <row r="133" spans="1:88">
      <c r="A133" s="151">
        <f t="shared" ca="1" si="25"/>
        <v>7</v>
      </c>
      <c r="B133" s="784">
        <f t="shared" si="26"/>
        <v>0</v>
      </c>
      <c r="C133" s="944">
        <f t="shared" si="33"/>
        <v>0</v>
      </c>
      <c r="D133" s="947">
        <f t="shared" si="27"/>
        <v>0</v>
      </c>
      <c r="E133" s="947">
        <f t="shared" si="40"/>
        <v>0</v>
      </c>
      <c r="F133" s="947">
        <f t="shared" si="41"/>
        <v>0</v>
      </c>
      <c r="G133" s="947">
        <f>IF(M132&lt;0.01,0,IF($F$19=$U$4,$G$19,IF(AND($F$21=1,$F$19=$U$2),M132*Adm!$U$4,IF(AND($F$21=2,$F$19=$U$2),M132*Adm!$U$5,IF(AND($F$21=1,$F$19=$U$3),M132*Adm!$V$4,IF(AND($F$21=2,$F$19=$U$3),M132*Adm!$V$5,0))))))</f>
        <v>0</v>
      </c>
      <c r="H133" s="947">
        <f>IF(M132&lt;0.01,0,IF($F$20=$V$3,0,IF(OR($F$10=$T$16,$F$10=$T$17),0,IF($F$10=$T$13,0,$F$11*Adm!$AA$3))))</f>
        <v>0</v>
      </c>
      <c r="I133" s="947">
        <f t="shared" si="34"/>
        <v>0</v>
      </c>
      <c r="J133" s="947">
        <f t="shared" si="22"/>
        <v>0</v>
      </c>
      <c r="K133" s="947">
        <f t="shared" si="28"/>
        <v>0</v>
      </c>
      <c r="L133" s="947">
        <f t="shared" si="23"/>
        <v>0</v>
      </c>
      <c r="M133" s="947">
        <f t="shared" si="29"/>
        <v>0</v>
      </c>
      <c r="N133" s="946"/>
      <c r="P133" s="733"/>
      <c r="Q133" s="733"/>
      <c r="R133" s="733"/>
      <c r="S133" s="785">
        <f t="shared" si="30"/>
        <v>8</v>
      </c>
      <c r="T133" s="786">
        <f t="shared" si="35"/>
        <v>0</v>
      </c>
      <c r="W133" s="790">
        <f t="shared" si="36"/>
        <v>0</v>
      </c>
      <c r="X133" s="818">
        <f t="shared" ca="1" si="31"/>
        <v>0</v>
      </c>
      <c r="Z133" s="843">
        <f t="shared" si="37"/>
        <v>0</v>
      </c>
      <c r="AA133" s="792">
        <f t="shared" si="38"/>
        <v>0</v>
      </c>
      <c r="AB133" s="792">
        <f t="shared" si="39"/>
        <v>0</v>
      </c>
      <c r="AC133" s="789">
        <f t="shared" si="32"/>
        <v>0</v>
      </c>
      <c r="AD133" s="789">
        <f t="shared" si="24"/>
        <v>0</v>
      </c>
      <c r="AE133" s="828" t="e">
        <f>HLOOKUP($AE$39,anticipado,93,0)</f>
        <v>#N/A</v>
      </c>
      <c r="AF133" s="827"/>
      <c r="AG133" s="614">
        <v>6.3046507821881877E-3</v>
      </c>
      <c r="AH133" s="615">
        <v>6.0981479866557926E-3</v>
      </c>
      <c r="AI133" s="616">
        <v>5.9332349228902632E-3</v>
      </c>
      <c r="AJ133" s="616">
        <v>6.3722594578074455E-3</v>
      </c>
      <c r="AK133" s="617">
        <v>6.3046507821881877E-3</v>
      </c>
      <c r="AL133" s="617">
        <v>6.0981479866557926E-3</v>
      </c>
      <c r="AM133" s="617">
        <v>6.5353703442192213E-3</v>
      </c>
      <c r="AN133" s="617">
        <v>6.4271887950633341E-3</v>
      </c>
      <c r="AO133" s="617">
        <v>6.3612694199008902E-3</v>
      </c>
      <c r="AP133" s="617">
        <v>6.6846410747110271E-3</v>
      </c>
      <c r="AQ133" s="617">
        <v>6.5353703442192213E-3</v>
      </c>
      <c r="AR133" s="618">
        <v>6.3944586160654543E-3</v>
      </c>
      <c r="AS133" s="618">
        <v>2.6112018092163073E-3</v>
      </c>
      <c r="AT133" s="618">
        <v>2.5214220451859719E-3</v>
      </c>
      <c r="AU133" s="618">
        <v>2.3576575189840697E-3</v>
      </c>
      <c r="AV133" s="618">
        <v>2.7662982857872853E-3</v>
      </c>
      <c r="AW133" s="618">
        <v>2.6112018092163073E-3</v>
      </c>
      <c r="AX133" s="618">
        <v>2.4740354268066918E-3</v>
      </c>
      <c r="AY133" s="618">
        <v>2.8621147476664385E-3</v>
      </c>
      <c r="AZ133" s="618">
        <v>2.7873512696172235E-3</v>
      </c>
      <c r="BA133" s="618">
        <v>2.6199391060845378E-3</v>
      </c>
      <c r="BB133" s="618">
        <v>2.9859383609036365E-3</v>
      </c>
      <c r="BC133" s="617">
        <v>2.9113405706831662E-3</v>
      </c>
      <c r="BD133" s="617">
        <v>2.7984813846977075E-3</v>
      </c>
      <c r="BE133" s="617">
        <v>6.4700304103833175E-3</v>
      </c>
      <c r="BF133" s="617">
        <v>6.0837615698698302E-3</v>
      </c>
      <c r="BG133" s="617">
        <v>3.086013375826013E-3</v>
      </c>
      <c r="BH133" s="617">
        <v>2.882137357884331E-3</v>
      </c>
      <c r="BI133" s="617"/>
      <c r="BJ133" s="617"/>
      <c r="BK133" s="617"/>
      <c r="BL133" s="617"/>
      <c r="BM133" s="617"/>
      <c r="BN133" s="617"/>
      <c r="BO133" s="617"/>
      <c r="BP133" s="617"/>
      <c r="BQ133" s="617"/>
      <c r="BR133" s="617"/>
      <c r="BS133" s="617"/>
      <c r="BT133" s="617"/>
      <c r="BU133" s="617"/>
      <c r="BV133" s="617"/>
      <c r="BW133" s="617"/>
      <c r="BX133" s="617"/>
      <c r="BY133" s="617"/>
      <c r="BZ133" s="617"/>
      <c r="CA133" s="617"/>
      <c r="CB133" s="617"/>
      <c r="CC133" s="617"/>
      <c r="CD133" s="617"/>
      <c r="CE133" s="617"/>
      <c r="CF133" s="617"/>
      <c r="CG133" s="617"/>
      <c r="CH133" s="617"/>
      <c r="CI133" s="617"/>
      <c r="CJ133" s="617"/>
    </row>
    <row r="134" spans="1:88">
      <c r="A134" s="151">
        <f t="shared" ca="1" si="25"/>
        <v>8</v>
      </c>
      <c r="B134" s="784">
        <f t="shared" si="26"/>
        <v>0</v>
      </c>
      <c r="C134" s="944">
        <f t="shared" si="33"/>
        <v>0</v>
      </c>
      <c r="D134" s="947">
        <f t="shared" si="27"/>
        <v>0</v>
      </c>
      <c r="E134" s="947">
        <f t="shared" si="40"/>
        <v>0</v>
      </c>
      <c r="F134" s="947">
        <f t="shared" si="41"/>
        <v>0</v>
      </c>
      <c r="G134" s="947">
        <f>IF(M133&lt;0.01,0,IF($F$19=$U$4,$G$19,IF(AND($F$21=1,$F$19=$U$2),M133*Adm!$U$4,IF(AND($F$21=2,$F$19=$U$2),M133*Adm!$U$5,IF(AND($F$21=1,$F$19=$U$3),M133*Adm!$V$4,IF(AND($F$21=2,$F$19=$U$3),M133*Adm!$V$5,0))))))</f>
        <v>0</v>
      </c>
      <c r="H134" s="947">
        <f>IF(M133&lt;0.01,0,IF($F$20=$V$3,0,IF(OR($F$10=$T$16,$F$10=$T$17),0,IF($F$10=$T$13,0,$F$11*Adm!$AA$3))))</f>
        <v>0</v>
      </c>
      <c r="I134" s="947">
        <f t="shared" si="34"/>
        <v>0</v>
      </c>
      <c r="J134" s="947">
        <f t="shared" si="22"/>
        <v>0</v>
      </c>
      <c r="K134" s="947">
        <f t="shared" si="28"/>
        <v>0</v>
      </c>
      <c r="L134" s="947">
        <f t="shared" si="23"/>
        <v>0</v>
      </c>
      <c r="M134" s="947">
        <f t="shared" si="29"/>
        <v>0</v>
      </c>
      <c r="N134" s="946"/>
      <c r="P134" s="733"/>
      <c r="Q134" s="733"/>
      <c r="R134" s="733"/>
      <c r="S134" s="785">
        <f t="shared" si="30"/>
        <v>9</v>
      </c>
      <c r="T134" s="786">
        <f t="shared" si="35"/>
        <v>0</v>
      </c>
      <c r="W134" s="790">
        <f t="shared" si="36"/>
        <v>0</v>
      </c>
      <c r="X134" s="818">
        <f t="shared" ca="1" si="31"/>
        <v>0</v>
      </c>
      <c r="Z134" s="843">
        <f t="shared" si="37"/>
        <v>0</v>
      </c>
      <c r="AA134" s="792">
        <f t="shared" si="38"/>
        <v>0</v>
      </c>
      <c r="AB134" s="792">
        <f t="shared" si="39"/>
        <v>0</v>
      </c>
      <c r="AC134" s="789">
        <f t="shared" si="32"/>
        <v>0</v>
      </c>
      <c r="AD134" s="789">
        <f t="shared" si="24"/>
        <v>0</v>
      </c>
      <c r="AE134" s="828" t="e">
        <f>HLOOKUP($AE$39,anticipado,94,0)</f>
        <v>#N/A</v>
      </c>
      <c r="AF134" s="827"/>
      <c r="AG134" s="614">
        <v>6.3993742148336268E-3</v>
      </c>
      <c r="AH134" s="615">
        <v>6.1912438005519259E-3</v>
      </c>
      <c r="AI134" s="616">
        <v>6.0248033484201838E-3</v>
      </c>
      <c r="AJ134" s="616">
        <v>6.4665148280658863E-3</v>
      </c>
      <c r="AK134" s="617">
        <v>6.3993742148336268E-3</v>
      </c>
      <c r="AL134" s="617">
        <v>6.1912438005519259E-3</v>
      </c>
      <c r="AM134" s="617">
        <v>6.6304410807860852E-3</v>
      </c>
      <c r="AN134" s="617">
        <v>6.5223477023189603E-3</v>
      </c>
      <c r="AO134" s="617">
        <v>6.456944680497078E-3</v>
      </c>
      <c r="AP134" s="617">
        <v>6.7809396103501781E-3</v>
      </c>
      <c r="AQ134" s="617">
        <v>6.6304410807860852E-3</v>
      </c>
      <c r="AR134" s="618">
        <v>6.4886510229330962E-3</v>
      </c>
      <c r="AS134" s="618">
        <v>2.641796730035997E-3</v>
      </c>
      <c r="AT134" s="618">
        <v>2.551578029354322E-3</v>
      </c>
      <c r="AU134" s="618">
        <v>2.3866448667833194E-3</v>
      </c>
      <c r="AV134" s="618">
        <v>2.7978974273593139E-3</v>
      </c>
      <c r="AW134" s="618">
        <v>2.641796730035997E-3</v>
      </c>
      <c r="AX134" s="618">
        <v>2.5037124196241509E-3</v>
      </c>
      <c r="AY134" s="618">
        <v>2.8941058612263321E-3</v>
      </c>
      <c r="AZ134" s="618">
        <v>2.8191339512797578E-3</v>
      </c>
      <c r="BA134" s="618">
        <v>2.6507690711523868E-3</v>
      </c>
      <c r="BB134" s="618">
        <v>3.0185903643589166E-3</v>
      </c>
      <c r="BC134" s="617">
        <v>2.943540600821169E-3</v>
      </c>
      <c r="BD134" s="617">
        <v>2.8301887068790206E-3</v>
      </c>
      <c r="BE134" s="617">
        <v>6.5650213785113801E-3</v>
      </c>
      <c r="BF134" s="617">
        <v>6.1768033953027929E-3</v>
      </c>
      <c r="BG134" s="617">
        <v>3.1191700282453263E-3</v>
      </c>
      <c r="BH134" s="617">
        <v>2.9142903583891954E-3</v>
      </c>
      <c r="BI134" s="617"/>
      <c r="BJ134" s="617"/>
      <c r="BK134" s="617"/>
      <c r="BL134" s="617"/>
      <c r="BM134" s="617"/>
      <c r="BN134" s="617"/>
      <c r="BO134" s="617"/>
      <c r="BP134" s="617"/>
      <c r="BQ134" s="617"/>
      <c r="BR134" s="617"/>
      <c r="BS134" s="617"/>
      <c r="BT134" s="617"/>
      <c r="BU134" s="617"/>
      <c r="BV134" s="617"/>
      <c r="BW134" s="617"/>
      <c r="BX134" s="617"/>
      <c r="BY134" s="617"/>
      <c r="BZ134" s="617"/>
      <c r="CA134" s="617"/>
      <c r="CB134" s="617"/>
      <c r="CC134" s="617"/>
      <c r="CD134" s="617"/>
      <c r="CE134" s="617"/>
      <c r="CF134" s="617"/>
      <c r="CG134" s="617"/>
      <c r="CH134" s="617"/>
      <c r="CI134" s="617"/>
      <c r="CJ134" s="617"/>
    </row>
    <row r="135" spans="1:88">
      <c r="A135" s="151">
        <f t="shared" ca="1" si="25"/>
        <v>9</v>
      </c>
      <c r="B135" s="784">
        <f t="shared" si="26"/>
        <v>0</v>
      </c>
      <c r="C135" s="944">
        <f t="shared" si="33"/>
        <v>0</v>
      </c>
      <c r="D135" s="947">
        <f t="shared" si="27"/>
        <v>0</v>
      </c>
      <c r="E135" s="947">
        <f t="shared" si="40"/>
        <v>0</v>
      </c>
      <c r="F135" s="947">
        <f t="shared" si="41"/>
        <v>0</v>
      </c>
      <c r="G135" s="947">
        <f>IF(M134&lt;0.01,0,IF($F$19=$U$4,$G$19,IF(AND($F$21=1,$F$19=$U$2),M134*Adm!$U$4,IF(AND($F$21=2,$F$19=$U$2),M134*Adm!$U$5,IF(AND($F$21=1,$F$19=$U$3),M134*Adm!$V$4,IF(AND($F$21=2,$F$19=$U$3),M134*Adm!$V$5,0))))))</f>
        <v>0</v>
      </c>
      <c r="H135" s="947">
        <f>IF(M134&lt;0.01,0,IF($F$20=$V$3,0,IF(OR($F$10=$T$16,$F$10=$T$17),0,IF($F$10=$T$13,0,$F$11*Adm!$AA$3))))</f>
        <v>0</v>
      </c>
      <c r="I135" s="947">
        <f t="shared" si="34"/>
        <v>0</v>
      </c>
      <c r="J135" s="947">
        <f t="shared" si="22"/>
        <v>0</v>
      </c>
      <c r="K135" s="947">
        <f t="shared" si="28"/>
        <v>0</v>
      </c>
      <c r="L135" s="947">
        <f t="shared" si="23"/>
        <v>0</v>
      </c>
      <c r="M135" s="947">
        <f t="shared" si="29"/>
        <v>0</v>
      </c>
      <c r="N135" s="946"/>
      <c r="P135" s="733"/>
      <c r="Q135" s="733"/>
      <c r="R135" s="733"/>
      <c r="S135" s="785">
        <f t="shared" si="30"/>
        <v>10</v>
      </c>
      <c r="T135" s="786">
        <f t="shared" si="35"/>
        <v>0</v>
      </c>
      <c r="W135" s="790">
        <f t="shared" si="36"/>
        <v>0</v>
      </c>
      <c r="X135" s="818">
        <f t="shared" ca="1" si="31"/>
        <v>0</v>
      </c>
      <c r="Z135" s="843">
        <f t="shared" si="37"/>
        <v>0</v>
      </c>
      <c r="AA135" s="792">
        <f t="shared" si="38"/>
        <v>0</v>
      </c>
      <c r="AB135" s="792">
        <f t="shared" si="39"/>
        <v>0</v>
      </c>
      <c r="AC135" s="789">
        <f t="shared" si="32"/>
        <v>0</v>
      </c>
      <c r="AD135" s="789">
        <f t="shared" si="24"/>
        <v>0</v>
      </c>
      <c r="AE135" s="828" t="e">
        <f>HLOOKUP($AE$39,anticipado,95,0)</f>
        <v>#N/A</v>
      </c>
      <c r="AF135" s="827"/>
      <c r="AG135" s="614">
        <v>6.4961400485592661E-3</v>
      </c>
      <c r="AH135" s="615">
        <v>6.2863496614112488E-3</v>
      </c>
      <c r="AI135" s="616">
        <v>6.1183485534414784E-3</v>
      </c>
      <c r="AJ135" s="616">
        <v>6.5627869229602943E-3</v>
      </c>
      <c r="AK135" s="617">
        <v>6.4961400485592661E-3</v>
      </c>
      <c r="AL135" s="617">
        <v>6.2863496614112488E-3</v>
      </c>
      <c r="AM135" s="617">
        <v>6.7275386211217026E-3</v>
      </c>
      <c r="AN135" s="617">
        <v>6.6195494858324738E-3</v>
      </c>
      <c r="AO135" s="617">
        <v>6.5546900601206803E-3</v>
      </c>
      <c r="AP135" s="617">
        <v>6.8792923408040364E-3</v>
      </c>
      <c r="AQ135" s="617">
        <v>6.7275386211217026E-3</v>
      </c>
      <c r="AR135" s="618">
        <v>6.584855148878071E-3</v>
      </c>
      <c r="AS135" s="618">
        <v>2.6728321145010974E-3</v>
      </c>
      <c r="AT135" s="618">
        <v>2.5821727412149802E-3</v>
      </c>
      <c r="AU135" s="618">
        <v>2.4160588140380674E-3</v>
      </c>
      <c r="AV135" s="618">
        <v>2.8299471946457494E-3</v>
      </c>
      <c r="AW135" s="618">
        <v>2.6728321145010974E-3</v>
      </c>
      <c r="AX135" s="618">
        <v>2.5338207819011645E-3</v>
      </c>
      <c r="AY135" s="618">
        <v>2.9265484457869392E-3</v>
      </c>
      <c r="AZ135" s="618">
        <v>2.8513699114198509E-3</v>
      </c>
      <c r="BA135" s="618">
        <v>2.6820447304031938E-3</v>
      </c>
      <c r="BB135" s="618">
        <v>3.0516993683850856E-3</v>
      </c>
      <c r="BC135" s="617">
        <v>2.9761928832856594E-3</v>
      </c>
      <c r="BD135" s="617">
        <v>2.8623462910355594E-3</v>
      </c>
      <c r="BE135" s="617">
        <v>6.662043929522193E-3</v>
      </c>
      <c r="BF135" s="617">
        <v>6.2718552698489563E-3</v>
      </c>
      <c r="BG135" s="617">
        <v>3.1527877808621811E-3</v>
      </c>
      <c r="BH135" s="617">
        <v>2.9468970818457086E-3</v>
      </c>
      <c r="BI135" s="617"/>
      <c r="BJ135" s="617"/>
      <c r="BK135" s="617"/>
      <c r="BL135" s="617"/>
      <c r="BM135" s="617"/>
      <c r="BN135" s="617"/>
      <c r="BO135" s="617"/>
      <c r="BP135" s="617"/>
      <c r="BQ135" s="617"/>
      <c r="BR135" s="617"/>
      <c r="BS135" s="617"/>
      <c r="BT135" s="617"/>
      <c r="BU135" s="617"/>
      <c r="BV135" s="617"/>
      <c r="BW135" s="617"/>
      <c r="BX135" s="617"/>
      <c r="BY135" s="617"/>
      <c r="BZ135" s="617"/>
      <c r="CA135" s="617"/>
      <c r="CB135" s="617"/>
      <c r="CC135" s="617"/>
      <c r="CD135" s="617"/>
      <c r="CE135" s="617"/>
      <c r="CF135" s="617"/>
      <c r="CG135" s="617"/>
      <c r="CH135" s="617"/>
      <c r="CI135" s="617"/>
      <c r="CJ135" s="617"/>
    </row>
    <row r="136" spans="1:88">
      <c r="A136" s="151">
        <f t="shared" ca="1" si="25"/>
        <v>10</v>
      </c>
      <c r="B136" s="784">
        <f t="shared" si="26"/>
        <v>0</v>
      </c>
      <c r="C136" s="944">
        <f t="shared" si="33"/>
        <v>0</v>
      </c>
      <c r="D136" s="947">
        <f t="shared" si="27"/>
        <v>0</v>
      </c>
      <c r="E136" s="947">
        <f t="shared" si="40"/>
        <v>0</v>
      </c>
      <c r="F136" s="947">
        <f t="shared" si="41"/>
        <v>0</v>
      </c>
      <c r="G136" s="947">
        <f>IF(M135&lt;0.01,0,IF($F$19=$U$4,$G$19,IF(AND($F$21=1,$F$19=$U$2),M135*Adm!$U$4,IF(AND($F$21=2,$F$19=$U$2),M135*Adm!$U$5,IF(AND($F$21=1,$F$19=$U$3),M135*Adm!$V$4,IF(AND($F$21=2,$F$19=$U$3),M135*Adm!$V$5,0))))))</f>
        <v>0</v>
      </c>
      <c r="H136" s="947">
        <f>IF(M135&lt;0.01,0,IF($F$20=$V$3,0,IF(OR($F$10=$T$16,$F$10=$T$17),0,IF($F$10=$T$13,0,$F$11*Adm!$AA$3))))</f>
        <v>0</v>
      </c>
      <c r="I136" s="947">
        <f t="shared" si="34"/>
        <v>0</v>
      </c>
      <c r="J136" s="947">
        <f t="shared" si="22"/>
        <v>0</v>
      </c>
      <c r="K136" s="947">
        <f t="shared" si="28"/>
        <v>0</v>
      </c>
      <c r="L136" s="947">
        <f t="shared" si="23"/>
        <v>0</v>
      </c>
      <c r="M136" s="947">
        <f t="shared" si="29"/>
        <v>0</v>
      </c>
      <c r="N136" s="946"/>
      <c r="P136" s="733"/>
      <c r="Q136" s="733"/>
      <c r="R136" s="733"/>
      <c r="S136" s="785">
        <f t="shared" si="30"/>
        <v>11</v>
      </c>
      <c r="T136" s="786">
        <f t="shared" si="35"/>
        <v>0</v>
      </c>
      <c r="W136" s="790">
        <f t="shared" si="36"/>
        <v>0</v>
      </c>
      <c r="X136" s="818">
        <f t="shared" ca="1" si="31"/>
        <v>0</v>
      </c>
      <c r="Z136" s="843">
        <f t="shared" si="37"/>
        <v>0</v>
      </c>
      <c r="AA136" s="792">
        <f t="shared" si="38"/>
        <v>0</v>
      </c>
      <c r="AB136" s="792">
        <f t="shared" si="39"/>
        <v>0</v>
      </c>
      <c r="AC136" s="789">
        <f t="shared" si="32"/>
        <v>0</v>
      </c>
      <c r="AD136" s="789">
        <f t="shared" si="24"/>
        <v>0</v>
      </c>
      <c r="AE136" s="828" t="e">
        <f>HLOOKUP($AE$39,anticipado,96,0)</f>
        <v>#N/A</v>
      </c>
      <c r="AF136" s="827"/>
      <c r="AG136" s="614">
        <v>6.5950113739853397E-3</v>
      </c>
      <c r="AH136" s="615">
        <v>6.3835273697077288E-3</v>
      </c>
      <c r="AI136" s="616">
        <v>6.2139310118996148E-3</v>
      </c>
      <c r="AJ136" s="616">
        <v>6.6611377518236443E-3</v>
      </c>
      <c r="AK136" s="617">
        <v>6.5950113739853397E-3</v>
      </c>
      <c r="AL136" s="617">
        <v>6.3835273697077288E-3</v>
      </c>
      <c r="AM136" s="617">
        <v>6.8267253603900655E-3</v>
      </c>
      <c r="AN136" s="617">
        <v>6.7188572286534347E-3</v>
      </c>
      <c r="AO136" s="617">
        <v>6.6545697922751872E-3</v>
      </c>
      <c r="AP136" s="617">
        <v>6.979762773490974E-3</v>
      </c>
      <c r="AQ136" s="617">
        <v>6.8267253603900655E-3</v>
      </c>
      <c r="AR136" s="618">
        <v>6.6831327914357273E-3</v>
      </c>
      <c r="AS136" s="618">
        <v>2.7043162492589811E-3</v>
      </c>
      <c r="AT136" s="618">
        <v>2.6132144542192126E-3</v>
      </c>
      <c r="AU136" s="618">
        <v>2.4459073862192916E-3</v>
      </c>
      <c r="AV136" s="618">
        <v>2.8624560887778009E-3</v>
      </c>
      <c r="AW136" s="618">
        <v>2.7043162492589811E-3</v>
      </c>
      <c r="AX136" s="618">
        <v>2.5643686146442834E-3</v>
      </c>
      <c r="AY136" s="618">
        <v>2.9594509988004618E-3</v>
      </c>
      <c r="AZ136" s="618">
        <v>2.8840677137276253E-3</v>
      </c>
      <c r="BA136" s="618">
        <v>2.7137745028001062E-3</v>
      </c>
      <c r="BB136" s="618">
        <v>3.0852739837188762E-3</v>
      </c>
      <c r="BC136" s="617">
        <v>3.0093059237288272E-3</v>
      </c>
      <c r="BD136" s="617">
        <v>2.894962620027483E-3</v>
      </c>
      <c r="BE136" s="617">
        <v>6.7611606688069651E-3</v>
      </c>
      <c r="BF136" s="617">
        <v>6.3689789982192858E-3</v>
      </c>
      <c r="BG136" s="617">
        <v>3.1868753292885682E-3</v>
      </c>
      <c r="BH136" s="617">
        <v>2.9799660786363866E-3</v>
      </c>
      <c r="BI136" s="617"/>
      <c r="BJ136" s="617"/>
      <c r="BK136" s="617"/>
      <c r="BL136" s="617"/>
      <c r="BM136" s="617"/>
      <c r="BN136" s="617"/>
      <c r="BO136" s="617"/>
      <c r="BP136" s="617"/>
      <c r="BQ136" s="617"/>
      <c r="BR136" s="617"/>
      <c r="BS136" s="617"/>
      <c r="BT136" s="617"/>
      <c r="BU136" s="617"/>
      <c r="BV136" s="617"/>
      <c r="BW136" s="617"/>
      <c r="BX136" s="617"/>
      <c r="BY136" s="617"/>
      <c r="BZ136" s="617"/>
      <c r="CA136" s="617"/>
      <c r="CB136" s="617"/>
      <c r="CC136" s="617"/>
      <c r="CD136" s="617"/>
      <c r="CE136" s="617"/>
      <c r="CF136" s="617"/>
      <c r="CG136" s="617"/>
      <c r="CH136" s="617"/>
      <c r="CI136" s="617"/>
      <c r="CJ136" s="617"/>
    </row>
    <row r="137" spans="1:88">
      <c r="A137" s="151">
        <f t="shared" ca="1" si="25"/>
        <v>11</v>
      </c>
      <c r="B137" s="784">
        <f t="shared" si="26"/>
        <v>0</v>
      </c>
      <c r="C137" s="944">
        <f t="shared" si="33"/>
        <v>0</v>
      </c>
      <c r="D137" s="947">
        <f t="shared" si="27"/>
        <v>0</v>
      </c>
      <c r="E137" s="947">
        <f t="shared" si="40"/>
        <v>0</v>
      </c>
      <c r="F137" s="947">
        <f t="shared" si="41"/>
        <v>0</v>
      </c>
      <c r="G137" s="947">
        <f>IF(M136&lt;0.01,0,IF($F$19=$U$4,$G$19,IF(AND($F$21=1,$F$19=$U$2),M136*Adm!$U$4,IF(AND($F$21=2,$F$19=$U$2),M136*Adm!$U$5,IF(AND($F$21=1,$F$19=$U$3),M136*Adm!$V$4,IF(AND($F$21=2,$F$19=$U$3),M136*Adm!$V$5,0))))))</f>
        <v>0</v>
      </c>
      <c r="H137" s="947">
        <f>IF(M136&lt;0.01,0,IF($F$20=$V$3,0,IF(OR($F$10=$T$16,$F$10=$T$17),0,IF($F$10=$T$13,0,$F$11*Adm!$AA$3))))</f>
        <v>0</v>
      </c>
      <c r="I137" s="947">
        <f t="shared" si="34"/>
        <v>0</v>
      </c>
      <c r="J137" s="947">
        <f t="shared" si="22"/>
        <v>0</v>
      </c>
      <c r="K137" s="947">
        <f t="shared" si="28"/>
        <v>0</v>
      </c>
      <c r="L137" s="947">
        <f t="shared" si="23"/>
        <v>0</v>
      </c>
      <c r="M137" s="947">
        <f t="shared" si="29"/>
        <v>0</v>
      </c>
      <c r="N137" s="946"/>
      <c r="P137" s="733"/>
      <c r="Q137" s="733"/>
      <c r="R137" s="733"/>
      <c r="S137" s="785">
        <f t="shared" si="30"/>
        <v>12</v>
      </c>
      <c r="T137" s="786">
        <f t="shared" si="35"/>
        <v>0</v>
      </c>
      <c r="W137" s="790">
        <f t="shared" si="36"/>
        <v>0</v>
      </c>
      <c r="X137" s="818">
        <f t="shared" ca="1" si="31"/>
        <v>0</v>
      </c>
      <c r="Z137" s="843">
        <f t="shared" si="37"/>
        <v>0</v>
      </c>
      <c r="AA137" s="792">
        <f t="shared" si="38"/>
        <v>0</v>
      </c>
      <c r="AB137" s="792">
        <f t="shared" si="39"/>
        <v>0</v>
      </c>
      <c r="AC137" s="789">
        <f t="shared" si="32"/>
        <v>0</v>
      </c>
      <c r="AD137" s="789">
        <f t="shared" si="24"/>
        <v>0</v>
      </c>
      <c r="AE137" s="828" t="e">
        <f>HLOOKUP($AE$39,anticipado,97,0)</f>
        <v>#N/A</v>
      </c>
      <c r="AF137" s="827"/>
      <c r="AG137" s="614">
        <v>6.6960538987087649E-3</v>
      </c>
      <c r="AH137" s="615">
        <v>6.4828412753021886E-3</v>
      </c>
      <c r="AI137" s="616">
        <v>6.3116136781396258E-3</v>
      </c>
      <c r="AJ137" s="616">
        <v>6.7616318850208211E-3</v>
      </c>
      <c r="AK137" s="617">
        <v>6.6960538987087649E-3</v>
      </c>
      <c r="AL137" s="617">
        <v>6.4828412753021886E-3</v>
      </c>
      <c r="AM137" s="617">
        <v>6.9280662752327481E-3</v>
      </c>
      <c r="AN137" s="617">
        <v>6.8203366307709517E-3</v>
      </c>
      <c r="AO137" s="617">
        <v>6.7566507872177887E-3</v>
      </c>
      <c r="AP137" s="617">
        <v>7.0824170555495039E-3</v>
      </c>
      <c r="AQ137" s="617">
        <v>6.9280662752327481E-3</v>
      </c>
      <c r="AR137" s="618">
        <v>6.7835482982662428E-3</v>
      </c>
      <c r="AS137" s="618">
        <v>2.7362576251789353E-3</v>
      </c>
      <c r="AT137" s="618">
        <v>2.6447116455754521E-3</v>
      </c>
      <c r="AU137" s="618">
        <v>2.4761988048509456E-3</v>
      </c>
      <c r="AV137" s="618">
        <v>2.8954328218540729E-3</v>
      </c>
      <c r="AW137" s="618">
        <v>2.7362576251789353E-3</v>
      </c>
      <c r="AX137" s="618">
        <v>2.5953642172873311E-3</v>
      </c>
      <c r="AY137" s="618">
        <v>2.9928222286409777E-3</v>
      </c>
      <c r="AZ137" s="618">
        <v>2.9172361348202085E-3</v>
      </c>
      <c r="BA137" s="618">
        <v>2.7459670156231631E-3</v>
      </c>
      <c r="BB137" s="618">
        <v>3.1193230356319685E-3</v>
      </c>
      <c r="BC137" s="617">
        <v>3.0428884390145327E-3</v>
      </c>
      <c r="BD137" s="617">
        <v>2.9280463871381897E-3</v>
      </c>
      <c r="BE137" s="617">
        <v>6.862436793979073E-3</v>
      </c>
      <c r="BF137" s="617">
        <v>6.468238934683514E-3</v>
      </c>
      <c r="BG137" s="617">
        <v>3.2214415863908059E-3</v>
      </c>
      <c r="BH137" s="617">
        <v>3.0135061117251868E-3</v>
      </c>
      <c r="BI137" s="617"/>
      <c r="BJ137" s="617"/>
      <c r="BK137" s="617"/>
      <c r="BL137" s="617"/>
      <c r="BM137" s="617"/>
      <c r="BN137" s="617"/>
      <c r="BO137" s="617"/>
      <c r="BP137" s="617"/>
      <c r="BQ137" s="617"/>
      <c r="BR137" s="617"/>
      <c r="BS137" s="617"/>
      <c r="BT137" s="617"/>
      <c r="BU137" s="617"/>
      <c r="BV137" s="617"/>
      <c r="BW137" s="617"/>
      <c r="BX137" s="617"/>
      <c r="BY137" s="617"/>
      <c r="BZ137" s="617"/>
      <c r="CA137" s="617"/>
      <c r="CB137" s="617"/>
      <c r="CC137" s="617"/>
      <c r="CD137" s="617"/>
      <c r="CE137" s="617"/>
      <c r="CF137" s="617"/>
      <c r="CG137" s="617"/>
      <c r="CH137" s="617"/>
      <c r="CI137" s="617"/>
      <c r="CJ137" s="617"/>
    </row>
    <row r="138" spans="1:88">
      <c r="A138" s="151">
        <f t="shared" ca="1" si="25"/>
        <v>12</v>
      </c>
      <c r="B138" s="784">
        <f t="shared" si="26"/>
        <v>0</v>
      </c>
      <c r="C138" s="944">
        <f t="shared" si="33"/>
        <v>0</v>
      </c>
      <c r="D138" s="947">
        <f t="shared" si="27"/>
        <v>0</v>
      </c>
      <c r="E138" s="947">
        <f t="shared" si="40"/>
        <v>0</v>
      </c>
      <c r="F138" s="947">
        <f t="shared" si="41"/>
        <v>0</v>
      </c>
      <c r="G138" s="947">
        <f>IF(M137&lt;0.01,0,IF($F$19=$U$4,$G$19,IF(AND($F$21=1,$F$19=$U$2),M137*Adm!$U$4,IF(AND($F$21=2,$F$19=$U$2),M137*Adm!$U$5,IF(AND($F$21=1,$F$19=$U$3),M137*Adm!$V$4,IF(AND($F$21=2,$F$19=$U$3),M137*Adm!$V$5,0))))))</f>
        <v>0</v>
      </c>
      <c r="H138" s="947">
        <f>IF(M137&lt;0.01,0,IF($F$20=$V$3,0,IF(OR($F$10=$T$16,$F$10=$T$17),0,IF($F$10=$T$13,0,$F$11*Adm!$AA$3))))</f>
        <v>0</v>
      </c>
      <c r="I138" s="947">
        <f t="shared" si="34"/>
        <v>0</v>
      </c>
      <c r="J138" s="947">
        <f t="shared" si="22"/>
        <v>0</v>
      </c>
      <c r="K138" s="947">
        <f t="shared" si="28"/>
        <v>0</v>
      </c>
      <c r="L138" s="947">
        <f t="shared" si="23"/>
        <v>0</v>
      </c>
      <c r="M138" s="947">
        <f t="shared" si="29"/>
        <v>0</v>
      </c>
      <c r="N138" s="946"/>
      <c r="P138" s="733"/>
      <c r="Q138" s="733"/>
      <c r="R138" s="733"/>
      <c r="S138" s="785">
        <f t="shared" si="30"/>
        <v>1</v>
      </c>
      <c r="T138" s="786">
        <f t="shared" si="35"/>
        <v>0</v>
      </c>
      <c r="W138" s="790">
        <f t="shared" si="36"/>
        <v>0</v>
      </c>
      <c r="X138" s="818">
        <f t="shared" ca="1" si="31"/>
        <v>0</v>
      </c>
      <c r="Z138" s="843">
        <f t="shared" si="37"/>
        <v>0</v>
      </c>
      <c r="AA138" s="792">
        <f t="shared" si="38"/>
        <v>0</v>
      </c>
      <c r="AB138" s="792">
        <f t="shared" si="39"/>
        <v>0</v>
      </c>
      <c r="AC138" s="789">
        <f t="shared" si="32"/>
        <v>0</v>
      </c>
      <c r="AD138" s="789">
        <f t="shared" si="24"/>
        <v>0</v>
      </c>
      <c r="AE138" s="828" t="e">
        <f>HLOOKUP($AE$39,anticipado,98,0)</f>
        <v>#N/A</v>
      </c>
      <c r="AF138" s="827"/>
      <c r="AG138" s="614">
        <v>7.1849444865943121E-3</v>
      </c>
      <c r="AH138" s="615">
        <v>6.9758423706082892E-3</v>
      </c>
      <c r="AI138" s="616">
        <v>6.8069570017000513E-3</v>
      </c>
      <c r="AJ138" s="616">
        <v>7.2440700022939732E-3</v>
      </c>
      <c r="AK138" s="617">
        <v>7.1849444865943121E-3</v>
      </c>
      <c r="AL138" s="617">
        <v>6.9758423706082892E-3</v>
      </c>
      <c r="AM138" s="617">
        <v>7.4053364518546711E-3</v>
      </c>
      <c r="AN138" s="617">
        <v>7.3042408832880434E-3</v>
      </c>
      <c r="AO138" s="617">
        <v>7.247111175584753E-3</v>
      </c>
      <c r="AP138" s="617">
        <v>7.5576322152879289E-3</v>
      </c>
      <c r="AQ138" s="617">
        <v>7.4053364518546711E-3</v>
      </c>
      <c r="AR138" s="618">
        <v>7.2643645842948874E-3</v>
      </c>
      <c r="AS138" s="618">
        <v>2.8871015931280883E-3</v>
      </c>
      <c r="AT138" s="618">
        <v>2.7975230659278852E-3</v>
      </c>
      <c r="AU138" s="618">
        <v>2.6310942418078685E-3</v>
      </c>
      <c r="AV138" s="618">
        <v>3.0444251867705599E-3</v>
      </c>
      <c r="AW138" s="618">
        <v>2.8871015931280883E-3</v>
      </c>
      <c r="AX138" s="618">
        <v>2.7480009214164731E-3</v>
      </c>
      <c r="AY138" s="618">
        <v>3.1397711051442821E-3</v>
      </c>
      <c r="AZ138" s="618">
        <v>3.0662263459529022E-3</v>
      </c>
      <c r="BA138" s="618">
        <v>2.8975840887378269E-3</v>
      </c>
      <c r="BB138" s="618">
        <v>3.2645607930366473E-3</v>
      </c>
      <c r="BC138" s="617">
        <v>3.1888855241293933E-3</v>
      </c>
      <c r="BD138" s="617">
        <v>3.0762225676755606E-3</v>
      </c>
      <c r="BE138" s="617">
        <v>7.3430054029284576E-3</v>
      </c>
      <c r="BF138" s="617">
        <v>6.961861335553628E-3</v>
      </c>
      <c r="BG138" s="617">
        <v>3.3653106460171476E-3</v>
      </c>
      <c r="BH138" s="617">
        <v>3.1604180916145939E-3</v>
      </c>
      <c r="BI138" s="617"/>
      <c r="BJ138" s="617"/>
      <c r="BK138" s="617"/>
      <c r="BL138" s="617"/>
      <c r="BM138" s="617"/>
      <c r="BN138" s="617"/>
      <c r="BO138" s="617"/>
      <c r="BP138" s="617"/>
      <c r="BQ138" s="617"/>
      <c r="BR138" s="617"/>
      <c r="BS138" s="617"/>
      <c r="BT138" s="617"/>
      <c r="BU138" s="617"/>
      <c r="BV138" s="617"/>
      <c r="BW138" s="617"/>
      <c r="BX138" s="617"/>
      <c r="BY138" s="617"/>
      <c r="BZ138" s="617"/>
      <c r="CA138" s="617"/>
      <c r="CB138" s="617"/>
      <c r="CC138" s="617"/>
      <c r="CD138" s="617"/>
      <c r="CE138" s="617"/>
      <c r="CF138" s="617"/>
      <c r="CG138" s="617"/>
      <c r="CH138" s="617"/>
      <c r="CI138" s="617"/>
      <c r="CJ138" s="617"/>
    </row>
    <row r="139" spans="1:88">
      <c r="A139" s="151">
        <f t="shared" ca="1" si="25"/>
        <v>1</v>
      </c>
      <c r="B139" s="784">
        <f t="shared" si="26"/>
        <v>0</v>
      </c>
      <c r="C139" s="944">
        <f t="shared" si="33"/>
        <v>0</v>
      </c>
      <c r="D139" s="947">
        <f t="shared" si="27"/>
        <v>0</v>
      </c>
      <c r="E139" s="947">
        <f t="shared" si="40"/>
        <v>0</v>
      </c>
      <c r="F139" s="947">
        <f t="shared" si="41"/>
        <v>0</v>
      </c>
      <c r="G139" s="947">
        <f>IF(M138&lt;0.01,0,IF($F$19=$U$4,$G$19,IF(AND($F$21=1,$F$19=$U$2),M138*Adm!$U$4,IF(AND($F$21=2,$F$19=$U$2),M138*Adm!$U$5,IF(AND($F$21=1,$F$19=$U$3),M138*Adm!$V$4,IF(AND($F$21=2,$F$19=$U$3),M138*Adm!$V$5,0))))))</f>
        <v>0</v>
      </c>
      <c r="H139" s="947">
        <f>IF(M138&lt;0.01,0,IF($F$20=$V$3,0,IF(OR($F$10=$T$16,$F$10=$T$17),0,IF($F$10=$T$13,0,$F$11*Adm!$AA$3))))</f>
        <v>0</v>
      </c>
      <c r="I139" s="947">
        <f t="shared" si="34"/>
        <v>0</v>
      </c>
      <c r="J139" s="947">
        <f t="shared" si="22"/>
        <v>0</v>
      </c>
      <c r="K139" s="947">
        <f t="shared" si="28"/>
        <v>0</v>
      </c>
      <c r="L139" s="947">
        <f t="shared" si="23"/>
        <v>0</v>
      </c>
      <c r="M139" s="947">
        <f t="shared" si="29"/>
        <v>0</v>
      </c>
      <c r="N139" s="946"/>
      <c r="P139" s="733"/>
      <c r="Q139" s="733"/>
      <c r="R139" s="733"/>
      <c r="S139" s="785">
        <f t="shared" si="30"/>
        <v>2</v>
      </c>
      <c r="T139" s="786">
        <f t="shared" si="35"/>
        <v>0</v>
      </c>
      <c r="W139" s="790">
        <f t="shared" si="36"/>
        <v>0</v>
      </c>
      <c r="X139" s="818">
        <f t="shared" ca="1" si="31"/>
        <v>0</v>
      </c>
      <c r="Z139" s="843">
        <f t="shared" si="37"/>
        <v>0</v>
      </c>
      <c r="AA139" s="792">
        <f t="shared" si="38"/>
        <v>0</v>
      </c>
      <c r="AB139" s="792">
        <f t="shared" si="39"/>
        <v>0</v>
      </c>
      <c r="AC139" s="789">
        <f t="shared" si="32"/>
        <v>0</v>
      </c>
      <c r="AD139" s="789">
        <f t="shared" si="24"/>
        <v>0</v>
      </c>
      <c r="AE139" s="828" t="e">
        <f>HLOOKUP($AE$39,anticipado,99,0)</f>
        <v>#N/A</v>
      </c>
      <c r="AF139" s="827"/>
      <c r="AG139" s="614">
        <v>7.2993601301137136E-3</v>
      </c>
      <c r="AH139" s="615">
        <v>7.0885970759521555E-3</v>
      </c>
      <c r="AI139" s="616">
        <v>6.9180902651263055E-3</v>
      </c>
      <c r="AJ139" s="616">
        <v>7.3576764080169723E-3</v>
      </c>
      <c r="AK139" s="617">
        <v>7.2993601301137136E-3</v>
      </c>
      <c r="AL139" s="617">
        <v>7.0885970759521555E-3</v>
      </c>
      <c r="AM139" s="617">
        <v>7.5196475522220909E-3</v>
      </c>
      <c r="AN139" s="617">
        <v>7.4189340264980436E-3</v>
      </c>
      <c r="AO139" s="617">
        <v>7.3626736610799184E-3</v>
      </c>
      <c r="AP139" s="617">
        <v>7.6732507681307079E-3</v>
      </c>
      <c r="AQ139" s="617">
        <v>7.5196475522220909E-3</v>
      </c>
      <c r="AR139" s="618">
        <v>7.3778303049197823E-3</v>
      </c>
      <c r="AS139" s="618">
        <v>2.9217373927670838E-3</v>
      </c>
      <c r="AT139" s="618">
        <v>2.8317650234101028E-3</v>
      </c>
      <c r="AU139" s="618">
        <v>2.664173692649019E-3</v>
      </c>
      <c r="AV139" s="618">
        <v>3.0800603673656387E-3</v>
      </c>
      <c r="AW139" s="618">
        <v>2.9217373927670838E-3</v>
      </c>
      <c r="AX139" s="618">
        <v>2.7817282218791043E-3</v>
      </c>
      <c r="AY139" s="618">
        <v>3.175750003897962E-3</v>
      </c>
      <c r="AZ139" s="618">
        <v>3.1020563958031088E-3</v>
      </c>
      <c r="BA139" s="618">
        <v>2.9324975552698996E-3</v>
      </c>
      <c r="BB139" s="618">
        <v>3.3011821424410739E-3</v>
      </c>
      <c r="BC139" s="617">
        <v>3.2250529696965257E-3</v>
      </c>
      <c r="BD139" s="617">
        <v>3.1119434902949811E-3</v>
      </c>
      <c r="BE139" s="617">
        <v>7.4573656060524145E-3</v>
      </c>
      <c r="BF139" s="617">
        <v>7.0745825675717832E-3</v>
      </c>
      <c r="BG139" s="617">
        <v>3.4024213444657958E-3</v>
      </c>
      <c r="BH139" s="617">
        <v>3.1965676944255184E-3</v>
      </c>
      <c r="BI139" s="617"/>
      <c r="BJ139" s="617"/>
      <c r="BK139" s="617"/>
      <c r="BL139" s="617"/>
      <c r="BM139" s="617"/>
      <c r="BN139" s="617"/>
      <c r="BO139" s="617"/>
      <c r="BP139" s="617"/>
      <c r="BQ139" s="617"/>
      <c r="BR139" s="617"/>
      <c r="BS139" s="617"/>
      <c r="BT139" s="617"/>
      <c r="BU139" s="617"/>
      <c r="BV139" s="617"/>
      <c r="BW139" s="617"/>
      <c r="BX139" s="617"/>
      <c r="BY139" s="617"/>
      <c r="BZ139" s="617"/>
      <c r="CA139" s="617"/>
      <c r="CB139" s="617"/>
      <c r="CC139" s="617"/>
      <c r="CD139" s="617"/>
      <c r="CE139" s="617"/>
      <c r="CF139" s="617"/>
      <c r="CG139" s="617"/>
      <c r="CH139" s="617"/>
      <c r="CI139" s="617"/>
      <c r="CJ139" s="617"/>
    </row>
    <row r="140" spans="1:88">
      <c r="A140" s="151">
        <f t="shared" ca="1" si="25"/>
        <v>2</v>
      </c>
      <c r="B140" s="784">
        <f t="shared" si="26"/>
        <v>0</v>
      </c>
      <c r="C140" s="944">
        <f t="shared" si="33"/>
        <v>0</v>
      </c>
      <c r="D140" s="947">
        <f t="shared" si="27"/>
        <v>0</v>
      </c>
      <c r="E140" s="947">
        <f t="shared" si="40"/>
        <v>0</v>
      </c>
      <c r="F140" s="947">
        <f t="shared" si="41"/>
        <v>0</v>
      </c>
      <c r="G140" s="947">
        <f>IF(M139&lt;0.01,0,IF($F$19=$U$4,$G$19,IF(AND($F$21=1,$F$19=$U$2),M139*Adm!$U$4,IF(AND($F$21=2,$F$19=$U$2),M139*Adm!$U$5,IF(AND($F$21=1,$F$19=$U$3),M139*Adm!$V$4,IF(AND($F$21=2,$F$19=$U$3),M139*Adm!$V$5,0))))))</f>
        <v>0</v>
      </c>
      <c r="H140" s="947">
        <f>IF(M139&lt;0.01,0,IF($F$20=$V$3,0,IF(OR($F$10=$T$16,$F$10=$T$17),0,IF($F$10=$T$13,0,$F$11*Adm!$AA$3))))</f>
        <v>0</v>
      </c>
      <c r="I140" s="947">
        <f t="shared" si="34"/>
        <v>0</v>
      </c>
      <c r="J140" s="947">
        <f t="shared" si="22"/>
        <v>0</v>
      </c>
      <c r="K140" s="947">
        <f t="shared" si="28"/>
        <v>0</v>
      </c>
      <c r="L140" s="947">
        <f t="shared" si="23"/>
        <v>0</v>
      </c>
      <c r="M140" s="947">
        <f t="shared" si="29"/>
        <v>0</v>
      </c>
      <c r="N140" s="946"/>
      <c r="P140" s="733"/>
      <c r="Q140" s="733"/>
      <c r="R140" s="733"/>
      <c r="S140" s="785">
        <f t="shared" si="30"/>
        <v>3</v>
      </c>
      <c r="T140" s="786">
        <f t="shared" si="35"/>
        <v>0</v>
      </c>
      <c r="W140" s="790">
        <f t="shared" si="36"/>
        <v>0</v>
      </c>
      <c r="X140" s="818">
        <f t="shared" ca="1" si="31"/>
        <v>0</v>
      </c>
      <c r="Z140" s="843">
        <f t="shared" si="37"/>
        <v>0</v>
      </c>
      <c r="AA140" s="792">
        <f t="shared" si="38"/>
        <v>0</v>
      </c>
      <c r="AB140" s="792">
        <f t="shared" si="39"/>
        <v>0</v>
      </c>
      <c r="AC140" s="789">
        <f t="shared" si="32"/>
        <v>0</v>
      </c>
      <c r="AD140" s="789">
        <f t="shared" si="24"/>
        <v>0</v>
      </c>
      <c r="AE140" s="828" t="e">
        <f>HLOOKUP($AE$39,anticipado,100,0)</f>
        <v>#N/A</v>
      </c>
      <c r="AF140" s="827"/>
      <c r="AG140" s="614">
        <v>7.4164524686928055E-3</v>
      </c>
      <c r="AH140" s="615">
        <v>7.2039922931206174E-3</v>
      </c>
      <c r="AI140" s="616">
        <v>7.0318247628083632E-3</v>
      </c>
      <c r="AJ140" s="616">
        <v>7.4739197471124542E-3</v>
      </c>
      <c r="AK140" s="617">
        <v>7.4164524686928055E-3</v>
      </c>
      <c r="AL140" s="617">
        <v>7.2039922931206174E-3</v>
      </c>
      <c r="AM140" s="617">
        <v>7.6366026558119197E-3</v>
      </c>
      <c r="AN140" s="617">
        <v>7.5362988338699899E-3</v>
      </c>
      <c r="AO140" s="617">
        <v>7.4809497349106122E-3</v>
      </c>
      <c r="AP140" s="617">
        <v>7.7915457899554053E-3</v>
      </c>
      <c r="AQ140" s="617">
        <v>7.6366026558119197E-3</v>
      </c>
      <c r="AR140" s="618">
        <v>7.4939248287202876E-3</v>
      </c>
      <c r="AS140" s="618">
        <v>2.9568914198341268E-3</v>
      </c>
      <c r="AT140" s="618">
        <v>2.8665245365934906E-3</v>
      </c>
      <c r="AU140" s="618">
        <v>2.697758510907563E-3</v>
      </c>
      <c r="AV140" s="618">
        <v>3.1162240462147459E-3</v>
      </c>
      <c r="AW140" s="618">
        <v>2.9568914198341268E-3</v>
      </c>
      <c r="AX140" s="618">
        <v>2.8159647074168753E-3</v>
      </c>
      <c r="AY140" s="618">
        <v>3.2122571253419092E-3</v>
      </c>
      <c r="AZ140" s="618">
        <v>3.1384179292773041E-3</v>
      </c>
      <c r="BA140" s="618">
        <v>2.9679356219376404E-3</v>
      </c>
      <c r="BB140" s="618">
        <v>3.3383369594246364E-3</v>
      </c>
      <c r="BC140" s="617">
        <v>3.2617489628128191E-3</v>
      </c>
      <c r="BD140" s="617">
        <v>3.1481920055804525E-3</v>
      </c>
      <c r="BE140" s="617">
        <v>7.5743794738637885E-3</v>
      </c>
      <c r="BF140" s="617">
        <v>7.1899450384771552E-3</v>
      </c>
      <c r="BG140" s="617">
        <v>3.4400693726773877E-3</v>
      </c>
      <c r="BH140" s="617">
        <v>3.2332480360605432E-3</v>
      </c>
      <c r="BI140" s="617"/>
      <c r="BJ140" s="617"/>
      <c r="BK140" s="617"/>
      <c r="BL140" s="617"/>
      <c r="BM140" s="617"/>
      <c r="BN140" s="617"/>
      <c r="BO140" s="617"/>
      <c r="BP140" s="617"/>
      <c r="BQ140" s="617"/>
      <c r="BR140" s="617"/>
      <c r="BS140" s="617"/>
      <c r="BT140" s="617"/>
      <c r="BU140" s="617"/>
      <c r="BV140" s="617"/>
      <c r="BW140" s="617"/>
      <c r="BX140" s="617"/>
      <c r="BY140" s="617"/>
      <c r="BZ140" s="617"/>
      <c r="CA140" s="617"/>
      <c r="CB140" s="617"/>
      <c r="CC140" s="617"/>
      <c r="CD140" s="617"/>
      <c r="CE140" s="617"/>
      <c r="CF140" s="617"/>
      <c r="CG140" s="617"/>
      <c r="CH140" s="617"/>
      <c r="CI140" s="617"/>
      <c r="CJ140" s="617"/>
    </row>
    <row r="141" spans="1:88">
      <c r="A141" s="151">
        <f t="shared" ca="1" si="25"/>
        <v>3</v>
      </c>
      <c r="B141" s="784">
        <f t="shared" si="26"/>
        <v>0</v>
      </c>
      <c r="C141" s="944">
        <f t="shared" si="33"/>
        <v>0</v>
      </c>
      <c r="D141" s="947">
        <f t="shared" si="27"/>
        <v>0</v>
      </c>
      <c r="E141" s="947">
        <f t="shared" si="40"/>
        <v>0</v>
      </c>
      <c r="F141" s="947">
        <f t="shared" si="41"/>
        <v>0</v>
      </c>
      <c r="G141" s="947">
        <f>IF(M140&lt;0.01,0,IF($F$19=$U$4,$G$19,IF(AND($F$21=1,$F$19=$U$2),M140*Adm!$U$4,IF(AND($F$21=2,$F$19=$U$2),M140*Adm!$U$5,IF(AND($F$21=1,$F$19=$U$3),M140*Adm!$V$4,IF(AND($F$21=2,$F$19=$U$3),M140*Adm!$V$5,0))))))</f>
        <v>0</v>
      </c>
      <c r="H141" s="947">
        <f>IF(M140&lt;0.01,0,IF($F$20=$V$3,0,IF(OR($F$10=$T$16,$F$10=$T$17),0,IF($F$10=$T$13,0,$F$11*Adm!$AA$3))))</f>
        <v>0</v>
      </c>
      <c r="I141" s="947">
        <f t="shared" si="34"/>
        <v>0</v>
      </c>
      <c r="J141" s="947">
        <f t="shared" si="22"/>
        <v>0</v>
      </c>
      <c r="K141" s="947">
        <f t="shared" si="28"/>
        <v>0</v>
      </c>
      <c r="L141" s="947">
        <f t="shared" si="23"/>
        <v>0</v>
      </c>
      <c r="M141" s="947">
        <f t="shared" si="29"/>
        <v>0</v>
      </c>
      <c r="N141" s="946"/>
      <c r="P141" s="733"/>
      <c r="Q141" s="733"/>
      <c r="R141" s="733"/>
      <c r="S141" s="785">
        <f t="shared" si="30"/>
        <v>4</v>
      </c>
      <c r="T141" s="786">
        <f t="shared" si="35"/>
        <v>0</v>
      </c>
      <c r="W141" s="790">
        <f t="shared" si="36"/>
        <v>0</v>
      </c>
      <c r="X141" s="818">
        <f t="shared" ca="1" si="31"/>
        <v>0</v>
      </c>
      <c r="Z141" s="843">
        <f t="shared" si="37"/>
        <v>0</v>
      </c>
      <c r="AA141" s="792">
        <f t="shared" si="38"/>
        <v>0</v>
      </c>
      <c r="AB141" s="792">
        <f t="shared" si="39"/>
        <v>0</v>
      </c>
      <c r="AC141" s="789">
        <f t="shared" si="32"/>
        <v>0</v>
      </c>
      <c r="AD141" s="789">
        <f t="shared" si="24"/>
        <v>0</v>
      </c>
      <c r="AE141" s="828" t="e">
        <f>HLOOKUP($AE$39,anticipado,101,0)</f>
        <v>#N/A</v>
      </c>
      <c r="AF141" s="827"/>
      <c r="AG141" s="614">
        <v>7.5363120715028174E-3</v>
      </c>
      <c r="AH141" s="615">
        <v>7.3221169976007304E-3</v>
      </c>
      <c r="AI141" s="616">
        <v>7.1482477395843486E-3</v>
      </c>
      <c r="AJ141" s="616">
        <v>7.5928887703253277E-3</v>
      </c>
      <c r="AK141" s="617">
        <v>7.5363120715028174E-3</v>
      </c>
      <c r="AL141" s="617">
        <v>7.3221169976007304E-3</v>
      </c>
      <c r="AM141" s="617">
        <v>7.7562908044603541E-3</v>
      </c>
      <c r="AN141" s="617">
        <v>7.6564256206873441E-3</v>
      </c>
      <c r="AO141" s="617">
        <v>7.6020316366925585E-3</v>
      </c>
      <c r="AP141" s="617">
        <v>7.9126077723802729E-3</v>
      </c>
      <c r="AQ141" s="617">
        <v>7.7562908044603541E-3</v>
      </c>
      <c r="AR141" s="618">
        <v>7.6127365345141588E-3</v>
      </c>
      <c r="AS141" s="618">
        <v>2.992573925633046E-3</v>
      </c>
      <c r="AT141" s="618">
        <v>2.9018118698674968E-3</v>
      </c>
      <c r="AU141" s="618">
        <v>2.731858696535651E-3</v>
      </c>
      <c r="AV141" s="618">
        <v>3.152926704626257E-3</v>
      </c>
      <c r="AW141" s="618">
        <v>2.992573925633046E-3</v>
      </c>
      <c r="AX141" s="618">
        <v>2.8507204338973423E-3</v>
      </c>
      <c r="AY141" s="618">
        <v>3.2493029183152445E-3</v>
      </c>
      <c r="AZ141" s="618">
        <v>3.175321502438073E-3</v>
      </c>
      <c r="BA141" s="618">
        <v>3.0039087093545148E-3</v>
      </c>
      <c r="BB141" s="618">
        <v>3.3760358054591186E-3</v>
      </c>
      <c r="BC141" s="617">
        <v>3.2989839493695089E-3</v>
      </c>
      <c r="BD141" s="617">
        <v>3.1849785616736939E-3</v>
      </c>
      <c r="BE141" s="617">
        <v>7.6941364968105318E-3</v>
      </c>
      <c r="BF141" s="617">
        <v>7.3080377605823088E-3</v>
      </c>
      <c r="BG141" s="617">
        <v>3.4782653758335014E-3</v>
      </c>
      <c r="BH141" s="617">
        <v>3.2704696281265454E-3</v>
      </c>
      <c r="BI141" s="617"/>
      <c r="BJ141" s="617"/>
      <c r="BK141" s="617"/>
      <c r="BL141" s="617"/>
      <c r="BM141" s="617"/>
      <c r="BN141" s="617"/>
      <c r="BO141" s="617"/>
      <c r="BP141" s="617"/>
      <c r="BQ141" s="617"/>
      <c r="BR141" s="617"/>
      <c r="BS141" s="617"/>
      <c r="BT141" s="617"/>
      <c r="BU141" s="617"/>
      <c r="BV141" s="617"/>
      <c r="BW141" s="617"/>
      <c r="BX141" s="617"/>
      <c r="BY141" s="617"/>
      <c r="BZ141" s="617"/>
      <c r="CA141" s="617"/>
      <c r="CB141" s="617"/>
      <c r="CC141" s="617"/>
      <c r="CD141" s="617"/>
      <c r="CE141" s="617"/>
      <c r="CF141" s="617"/>
      <c r="CG141" s="617"/>
      <c r="CH141" s="617"/>
      <c r="CI141" s="617"/>
      <c r="CJ141" s="617"/>
    </row>
    <row r="142" spans="1:88">
      <c r="A142" s="151">
        <f t="shared" ca="1" si="25"/>
        <v>4</v>
      </c>
      <c r="B142" s="784">
        <f t="shared" si="26"/>
        <v>0</v>
      </c>
      <c r="C142" s="944">
        <f t="shared" si="33"/>
        <v>0</v>
      </c>
      <c r="D142" s="947">
        <f t="shared" si="27"/>
        <v>0</v>
      </c>
      <c r="E142" s="947">
        <f t="shared" si="40"/>
        <v>0</v>
      </c>
      <c r="F142" s="947">
        <f t="shared" si="41"/>
        <v>0</v>
      </c>
      <c r="G142" s="947">
        <f>IF(M141&lt;0.01,0,IF($F$19=$U$4,$G$19,IF(AND($F$21=1,$F$19=$U$2),M141*Adm!$U$4,IF(AND($F$21=2,$F$19=$U$2),M141*Adm!$U$5,IF(AND($F$21=1,$F$19=$U$3),M141*Adm!$V$4,IF(AND($F$21=2,$F$19=$U$3),M141*Adm!$V$5,0))))))</f>
        <v>0</v>
      </c>
      <c r="H142" s="947">
        <f>IF(M141&lt;0.01,0,IF($F$20=$V$3,0,IF(OR($F$10=$T$16,$F$10=$T$17),0,IF($F$10=$T$13,0,$F$11*Adm!$AA$3))))</f>
        <v>0</v>
      </c>
      <c r="I142" s="947">
        <f t="shared" si="34"/>
        <v>0</v>
      </c>
      <c r="J142" s="947">
        <f t="shared" si="22"/>
        <v>0</v>
      </c>
      <c r="K142" s="947">
        <f t="shared" si="28"/>
        <v>0</v>
      </c>
      <c r="L142" s="947">
        <f t="shared" si="23"/>
        <v>0</v>
      </c>
      <c r="M142" s="947">
        <f t="shared" si="29"/>
        <v>0</v>
      </c>
      <c r="N142" s="946"/>
      <c r="P142" s="733"/>
      <c r="Q142" s="733"/>
      <c r="R142" s="733"/>
      <c r="S142" s="785">
        <f t="shared" si="30"/>
        <v>5</v>
      </c>
      <c r="T142" s="786">
        <f t="shared" si="35"/>
        <v>0</v>
      </c>
      <c r="W142" s="790">
        <f t="shared" si="36"/>
        <v>0</v>
      </c>
      <c r="X142" s="818">
        <f t="shared" ca="1" si="31"/>
        <v>0</v>
      </c>
      <c r="Z142" s="843">
        <f t="shared" si="37"/>
        <v>0</v>
      </c>
      <c r="AA142" s="792">
        <f t="shared" si="38"/>
        <v>0</v>
      </c>
      <c r="AB142" s="792">
        <f t="shared" si="39"/>
        <v>0</v>
      </c>
      <c r="AC142" s="789">
        <f t="shared" si="32"/>
        <v>0</v>
      </c>
      <c r="AD142" s="789">
        <f t="shared" si="24"/>
        <v>0</v>
      </c>
      <c r="AE142" s="828" t="e">
        <f>HLOOKUP($AE$39,anticipado,102,0)</f>
        <v>#N/A</v>
      </c>
      <c r="AF142" s="827"/>
      <c r="AG142" s="614">
        <v>7.6590336307268197E-3</v>
      </c>
      <c r="AH142" s="615">
        <v>7.4430641962193282E-3</v>
      </c>
      <c r="AI142" s="616">
        <v>7.2674503727672771E-3</v>
      </c>
      <c r="AJ142" s="616">
        <v>7.7146762479883323E-3</v>
      </c>
      <c r="AK142" s="617">
        <v>7.6590336307268197E-3</v>
      </c>
      <c r="AL142" s="617">
        <v>7.4430641962193282E-3</v>
      </c>
      <c r="AM142" s="617">
        <v>7.8788050766955067E-3</v>
      </c>
      <c r="AN142" s="617">
        <v>7.7794088111810995E-3</v>
      </c>
      <c r="AO142" s="617">
        <v>7.7260158249678277E-3</v>
      </c>
      <c r="AP142" s="617">
        <v>8.0365313268847601E-3</v>
      </c>
      <c r="AQ142" s="617">
        <v>7.8788050766955067E-3</v>
      </c>
      <c r="AR142" s="618">
        <v>7.7343577996451442E-3</v>
      </c>
      <c r="AS142" s="618">
        <v>3.0287954282327717E-3</v>
      </c>
      <c r="AT142" s="618">
        <v>2.9376375547355317E-3</v>
      </c>
      <c r="AU142" s="618">
        <v>2.7664845078821791E-3</v>
      </c>
      <c r="AV142" s="618">
        <v>3.1901790983253084E-3</v>
      </c>
      <c r="AW142" s="618">
        <v>3.0287954282327717E-3</v>
      </c>
      <c r="AX142" s="618">
        <v>2.8860057174869367E-3</v>
      </c>
      <c r="AY142" s="618">
        <v>3.2868981050937092E-3</v>
      </c>
      <c r="AZ142" s="618">
        <v>3.2127779482355899E-3</v>
      </c>
      <c r="BA142" s="618">
        <v>3.0404275104335484E-3</v>
      </c>
      <c r="BB142" s="618">
        <v>3.4142895192528721E-3</v>
      </c>
      <c r="BC142" s="617">
        <v>3.3367686486398458E-3</v>
      </c>
      <c r="BD142" s="617">
        <v>3.2223138800749405E-3</v>
      </c>
      <c r="BE142" s="617">
        <v>7.8167302273711142E-3</v>
      </c>
      <c r="BF142" s="617">
        <v>7.4289537795757107E-3</v>
      </c>
      <c r="BG142" s="617">
        <v>3.5170202791874328E-3</v>
      </c>
      <c r="BH142" s="617">
        <v>3.3082432577419209E-3</v>
      </c>
      <c r="BI142" s="617"/>
      <c r="BJ142" s="617"/>
      <c r="BK142" s="617"/>
      <c r="BL142" s="617"/>
      <c r="BM142" s="617"/>
      <c r="BN142" s="617"/>
      <c r="BO142" s="617"/>
      <c r="BP142" s="617"/>
      <c r="BQ142" s="617"/>
      <c r="BR142" s="617"/>
      <c r="BS142" s="617"/>
      <c r="BT142" s="617"/>
      <c r="BU142" s="617"/>
      <c r="BV142" s="617"/>
      <c r="BW142" s="617"/>
      <c r="BX142" s="617"/>
      <c r="BY142" s="617"/>
      <c r="BZ142" s="617"/>
      <c r="CA142" s="617"/>
      <c r="CB142" s="617"/>
      <c r="CC142" s="617"/>
      <c r="CD142" s="617"/>
      <c r="CE142" s="617"/>
      <c r="CF142" s="617"/>
      <c r="CG142" s="617"/>
      <c r="CH142" s="617"/>
      <c r="CI142" s="617"/>
      <c r="CJ142" s="617"/>
    </row>
    <row r="143" spans="1:88">
      <c r="A143" s="151">
        <f t="shared" ca="1" si="25"/>
        <v>5</v>
      </c>
      <c r="B143" s="784">
        <f t="shared" si="26"/>
        <v>0</v>
      </c>
      <c r="C143" s="944">
        <f t="shared" si="33"/>
        <v>0</v>
      </c>
      <c r="D143" s="947">
        <f t="shared" si="27"/>
        <v>0</v>
      </c>
      <c r="E143" s="947">
        <f t="shared" si="40"/>
        <v>0</v>
      </c>
      <c r="F143" s="947">
        <f t="shared" si="41"/>
        <v>0</v>
      </c>
      <c r="G143" s="947">
        <f>IF(M142&lt;0.01,0,IF($F$19=$U$4,$G$19,IF(AND($F$21=1,$F$19=$U$2),M142*Adm!$U$4,IF(AND($F$21=2,$F$19=$U$2),M142*Adm!$U$5,IF(AND($F$21=1,$F$19=$U$3),M142*Adm!$V$4,IF(AND($F$21=2,$F$19=$U$3),M142*Adm!$V$5,0))))))</f>
        <v>0</v>
      </c>
      <c r="H143" s="947">
        <f>IF(M142&lt;0.01,0,IF($F$20=$V$3,0,IF(OR($F$10=$T$16,$F$10=$T$17),0,IF($F$10=$T$13,0,$F$11*Adm!$AA$3))))</f>
        <v>0</v>
      </c>
      <c r="I143" s="947">
        <f t="shared" si="34"/>
        <v>0</v>
      </c>
      <c r="J143" s="947">
        <f t="shared" si="22"/>
        <v>0</v>
      </c>
      <c r="K143" s="947">
        <f t="shared" si="28"/>
        <v>0</v>
      </c>
      <c r="L143" s="947">
        <f t="shared" si="23"/>
        <v>0</v>
      </c>
      <c r="M143" s="947">
        <f t="shared" si="29"/>
        <v>0</v>
      </c>
      <c r="N143" s="946"/>
      <c r="P143" s="733"/>
      <c r="Q143" s="733"/>
      <c r="R143" s="733"/>
      <c r="S143" s="785">
        <f t="shared" si="30"/>
        <v>6</v>
      </c>
      <c r="T143" s="786">
        <f t="shared" si="35"/>
        <v>0</v>
      </c>
      <c r="W143" s="790">
        <f t="shared" si="36"/>
        <v>0</v>
      </c>
      <c r="X143" s="818">
        <f t="shared" ca="1" si="31"/>
        <v>0</v>
      </c>
      <c r="Z143" s="843">
        <f t="shared" si="37"/>
        <v>0</v>
      </c>
      <c r="AA143" s="792">
        <f t="shared" si="38"/>
        <v>0</v>
      </c>
      <c r="AB143" s="792">
        <f t="shared" si="39"/>
        <v>0</v>
      </c>
      <c r="AC143" s="789">
        <f t="shared" si="32"/>
        <v>0</v>
      </c>
      <c r="AD143" s="789">
        <f t="shared" si="24"/>
        <v>0</v>
      </c>
      <c r="AE143" s="828" t="e">
        <f>HLOOKUP($AE$39,anticipado,103,0)</f>
        <v>#N/A</v>
      </c>
      <c r="AF143" s="827"/>
      <c r="AG143" s="614">
        <v>7.7847161989653786E-3</v>
      </c>
      <c r="AH143" s="615">
        <v>7.5669311581787139E-3</v>
      </c>
      <c r="AI143" s="616">
        <v>7.3895279963493736E-3</v>
      </c>
      <c r="AJ143" s="616">
        <v>7.8393792002681168E-3</v>
      </c>
      <c r="AK143" s="617">
        <v>7.7847161989653786E-3</v>
      </c>
      <c r="AL143" s="617">
        <v>7.5669311581787139E-3</v>
      </c>
      <c r="AM143" s="617">
        <v>8.0042428191781922E-3</v>
      </c>
      <c r="AN143" s="617">
        <v>7.9053471749687826E-3</v>
      </c>
      <c r="AO143" s="617">
        <v>7.8530032212933698E-3</v>
      </c>
      <c r="AP143" s="617">
        <v>8.163415422025741E-3</v>
      </c>
      <c r="AQ143" s="617">
        <v>8.0042428191781922E-3</v>
      </c>
      <c r="AR143" s="618">
        <v>7.8588852287762561E-3</v>
      </c>
      <c r="AS143" s="618">
        <v>3.0655667212141388E-3</v>
      </c>
      <c r="AT143" s="618">
        <v>2.9740123985733005E-3</v>
      </c>
      <c r="AU143" s="618">
        <v>2.8016464701038839E-3</v>
      </c>
      <c r="AV143" s="618">
        <v>3.2279922665065302E-3</v>
      </c>
      <c r="AW143" s="618">
        <v>3.0655667212141388E-3</v>
      </c>
      <c r="AX143" s="618">
        <v>2.9218311431400512E-3</v>
      </c>
      <c r="AY143" s="618">
        <v>3.3250536904052305E-3</v>
      </c>
      <c r="AZ143" s="618">
        <v>3.2507983856588847E-3</v>
      </c>
      <c r="BA143" s="618">
        <v>3.077502999353009E-3</v>
      </c>
      <c r="BB143" s="618">
        <v>3.4531092259191824E-3</v>
      </c>
      <c r="BC143" s="617">
        <v>3.3751140622932845E-3</v>
      </c>
      <c r="BD143" s="617">
        <v>3.2602089646543279E-3</v>
      </c>
      <c r="BE143" s="617">
        <v>7.9422585132440139E-3</v>
      </c>
      <c r="BF143" s="617">
        <v>7.5527904056969207E-3</v>
      </c>
      <c r="BG143" s="617">
        <v>3.5563452973467998E-3</v>
      </c>
      <c r="BH143" s="617">
        <v>3.3465799966348377E-3</v>
      </c>
      <c r="BI143" s="617"/>
      <c r="BJ143" s="617"/>
      <c r="BK143" s="617"/>
      <c r="BL143" s="617"/>
      <c r="BM143" s="617"/>
      <c r="BN143" s="617"/>
      <c r="BO143" s="617"/>
      <c r="BP143" s="617"/>
      <c r="BQ143" s="617"/>
      <c r="BR143" s="617"/>
      <c r="BS143" s="617"/>
      <c r="BT143" s="617"/>
      <c r="BU143" s="617"/>
      <c r="BV143" s="617"/>
      <c r="BW143" s="617"/>
      <c r="BX143" s="617"/>
      <c r="BY143" s="617"/>
      <c r="BZ143" s="617"/>
      <c r="CA143" s="617"/>
      <c r="CB143" s="617"/>
      <c r="CC143" s="617"/>
      <c r="CD143" s="617"/>
      <c r="CE143" s="617"/>
      <c r="CF143" s="617"/>
      <c r="CG143" s="617"/>
      <c r="CH143" s="617"/>
      <c r="CI143" s="617"/>
      <c r="CJ143" s="617"/>
    </row>
    <row r="144" spans="1:88">
      <c r="A144" s="151">
        <f t="shared" ca="1" si="25"/>
        <v>6</v>
      </c>
      <c r="B144" s="784">
        <f t="shared" si="26"/>
        <v>0</v>
      </c>
      <c r="C144" s="944">
        <f t="shared" si="33"/>
        <v>0</v>
      </c>
      <c r="D144" s="947">
        <f t="shared" si="27"/>
        <v>0</v>
      </c>
      <c r="E144" s="947">
        <f t="shared" si="40"/>
        <v>0</v>
      </c>
      <c r="F144" s="947">
        <f t="shared" si="41"/>
        <v>0</v>
      </c>
      <c r="G144" s="947">
        <f>IF(M143&lt;0.01,0,IF($F$19=$U$4,$G$19,IF(AND($F$21=1,$F$19=$U$2),M143*Adm!$U$4,IF(AND($F$21=2,$F$19=$U$2),M143*Adm!$U$5,IF(AND($F$21=1,$F$19=$U$3),M143*Adm!$V$4,IF(AND($F$21=2,$F$19=$U$3),M143*Adm!$V$5,0))))))</f>
        <v>0</v>
      </c>
      <c r="H144" s="947">
        <f>IF(M143&lt;0.01,0,IF($F$20=$V$3,0,IF(OR($F$10=$T$16,$F$10=$T$17),0,IF($F$10=$T$13,0,$F$11*Adm!$AA$3))))</f>
        <v>0</v>
      </c>
      <c r="I144" s="947">
        <f t="shared" si="34"/>
        <v>0</v>
      </c>
      <c r="J144" s="947">
        <f t="shared" si="22"/>
        <v>0</v>
      </c>
      <c r="K144" s="947">
        <f t="shared" si="28"/>
        <v>0</v>
      </c>
      <c r="L144" s="947">
        <f t="shared" si="23"/>
        <v>0</v>
      </c>
      <c r="M144" s="947">
        <f t="shared" si="29"/>
        <v>0</v>
      </c>
      <c r="N144" s="946"/>
      <c r="P144" s="733"/>
      <c r="Q144" s="733"/>
      <c r="R144" s="733"/>
      <c r="S144" s="785">
        <f t="shared" si="30"/>
        <v>7</v>
      </c>
      <c r="T144" s="786">
        <f t="shared" si="35"/>
        <v>0</v>
      </c>
      <c r="W144" s="790">
        <f t="shared" si="36"/>
        <v>0</v>
      </c>
      <c r="X144" s="818">
        <f t="shared" ca="1" si="31"/>
        <v>0</v>
      </c>
      <c r="Z144" s="843">
        <f t="shared" si="37"/>
        <v>0</v>
      </c>
      <c r="AA144" s="792">
        <f t="shared" si="38"/>
        <v>0</v>
      </c>
      <c r="AB144" s="792">
        <f t="shared" si="39"/>
        <v>0</v>
      </c>
      <c r="AC144" s="789">
        <f t="shared" si="32"/>
        <v>0</v>
      </c>
      <c r="AD144" s="789">
        <f t="shared" si="24"/>
        <v>0</v>
      </c>
      <c r="AE144" s="828" t="e">
        <f>HLOOKUP($AE$39,anticipado,104,0)</f>
        <v>#N/A</v>
      </c>
      <c r="AF144" s="827"/>
      <c r="AG144" s="614">
        <v>7.9134634432379523E-3</v>
      </c>
      <c r="AH144" s="615">
        <v>7.6938196621662387E-3</v>
      </c>
      <c r="AI144" s="616">
        <v>7.5145803407236228E-3</v>
      </c>
      <c r="AJ144" s="616">
        <v>7.9670991434217641E-3</v>
      </c>
      <c r="AK144" s="617">
        <v>7.9134634432379523E-3</v>
      </c>
      <c r="AL144" s="617">
        <v>7.6938196621662387E-3</v>
      </c>
      <c r="AM144" s="617">
        <v>8.1327058942512326E-3</v>
      </c>
      <c r="AN144" s="617">
        <v>8.0343440800104086E-3</v>
      </c>
      <c r="AO144" s="617">
        <v>7.9830994714748717E-3</v>
      </c>
      <c r="AP144" s="617">
        <v>8.2933636372353615E-3</v>
      </c>
      <c r="AQ144" s="617">
        <v>8.1327058942512326E-3</v>
      </c>
      <c r="AR144" s="618">
        <v>7.986419898575136E-3</v>
      </c>
      <c r="AS144" s="618">
        <v>3.1028988827634498E-3</v>
      </c>
      <c r="AT144" s="618">
        <v>3.0109474937343628E-3</v>
      </c>
      <c r="AU144" s="618">
        <v>2.8373553839075847E-3</v>
      </c>
      <c r="AV144" s="618">
        <v>3.2663775412477866E-3</v>
      </c>
      <c r="AW144" s="618">
        <v>3.1028988827634498E-3</v>
      </c>
      <c r="AX144" s="618">
        <v>2.9582075734229216E-3</v>
      </c>
      <c r="AY144" s="618">
        <v>3.3637809708047749E-3</v>
      </c>
      <c r="AZ144" s="618">
        <v>3.2893942292527073E-3</v>
      </c>
      <c r="BA144" s="618">
        <v>3.1151464408790065E-3</v>
      </c>
      <c r="BB144" s="618">
        <v>3.4925063465110944E-3</v>
      </c>
      <c r="BC144" s="617">
        <v>3.4140314837688784E-3</v>
      </c>
      <c r="BD144" s="617">
        <v>3.2986751110223268E-3</v>
      </c>
      <c r="BE144" s="617">
        <v>8.0708237467883304E-3</v>
      </c>
      <c r="BF144" s="617">
        <v>7.6796494609969899E-3</v>
      </c>
      <c r="BG144" s="617">
        <v>3.5962519439279314E-3</v>
      </c>
      <c r="BH144" s="617">
        <v>3.385491210604631E-3</v>
      </c>
      <c r="BI144" s="617"/>
      <c r="BJ144" s="617"/>
      <c r="BK144" s="617"/>
      <c r="BL144" s="617"/>
      <c r="BM144" s="617"/>
      <c r="BN144" s="617"/>
      <c r="BO144" s="617"/>
      <c r="BP144" s="617"/>
      <c r="BQ144" s="617"/>
      <c r="BR144" s="617"/>
      <c r="BS144" s="617"/>
      <c r="BT144" s="617"/>
      <c r="BU144" s="617"/>
      <c r="BV144" s="617"/>
      <c r="BW144" s="617"/>
      <c r="BX144" s="617"/>
      <c r="BY144" s="617"/>
      <c r="BZ144" s="617"/>
      <c r="CA144" s="617"/>
      <c r="CB144" s="617"/>
      <c r="CC144" s="617"/>
      <c r="CD144" s="617"/>
      <c r="CE144" s="617"/>
      <c r="CF144" s="617"/>
      <c r="CG144" s="617"/>
      <c r="CH144" s="617"/>
      <c r="CI144" s="617"/>
      <c r="CJ144" s="617"/>
    </row>
    <row r="145" spans="1:88">
      <c r="A145" s="151">
        <f t="shared" ca="1" si="25"/>
        <v>7</v>
      </c>
      <c r="B145" s="784">
        <f t="shared" si="26"/>
        <v>0</v>
      </c>
      <c r="C145" s="944">
        <f t="shared" si="33"/>
        <v>0</v>
      </c>
      <c r="D145" s="947">
        <f t="shared" si="27"/>
        <v>0</v>
      </c>
      <c r="E145" s="947">
        <f t="shared" si="40"/>
        <v>0</v>
      </c>
      <c r="F145" s="947">
        <f t="shared" si="41"/>
        <v>0</v>
      </c>
      <c r="G145" s="947">
        <f>IF(M144&lt;0.01,0,IF($F$19=$U$4,$G$19,IF(AND($F$21=1,$F$19=$U$2),M144*Adm!$U$4,IF(AND($F$21=2,$F$19=$U$2),M144*Adm!$U$5,IF(AND($F$21=1,$F$19=$U$3),M144*Adm!$V$4,IF(AND($F$21=2,$F$19=$U$3),M144*Adm!$V$5,0))))))</f>
        <v>0</v>
      </c>
      <c r="H145" s="947">
        <f>IF(M144&lt;0.01,0,IF($F$20=$V$3,0,IF(OR($F$10=$T$16,$F$10=$T$17),0,IF($F$10=$T$13,0,$F$11*Adm!$AA$3))))</f>
        <v>0</v>
      </c>
      <c r="I145" s="947">
        <f t="shared" si="34"/>
        <v>0</v>
      </c>
      <c r="J145" s="947">
        <f t="shared" si="22"/>
        <v>0</v>
      </c>
      <c r="K145" s="947">
        <f t="shared" si="28"/>
        <v>0</v>
      </c>
      <c r="L145" s="947">
        <f t="shared" si="23"/>
        <v>0</v>
      </c>
      <c r="M145" s="947">
        <f t="shared" si="29"/>
        <v>0</v>
      </c>
      <c r="N145" s="946"/>
      <c r="P145" s="733"/>
      <c r="Q145" s="733"/>
      <c r="R145" s="733"/>
      <c r="S145" s="785">
        <f t="shared" si="30"/>
        <v>8</v>
      </c>
      <c r="T145" s="786">
        <f t="shared" si="35"/>
        <v>0</v>
      </c>
      <c r="W145" s="790">
        <f t="shared" si="36"/>
        <v>0</v>
      </c>
      <c r="X145" s="818">
        <f t="shared" ca="1" si="31"/>
        <v>0</v>
      </c>
      <c r="Z145" s="843">
        <f t="shared" si="37"/>
        <v>0</v>
      </c>
      <c r="AA145" s="792">
        <f t="shared" si="38"/>
        <v>0</v>
      </c>
      <c r="AB145" s="792">
        <f t="shared" si="39"/>
        <v>0</v>
      </c>
      <c r="AC145" s="789">
        <f t="shared" si="32"/>
        <v>0</v>
      </c>
      <c r="AD145" s="789">
        <f t="shared" si="24"/>
        <v>0</v>
      </c>
      <c r="AE145" s="828" t="e">
        <f>HLOOKUP($AE$39,anticipado,105,0)</f>
        <v>#N/A</v>
      </c>
      <c r="AF145" s="827"/>
      <c r="AG145" s="614">
        <v>8.0453839169494726E-3</v>
      </c>
      <c r="AH145" s="615">
        <v>7.8238362608577562E-3</v>
      </c>
      <c r="AI145" s="616">
        <v>7.642711789190129E-3</v>
      </c>
      <c r="AJ145" s="616">
        <v>8.0979423533778256E-3</v>
      </c>
      <c r="AK145" s="617">
        <v>8.0453839169494726E-3</v>
      </c>
      <c r="AL145" s="617">
        <v>7.8238362608577562E-3</v>
      </c>
      <c r="AM145" s="617">
        <v>8.2643009449206769E-3</v>
      </c>
      <c r="AN145" s="617">
        <v>8.1665077634434091E-3</v>
      </c>
      <c r="AO145" s="617">
        <v>8.1164152253675997E-3</v>
      </c>
      <c r="AP145" s="617">
        <v>8.4264844345686603E-3</v>
      </c>
      <c r="AQ145" s="617">
        <v>8.2643009449206769E-3</v>
      </c>
      <c r="AR145" s="618">
        <v>8.1170676195944352E-3</v>
      </c>
      <c r="AS145" s="618">
        <v>3.1408032851289358E-3</v>
      </c>
      <c r="AT145" s="618">
        <v>3.0484542270191864E-3</v>
      </c>
      <c r="AU145" s="618">
        <v>2.8736223346389738E-3</v>
      </c>
      <c r="AV145" s="618">
        <v>3.3053465573018598E-3</v>
      </c>
      <c r="AW145" s="618">
        <v>3.1408032851289358E-3</v>
      </c>
      <c r="AX145" s="618">
        <v>2.99514615768784E-3</v>
      </c>
      <c r="AY145" s="618">
        <v>3.4030915444253204E-3</v>
      </c>
      <c r="AZ145" s="618">
        <v>3.3285771990171952E-3</v>
      </c>
      <c r="BA145" s="618">
        <v>3.1533694000617316E-3</v>
      </c>
      <c r="BB145" s="618">
        <v>3.5324926079398728E-3</v>
      </c>
      <c r="BC145" s="617">
        <v>3.4535325080247512E-3</v>
      </c>
      <c r="BD145" s="617">
        <v>3.3377239162761018E-3</v>
      </c>
      <c r="BE145" s="617">
        <v>8.202533132052419E-3</v>
      </c>
      <c r="BF145" s="617">
        <v>7.809637544005146E-3</v>
      </c>
      <c r="BG145" s="617">
        <v>3.6367520415995684E-3</v>
      </c>
      <c r="BH145" s="617">
        <v>3.4249885693633645E-3</v>
      </c>
      <c r="BI145" s="617"/>
      <c r="BJ145" s="617"/>
      <c r="BK145" s="617"/>
      <c r="BL145" s="617"/>
      <c r="BM145" s="617"/>
      <c r="BN145" s="617"/>
      <c r="BO145" s="617"/>
      <c r="BP145" s="617"/>
      <c r="BQ145" s="617"/>
      <c r="BR145" s="617"/>
      <c r="BS145" s="617"/>
      <c r="BT145" s="617"/>
      <c r="BU145" s="617"/>
      <c r="BV145" s="617"/>
      <c r="BW145" s="617"/>
      <c r="BX145" s="617"/>
      <c r="BY145" s="617"/>
      <c r="BZ145" s="617"/>
      <c r="CA145" s="617"/>
      <c r="CB145" s="617"/>
      <c r="CC145" s="617"/>
      <c r="CD145" s="617"/>
      <c r="CE145" s="617"/>
      <c r="CF145" s="617"/>
      <c r="CG145" s="617"/>
      <c r="CH145" s="617"/>
      <c r="CI145" s="617"/>
      <c r="CJ145" s="617"/>
    </row>
    <row r="146" spans="1:88">
      <c r="A146" s="151">
        <f t="shared" ca="1" si="25"/>
        <v>8</v>
      </c>
      <c r="B146" s="784">
        <f t="shared" si="26"/>
        <v>0</v>
      </c>
      <c r="C146" s="944">
        <f t="shared" si="33"/>
        <v>0</v>
      </c>
      <c r="D146" s="947">
        <f t="shared" si="27"/>
        <v>0</v>
      </c>
      <c r="E146" s="947">
        <f t="shared" si="40"/>
        <v>0</v>
      </c>
      <c r="F146" s="947">
        <f t="shared" si="41"/>
        <v>0</v>
      </c>
      <c r="G146" s="947">
        <f>IF(M145&lt;0.01,0,IF($F$19=$U$4,$G$19,IF(AND($F$21=1,$F$19=$U$2),M145*Adm!$U$4,IF(AND($F$21=2,$F$19=$U$2),M145*Adm!$U$5,IF(AND($F$21=1,$F$19=$U$3),M145*Adm!$V$4,IF(AND($F$21=2,$F$19=$U$3),M145*Adm!$V$5,0))))))</f>
        <v>0</v>
      </c>
      <c r="H146" s="947">
        <f>IF(M145&lt;0.01,0,IF($F$20=$V$3,0,IF(OR($F$10=$T$16,$F$10=$T$17),0,IF($F$10=$T$13,0,$F$11*Adm!$AA$3))))</f>
        <v>0</v>
      </c>
      <c r="I146" s="947">
        <f t="shared" si="34"/>
        <v>0</v>
      </c>
      <c r="J146" s="947">
        <f t="shared" si="22"/>
        <v>0</v>
      </c>
      <c r="K146" s="947">
        <f t="shared" si="28"/>
        <v>0</v>
      </c>
      <c r="L146" s="947">
        <f t="shared" si="23"/>
        <v>0</v>
      </c>
      <c r="M146" s="947">
        <f t="shared" si="29"/>
        <v>0</v>
      </c>
      <c r="N146" s="946"/>
      <c r="P146" s="733"/>
      <c r="Q146" s="733"/>
      <c r="R146" s="733"/>
      <c r="S146" s="785">
        <f t="shared" si="30"/>
        <v>9</v>
      </c>
      <c r="T146" s="786">
        <f t="shared" si="35"/>
        <v>0</v>
      </c>
      <c r="W146" s="790">
        <f t="shared" si="36"/>
        <v>0</v>
      </c>
      <c r="X146" s="818">
        <f t="shared" ca="1" si="31"/>
        <v>0</v>
      </c>
      <c r="Z146" s="843">
        <f t="shared" si="37"/>
        <v>0</v>
      </c>
      <c r="AA146" s="792">
        <f t="shared" si="38"/>
        <v>0</v>
      </c>
      <c r="AB146" s="792">
        <f t="shared" si="39"/>
        <v>0</v>
      </c>
      <c r="AC146" s="789">
        <f t="shared" si="32"/>
        <v>0</v>
      </c>
      <c r="AD146" s="789">
        <f t="shared" si="24"/>
        <v>0</v>
      </c>
      <c r="AE146" s="828" t="e">
        <f>HLOOKUP($AE$39,anticipado,106,0)</f>
        <v>#N/A</v>
      </c>
      <c r="AF146" s="827"/>
      <c r="AG146" s="614">
        <v>8.1805913513222275E-3</v>
      </c>
      <c r="AH146" s="615">
        <v>7.9570925642603024E-3</v>
      </c>
      <c r="AI146" s="616">
        <v>7.7740316526345547E-3</v>
      </c>
      <c r="AJ146" s="616">
        <v>8.2320201480806966E-3</v>
      </c>
      <c r="AK146" s="617">
        <v>8.1805913513222275E-3</v>
      </c>
      <c r="AL146" s="617">
        <v>7.9570925642603024E-3</v>
      </c>
      <c r="AM146" s="617">
        <v>8.399139678717981E-3</v>
      </c>
      <c r="AN146" s="617">
        <v>8.301951621788331E-3</v>
      </c>
      <c r="AO146" s="617">
        <v>8.2530664368023043E-3</v>
      </c>
      <c r="AP146" s="617">
        <v>8.5628914498997264E-3</v>
      </c>
      <c r="AQ146" s="617">
        <v>8.399139678717981E-3</v>
      </c>
      <c r="AR146" s="618">
        <v>8.250939216773643E-3</v>
      </c>
      <c r="AS146" s="618">
        <v>3.1792916044571413E-3</v>
      </c>
      <c r="AT146" s="618">
        <v>3.0865442895246769E-3</v>
      </c>
      <c r="AU146" s="618">
        <v>2.9104587017340349E-3</v>
      </c>
      <c r="AV146" s="618">
        <v>3.3449112622838586E-3</v>
      </c>
      <c r="AW146" s="618">
        <v>3.1792916044571413E-3</v>
      </c>
      <c r="AX146" s="618">
        <v>3.0326583416140271E-3</v>
      </c>
      <c r="AY146" s="618">
        <v>3.4429973211226347E-3</v>
      </c>
      <c r="AZ146" s="618">
        <v>3.3683593307083852E-3</v>
      </c>
      <c r="BA146" s="618">
        <v>3.1921837523229105E-3</v>
      </c>
      <c r="BB146" s="618">
        <v>3.5730800532952386E-3</v>
      </c>
      <c r="BC146" s="617">
        <v>3.4936290416813097E-3</v>
      </c>
      <c r="BD146" s="617">
        <v>3.3773672891394568E-3</v>
      </c>
      <c r="BE146" s="617">
        <v>8.3374989708544615E-3</v>
      </c>
      <c r="BF146" s="617">
        <v>7.9428663132482848E-3</v>
      </c>
      <c r="BG146" s="617">
        <v>3.677857732534272E-3</v>
      </c>
      <c r="BH146" s="617">
        <v>3.4650840567755398E-3</v>
      </c>
      <c r="BI146" s="617"/>
      <c r="BJ146" s="617"/>
      <c r="BK146" s="617"/>
      <c r="BL146" s="617"/>
      <c r="BM146" s="617"/>
      <c r="BN146" s="617"/>
      <c r="BO146" s="617"/>
      <c r="BP146" s="617"/>
      <c r="BQ146" s="617"/>
      <c r="BR146" s="617"/>
      <c r="BS146" s="617"/>
      <c r="BT146" s="617"/>
      <c r="BU146" s="617"/>
      <c r="BV146" s="617"/>
      <c r="BW146" s="617"/>
      <c r="BX146" s="617"/>
      <c r="BY146" s="617"/>
      <c r="BZ146" s="617"/>
      <c r="CA146" s="617"/>
      <c r="CB146" s="617"/>
      <c r="CC146" s="617"/>
      <c r="CD146" s="617"/>
      <c r="CE146" s="617"/>
      <c r="CF146" s="617"/>
      <c r="CG146" s="617"/>
      <c r="CH146" s="617"/>
      <c r="CI146" s="617"/>
      <c r="CJ146" s="617"/>
    </row>
    <row r="147" spans="1:88">
      <c r="A147" s="151">
        <f t="shared" ca="1" si="25"/>
        <v>9</v>
      </c>
      <c r="B147" s="784">
        <f t="shared" si="26"/>
        <v>0</v>
      </c>
      <c r="C147" s="944">
        <f t="shared" si="33"/>
        <v>0</v>
      </c>
      <c r="D147" s="947">
        <f t="shared" si="27"/>
        <v>0</v>
      </c>
      <c r="E147" s="947">
        <f t="shared" si="40"/>
        <v>0</v>
      </c>
      <c r="F147" s="947">
        <f t="shared" si="41"/>
        <v>0</v>
      </c>
      <c r="G147" s="947">
        <f>IF(M146&lt;0.01,0,IF($F$19=$U$4,$G$19,IF(AND($F$21=1,$F$19=$U$2),M146*Adm!$U$4,IF(AND($F$21=2,$F$19=$U$2),M146*Adm!$U$5,IF(AND($F$21=1,$F$19=$U$3),M146*Adm!$V$4,IF(AND($F$21=2,$F$19=$U$3),M146*Adm!$V$5,0))))))</f>
        <v>0</v>
      </c>
      <c r="H147" s="947">
        <f>IF(M146&lt;0.01,0,IF($F$20=$V$3,0,IF(OR($F$10=$T$16,$F$10=$T$17),0,IF($F$10=$T$13,0,$F$11*Adm!$AA$3))))</f>
        <v>0</v>
      </c>
      <c r="I147" s="947">
        <f t="shared" si="34"/>
        <v>0</v>
      </c>
      <c r="J147" s="947">
        <f t="shared" si="22"/>
        <v>0</v>
      </c>
      <c r="K147" s="947">
        <f t="shared" si="28"/>
        <v>0</v>
      </c>
      <c r="L147" s="947">
        <f t="shared" si="23"/>
        <v>0</v>
      </c>
      <c r="M147" s="947">
        <f t="shared" si="29"/>
        <v>0</v>
      </c>
      <c r="N147" s="946"/>
      <c r="P147" s="733"/>
      <c r="Q147" s="733"/>
      <c r="R147" s="733"/>
      <c r="S147" s="785">
        <f t="shared" si="30"/>
        <v>10</v>
      </c>
      <c r="T147" s="786">
        <f t="shared" si="35"/>
        <v>0</v>
      </c>
      <c r="W147" s="790">
        <f t="shared" si="36"/>
        <v>0</v>
      </c>
      <c r="X147" s="818">
        <f t="shared" ca="1" si="31"/>
        <v>0</v>
      </c>
      <c r="Z147" s="843">
        <f t="shared" si="37"/>
        <v>0</v>
      </c>
      <c r="AA147" s="792">
        <f t="shared" si="38"/>
        <v>0</v>
      </c>
      <c r="AB147" s="792">
        <f t="shared" si="39"/>
        <v>0</v>
      </c>
      <c r="AC147" s="789">
        <f t="shared" si="32"/>
        <v>0</v>
      </c>
      <c r="AD147" s="789">
        <f t="shared" si="24"/>
        <v>0</v>
      </c>
      <c r="AE147" s="828" t="e">
        <f>HLOOKUP($AE$39,anticipado,107,0)</f>
        <v>#N/A</v>
      </c>
      <c r="AF147" s="827"/>
      <c r="AG147" s="614">
        <v>8.3192049679379713E-3</v>
      </c>
      <c r="AH147" s="615">
        <v>8.0937055434782881E-3</v>
      </c>
      <c r="AI147" s="616">
        <v>7.9086544638985231E-3</v>
      </c>
      <c r="AJ147" s="616">
        <v>8.3694491901753296E-3</v>
      </c>
      <c r="AK147" s="617">
        <v>8.3192049679379713E-3</v>
      </c>
      <c r="AL147" s="617">
        <v>8.0937055434782881E-3</v>
      </c>
      <c r="AM147" s="617">
        <v>8.5373391720316508E-3</v>
      </c>
      <c r="AN147" s="617">
        <v>8.4407945221612515E-3</v>
      </c>
      <c r="AO147" s="617">
        <v>8.3931746853453653E-3</v>
      </c>
      <c r="AP147" s="617">
        <v>8.7027038052098545E-3</v>
      </c>
      <c r="AQ147" s="617">
        <v>8.5373391720316508E-3</v>
      </c>
      <c r="AR147" s="618">
        <v>8.3881508301257152E-3</v>
      </c>
      <c r="AS147" s="618">
        <v>3.218375831027161E-3</v>
      </c>
      <c r="AT147" s="618">
        <v>3.1252296868921501E-3</v>
      </c>
      <c r="AU147" s="618">
        <v>2.9478761685501082E-3</v>
      </c>
      <c r="AV147" s="618">
        <v>3.3850839272731698E-3</v>
      </c>
      <c r="AW147" s="618">
        <v>3.218375831027161E-3</v>
      </c>
      <c r="AX147" s="618">
        <v>3.0707558771323582E-3</v>
      </c>
      <c r="AY147" s="618">
        <v>3.4835105330326007E-3</v>
      </c>
      <c r="AZ147" s="618">
        <v>3.4087529865586539E-3</v>
      </c>
      <c r="BA147" s="618">
        <v>3.2316016939530033E-3</v>
      </c>
      <c r="BB147" s="618">
        <v>3.6142810525864925E-3</v>
      </c>
      <c r="BC147" s="617">
        <v>3.5343333135769163E-3</v>
      </c>
      <c r="BD147" s="617">
        <v>3.4176174605150774E-3</v>
      </c>
      <c r="BE147" s="617">
        <v>8.4758389695200644E-3</v>
      </c>
      <c r="BF147" s="617">
        <v>8.0794527912088372E-3</v>
      </c>
      <c r="BG147" s="617">
        <v>3.7195814892870115E-3</v>
      </c>
      <c r="BH147" s="617">
        <v>3.5057899815148165E-3</v>
      </c>
      <c r="BI147" s="617"/>
      <c r="BJ147" s="617"/>
      <c r="BK147" s="617"/>
      <c r="BL147" s="617"/>
      <c r="BM147" s="617"/>
      <c r="BN147" s="617"/>
      <c r="BO147" s="617"/>
      <c r="BP147" s="617"/>
      <c r="BQ147" s="617"/>
      <c r="BR147" s="617"/>
      <c r="BS147" s="617"/>
      <c r="BT147" s="617"/>
      <c r="BU147" s="617"/>
      <c r="BV147" s="617"/>
      <c r="BW147" s="617"/>
      <c r="BX147" s="617"/>
      <c r="BY147" s="617"/>
      <c r="BZ147" s="617"/>
      <c r="CA147" s="617"/>
      <c r="CB147" s="617"/>
      <c r="CC147" s="617"/>
      <c r="CD147" s="617"/>
      <c r="CE147" s="617"/>
      <c r="CF147" s="617"/>
      <c r="CG147" s="617"/>
      <c r="CH147" s="617"/>
      <c r="CI147" s="617"/>
      <c r="CJ147" s="617"/>
    </row>
    <row r="148" spans="1:88">
      <c r="A148" s="151">
        <f t="shared" ca="1" si="25"/>
        <v>10</v>
      </c>
      <c r="B148" s="784">
        <f t="shared" si="26"/>
        <v>0</v>
      </c>
      <c r="C148" s="944">
        <f t="shared" si="33"/>
        <v>0</v>
      </c>
      <c r="D148" s="947">
        <f t="shared" si="27"/>
        <v>0</v>
      </c>
      <c r="E148" s="947">
        <f t="shared" si="40"/>
        <v>0</v>
      </c>
      <c r="F148" s="947">
        <f t="shared" si="41"/>
        <v>0</v>
      </c>
      <c r="G148" s="947">
        <f>IF(M147&lt;0.01,0,IF($F$19=$U$4,$G$19,IF(AND($F$21=1,$F$19=$U$2),M147*Adm!$U$4,IF(AND($F$21=2,$F$19=$U$2),M147*Adm!$U$5,IF(AND($F$21=1,$F$19=$U$3),M147*Adm!$V$4,IF(AND($F$21=2,$F$19=$U$3),M147*Adm!$V$5,0))))))</f>
        <v>0</v>
      </c>
      <c r="H148" s="947">
        <f>IF(M147&lt;0.01,0,IF($F$20=$V$3,0,IF(OR($F$10=$T$16,$F$10=$T$17),0,IF($F$10=$T$13,0,$F$11*Adm!$AA$3))))</f>
        <v>0</v>
      </c>
      <c r="I148" s="947">
        <f t="shared" si="34"/>
        <v>0</v>
      </c>
      <c r="J148" s="947">
        <f t="shared" si="22"/>
        <v>0</v>
      </c>
      <c r="K148" s="947">
        <f t="shared" si="28"/>
        <v>0</v>
      </c>
      <c r="L148" s="947">
        <f t="shared" si="23"/>
        <v>0</v>
      </c>
      <c r="M148" s="947">
        <f t="shared" si="29"/>
        <v>0</v>
      </c>
      <c r="N148" s="946"/>
      <c r="P148" s="733"/>
      <c r="Q148" s="733"/>
      <c r="R148" s="733"/>
      <c r="S148" s="785">
        <f t="shared" si="30"/>
        <v>11</v>
      </c>
      <c r="T148" s="786">
        <f t="shared" si="35"/>
        <v>0</v>
      </c>
      <c r="W148" s="790">
        <f t="shared" si="36"/>
        <v>0</v>
      </c>
      <c r="X148" s="818">
        <f t="shared" ca="1" si="31"/>
        <v>0</v>
      </c>
      <c r="Z148" s="843">
        <f t="shared" si="37"/>
        <v>0</v>
      </c>
      <c r="AA148" s="792">
        <f t="shared" si="38"/>
        <v>0</v>
      </c>
      <c r="AB148" s="792">
        <f t="shared" si="39"/>
        <v>0</v>
      </c>
      <c r="AC148" s="789">
        <f t="shared" si="32"/>
        <v>0</v>
      </c>
      <c r="AD148" s="789">
        <f t="shared" si="24"/>
        <v>0</v>
      </c>
      <c r="AE148" s="828" t="e">
        <f>HLOOKUP($AE$39,anticipado,108,0)</f>
        <v>#N/A</v>
      </c>
      <c r="AF148" s="827"/>
      <c r="AG148" s="614">
        <v>8.4613498141961584E-3</v>
      </c>
      <c r="AH148" s="615">
        <v>8.233797856641533E-3</v>
      </c>
      <c r="AI148" s="616">
        <v>8.046700293508945E-3</v>
      </c>
      <c r="AJ148" s="616">
        <v>8.5103518117626044E-3</v>
      </c>
      <c r="AK148" s="617">
        <v>8.4613498141961584E-3</v>
      </c>
      <c r="AL148" s="617">
        <v>8.233797856641533E-3</v>
      </c>
      <c r="AM148" s="617">
        <v>8.6790221966513061E-3</v>
      </c>
      <c r="AN148" s="617">
        <v>8.5831611362884967E-3</v>
      </c>
      <c r="AO148" s="617">
        <v>8.5368675217704516E-3</v>
      </c>
      <c r="AP148" s="617">
        <v>8.8460464437718558E-3</v>
      </c>
      <c r="AQ148" s="617">
        <v>8.6790221966513061E-3</v>
      </c>
      <c r="AR148" s="618">
        <v>8.5288242373236355E-3</v>
      </c>
      <c r="AS148" s="618">
        <v>3.2580682799016052E-3</v>
      </c>
      <c r="AT148" s="618">
        <v>3.1645227499727206E-3</v>
      </c>
      <c r="AU148" s="618">
        <v>2.9858867325944964E-3</v>
      </c>
      <c r="AV148" s="618">
        <v>3.4258771578497505E-3</v>
      </c>
      <c r="AW148" s="618">
        <v>3.2580682799016052E-3</v>
      </c>
      <c r="AX148" s="618">
        <v>3.1094508327521335E-3</v>
      </c>
      <c r="AY148" s="618">
        <v>3.524643745560736E-3</v>
      </c>
      <c r="AZ148" s="618">
        <v>3.4497708664371928E-3</v>
      </c>
      <c r="BA148" s="618">
        <v>3.2716357530377222E-3</v>
      </c>
      <c r="BB148" s="618">
        <v>3.6561083139246913E-3</v>
      </c>
      <c r="BC148" s="617">
        <v>3.5756578857556957E-3</v>
      </c>
      <c r="BD148" s="617">
        <v>3.458486994468715E-3</v>
      </c>
      <c r="BE148" s="617">
        <v>8.6176765680381021E-3</v>
      </c>
      <c r="BF148" s="617">
        <v>8.219519690460848E-3</v>
      </c>
      <c r="BG148" s="617">
        <v>3.7619361261214262E-3</v>
      </c>
      <c r="BH148" s="617">
        <v>3.5471189881577242E-3</v>
      </c>
      <c r="BI148" s="617"/>
      <c r="BJ148" s="617"/>
      <c r="BK148" s="617"/>
      <c r="BL148" s="617"/>
      <c r="BM148" s="617"/>
      <c r="BN148" s="617"/>
      <c r="BO148" s="617"/>
      <c r="BP148" s="617"/>
      <c r="BQ148" s="617"/>
      <c r="BR148" s="617"/>
      <c r="BS148" s="617"/>
      <c r="BT148" s="617"/>
      <c r="BU148" s="617"/>
      <c r="BV148" s="617"/>
      <c r="BW148" s="617"/>
      <c r="BX148" s="617"/>
      <c r="BY148" s="617"/>
      <c r="BZ148" s="617"/>
      <c r="CA148" s="617"/>
      <c r="CB148" s="617"/>
      <c r="CC148" s="617"/>
      <c r="CD148" s="617"/>
      <c r="CE148" s="617"/>
      <c r="CF148" s="617"/>
      <c r="CG148" s="617"/>
      <c r="CH148" s="617"/>
      <c r="CI148" s="617"/>
      <c r="CJ148" s="617"/>
    </row>
    <row r="149" spans="1:88">
      <c r="A149" s="151">
        <f t="shared" ca="1" si="25"/>
        <v>11</v>
      </c>
      <c r="B149" s="784">
        <f t="shared" si="26"/>
        <v>0</v>
      </c>
      <c r="C149" s="944">
        <f t="shared" si="33"/>
        <v>0</v>
      </c>
      <c r="D149" s="947">
        <f t="shared" si="27"/>
        <v>0</v>
      </c>
      <c r="E149" s="947">
        <f t="shared" si="40"/>
        <v>0</v>
      </c>
      <c r="F149" s="947">
        <f t="shared" si="41"/>
        <v>0</v>
      </c>
      <c r="G149" s="947">
        <f>IF(M148&lt;0.01,0,IF($F$19=$U$4,$G$19,IF(AND($F$21=1,$F$19=$U$2),M148*Adm!$U$4,IF(AND($F$21=2,$F$19=$U$2),M148*Adm!$U$5,IF(AND($F$21=1,$F$19=$U$3),M148*Adm!$V$4,IF(AND($F$21=2,$F$19=$U$3),M148*Adm!$V$5,0))))))</f>
        <v>0</v>
      </c>
      <c r="H149" s="947">
        <f>IF(M148&lt;0.01,0,IF($F$20=$V$3,0,IF(OR($F$10=$T$16,$F$10=$T$17),0,IF($F$10=$T$13,0,$F$11*Adm!$AA$3))))</f>
        <v>0</v>
      </c>
      <c r="I149" s="947">
        <f t="shared" si="34"/>
        <v>0</v>
      </c>
      <c r="J149" s="947">
        <f t="shared" si="22"/>
        <v>0</v>
      </c>
      <c r="K149" s="947">
        <f t="shared" si="28"/>
        <v>0</v>
      </c>
      <c r="L149" s="947">
        <f t="shared" si="23"/>
        <v>0</v>
      </c>
      <c r="M149" s="947">
        <f t="shared" si="29"/>
        <v>0</v>
      </c>
      <c r="N149" s="946"/>
      <c r="P149" s="733"/>
      <c r="Q149" s="733"/>
      <c r="R149" s="733"/>
      <c r="S149" s="785">
        <f t="shared" si="30"/>
        <v>12</v>
      </c>
      <c r="T149" s="786">
        <f t="shared" si="35"/>
        <v>0</v>
      </c>
      <c r="W149" s="790">
        <f t="shared" si="36"/>
        <v>0</v>
      </c>
      <c r="X149" s="818">
        <f t="shared" ca="1" si="31"/>
        <v>0</v>
      </c>
      <c r="Z149" s="843">
        <f t="shared" si="37"/>
        <v>0</v>
      </c>
      <c r="AA149" s="792">
        <f t="shared" si="38"/>
        <v>0</v>
      </c>
      <c r="AB149" s="792">
        <f t="shared" si="39"/>
        <v>0</v>
      </c>
      <c r="AC149" s="789">
        <f t="shared" si="32"/>
        <v>0</v>
      </c>
      <c r="AD149" s="789">
        <f t="shared" si="24"/>
        <v>0</v>
      </c>
      <c r="AE149" s="828" t="e">
        <f>HLOOKUP($AE$39,anticipado,109,0)</f>
        <v>#N/A</v>
      </c>
      <c r="AF149" s="827"/>
      <c r="AG149" s="614">
        <v>8.6071571236727446E-3</v>
      </c>
      <c r="AH149" s="615">
        <v>8.3774981989047145E-3</v>
      </c>
      <c r="AI149" s="616">
        <v>8.1882950885964548E-3</v>
      </c>
      <c r="AJ149" s="616">
        <v>8.6548563631260022E-3</v>
      </c>
      <c r="AK149" s="617">
        <v>8.6071571236727446E-3</v>
      </c>
      <c r="AL149" s="617">
        <v>8.3774981989047145E-3</v>
      </c>
      <c r="AM149" s="617">
        <v>8.8243175704389339E-3</v>
      </c>
      <c r="AN149" s="617">
        <v>8.729182299296992E-3</v>
      </c>
      <c r="AO149" s="617">
        <v>8.6842788393055818E-3</v>
      </c>
      <c r="AP149" s="617">
        <v>8.9930504902132283E-3</v>
      </c>
      <c r="AQ149" s="617">
        <v>8.8243175704389339E-3</v>
      </c>
      <c r="AR149" s="618">
        <v>8.6730872000706279E-3</v>
      </c>
      <c r="AS149" s="618">
        <v>3.2983816020142453E-3</v>
      </c>
      <c r="AT149" s="618">
        <v>3.2044361459300113E-3</v>
      </c>
      <c r="AU149" s="618">
        <v>3.0245027161695261E-3</v>
      </c>
      <c r="AV149" s="618">
        <v>3.4673039055856747E-3</v>
      </c>
      <c r="AW149" s="618">
        <v>3.2983816020142453E-3</v>
      </c>
      <c r="AX149" s="618">
        <v>3.1487556043089588E-3</v>
      </c>
      <c r="AY149" s="618">
        <v>3.5664098688247235E-3</v>
      </c>
      <c r="AZ149" s="618">
        <v>3.4914260194717412E-3</v>
      </c>
      <c r="BA149" s="618">
        <v>3.3122988008344708E-3</v>
      </c>
      <c r="BB149" s="618">
        <v>3.6985748951671549E-3</v>
      </c>
      <c r="BC149" s="617">
        <v>3.6176156649082754E-3</v>
      </c>
      <c r="BD149" s="617">
        <v>3.4999887996661305E-3</v>
      </c>
      <c r="BE149" s="617">
        <v>8.7631412935700159E-3</v>
      </c>
      <c r="BF149" s="617">
        <v>8.3631957638954004E-3</v>
      </c>
      <c r="BG149" s="617">
        <v>3.8049348108054092E-3</v>
      </c>
      <c r="BH149" s="617">
        <v>3.5890840687354303E-3</v>
      </c>
      <c r="BI149" s="617"/>
      <c r="BJ149" s="617"/>
      <c r="BK149" s="617"/>
      <c r="BL149" s="617"/>
      <c r="BM149" s="617"/>
      <c r="BN149" s="617"/>
      <c r="BO149" s="617"/>
      <c r="BP149" s="617"/>
      <c r="BQ149" s="617"/>
      <c r="BR149" s="617"/>
      <c r="BS149" s="617"/>
      <c r="BT149" s="617"/>
      <c r="BU149" s="617"/>
      <c r="BV149" s="617"/>
      <c r="BW149" s="617"/>
      <c r="BX149" s="617"/>
      <c r="BY149" s="617"/>
      <c r="BZ149" s="617"/>
      <c r="CA149" s="617"/>
      <c r="CB149" s="617"/>
      <c r="CC149" s="617"/>
      <c r="CD149" s="617"/>
      <c r="CE149" s="617"/>
      <c r="CF149" s="617"/>
      <c r="CG149" s="617"/>
      <c r="CH149" s="617"/>
      <c r="CI149" s="617"/>
      <c r="CJ149" s="617"/>
    </row>
    <row r="150" spans="1:88">
      <c r="A150" s="151">
        <f t="shared" ca="1" si="25"/>
        <v>12</v>
      </c>
      <c r="B150" s="784">
        <f t="shared" si="26"/>
        <v>0</v>
      </c>
      <c r="C150" s="944">
        <f t="shared" si="33"/>
        <v>0</v>
      </c>
      <c r="D150" s="947">
        <f t="shared" si="27"/>
        <v>0</v>
      </c>
      <c r="E150" s="947">
        <f t="shared" si="40"/>
        <v>0</v>
      </c>
      <c r="F150" s="947">
        <f t="shared" si="41"/>
        <v>0</v>
      </c>
      <c r="G150" s="947">
        <f>IF(M149&lt;0.01,0,IF($F$19=$U$4,$G$19,IF(AND($F$21=1,$F$19=$U$2),M149*Adm!$U$4,IF(AND($F$21=2,$F$19=$U$2),M149*Adm!$U$5,IF(AND($F$21=1,$F$19=$U$3),M149*Adm!$V$4,IF(AND($F$21=2,$F$19=$U$3),M149*Adm!$V$5,0))))))</f>
        <v>0</v>
      </c>
      <c r="H150" s="947">
        <f>IF(M149&lt;0.01,0,IF($F$20=$V$3,0,IF(OR($F$10=$T$16,$F$10=$T$17),0,IF($F$10=$T$13,0,$F$11*Adm!$AA$3))))</f>
        <v>0</v>
      </c>
      <c r="I150" s="947">
        <f t="shared" si="34"/>
        <v>0</v>
      </c>
      <c r="J150" s="947">
        <f t="shared" si="22"/>
        <v>0</v>
      </c>
      <c r="K150" s="947">
        <f t="shared" si="28"/>
        <v>0</v>
      </c>
      <c r="L150" s="947">
        <f t="shared" si="23"/>
        <v>0</v>
      </c>
      <c r="M150" s="947">
        <f t="shared" si="29"/>
        <v>0</v>
      </c>
      <c r="N150" s="946"/>
      <c r="P150" s="733"/>
      <c r="Q150" s="733"/>
      <c r="R150" s="733"/>
      <c r="S150" s="785">
        <f t="shared" si="30"/>
        <v>1</v>
      </c>
      <c r="T150" s="786">
        <f t="shared" si="35"/>
        <v>0</v>
      </c>
      <c r="W150" s="790">
        <f t="shared" si="36"/>
        <v>0</v>
      </c>
      <c r="X150" s="818">
        <f t="shared" ca="1" si="31"/>
        <v>0</v>
      </c>
      <c r="Z150" s="843">
        <f t="shared" si="37"/>
        <v>0</v>
      </c>
      <c r="AA150" s="792">
        <f t="shared" si="38"/>
        <v>0</v>
      </c>
      <c r="AB150" s="792">
        <f t="shared" si="39"/>
        <v>0</v>
      </c>
      <c r="AC150" s="789">
        <f t="shared" si="32"/>
        <v>0</v>
      </c>
      <c r="AD150" s="789">
        <f t="shared" si="24"/>
        <v>0</v>
      </c>
      <c r="AE150" s="828" t="e">
        <f>HLOOKUP($AE$39,anticipado,110,0)</f>
        <v>#N/A</v>
      </c>
      <c r="AF150" s="827"/>
      <c r="AG150" s="614">
        <v>9.1913088211520912E-3</v>
      </c>
      <c r="AH150" s="615">
        <v>8.9649402205836202E-3</v>
      </c>
      <c r="AI150" s="616">
        <v>8.7771186462732177E-3</v>
      </c>
      <c r="AJ150" s="616">
        <v>9.231300027207576E-3</v>
      </c>
      <c r="AK150" s="617">
        <v>9.1913088211520912E-3</v>
      </c>
      <c r="AL150" s="617">
        <v>8.9649402205836202E-3</v>
      </c>
      <c r="AM150" s="617">
        <v>9.3956112142555177E-3</v>
      </c>
      <c r="AN150" s="617">
        <v>9.308053613670618E-3</v>
      </c>
      <c r="AO150" s="617">
        <v>9.2710213380839991E-3</v>
      </c>
      <c r="AP150" s="617">
        <v>9.5630749785805026E-3</v>
      </c>
      <c r="AQ150" s="617">
        <v>9.3956112142555177E-3</v>
      </c>
      <c r="AR150" s="618">
        <v>9.2476423489000498E-3</v>
      </c>
      <c r="AS150" s="618">
        <v>3.463472083672542E-3</v>
      </c>
      <c r="AT150" s="618">
        <v>3.3715160520326535E-3</v>
      </c>
      <c r="AU150" s="618">
        <v>3.1934574785618167E-3</v>
      </c>
      <c r="AV150" s="618">
        <v>3.6307212548141177E-3</v>
      </c>
      <c r="AW150" s="618">
        <v>3.463472083672542E-3</v>
      </c>
      <c r="AX150" s="618">
        <v>3.3154864220821547E-3</v>
      </c>
      <c r="AY150" s="618">
        <v>3.7277437246009365E-3</v>
      </c>
      <c r="AZ150" s="618">
        <v>3.6549025080488255E-3</v>
      </c>
      <c r="BA150" s="618">
        <v>3.478306770923353E-3</v>
      </c>
      <c r="BB150" s="618">
        <v>3.8582778248738938E-3</v>
      </c>
      <c r="BC150" s="617">
        <v>3.7779887800969223E-3</v>
      </c>
      <c r="BD150" s="617">
        <v>3.6625575026975267E-3</v>
      </c>
      <c r="BE150" s="617">
        <v>9.3380950356186515E-3</v>
      </c>
      <c r="BF150" s="617">
        <v>8.9512982523322314E-3</v>
      </c>
      <c r="BG150" s="617">
        <v>3.9633269876678352E-3</v>
      </c>
      <c r="BH150" s="617">
        <v>3.750432227180057E-3</v>
      </c>
      <c r="BI150" s="617"/>
      <c r="BJ150" s="617"/>
      <c r="BK150" s="617"/>
      <c r="BL150" s="617"/>
      <c r="BM150" s="617"/>
      <c r="BN150" s="617"/>
      <c r="BO150" s="617"/>
      <c r="BP150" s="617"/>
      <c r="BQ150" s="617"/>
      <c r="BR150" s="617"/>
      <c r="BS150" s="617"/>
      <c r="BT150" s="617"/>
      <c r="BU150" s="617"/>
      <c r="BV150" s="617"/>
      <c r="BW150" s="617"/>
      <c r="BX150" s="617"/>
      <c r="BY150" s="617"/>
      <c r="BZ150" s="617"/>
      <c r="CA150" s="617"/>
      <c r="CB150" s="617"/>
      <c r="CC150" s="617"/>
      <c r="CD150" s="617"/>
      <c r="CE150" s="617"/>
      <c r="CF150" s="617"/>
      <c r="CG150" s="617"/>
      <c r="CH150" s="617"/>
      <c r="CI150" s="617"/>
      <c r="CJ150" s="617"/>
    </row>
    <row r="151" spans="1:88">
      <c r="A151" s="151">
        <f t="shared" ca="1" si="25"/>
        <v>1</v>
      </c>
      <c r="B151" s="784">
        <f t="shared" si="26"/>
        <v>0</v>
      </c>
      <c r="C151" s="944">
        <f t="shared" si="33"/>
        <v>0</v>
      </c>
      <c r="D151" s="947">
        <f t="shared" si="27"/>
        <v>0</v>
      </c>
      <c r="E151" s="947">
        <f t="shared" si="40"/>
        <v>0</v>
      </c>
      <c r="F151" s="947">
        <f t="shared" si="41"/>
        <v>0</v>
      </c>
      <c r="G151" s="947">
        <f>IF(M150&lt;0.01,0,IF($F$19=$U$4,$G$19,IF(AND($F$21=1,$F$19=$U$2),M150*Adm!$U$4,IF(AND($F$21=2,$F$19=$U$2),M150*Adm!$U$5,IF(AND($F$21=1,$F$19=$U$3),M150*Adm!$V$4,IF(AND($F$21=2,$F$19=$U$3),M150*Adm!$V$5,0))))))</f>
        <v>0</v>
      </c>
      <c r="H151" s="947">
        <f>IF(M150&lt;0.01,0,IF($F$20=$V$3,0,IF(OR($F$10=$T$16,$F$10=$T$17),0,IF($F$10=$T$13,0,$F$11*Adm!$AA$3))))</f>
        <v>0</v>
      </c>
      <c r="I151" s="947">
        <f t="shared" si="34"/>
        <v>0</v>
      </c>
      <c r="J151" s="947">
        <f t="shared" si="22"/>
        <v>0</v>
      </c>
      <c r="K151" s="947">
        <f t="shared" si="28"/>
        <v>0</v>
      </c>
      <c r="L151" s="947">
        <f t="shared" si="23"/>
        <v>0</v>
      </c>
      <c r="M151" s="947">
        <f t="shared" si="29"/>
        <v>0</v>
      </c>
      <c r="N151" s="946"/>
      <c r="P151" s="733"/>
      <c r="Q151" s="733"/>
      <c r="R151" s="733"/>
      <c r="S151" s="785">
        <f t="shared" si="30"/>
        <v>2</v>
      </c>
      <c r="T151" s="786">
        <f t="shared" si="35"/>
        <v>0</v>
      </c>
      <c r="W151" s="790">
        <f t="shared" si="36"/>
        <v>0</v>
      </c>
      <c r="X151" s="818">
        <f t="shared" ca="1" si="31"/>
        <v>0</v>
      </c>
      <c r="Z151" s="843">
        <f t="shared" si="37"/>
        <v>0</v>
      </c>
      <c r="AA151" s="792">
        <f t="shared" si="38"/>
        <v>0</v>
      </c>
      <c r="AB151" s="792">
        <f t="shared" si="39"/>
        <v>0</v>
      </c>
      <c r="AC151" s="789">
        <f t="shared" si="32"/>
        <v>0</v>
      </c>
      <c r="AD151" s="789">
        <f t="shared" si="24"/>
        <v>0</v>
      </c>
      <c r="AE151" s="828" t="e">
        <f>HLOOKUP($AE$39,anticipado,111,0)</f>
        <v>#N/A</v>
      </c>
      <c r="AF151" s="827"/>
      <c r="AG151" s="614">
        <v>9.3565831045593073E-3</v>
      </c>
      <c r="AH151" s="615">
        <v>9.128130194605762E-3</v>
      </c>
      <c r="AI151" s="616">
        <v>8.9381478887006326E-3</v>
      </c>
      <c r="AJ151" s="616">
        <v>9.3948775331615681E-3</v>
      </c>
      <c r="AK151" s="617">
        <v>9.3565831045593073E-3</v>
      </c>
      <c r="AL151" s="617">
        <v>9.128130194605762E-3</v>
      </c>
      <c r="AM151" s="617">
        <v>9.5598134266055793E-3</v>
      </c>
      <c r="AN151" s="617">
        <v>9.4733336216880504E-3</v>
      </c>
      <c r="AO151" s="617">
        <v>9.4380984163784012E-3</v>
      </c>
      <c r="AP151" s="617">
        <v>9.7290328963490404E-3</v>
      </c>
      <c r="AQ151" s="617">
        <v>9.5598134266055793E-3</v>
      </c>
      <c r="AR151" s="618">
        <v>9.4108868503704271E-3</v>
      </c>
      <c r="AS151" s="618">
        <v>3.5070496614302872E-3</v>
      </c>
      <c r="AT151" s="618">
        <v>3.4147492809030937E-3</v>
      </c>
      <c r="AU151" s="618">
        <v>3.2354315327699323E-3</v>
      </c>
      <c r="AV151" s="618">
        <v>3.6753805077659662E-3</v>
      </c>
      <c r="AW151" s="618">
        <v>3.5070496614302872E-3</v>
      </c>
      <c r="AX151" s="618">
        <v>3.3580896145596248E-3</v>
      </c>
      <c r="AY151" s="618">
        <v>3.7726854730501052E-3</v>
      </c>
      <c r="AZ151" s="618">
        <v>3.6997961487997624E-3</v>
      </c>
      <c r="BA151" s="618">
        <v>3.5222688659637645E-3</v>
      </c>
      <c r="BB151" s="618">
        <v>3.9038847964618624E-3</v>
      </c>
      <c r="BC151" s="617">
        <v>3.823097073544448E-3</v>
      </c>
      <c r="BD151" s="617">
        <v>3.7072673212122662E-3</v>
      </c>
      <c r="BE151" s="617">
        <v>9.5026256618426196E-3</v>
      </c>
      <c r="BF151" s="617">
        <v>9.1144907801236786E-3</v>
      </c>
      <c r="BG151" s="617">
        <v>4.0094380700572453E-3</v>
      </c>
      <c r="BH151" s="617">
        <v>3.7955770941068851E-3</v>
      </c>
      <c r="BI151" s="617"/>
      <c r="BJ151" s="617"/>
      <c r="BK151" s="617"/>
      <c r="BL151" s="617"/>
      <c r="BM151" s="617"/>
      <c r="BN151" s="617"/>
      <c r="BO151" s="617"/>
      <c r="BP151" s="617"/>
      <c r="BQ151" s="617"/>
      <c r="BR151" s="617"/>
      <c r="BS151" s="617"/>
      <c r="BT151" s="617"/>
      <c r="BU151" s="617"/>
      <c r="BV151" s="617"/>
      <c r="BW151" s="617"/>
      <c r="BX151" s="617"/>
      <c r="BY151" s="617"/>
      <c r="BZ151" s="617"/>
      <c r="CA151" s="617"/>
      <c r="CB151" s="617"/>
      <c r="CC151" s="617"/>
      <c r="CD151" s="617"/>
      <c r="CE151" s="617"/>
      <c r="CF151" s="617"/>
      <c r="CG151" s="617"/>
      <c r="CH151" s="617"/>
      <c r="CI151" s="617"/>
      <c r="CJ151" s="617"/>
    </row>
    <row r="152" spans="1:88">
      <c r="A152" s="151">
        <f t="shared" ca="1" si="25"/>
        <v>2</v>
      </c>
      <c r="B152" s="784">
        <f t="shared" si="26"/>
        <v>0</v>
      </c>
      <c r="C152" s="944">
        <f t="shared" si="33"/>
        <v>0</v>
      </c>
      <c r="D152" s="947">
        <f t="shared" si="27"/>
        <v>0</v>
      </c>
      <c r="E152" s="947">
        <f t="shared" si="40"/>
        <v>0</v>
      </c>
      <c r="F152" s="947">
        <f t="shared" si="41"/>
        <v>0</v>
      </c>
      <c r="G152" s="947">
        <f>IF(M151&lt;0.01,0,IF($F$19=$U$4,$G$19,IF(AND($F$21=1,$F$19=$U$2),M151*Adm!$U$4,IF(AND($F$21=2,$F$19=$U$2),M151*Adm!$U$5,IF(AND($F$21=1,$F$19=$U$3),M151*Adm!$V$4,IF(AND($F$21=2,$F$19=$U$3),M151*Adm!$V$5,0))))))</f>
        <v>0</v>
      </c>
      <c r="H152" s="947">
        <f>IF(M151&lt;0.01,0,IF($F$20=$V$3,0,IF(OR($F$10=$T$16,$F$10=$T$17),0,IF($F$10=$T$13,0,$F$11*Adm!$AA$3))))</f>
        <v>0</v>
      </c>
      <c r="I152" s="947">
        <f t="shared" si="34"/>
        <v>0</v>
      </c>
      <c r="J152" s="947">
        <f t="shared" si="22"/>
        <v>0</v>
      </c>
      <c r="K152" s="947">
        <f t="shared" si="28"/>
        <v>0</v>
      </c>
      <c r="L152" s="947">
        <f t="shared" si="23"/>
        <v>0</v>
      </c>
      <c r="M152" s="947">
        <f t="shared" si="29"/>
        <v>0</v>
      </c>
      <c r="N152" s="946"/>
      <c r="P152" s="733"/>
      <c r="Q152" s="733"/>
      <c r="R152" s="733"/>
      <c r="S152" s="785">
        <f t="shared" si="30"/>
        <v>3</v>
      </c>
      <c r="T152" s="786">
        <f t="shared" si="35"/>
        <v>0</v>
      </c>
      <c r="W152" s="790">
        <f t="shared" si="36"/>
        <v>0</v>
      </c>
      <c r="X152" s="818">
        <f t="shared" ca="1" si="31"/>
        <v>0</v>
      </c>
      <c r="Z152" s="843">
        <f t="shared" si="37"/>
        <v>0</v>
      </c>
      <c r="AA152" s="792">
        <f t="shared" si="38"/>
        <v>0</v>
      </c>
      <c r="AB152" s="792">
        <f t="shared" si="39"/>
        <v>0</v>
      </c>
      <c r="AC152" s="789">
        <f t="shared" si="32"/>
        <v>0</v>
      </c>
      <c r="AD152" s="789">
        <f t="shared" si="24"/>
        <v>0</v>
      </c>
      <c r="AE152" s="828" t="e">
        <f>HLOOKUP($AE$39,anticipado,112,0)</f>
        <v>#N/A</v>
      </c>
      <c r="AF152" s="827"/>
      <c r="AG152" s="614">
        <v>9.5264183588999757E-3</v>
      </c>
      <c r="AH152" s="615">
        <v>9.2958214445333174E-3</v>
      </c>
      <c r="AI152" s="616">
        <v>9.103610379311556E-3</v>
      </c>
      <c r="AJ152" s="616">
        <v>9.5629324680200824E-3</v>
      </c>
      <c r="AK152" s="617">
        <v>9.5264183588999757E-3</v>
      </c>
      <c r="AL152" s="617">
        <v>9.2958214445333174E-3</v>
      </c>
      <c r="AM152" s="617">
        <v>9.728497907819416E-3</v>
      </c>
      <c r="AN152" s="617">
        <v>9.6431572476275429E-3</v>
      </c>
      <c r="AO152" s="617">
        <v>9.6098070659700156E-3</v>
      </c>
      <c r="AP152" s="617">
        <v>9.899529621529948E-3</v>
      </c>
      <c r="AQ152" s="617">
        <v>9.728497907819416E-3</v>
      </c>
      <c r="AR152" s="618">
        <v>9.5785912815656536E-3</v>
      </c>
      <c r="AS152" s="618">
        <v>3.5513308306951838E-3</v>
      </c>
      <c r="AT152" s="618">
        <v>3.4586869290915744E-3</v>
      </c>
      <c r="AU152" s="618">
        <v>3.2780953198390276E-3</v>
      </c>
      <c r="AV152" s="618">
        <v>3.7207558582008347E-3</v>
      </c>
      <c r="AW152" s="618">
        <v>3.5513308306951838E-3</v>
      </c>
      <c r="AX152" s="618">
        <v>3.4013856396093054E-3</v>
      </c>
      <c r="AY152" s="618">
        <v>3.8183412850825806E-3</v>
      </c>
      <c r="AZ152" s="618">
        <v>3.745409985851622E-3</v>
      </c>
      <c r="BA152" s="618">
        <v>3.5669439527565685E-3</v>
      </c>
      <c r="BB152" s="618">
        <v>3.9502117225871346E-3</v>
      </c>
      <c r="BC152" s="617">
        <v>3.8689191315342672E-3</v>
      </c>
      <c r="BD152" s="617">
        <v>3.7526913233522315E-3</v>
      </c>
      <c r="BE152" s="617">
        <v>9.6716614854219334E-3</v>
      </c>
      <c r="BF152" s="617">
        <v>9.282186961885968E-3</v>
      </c>
      <c r="BG152" s="617">
        <v>4.0562734123836038E-3</v>
      </c>
      <c r="BH152" s="617">
        <v>3.8414394549276727E-3</v>
      </c>
      <c r="BI152" s="617"/>
      <c r="BJ152" s="617"/>
      <c r="BK152" s="617"/>
      <c r="BL152" s="617"/>
      <c r="BM152" s="617"/>
      <c r="BN152" s="617"/>
      <c r="BO152" s="617"/>
      <c r="BP152" s="617"/>
      <c r="BQ152" s="617"/>
      <c r="BR152" s="617"/>
      <c r="BS152" s="617"/>
      <c r="BT152" s="617"/>
      <c r="BU152" s="617"/>
      <c r="BV152" s="617"/>
      <c r="BW152" s="617"/>
      <c r="BX152" s="617"/>
      <c r="BY152" s="617"/>
      <c r="BZ152" s="617"/>
      <c r="CA152" s="617"/>
      <c r="CB152" s="617"/>
      <c r="CC152" s="617"/>
      <c r="CD152" s="617"/>
      <c r="CE152" s="617"/>
      <c r="CF152" s="617"/>
      <c r="CG152" s="617"/>
      <c r="CH152" s="617"/>
      <c r="CI152" s="617"/>
      <c r="CJ152" s="617"/>
    </row>
    <row r="153" spans="1:88">
      <c r="A153" s="151">
        <f t="shared" ca="1" si="25"/>
        <v>3</v>
      </c>
      <c r="B153" s="784">
        <f t="shared" si="26"/>
        <v>0</v>
      </c>
      <c r="C153" s="944">
        <f t="shared" si="33"/>
        <v>0</v>
      </c>
      <c r="D153" s="947">
        <f t="shared" si="27"/>
        <v>0</v>
      </c>
      <c r="E153" s="947">
        <f t="shared" si="40"/>
        <v>0</v>
      </c>
      <c r="F153" s="947">
        <f t="shared" si="41"/>
        <v>0</v>
      </c>
      <c r="G153" s="947">
        <f>IF(M152&lt;0.01,0,IF($F$19=$U$4,$G$19,IF(AND($F$21=1,$F$19=$U$2),M152*Adm!$U$4,IF(AND($F$21=2,$F$19=$U$2),M152*Adm!$U$5,IF(AND($F$21=1,$F$19=$U$3),M152*Adm!$V$4,IF(AND($F$21=2,$F$19=$U$3),M152*Adm!$V$5,0))))))</f>
        <v>0</v>
      </c>
      <c r="H153" s="947">
        <f>IF(M152&lt;0.01,0,IF($F$20=$V$3,0,IF(OR($F$10=$T$16,$F$10=$T$17),0,IF($F$10=$T$13,0,$F$11*Adm!$AA$3))))</f>
        <v>0</v>
      </c>
      <c r="I153" s="947">
        <f t="shared" si="34"/>
        <v>0</v>
      </c>
      <c r="J153" s="947">
        <f t="shared" si="22"/>
        <v>0</v>
      </c>
      <c r="K153" s="947">
        <f t="shared" si="28"/>
        <v>0</v>
      </c>
      <c r="L153" s="947">
        <f t="shared" si="23"/>
        <v>0</v>
      </c>
      <c r="M153" s="947">
        <f t="shared" si="29"/>
        <v>0</v>
      </c>
      <c r="N153" s="946"/>
      <c r="P153" s="733"/>
      <c r="Q153" s="733"/>
      <c r="R153" s="733"/>
      <c r="S153" s="785">
        <f t="shared" si="30"/>
        <v>4</v>
      </c>
      <c r="T153" s="786">
        <f t="shared" si="35"/>
        <v>0</v>
      </c>
      <c r="W153" s="790">
        <f t="shared" si="36"/>
        <v>0</v>
      </c>
      <c r="X153" s="818">
        <f t="shared" ca="1" si="31"/>
        <v>0</v>
      </c>
      <c r="Z153" s="843">
        <f t="shared" si="37"/>
        <v>0</v>
      </c>
      <c r="AA153" s="792">
        <f t="shared" si="38"/>
        <v>0</v>
      </c>
      <c r="AB153" s="792">
        <f t="shared" si="39"/>
        <v>0</v>
      </c>
      <c r="AC153" s="789">
        <f t="shared" si="32"/>
        <v>0</v>
      </c>
      <c r="AD153" s="789">
        <f t="shared" si="24"/>
        <v>0</v>
      </c>
      <c r="AE153" s="828" t="e">
        <f>HLOOKUP($AE$39,anticipado,113,0)</f>
        <v>#N/A</v>
      </c>
      <c r="AF153" s="827"/>
      <c r="AG153" s="614">
        <v>9.7009994969529424E-3</v>
      </c>
      <c r="AH153" s="615">
        <v>9.4681956805911342E-3</v>
      </c>
      <c r="AI153" s="616">
        <v>9.2736841879245604E-3</v>
      </c>
      <c r="AJ153" s="616">
        <v>9.7356451983810714E-3</v>
      </c>
      <c r="AK153" s="617">
        <v>9.7009994969529424E-3</v>
      </c>
      <c r="AL153" s="617">
        <v>9.4681956805911342E-3</v>
      </c>
      <c r="AM153" s="617">
        <v>9.901845263855959E-3</v>
      </c>
      <c r="AN153" s="617">
        <v>9.8177084397916611E-3</v>
      </c>
      <c r="AO153" s="617">
        <v>9.7863360445571996E-3</v>
      </c>
      <c r="AP153" s="617">
        <v>1.0074748809159862E-2</v>
      </c>
      <c r="AQ153" s="617">
        <v>9.901845263855959E-3</v>
      </c>
      <c r="AR153" s="618">
        <v>9.7509350595934938E-3</v>
      </c>
      <c r="AS153" s="618">
        <v>3.5963309188532496E-3</v>
      </c>
      <c r="AT153" s="618">
        <v>3.5033443800314332E-3</v>
      </c>
      <c r="AU153" s="618">
        <v>3.3214638560880873E-3</v>
      </c>
      <c r="AV153" s="618">
        <v>3.7668629548842443E-3</v>
      </c>
      <c r="AW153" s="618">
        <v>3.5963309188532496E-3</v>
      </c>
      <c r="AX153" s="618">
        <v>3.4453895568668496E-3</v>
      </c>
      <c r="AY153" s="618">
        <v>3.8647267243344372E-3</v>
      </c>
      <c r="AZ153" s="618">
        <v>3.7917597831860789E-3</v>
      </c>
      <c r="BA153" s="618">
        <v>3.6123476333385224E-3</v>
      </c>
      <c r="BB153" s="618">
        <v>3.997274311902891E-3</v>
      </c>
      <c r="BC153" s="617">
        <v>3.9154704972007995E-3</v>
      </c>
      <c r="BD153" s="617">
        <v>3.7988450926185538E-3</v>
      </c>
      <c r="BE153" s="617">
        <v>9.8453843625604925E-3</v>
      </c>
      <c r="BF153" s="617">
        <v>9.4545686401167096E-3</v>
      </c>
      <c r="BG153" s="617">
        <v>4.1038488300508026E-3</v>
      </c>
      <c r="BH153" s="617">
        <v>3.8880349693688398E-3</v>
      </c>
      <c r="BI153" s="617"/>
      <c r="BJ153" s="617"/>
      <c r="BK153" s="617"/>
      <c r="BL153" s="617"/>
      <c r="BM153" s="617"/>
      <c r="BN153" s="617"/>
      <c r="BO153" s="617"/>
      <c r="BP153" s="617"/>
      <c r="BQ153" s="617"/>
      <c r="BR153" s="617"/>
      <c r="BS153" s="617"/>
      <c r="BT153" s="617"/>
      <c r="BU153" s="617"/>
      <c r="BV153" s="617"/>
      <c r="BW153" s="617"/>
      <c r="BX153" s="617"/>
      <c r="BY153" s="617"/>
      <c r="BZ153" s="617"/>
      <c r="CA153" s="617"/>
      <c r="CB153" s="617"/>
      <c r="CC153" s="617"/>
      <c r="CD153" s="617"/>
      <c r="CE153" s="617"/>
      <c r="CF153" s="617"/>
      <c r="CG153" s="617"/>
      <c r="CH153" s="617"/>
      <c r="CI153" s="617"/>
      <c r="CJ153" s="617"/>
    </row>
    <row r="154" spans="1:88">
      <c r="A154" s="151">
        <f t="shared" ca="1" si="25"/>
        <v>4</v>
      </c>
      <c r="B154" s="784">
        <f t="shared" si="26"/>
        <v>0</v>
      </c>
      <c r="C154" s="944">
        <f t="shared" si="33"/>
        <v>0</v>
      </c>
      <c r="D154" s="947">
        <f t="shared" si="27"/>
        <v>0</v>
      </c>
      <c r="E154" s="947">
        <f t="shared" si="40"/>
        <v>0</v>
      </c>
      <c r="F154" s="947">
        <f t="shared" si="41"/>
        <v>0</v>
      </c>
      <c r="G154" s="947">
        <f>IF(M153&lt;0.01,0,IF($F$19=$U$4,$G$19,IF(AND($F$21=1,$F$19=$U$2),M153*Adm!$U$4,IF(AND($F$21=2,$F$19=$U$2),M153*Adm!$U$5,IF(AND($F$21=1,$F$19=$U$3),M153*Adm!$V$4,IF(AND($F$21=2,$F$19=$U$3),M153*Adm!$V$5,0))))))</f>
        <v>0</v>
      </c>
      <c r="H154" s="947">
        <f>IF(M153&lt;0.01,0,IF($F$20=$V$3,0,IF(OR($F$10=$T$16,$F$10=$T$17),0,IF($F$10=$T$13,0,$F$11*Adm!$AA$3))))</f>
        <v>0</v>
      </c>
      <c r="I154" s="947">
        <f t="shared" si="34"/>
        <v>0</v>
      </c>
      <c r="J154" s="947">
        <f t="shared" si="22"/>
        <v>0</v>
      </c>
      <c r="K154" s="947">
        <f t="shared" si="28"/>
        <v>0</v>
      </c>
      <c r="L154" s="947">
        <f t="shared" si="23"/>
        <v>0</v>
      </c>
      <c r="M154" s="947">
        <f t="shared" si="29"/>
        <v>0</v>
      </c>
      <c r="N154" s="946"/>
      <c r="P154" s="733"/>
      <c r="Q154" s="733"/>
      <c r="R154" s="733"/>
      <c r="S154" s="785">
        <f t="shared" si="30"/>
        <v>5</v>
      </c>
      <c r="T154" s="786">
        <f t="shared" si="35"/>
        <v>0</v>
      </c>
      <c r="W154" s="790">
        <f t="shared" si="36"/>
        <v>0</v>
      </c>
      <c r="X154" s="818">
        <f t="shared" ca="1" si="31"/>
        <v>0</v>
      </c>
      <c r="Z154" s="843">
        <f t="shared" si="37"/>
        <v>0</v>
      </c>
      <c r="AA154" s="792">
        <f t="shared" si="38"/>
        <v>0</v>
      </c>
      <c r="AB154" s="792">
        <f t="shared" si="39"/>
        <v>0</v>
      </c>
      <c r="AC154" s="789">
        <f t="shared" si="32"/>
        <v>0</v>
      </c>
      <c r="AD154" s="789">
        <f t="shared" si="24"/>
        <v>0</v>
      </c>
      <c r="AE154" s="828" t="e">
        <f>HLOOKUP($AE$39,anticipado,114,0)</f>
        <v>#N/A</v>
      </c>
      <c r="AF154" s="827"/>
      <c r="AG154" s="614">
        <v>9.8805215522218982E-3</v>
      </c>
      <c r="AH154" s="615">
        <v>9.6454445124627801E-3</v>
      </c>
      <c r="AI154" s="616">
        <v>9.4485570339571303E-3</v>
      </c>
      <c r="AJ154" s="616">
        <v>9.9132059000792624E-3</v>
      </c>
      <c r="AK154" s="617">
        <v>9.8805215522218982E-3</v>
      </c>
      <c r="AL154" s="617">
        <v>9.6454445124627801E-3</v>
      </c>
      <c r="AM154" s="617">
        <v>1.0080045927218699E-2</v>
      </c>
      <c r="AN154" s="617">
        <v>9.9971812016252572E-3</v>
      </c>
      <c r="AO154" s="617">
        <v>9.9678844962735134E-3</v>
      </c>
      <c r="AP154" s="617">
        <v>1.0254884150715198E-2</v>
      </c>
      <c r="AQ154" s="617">
        <v>1.0080045927218699E-2</v>
      </c>
      <c r="AR154" s="618">
        <v>9.9281073460388749E-3</v>
      </c>
      <c r="AS154" s="618">
        <v>3.6420656954107423E-3</v>
      </c>
      <c r="AT154" s="618">
        <v>3.5487374611810631E-3</v>
      </c>
      <c r="AU154" s="618">
        <v>3.365552588406985E-3</v>
      </c>
      <c r="AV154" s="618">
        <v>3.8137179005500819E-3</v>
      </c>
      <c r="AW154" s="618">
        <v>3.6420656954107423E-3</v>
      </c>
      <c r="AX154" s="618">
        <v>3.4901168582531141E-3</v>
      </c>
      <c r="AY154" s="618">
        <v>3.911857805436807E-3</v>
      </c>
      <c r="AZ154" s="618">
        <v>3.8388617629711371E-3</v>
      </c>
      <c r="BA154" s="618">
        <v>3.65849596182507E-3</v>
      </c>
      <c r="BB154" s="618">
        <v>4.0450887294731456E-3</v>
      </c>
      <c r="BC154" s="617">
        <v>3.9627671639876141E-3</v>
      </c>
      <c r="BD154" s="617">
        <v>3.8457446641506836E-3</v>
      </c>
      <c r="BE154" s="617">
        <v>1.0023986061254608E-2</v>
      </c>
      <c r="BF154" s="617">
        <v>9.6318275657357906E-3</v>
      </c>
      <c r="BG154" s="617">
        <v>4.1521805988727839E-3</v>
      </c>
      <c r="BH154" s="617">
        <v>3.9353797516669484E-3</v>
      </c>
      <c r="BI154" s="617"/>
      <c r="BJ154" s="617"/>
      <c r="BK154" s="617"/>
      <c r="BL154" s="617"/>
      <c r="BM154" s="617"/>
      <c r="BN154" s="617"/>
      <c r="BO154" s="617"/>
      <c r="BP154" s="617"/>
      <c r="BQ154" s="617"/>
      <c r="BR154" s="617"/>
      <c r="BS154" s="617"/>
      <c r="BT154" s="617"/>
      <c r="BU154" s="617"/>
      <c r="BV154" s="617"/>
      <c r="BW154" s="617"/>
      <c r="BX154" s="617"/>
      <c r="BY154" s="617"/>
      <c r="BZ154" s="617"/>
      <c r="CA154" s="617"/>
      <c r="CB154" s="617"/>
      <c r="CC154" s="617"/>
      <c r="CD154" s="617"/>
      <c r="CE154" s="617"/>
      <c r="CF154" s="617"/>
      <c r="CG154" s="617"/>
      <c r="CH154" s="617"/>
      <c r="CI154" s="617"/>
      <c r="CJ154" s="617"/>
    </row>
    <row r="155" spans="1:88">
      <c r="A155" s="151">
        <f t="shared" ca="1" si="25"/>
        <v>5</v>
      </c>
      <c r="B155" s="784">
        <f t="shared" si="26"/>
        <v>0</v>
      </c>
      <c r="C155" s="944">
        <f t="shared" si="33"/>
        <v>0</v>
      </c>
      <c r="D155" s="947">
        <f t="shared" si="27"/>
        <v>0</v>
      </c>
      <c r="E155" s="947">
        <f t="shared" si="40"/>
        <v>0</v>
      </c>
      <c r="F155" s="947">
        <f t="shared" si="41"/>
        <v>0</v>
      </c>
      <c r="G155" s="947">
        <f>IF(M154&lt;0.01,0,IF($F$19=$U$4,$G$19,IF(AND($F$21=1,$F$19=$U$2),M154*Adm!$U$4,IF(AND($F$21=2,$F$19=$U$2),M154*Adm!$U$5,IF(AND($F$21=1,$F$19=$U$3),M154*Adm!$V$4,IF(AND($F$21=2,$F$19=$U$3),M154*Adm!$V$5,0))))))</f>
        <v>0</v>
      </c>
      <c r="H155" s="947">
        <f>IF(M154&lt;0.01,0,IF($F$20=$V$3,0,IF(OR($F$10=$T$16,$F$10=$T$17),0,IF($F$10=$T$13,0,$F$11*Adm!$AA$3))))</f>
        <v>0</v>
      </c>
      <c r="I155" s="947">
        <f t="shared" si="34"/>
        <v>0</v>
      </c>
      <c r="J155" s="947">
        <f t="shared" si="22"/>
        <v>0</v>
      </c>
      <c r="K155" s="947">
        <f t="shared" si="28"/>
        <v>0</v>
      </c>
      <c r="L155" s="947">
        <f t="shared" si="23"/>
        <v>0</v>
      </c>
      <c r="M155" s="947">
        <f t="shared" si="29"/>
        <v>0</v>
      </c>
      <c r="N155" s="946"/>
      <c r="P155" s="733"/>
      <c r="Q155" s="733"/>
      <c r="R155" s="733"/>
      <c r="S155" s="785">
        <f t="shared" si="30"/>
        <v>6</v>
      </c>
      <c r="T155" s="786">
        <f t="shared" si="35"/>
        <v>0</v>
      </c>
      <c r="W155" s="790">
        <f t="shared" si="36"/>
        <v>0</v>
      </c>
      <c r="X155" s="818">
        <f t="shared" ca="1" si="31"/>
        <v>0</v>
      </c>
      <c r="Z155" s="843">
        <f t="shared" si="37"/>
        <v>0</v>
      </c>
      <c r="AA155" s="792">
        <f t="shared" si="38"/>
        <v>0</v>
      </c>
      <c r="AB155" s="792">
        <f t="shared" si="39"/>
        <v>0</v>
      </c>
      <c r="AC155" s="789">
        <f t="shared" si="32"/>
        <v>0</v>
      </c>
      <c r="AD155" s="789">
        <f t="shared" si="24"/>
        <v>0</v>
      </c>
      <c r="AE155" s="828" t="e">
        <f>HLOOKUP($AE$39,anticipado,115,0)</f>
        <v>#N/A</v>
      </c>
      <c r="AF155" s="827"/>
      <c r="AG155" s="614">
        <v>1.0065190381097461E-2</v>
      </c>
      <c r="AH155" s="615">
        <v>9.8277701329116188E-3</v>
      </c>
      <c r="AI155" s="616">
        <v>9.6284269492286859E-3</v>
      </c>
      <c r="AJ155" s="616">
        <v>1.0095815234344637E-2</v>
      </c>
      <c r="AK155" s="617">
        <v>1.0065190381097461E-2</v>
      </c>
      <c r="AL155" s="617">
        <v>9.8277701329116188E-3</v>
      </c>
      <c r="AM155" s="617">
        <v>1.0263300834586677E-2</v>
      </c>
      <c r="AN155" s="617">
        <v>1.0181780288410429E-2</v>
      </c>
      <c r="AO155" s="617">
        <v>1.0154662676188055E-2</v>
      </c>
      <c r="AP155" s="617">
        <v>1.0440140069292236E-2</v>
      </c>
      <c r="AQ155" s="617">
        <v>1.0263300834586677E-2</v>
      </c>
      <c r="AR155" s="618">
        <v>1.011030771773901E-2</v>
      </c>
      <c r="AS155" s="618">
        <v>3.6885513880728555E-3</v>
      </c>
      <c r="AT155" s="618">
        <v>3.5948824601833387E-3</v>
      </c>
      <c r="AU155" s="618">
        <v>3.4103774098228584E-3</v>
      </c>
      <c r="AV155" s="618">
        <v>3.8613372685032767E-3</v>
      </c>
      <c r="AW155" s="618">
        <v>3.6885513880728555E-3</v>
      </c>
      <c r="AX155" s="618">
        <v>3.5355834836193071E-3</v>
      </c>
      <c r="AY155" s="618">
        <v>3.9597510104898139E-3</v>
      </c>
      <c r="AZ155" s="618">
        <v>3.8867326223501367E-3</v>
      </c>
      <c r="BA155" s="618">
        <v>3.7054054609260982E-3</v>
      </c>
      <c r="BB155" s="618">
        <v>4.0936716134873574E-3</v>
      </c>
      <c r="BC155" s="617">
        <v>4.0108255920921366E-3</v>
      </c>
      <c r="BD155" s="617">
        <v>3.8934065412272582E-3</v>
      </c>
      <c r="BE155" s="617">
        <v>1.0207668946017911E-2</v>
      </c>
      <c r="BF155" s="617">
        <v>9.8141660824510781E-3</v>
      </c>
      <c r="BG155" s="617">
        <v>4.201285471966216E-3</v>
      </c>
      <c r="BH155" s="617">
        <v>3.9834903871976751E-3</v>
      </c>
      <c r="BI155" s="617"/>
      <c r="BJ155" s="617"/>
      <c r="BK155" s="617"/>
      <c r="BL155" s="617"/>
      <c r="BM155" s="617"/>
      <c r="BN155" s="617"/>
      <c r="BO155" s="617"/>
      <c r="BP155" s="617"/>
      <c r="BQ155" s="617"/>
      <c r="BR155" s="617"/>
      <c r="BS155" s="617"/>
      <c r="BT155" s="617"/>
      <c r="BU155" s="617"/>
      <c r="BV155" s="617"/>
      <c r="BW155" s="617"/>
      <c r="BX155" s="617"/>
      <c r="BY155" s="617"/>
      <c r="BZ155" s="617"/>
      <c r="CA155" s="617"/>
      <c r="CB155" s="617"/>
      <c r="CC155" s="617"/>
      <c r="CD155" s="617"/>
      <c r="CE155" s="617"/>
      <c r="CF155" s="617"/>
      <c r="CG155" s="617"/>
      <c r="CH155" s="617"/>
      <c r="CI155" s="617"/>
      <c r="CJ155" s="617"/>
    </row>
    <row r="156" spans="1:88">
      <c r="A156" s="151">
        <f t="shared" ca="1" si="25"/>
        <v>6</v>
      </c>
      <c r="B156" s="784">
        <f t="shared" si="26"/>
        <v>0</v>
      </c>
      <c r="C156" s="944">
        <f t="shared" si="33"/>
        <v>0</v>
      </c>
      <c r="D156" s="947">
        <f t="shared" si="27"/>
        <v>0</v>
      </c>
      <c r="E156" s="947">
        <f t="shared" si="40"/>
        <v>0</v>
      </c>
      <c r="F156" s="947">
        <f t="shared" si="41"/>
        <v>0</v>
      </c>
      <c r="G156" s="947">
        <f>IF(M155&lt;0.01,0,IF($F$19=$U$4,$G$19,IF(AND($F$21=1,$F$19=$U$2),M155*Adm!$U$4,IF(AND($F$21=2,$F$19=$U$2),M155*Adm!$U$5,IF(AND($F$21=1,$F$19=$U$3),M155*Adm!$V$4,IF(AND($F$21=2,$F$19=$U$3),M155*Adm!$V$5,0))))))</f>
        <v>0</v>
      </c>
      <c r="H156" s="947">
        <f>IF(M155&lt;0.01,0,IF($F$20=$V$3,0,IF(OR($F$10=$T$16,$F$10=$T$17),0,IF($F$10=$T$13,0,$F$11*Adm!$AA$3))))</f>
        <v>0</v>
      </c>
      <c r="I156" s="947">
        <f t="shared" si="34"/>
        <v>0</v>
      </c>
      <c r="J156" s="947">
        <f t="shared" si="22"/>
        <v>0</v>
      </c>
      <c r="K156" s="947">
        <f t="shared" si="28"/>
        <v>0</v>
      </c>
      <c r="L156" s="947">
        <f t="shared" si="23"/>
        <v>0</v>
      </c>
      <c r="M156" s="947">
        <f t="shared" si="29"/>
        <v>0</v>
      </c>
      <c r="N156" s="946"/>
      <c r="P156" s="733"/>
      <c r="Q156" s="733"/>
      <c r="R156" s="733"/>
      <c r="S156" s="785">
        <f t="shared" si="30"/>
        <v>7</v>
      </c>
      <c r="T156" s="786">
        <f t="shared" si="35"/>
        <v>0</v>
      </c>
      <c r="W156" s="790">
        <f t="shared" si="36"/>
        <v>0</v>
      </c>
      <c r="X156" s="818">
        <f t="shared" ca="1" si="31"/>
        <v>0</v>
      </c>
      <c r="Z156" s="843">
        <f t="shared" si="37"/>
        <v>0</v>
      </c>
      <c r="AA156" s="792">
        <f t="shared" si="38"/>
        <v>0</v>
      </c>
      <c r="AB156" s="792">
        <f t="shared" si="39"/>
        <v>0</v>
      </c>
      <c r="AC156" s="789">
        <f t="shared" si="32"/>
        <v>0</v>
      </c>
      <c r="AD156" s="789">
        <f t="shared" si="24"/>
        <v>0</v>
      </c>
      <c r="AE156" s="828" t="e">
        <f>HLOOKUP($AE$39,anticipado,116,0)</f>
        <v>#N/A</v>
      </c>
      <c r="AF156" s="827"/>
      <c r="AG156" s="614">
        <v>1.0255223424300703E-2</v>
      </c>
      <c r="AH156" s="615">
        <v>1.0015386058846503E-2</v>
      </c>
      <c r="AI156" s="616">
        <v>9.8135029961572157E-3</v>
      </c>
      <c r="AJ156" s="616">
        <v>1.0283685080673219E-2</v>
      </c>
      <c r="AK156" s="617">
        <v>1.0255223424300703E-2</v>
      </c>
      <c r="AL156" s="617">
        <v>1.0015386058846503E-2</v>
      </c>
      <c r="AM156" s="617">
        <v>1.0451822161304896E-2</v>
      </c>
      <c r="AN156" s="617">
        <v>1.0371721962702817E-2</v>
      </c>
      <c r="AO156" s="617">
        <v>1.034689273630926E-2</v>
      </c>
      <c r="AP156" s="617">
        <v>1.0630732473381867E-2</v>
      </c>
      <c r="AQ156" s="617">
        <v>1.0451822161304896E-2</v>
      </c>
      <c r="AR156" s="618">
        <v>1.0297746893741156E-2</v>
      </c>
      <c r="AS156" s="618">
        <v>3.7358046995296353E-3</v>
      </c>
      <c r="AT156" s="618">
        <v>3.6417961417363883E-3</v>
      </c>
      <c r="AU156" s="618">
        <v>3.4559546757473949E-3</v>
      </c>
      <c r="AV156" s="618">
        <v>3.9097381199567956E-3</v>
      </c>
      <c r="AW156" s="618">
        <v>3.7358046995296353E-3</v>
      </c>
      <c r="AX156" s="618">
        <v>3.5818058370770951E-3</v>
      </c>
      <c r="AY156" s="618">
        <v>4.0084233062641535E-3</v>
      </c>
      <c r="AZ156" s="618">
        <v>3.9353895509747373E-3</v>
      </c>
      <c r="BA156" s="618">
        <v>3.7530931391915314E-3</v>
      </c>
      <c r="BB156" s="618">
        <v>4.1430400927152207E-3</v>
      </c>
      <c r="BC156" s="617">
        <v>4.0596627256365304E-3</v>
      </c>
      <c r="BD156" s="617">
        <v>3.9418477124960449E-3</v>
      </c>
      <c r="BE156" s="617">
        <v>1.0396646720164566E-2</v>
      </c>
      <c r="BF156" s="617">
        <v>1.0001797868642047E-2</v>
      </c>
      <c r="BG156" s="617">
        <v>4.2511806973926161E-3</v>
      </c>
      <c r="BH156" s="617">
        <v>4.032383949840508E-3</v>
      </c>
      <c r="BI156" s="617"/>
      <c r="BJ156" s="617"/>
      <c r="BK156" s="617"/>
      <c r="BL156" s="617"/>
      <c r="BM156" s="617"/>
      <c r="BN156" s="617"/>
      <c r="BO156" s="617"/>
      <c r="BP156" s="617"/>
      <c r="BQ156" s="617"/>
      <c r="BR156" s="617"/>
      <c r="BS156" s="617"/>
      <c r="BT156" s="617"/>
      <c r="BU156" s="617"/>
      <c r="BV156" s="617"/>
      <c r="BW156" s="617"/>
      <c r="BX156" s="617"/>
      <c r="BY156" s="617"/>
      <c r="BZ156" s="617"/>
      <c r="CA156" s="617"/>
      <c r="CB156" s="617"/>
      <c r="CC156" s="617"/>
      <c r="CD156" s="617"/>
      <c r="CE156" s="617"/>
      <c r="CF156" s="617"/>
      <c r="CG156" s="617"/>
      <c r="CH156" s="617"/>
      <c r="CI156" s="617"/>
      <c r="CJ156" s="617"/>
    </row>
    <row r="157" spans="1:88">
      <c r="A157" s="151">
        <f t="shared" ca="1" si="25"/>
        <v>7</v>
      </c>
      <c r="B157" s="784">
        <f t="shared" si="26"/>
        <v>0</v>
      </c>
      <c r="C157" s="944">
        <f t="shared" si="33"/>
        <v>0</v>
      </c>
      <c r="D157" s="947">
        <f t="shared" si="27"/>
        <v>0</v>
      </c>
      <c r="E157" s="947">
        <f t="shared" si="40"/>
        <v>0</v>
      </c>
      <c r="F157" s="947">
        <f t="shared" si="41"/>
        <v>0</v>
      </c>
      <c r="G157" s="947">
        <f>IF(M156&lt;0.01,0,IF($F$19=$U$4,$G$19,IF(AND($F$21=1,$F$19=$U$2),M156*Adm!$U$4,IF(AND($F$21=2,$F$19=$U$2),M156*Adm!$U$5,IF(AND($F$21=1,$F$19=$U$3),M156*Adm!$V$4,IF(AND($F$21=2,$F$19=$U$3),M156*Adm!$V$5,0))))))</f>
        <v>0</v>
      </c>
      <c r="H157" s="947">
        <f>IF(M156&lt;0.01,0,IF($F$20=$V$3,0,IF(OR($F$10=$T$16,$F$10=$T$17),0,IF($F$10=$T$13,0,$F$11*Adm!$AA$3))))</f>
        <v>0</v>
      </c>
      <c r="I157" s="947">
        <f t="shared" si="34"/>
        <v>0</v>
      </c>
      <c r="J157" s="947">
        <f t="shared" si="22"/>
        <v>0</v>
      </c>
      <c r="K157" s="947">
        <f t="shared" si="28"/>
        <v>0</v>
      </c>
      <c r="L157" s="947">
        <f t="shared" si="23"/>
        <v>0</v>
      </c>
      <c r="M157" s="947">
        <f t="shared" si="29"/>
        <v>0</v>
      </c>
      <c r="N157" s="946"/>
      <c r="P157" s="733"/>
      <c r="Q157" s="733"/>
      <c r="R157" s="733"/>
      <c r="S157" s="785">
        <f t="shared" si="30"/>
        <v>8</v>
      </c>
      <c r="T157" s="786">
        <f t="shared" si="35"/>
        <v>0</v>
      </c>
      <c r="W157" s="790">
        <f t="shared" si="36"/>
        <v>0</v>
      </c>
      <c r="X157" s="818">
        <f t="shared" ca="1" si="31"/>
        <v>0</v>
      </c>
      <c r="Z157" s="843">
        <f t="shared" si="37"/>
        <v>0</v>
      </c>
      <c r="AA157" s="792">
        <f t="shared" si="38"/>
        <v>0</v>
      </c>
      <c r="AB157" s="792">
        <f t="shared" si="39"/>
        <v>0</v>
      </c>
      <c r="AC157" s="789">
        <f t="shared" si="32"/>
        <v>0</v>
      </c>
      <c r="AD157" s="789">
        <f t="shared" si="24"/>
        <v>0</v>
      </c>
      <c r="AE157" s="828" t="e">
        <f>HLOOKUP($AE$39,anticipado,117,0)</f>
        <v>#N/A</v>
      </c>
      <c r="AF157" s="827"/>
      <c r="AG157" s="614">
        <v>1.0450850533530625E-2</v>
      </c>
      <c r="AH157" s="615">
        <v>1.0208517935543662E-2</v>
      </c>
      <c r="AI157" s="616">
        <v>1.000400604682684E-2</v>
      </c>
      <c r="AJ157" s="616">
        <v>1.0477039332038333E-2</v>
      </c>
      <c r="AK157" s="617">
        <v>1.0450850533530625E-2</v>
      </c>
      <c r="AL157" s="617">
        <v>1.0208517935543662E-2</v>
      </c>
      <c r="AM157" s="617">
        <v>1.0645834118379278E-2</v>
      </c>
      <c r="AN157" s="617">
        <v>1.0567234814369776E-2</v>
      </c>
      <c r="AO157" s="617">
        <v>1.0544809579270769E-2</v>
      </c>
      <c r="AP157" s="617">
        <v>1.0826889575082958E-2</v>
      </c>
      <c r="AQ157" s="617">
        <v>1.0645834118379278E-2</v>
      </c>
      <c r="AR157" s="618">
        <v>1.0490647524010788E-2</v>
      </c>
      <c r="AS157" s="618">
        <v>3.7838428249857298E-3</v>
      </c>
      <c r="AT157" s="618">
        <v>3.6894957652125952E-3</v>
      </c>
      <c r="AU157" s="618">
        <v>3.502301220939974E-3</v>
      </c>
      <c r="AV157" s="618">
        <v>3.9589380221411348E-3</v>
      </c>
      <c r="AW157" s="618">
        <v>3.7838428249857298E-3</v>
      </c>
      <c r="AX157" s="618">
        <v>3.6288008040488832E-3</v>
      </c>
      <c r="AY157" s="618">
        <v>4.057892162168183E-3</v>
      </c>
      <c r="AZ157" s="618">
        <v>3.9848502493206464E-3</v>
      </c>
      <c r="BA157" s="618">
        <v>3.8015765090246272E-3</v>
      </c>
      <c r="BB157" s="618">
        <v>4.1932118047401682E-3</v>
      </c>
      <c r="BC157" s="617">
        <v>4.1092960106024643E-3</v>
      </c>
      <c r="BD157" s="617">
        <v>3.9910856699708107E-3</v>
      </c>
      <c r="BE157" s="617">
        <v>1.0591145231375807E-2</v>
      </c>
      <c r="BF157" s="617">
        <v>1.0194948742481296E-2</v>
      </c>
      <c r="BG157" s="617">
        <v>4.3018840365890024E-3</v>
      </c>
      <c r="BH157" s="617">
        <v>4.0820780201174288E-3</v>
      </c>
      <c r="BI157" s="617"/>
      <c r="BJ157" s="617"/>
      <c r="BK157" s="617"/>
      <c r="BL157" s="617"/>
      <c r="BM157" s="617"/>
      <c r="BN157" s="617"/>
      <c r="BO157" s="617"/>
      <c r="BP157" s="617"/>
      <c r="BQ157" s="617"/>
      <c r="BR157" s="617"/>
      <c r="BS157" s="617"/>
      <c r="BT157" s="617"/>
      <c r="BU157" s="617"/>
      <c r="BV157" s="617"/>
      <c r="BW157" s="617"/>
      <c r="BX157" s="617"/>
      <c r="BY157" s="617"/>
      <c r="BZ157" s="617"/>
      <c r="CA157" s="617"/>
      <c r="CB157" s="617"/>
      <c r="CC157" s="617"/>
      <c r="CD157" s="617"/>
      <c r="CE157" s="617"/>
      <c r="CF157" s="617"/>
      <c r="CG157" s="617"/>
      <c r="CH157" s="617"/>
      <c r="CI157" s="617"/>
      <c r="CJ157" s="617"/>
    </row>
    <row r="158" spans="1:88">
      <c r="A158" s="151">
        <f t="shared" ca="1" si="25"/>
        <v>8</v>
      </c>
      <c r="B158" s="784">
        <f t="shared" si="26"/>
        <v>0</v>
      </c>
      <c r="C158" s="944">
        <f t="shared" si="33"/>
        <v>0</v>
      </c>
      <c r="D158" s="947">
        <f t="shared" si="27"/>
        <v>0</v>
      </c>
      <c r="E158" s="947">
        <f t="shared" si="40"/>
        <v>0</v>
      </c>
      <c r="F158" s="947">
        <f t="shared" si="41"/>
        <v>0</v>
      </c>
      <c r="G158" s="947">
        <f>IF(M157&lt;0.01,0,IF($F$19=$U$4,$G$19,IF(AND($F$21=1,$F$19=$U$2),M157*Adm!$U$4,IF(AND($F$21=2,$F$19=$U$2),M157*Adm!$U$5,IF(AND($F$21=1,$F$19=$U$3),M157*Adm!$V$4,IF(AND($F$21=2,$F$19=$U$3),M157*Adm!$V$5,0))))))</f>
        <v>0</v>
      </c>
      <c r="H158" s="947">
        <f>IF(M157&lt;0.01,0,IF($F$20=$V$3,0,IF(OR($F$10=$T$16,$F$10=$T$17),0,IF($F$10=$T$13,0,$F$11*Adm!$AA$3))))</f>
        <v>0</v>
      </c>
      <c r="I158" s="947">
        <f t="shared" si="34"/>
        <v>0</v>
      </c>
      <c r="J158" s="947">
        <f t="shared" si="22"/>
        <v>0</v>
      </c>
      <c r="K158" s="947">
        <f t="shared" si="28"/>
        <v>0</v>
      </c>
      <c r="L158" s="947">
        <f t="shared" si="23"/>
        <v>0</v>
      </c>
      <c r="M158" s="947">
        <f t="shared" si="29"/>
        <v>0</v>
      </c>
      <c r="N158" s="946"/>
      <c r="P158" s="733"/>
      <c r="Q158" s="733"/>
      <c r="R158" s="733"/>
      <c r="S158" s="785">
        <f t="shared" si="30"/>
        <v>9</v>
      </c>
      <c r="T158" s="786">
        <f t="shared" si="35"/>
        <v>0</v>
      </c>
      <c r="W158" s="790">
        <f t="shared" si="36"/>
        <v>0</v>
      </c>
      <c r="X158" s="818">
        <f t="shared" ca="1" si="31"/>
        <v>0</v>
      </c>
      <c r="Z158" s="843">
        <f t="shared" si="37"/>
        <v>0</v>
      </c>
      <c r="AA158" s="792">
        <f t="shared" si="38"/>
        <v>0</v>
      </c>
      <c r="AB158" s="792">
        <f t="shared" si="39"/>
        <v>0</v>
      </c>
      <c r="AC158" s="789">
        <f t="shared" si="32"/>
        <v>0</v>
      </c>
      <c r="AD158" s="789">
        <f t="shared" si="24"/>
        <v>0</v>
      </c>
      <c r="AE158" s="828" t="e">
        <f>HLOOKUP($AE$39,anticipado,118,0)</f>
        <v>#N/A</v>
      </c>
      <c r="AF158" s="827"/>
      <c r="AG158" s="614">
        <v>1.0652314869924009E-2</v>
      </c>
      <c r="AH158" s="615">
        <v>1.0407404410394689E-2</v>
      </c>
      <c r="AI158" s="616">
        <v>1.020016962903156E-2</v>
      </c>
      <c r="AJ158" s="616">
        <v>1.0676114758717995E-2</v>
      </c>
      <c r="AK158" s="617">
        <v>1.0652314869924009E-2</v>
      </c>
      <c r="AL158" s="617">
        <v>1.0407404410394689E-2</v>
      </c>
      <c r="AM158" s="617">
        <v>1.0845573818271064E-2</v>
      </c>
      <c r="AN158" s="617">
        <v>1.076856065176883E-2</v>
      </c>
      <c r="AO158" s="617">
        <v>1.0748661786597837E-2</v>
      </c>
      <c r="AP158" s="617">
        <v>1.1028852779274014E-2</v>
      </c>
      <c r="AQ158" s="617">
        <v>1.0845573818271064E-2</v>
      </c>
      <c r="AR158" s="618">
        <v>1.0689245046097565E-2</v>
      </c>
      <c r="AS158" s="618">
        <v>3.8326834704726655E-3</v>
      </c>
      <c r="AT158" s="618">
        <v>3.737999103064763E-3</v>
      </c>
      <c r="AU158" s="618">
        <v>3.5494343772237849E-3</v>
      </c>
      <c r="AV158" s="618">
        <v>4.0089550672268003E-3</v>
      </c>
      <c r="AW158" s="618">
        <v>3.8326834704726655E-3</v>
      </c>
      <c r="AX158" s="618">
        <v>3.6765857690756226E-3</v>
      </c>
      <c r="AY158" s="618">
        <v>4.1081755690204821E-3</v>
      </c>
      <c r="AZ158" s="618">
        <v>4.035132947827173E-3</v>
      </c>
      <c r="BA158" s="618">
        <v>3.8508736055031401E-3</v>
      </c>
      <c r="BB158" s="618">
        <v>4.2442049150123945E-3</v>
      </c>
      <c r="BC158" s="617">
        <v>4.1597434135696989E-3</v>
      </c>
      <c r="BD158" s="617">
        <v>4.0411384278352643E-3</v>
      </c>
      <c r="BE158" s="617">
        <v>1.0791403346934882E-2</v>
      </c>
      <c r="BF158" s="617">
        <v>1.0393857536673287E-2</v>
      </c>
      <c r="BG158" s="617">
        <v>4.3534137836284516E-3</v>
      </c>
      <c r="BH158" s="617">
        <v>4.1325907041460984E-3</v>
      </c>
      <c r="BI158" s="617"/>
      <c r="BJ158" s="617"/>
      <c r="BK158" s="617"/>
      <c r="BL158" s="617"/>
      <c r="BM158" s="617"/>
      <c r="BN158" s="617"/>
      <c r="BO158" s="617"/>
      <c r="BP158" s="617"/>
      <c r="BQ158" s="617"/>
      <c r="BR158" s="617"/>
      <c r="BS158" s="617"/>
      <c r="BT158" s="617"/>
      <c r="BU158" s="617"/>
      <c r="BV158" s="617"/>
      <c r="BW158" s="617"/>
      <c r="BX158" s="617"/>
      <c r="BY158" s="617"/>
      <c r="BZ158" s="617"/>
      <c r="CA158" s="617"/>
      <c r="CB158" s="617"/>
      <c r="CC158" s="617"/>
      <c r="CD158" s="617"/>
      <c r="CE158" s="617"/>
      <c r="CF158" s="617"/>
      <c r="CG158" s="617"/>
      <c r="CH158" s="617"/>
      <c r="CI158" s="617"/>
      <c r="CJ158" s="617"/>
    </row>
    <row r="159" spans="1:88">
      <c r="A159" s="151">
        <f t="shared" ca="1" si="25"/>
        <v>9</v>
      </c>
      <c r="B159" s="784">
        <f t="shared" si="26"/>
        <v>0</v>
      </c>
      <c r="C159" s="944">
        <f t="shared" si="33"/>
        <v>0</v>
      </c>
      <c r="D159" s="947">
        <f t="shared" si="27"/>
        <v>0</v>
      </c>
      <c r="E159" s="947">
        <f t="shared" si="40"/>
        <v>0</v>
      </c>
      <c r="F159" s="947">
        <f t="shared" si="41"/>
        <v>0</v>
      </c>
      <c r="G159" s="947">
        <f>IF(M158&lt;0.01,0,IF($F$19=$U$4,$G$19,IF(AND($F$21=1,$F$19=$U$2),M158*Adm!$U$4,IF(AND($F$21=2,$F$19=$U$2),M158*Adm!$U$5,IF(AND($F$21=1,$F$19=$U$3),M158*Adm!$V$4,IF(AND($F$21=2,$F$19=$U$3),M158*Adm!$V$5,0))))))</f>
        <v>0</v>
      </c>
      <c r="H159" s="947">
        <f>IF(M158&lt;0.01,0,IF($F$20=$V$3,0,IF(OR($F$10=$T$16,$F$10=$T$17),0,IF($F$10=$T$13,0,$F$11*Adm!$AA$3))))</f>
        <v>0</v>
      </c>
      <c r="I159" s="947">
        <f t="shared" si="34"/>
        <v>0</v>
      </c>
      <c r="J159" s="947">
        <f t="shared" si="22"/>
        <v>0</v>
      </c>
      <c r="K159" s="947">
        <f t="shared" si="28"/>
        <v>0</v>
      </c>
      <c r="L159" s="947">
        <f t="shared" si="23"/>
        <v>0</v>
      </c>
      <c r="M159" s="947">
        <f t="shared" si="29"/>
        <v>0</v>
      </c>
      <c r="N159" s="946"/>
      <c r="P159" s="733"/>
      <c r="Q159" s="733"/>
      <c r="R159" s="733"/>
      <c r="S159" s="785">
        <f t="shared" si="30"/>
        <v>10</v>
      </c>
      <c r="T159" s="786">
        <f t="shared" si="35"/>
        <v>0</v>
      </c>
      <c r="W159" s="790">
        <f t="shared" si="36"/>
        <v>0</v>
      </c>
      <c r="X159" s="818">
        <f t="shared" ca="1" si="31"/>
        <v>0</v>
      </c>
      <c r="Z159" s="843">
        <f t="shared" si="37"/>
        <v>0</v>
      </c>
      <c r="AA159" s="792">
        <f t="shared" si="38"/>
        <v>0</v>
      </c>
      <c r="AB159" s="792">
        <f t="shared" si="39"/>
        <v>0</v>
      </c>
      <c r="AC159" s="789">
        <f t="shared" si="32"/>
        <v>0</v>
      </c>
      <c r="AD159" s="789">
        <f t="shared" si="24"/>
        <v>0</v>
      </c>
      <c r="AE159" s="828" t="e">
        <f>HLOOKUP($AE$39,anticipado,119,0)</f>
        <v>#N/A</v>
      </c>
      <c r="AF159" s="827"/>
      <c r="AG159" s="614">
        <v>1.0859873881712773E-2</v>
      </c>
      <c r="AH159" s="615">
        <v>1.0612298083295535E-2</v>
      </c>
      <c r="AI159" s="616">
        <v>1.0402240846110399E-2</v>
      </c>
      <c r="AJ159" s="616">
        <v>1.0881161947746659E-2</v>
      </c>
      <c r="AK159" s="617">
        <v>1.0859873881712773E-2</v>
      </c>
      <c r="AL159" s="617">
        <v>1.0612298083295535E-2</v>
      </c>
      <c r="AM159" s="617">
        <v>1.1051292216520603E-2</v>
      </c>
      <c r="AN159" s="617">
        <v>1.0975955471372237E-2</v>
      </c>
      <c r="AO159" s="617">
        <v>1.0958712629267991E-2</v>
      </c>
      <c r="AP159" s="617">
        <v>1.1236877651027877E-2</v>
      </c>
      <c r="AQ159" s="617">
        <v>1.1051292216520603E-2</v>
      </c>
      <c r="AR159" s="618">
        <v>1.0893788616690006E-2</v>
      </c>
      <c r="AS159" s="618">
        <v>3.8823448719847334E-3</v>
      </c>
      <c r="AT159" s="618">
        <v>3.7873244600608192E-3</v>
      </c>
      <c r="AU159" s="618">
        <v>3.5973719919941568E-3</v>
      </c>
      <c r="AV159" s="618">
        <v>4.059807892102643E-3</v>
      </c>
      <c r="AW159" s="618">
        <v>3.8823448719847334E-3</v>
      </c>
      <c r="AX159" s="618">
        <v>3.7251786344216771E-3</v>
      </c>
      <c r="AY159" s="618">
        <v>4.1592920586703865E-3</v>
      </c>
      <c r="AZ159" s="618">
        <v>4.0862564269041612E-3</v>
      </c>
      <c r="BA159" s="618">
        <v>3.9010030060509663E-3</v>
      </c>
      <c r="BB159" s="618">
        <v>4.2960381367647144E-3</v>
      </c>
      <c r="BC159" s="617">
        <v>4.2110234413008478E-3</v>
      </c>
      <c r="BD159" s="617">
        <v>4.0920245420965748E-3</v>
      </c>
      <c r="BE159" s="617">
        <v>1.0997673905762648E-2</v>
      </c>
      <c r="BF159" s="617">
        <v>1.0598777049935955E-2</v>
      </c>
      <c r="BG159" s="617">
        <v>4.4057887853545365E-3</v>
      </c>
      <c r="BH159" s="617">
        <v>4.183940653450585E-3</v>
      </c>
      <c r="BI159" s="617"/>
      <c r="BJ159" s="617"/>
      <c r="BK159" s="617"/>
      <c r="BL159" s="617"/>
      <c r="BM159" s="617"/>
      <c r="BN159" s="617"/>
      <c r="BO159" s="617"/>
      <c r="BP159" s="617"/>
      <c r="BQ159" s="617"/>
      <c r="BR159" s="617"/>
      <c r="BS159" s="617"/>
      <c r="BT159" s="617"/>
      <c r="BU159" s="617"/>
      <c r="BV159" s="617"/>
      <c r="BW159" s="617"/>
      <c r="BX159" s="617"/>
      <c r="BY159" s="617"/>
      <c r="BZ159" s="617"/>
      <c r="CA159" s="617"/>
      <c r="CB159" s="617"/>
      <c r="CC159" s="617"/>
      <c r="CD159" s="617"/>
      <c r="CE159" s="617"/>
      <c r="CF159" s="617"/>
      <c r="CG159" s="617"/>
      <c r="CH159" s="617"/>
      <c r="CI159" s="617"/>
      <c r="CJ159" s="617"/>
    </row>
    <row r="160" spans="1:88">
      <c r="A160" s="151">
        <f t="shared" ca="1" si="25"/>
        <v>10</v>
      </c>
      <c r="B160" s="784">
        <f t="shared" si="26"/>
        <v>0</v>
      </c>
      <c r="C160" s="944">
        <f t="shared" si="33"/>
        <v>0</v>
      </c>
      <c r="D160" s="947">
        <f t="shared" si="27"/>
        <v>0</v>
      </c>
      <c r="E160" s="947">
        <f t="shared" si="40"/>
        <v>0</v>
      </c>
      <c r="F160" s="947">
        <f t="shared" si="41"/>
        <v>0</v>
      </c>
      <c r="G160" s="947">
        <f>IF(M159&lt;0.01,0,IF($F$19=$U$4,$G$19,IF(AND($F$21=1,$F$19=$U$2),M159*Adm!$U$4,IF(AND($F$21=2,$F$19=$U$2),M159*Adm!$U$5,IF(AND($F$21=1,$F$19=$U$3),M159*Adm!$V$4,IF(AND($F$21=2,$F$19=$U$3),M159*Adm!$V$5,0))))))</f>
        <v>0</v>
      </c>
      <c r="H160" s="947">
        <f>IF(M159&lt;0.01,0,IF($F$20=$V$3,0,IF(OR($F$10=$T$16,$F$10=$T$17),0,IF($F$10=$T$13,0,$F$11*Adm!$AA$3))))</f>
        <v>0</v>
      </c>
      <c r="I160" s="947">
        <f t="shared" si="34"/>
        <v>0</v>
      </c>
      <c r="J160" s="947">
        <f t="shared" si="22"/>
        <v>0</v>
      </c>
      <c r="K160" s="947">
        <f t="shared" si="28"/>
        <v>0</v>
      </c>
      <c r="L160" s="947">
        <f t="shared" si="23"/>
        <v>0</v>
      </c>
      <c r="M160" s="947">
        <f t="shared" si="29"/>
        <v>0</v>
      </c>
      <c r="N160" s="946"/>
      <c r="P160" s="733"/>
      <c r="Q160" s="733"/>
      <c r="R160" s="733"/>
      <c r="S160" s="785">
        <f t="shared" si="30"/>
        <v>11</v>
      </c>
      <c r="T160" s="786">
        <f t="shared" si="35"/>
        <v>0</v>
      </c>
      <c r="W160" s="790">
        <f t="shared" si="36"/>
        <v>0</v>
      </c>
      <c r="X160" s="818">
        <f t="shared" ca="1" si="31"/>
        <v>0</v>
      </c>
      <c r="Z160" s="843">
        <f t="shared" si="37"/>
        <v>0</v>
      </c>
      <c r="AA160" s="792">
        <f t="shared" si="38"/>
        <v>0</v>
      </c>
      <c r="AB160" s="792">
        <f t="shared" si="39"/>
        <v>0</v>
      </c>
      <c r="AC160" s="789">
        <f t="shared" si="32"/>
        <v>0</v>
      </c>
      <c r="AD160" s="789">
        <f t="shared" si="24"/>
        <v>0</v>
      </c>
      <c r="AE160" s="828" t="e">
        <f>HLOOKUP($AE$39,anticipado,120,0)</f>
        <v>#N/A</v>
      </c>
      <c r="AF160" s="827"/>
      <c r="AG160" s="614">
        <v>1.1073800369344895E-2</v>
      </c>
      <c r="AH160" s="615">
        <v>1.0823466541635856E-2</v>
      </c>
      <c r="AI160" s="616">
        <v>1.0610481378193358E-2</v>
      </c>
      <c r="AJ160" s="616">
        <v>1.109244632582969E-2</v>
      </c>
      <c r="AK160" s="617">
        <v>1.1073800369344895E-2</v>
      </c>
      <c r="AL160" s="617">
        <v>1.0823466541635856E-2</v>
      </c>
      <c r="AM160" s="617">
        <v>1.1263255137063641E-2</v>
      </c>
      <c r="AN160" s="617">
        <v>1.1189690514013686E-2</v>
      </c>
      <c r="AO160" s="617">
        <v>1.1175241169205293E-2</v>
      </c>
      <c r="AP160" s="617">
        <v>1.1451234969421529E-2</v>
      </c>
      <c r="AQ160" s="617">
        <v>1.1263255137063641E-2</v>
      </c>
      <c r="AR160" s="618">
        <v>1.110454212580959E-2</v>
      </c>
      <c r="AS160" s="618">
        <v>3.9328458154820386E-3</v>
      </c>
      <c r="AT160" s="618">
        <v>3.8374906933908927E-3</v>
      </c>
      <c r="AU160" s="618">
        <v>3.6461324475607886E-3</v>
      </c>
      <c r="AV160" s="618">
        <v>4.111515699055557E-3</v>
      </c>
      <c r="AW160" s="618">
        <v>3.9328458154820386E-3</v>
      </c>
      <c r="AX160" s="618">
        <v>3.7745978395187047E-3</v>
      </c>
      <c r="AY160" s="618">
        <v>4.2112607245114887E-3</v>
      </c>
      <c r="AZ160" s="618">
        <v>4.1382400378525029E-3</v>
      </c>
      <c r="BA160" s="618">
        <v>3.9519838510054328E-3</v>
      </c>
      <c r="BB160" s="618">
        <v>4.3487307518371831E-3</v>
      </c>
      <c r="BC160" s="617">
        <v>4.2631551612171935E-3</v>
      </c>
      <c r="BD160" s="617">
        <v>4.1437631311336291E-3</v>
      </c>
      <c r="BE160" s="617">
        <v>1.121022475523278E-2</v>
      </c>
      <c r="BF160" s="617">
        <v>1.0809975083196702E-2</v>
      </c>
      <c r="BG160" s="617">
        <v>4.4590284624362432E-3</v>
      </c>
      <c r="BH160" s="617">
        <v>4.2361470856751926E-3</v>
      </c>
      <c r="BI160" s="617"/>
      <c r="BJ160" s="617"/>
      <c r="BK160" s="617"/>
      <c r="BL160" s="617"/>
      <c r="BM160" s="617"/>
      <c r="BN160" s="617"/>
      <c r="BO160" s="617"/>
      <c r="BP160" s="617"/>
      <c r="BQ160" s="617"/>
      <c r="BR160" s="617"/>
      <c r="BS160" s="617"/>
      <c r="BT160" s="617"/>
      <c r="BU160" s="617"/>
      <c r="BV160" s="617"/>
      <c r="BW160" s="617"/>
      <c r="BX160" s="617"/>
      <c r="BY160" s="617"/>
      <c r="BZ160" s="617"/>
      <c r="CA160" s="617"/>
      <c r="CB160" s="617"/>
      <c r="CC160" s="617"/>
      <c r="CD160" s="617"/>
      <c r="CE160" s="617"/>
      <c r="CF160" s="617"/>
      <c r="CG160" s="617"/>
      <c r="CH160" s="617"/>
      <c r="CI160" s="617"/>
      <c r="CJ160" s="617"/>
    </row>
    <row r="161" spans="1:88">
      <c r="A161" s="151">
        <f t="shared" ca="1" si="25"/>
        <v>11</v>
      </c>
      <c r="B161" s="784">
        <f t="shared" si="26"/>
        <v>0</v>
      </c>
      <c r="C161" s="944">
        <f t="shared" si="33"/>
        <v>0</v>
      </c>
      <c r="D161" s="947">
        <f t="shared" si="27"/>
        <v>0</v>
      </c>
      <c r="E161" s="947">
        <f t="shared" si="40"/>
        <v>0</v>
      </c>
      <c r="F161" s="947">
        <f t="shared" si="41"/>
        <v>0</v>
      </c>
      <c r="G161" s="947">
        <f>IF(M160&lt;0.01,0,IF($F$19=$U$4,$G$19,IF(AND($F$21=1,$F$19=$U$2),M160*Adm!$U$4,IF(AND($F$21=2,$F$19=$U$2),M160*Adm!$U$5,IF(AND($F$21=1,$F$19=$U$3),M160*Adm!$V$4,IF(AND($F$21=2,$F$19=$U$3),M160*Adm!$V$5,0))))))</f>
        <v>0</v>
      </c>
      <c r="H161" s="947">
        <f>IF(M160&lt;0.01,0,IF($F$20=$V$3,0,IF(OR($F$10=$T$16,$F$10=$T$17),0,IF($F$10=$T$13,0,$F$11*Adm!$AA$3))))</f>
        <v>0</v>
      </c>
      <c r="I161" s="947">
        <f t="shared" si="34"/>
        <v>0</v>
      </c>
      <c r="J161" s="947">
        <f t="shared" si="22"/>
        <v>0</v>
      </c>
      <c r="K161" s="947">
        <f t="shared" si="28"/>
        <v>0</v>
      </c>
      <c r="L161" s="947">
        <f t="shared" si="23"/>
        <v>0</v>
      </c>
      <c r="M161" s="947">
        <f t="shared" si="29"/>
        <v>0</v>
      </c>
      <c r="N161" s="946"/>
      <c r="P161" s="733"/>
      <c r="Q161" s="733"/>
      <c r="R161" s="733"/>
      <c r="S161" s="785">
        <f t="shared" si="30"/>
        <v>12</v>
      </c>
      <c r="T161" s="786">
        <f t="shared" si="35"/>
        <v>0</v>
      </c>
      <c r="W161" s="790">
        <f t="shared" si="36"/>
        <v>0</v>
      </c>
      <c r="X161" s="818">
        <f t="shared" ca="1" si="31"/>
        <v>0</v>
      </c>
      <c r="Z161" s="843">
        <f t="shared" si="37"/>
        <v>0</v>
      </c>
      <c r="AA161" s="792">
        <f t="shared" si="38"/>
        <v>0</v>
      </c>
      <c r="AB161" s="792">
        <f t="shared" si="39"/>
        <v>0</v>
      </c>
      <c r="AC161" s="789">
        <f t="shared" si="32"/>
        <v>0</v>
      </c>
      <c r="AD161" s="789">
        <f t="shared" si="24"/>
        <v>0</v>
      </c>
      <c r="AE161" s="828" t="e">
        <f>HLOOKUP($AE$39,anticipado,121,0)</f>
        <v>#N/A</v>
      </c>
      <c r="AF161" s="827"/>
      <c r="AG161" s="614">
        <v>1.1294383647335884E-2</v>
      </c>
      <c r="AH161" s="615">
        <v>1.1041193488807033E-2</v>
      </c>
      <c r="AI161" s="616">
        <v>1.082516857339029E-2</v>
      </c>
      <c r="AJ161" s="616">
        <v>1.1310249274501381E-2</v>
      </c>
      <c r="AK161" s="617">
        <v>1.1294383647335884E-2</v>
      </c>
      <c r="AL161" s="617">
        <v>1.1041193488807033E-2</v>
      </c>
      <c r="AM161" s="617">
        <v>1.1481744390049065E-2</v>
      </c>
      <c r="AN161" s="617">
        <v>1.141005341692182E-2</v>
      </c>
      <c r="AO161" s="617">
        <v>1.1398543461399782E-2</v>
      </c>
      <c r="AP161" s="617">
        <v>1.1672211876878377E-2</v>
      </c>
      <c r="AQ161" s="617">
        <v>1.1481744390049065E-2</v>
      </c>
      <c r="AR161" s="618">
        <v>1.1321785302325514E-2</v>
      </c>
      <c r="AS161" s="618">
        <v>3.984205657806863E-3</v>
      </c>
      <c r="AT161" s="618">
        <v>3.8885172336932672E-3</v>
      </c>
      <c r="AU161" s="618">
        <v>3.6957346813680145E-3</v>
      </c>
      <c r="AV161" s="618">
        <v>4.1640982773998502E-3</v>
      </c>
      <c r="AW161" s="618">
        <v>3.984205657806863E-3</v>
      </c>
      <c r="AX161" s="618">
        <v>3.8248623812930202E-3</v>
      </c>
      <c r="AY161" s="618">
        <v>4.2641012429359085E-3</v>
      </c>
      <c r="AZ161" s="618">
        <v>4.1911037247472794E-3</v>
      </c>
      <c r="BA161" s="618">
        <v>4.0038358651281634E-3</v>
      </c>
      <c r="BB161" s="618">
        <v>4.4023026324592303E-3</v>
      </c>
      <c r="BC161" s="617">
        <v>4.3161582228132891E-3</v>
      </c>
      <c r="BD161" s="617">
        <v>4.1963738971878828E-3</v>
      </c>
      <c r="BE161" s="617">
        <v>1.1429339881707305E-2</v>
      </c>
      <c r="BF161" s="617">
        <v>1.102773556943485E-2</v>
      </c>
      <c r="BG161" s="617">
        <v>4.5131528313928256E-3</v>
      </c>
      <c r="BH161" s="617">
        <v>4.2892298062498354E-3</v>
      </c>
      <c r="BI161" s="617"/>
      <c r="BJ161" s="617"/>
      <c r="BK161" s="617"/>
      <c r="BL161" s="617"/>
      <c r="BM161" s="617"/>
      <c r="BN161" s="617"/>
      <c r="BO161" s="617"/>
      <c r="BP161" s="617"/>
      <c r="BQ161" s="617"/>
      <c r="BR161" s="617"/>
      <c r="BS161" s="617"/>
      <c r="BT161" s="617"/>
      <c r="BU161" s="617"/>
      <c r="BV161" s="617"/>
      <c r="BW161" s="617"/>
      <c r="BX161" s="617"/>
      <c r="BY161" s="617"/>
      <c r="BZ161" s="617"/>
      <c r="CA161" s="617"/>
      <c r="CB161" s="617"/>
      <c r="CC161" s="617"/>
      <c r="CD161" s="617"/>
      <c r="CE161" s="617"/>
      <c r="CF161" s="617"/>
      <c r="CG161" s="617"/>
      <c r="CH161" s="617"/>
      <c r="CI161" s="617"/>
      <c r="CJ161" s="617"/>
    </row>
    <row r="162" spans="1:88">
      <c r="A162" s="151">
        <f t="shared" ca="1" si="25"/>
        <v>12</v>
      </c>
      <c r="B162" s="784">
        <f t="shared" si="26"/>
        <v>0</v>
      </c>
      <c r="C162" s="944">
        <f t="shared" si="33"/>
        <v>0</v>
      </c>
      <c r="D162" s="947">
        <f t="shared" si="27"/>
        <v>0</v>
      </c>
      <c r="E162" s="947">
        <f t="shared" si="40"/>
        <v>0</v>
      </c>
      <c r="F162" s="947">
        <f t="shared" si="41"/>
        <v>0</v>
      </c>
      <c r="G162" s="947">
        <f>IF(M161&lt;0.01,0,IF($F$19=$U$4,$G$19,IF(AND($F$21=1,$F$19=$U$2),M161*Adm!$U$4,IF(AND($F$21=2,$F$19=$U$2),M161*Adm!$U$5,IF(AND($F$21=1,$F$19=$U$3),M161*Adm!$V$4,IF(AND($F$21=2,$F$19=$U$3),M161*Adm!$V$5,0))))))</f>
        <v>0</v>
      </c>
      <c r="H162" s="947">
        <f>IF(M161&lt;0.01,0,IF($F$20=$V$3,0,IF(OR($F$10=$T$16,$F$10=$T$17),0,IF($F$10=$T$13,0,$F$11*Adm!$AA$3))))</f>
        <v>0</v>
      </c>
      <c r="I162" s="947">
        <f t="shared" si="34"/>
        <v>0</v>
      </c>
      <c r="J162" s="947">
        <f t="shared" si="22"/>
        <v>0</v>
      </c>
      <c r="K162" s="947">
        <f t="shared" si="28"/>
        <v>0</v>
      </c>
      <c r="L162" s="947">
        <f t="shared" si="23"/>
        <v>0</v>
      </c>
      <c r="M162" s="947">
        <f t="shared" si="29"/>
        <v>0</v>
      </c>
      <c r="N162" s="946"/>
      <c r="P162" s="733"/>
      <c r="Q162" s="733"/>
      <c r="R162" s="733"/>
      <c r="S162" s="785">
        <f t="shared" si="30"/>
        <v>1</v>
      </c>
      <c r="T162" s="786">
        <f t="shared" si="35"/>
        <v>0</v>
      </c>
      <c r="W162" s="790">
        <f t="shared" si="36"/>
        <v>0</v>
      </c>
      <c r="X162" s="818">
        <f t="shared" ca="1" si="31"/>
        <v>0</v>
      </c>
      <c r="Z162" s="843">
        <f t="shared" si="37"/>
        <v>0</v>
      </c>
      <c r="AA162" s="792">
        <f t="shared" si="38"/>
        <v>0</v>
      </c>
      <c r="AB162" s="792">
        <f t="shared" si="39"/>
        <v>0</v>
      </c>
      <c r="AC162" s="789">
        <f t="shared" si="32"/>
        <v>0</v>
      </c>
      <c r="AD162" s="789">
        <f t="shared" si="24"/>
        <v>0</v>
      </c>
      <c r="AE162" s="828" t="e">
        <f>HLOOKUP($AE$39,anticipado,122,0)</f>
        <v>#N/A</v>
      </c>
      <c r="AF162" s="827"/>
      <c r="AG162" s="614">
        <v>1.2025604083588572E-2</v>
      </c>
      <c r="AH162" s="615">
        <v>1.1774299475643873E-2</v>
      </c>
      <c r="AI162" s="616">
        <v>1.1557969887787832E-2</v>
      </c>
      <c r="AJ162" s="616">
        <v>1.2031366081063749E-2</v>
      </c>
      <c r="AK162" s="617">
        <v>1.2025604083588572E-2</v>
      </c>
      <c r="AL162" s="617">
        <v>1.1774299475643873E-2</v>
      </c>
      <c r="AM162" s="617">
        <v>1.2197652133510548E-2</v>
      </c>
      <c r="AN162" s="617">
        <v>1.2135366541959382E-2</v>
      </c>
      <c r="AO162" s="617">
        <v>1.2134240547564283E-2</v>
      </c>
      <c r="AP162" s="617">
        <v>1.2388240962659518E-2</v>
      </c>
      <c r="AQ162" s="617">
        <v>1.2197652133510548E-2</v>
      </c>
      <c r="AR162" s="618">
        <v>1.2040501960209372E-2</v>
      </c>
      <c r="AS162" s="618">
        <v>4.1675587920480478E-3</v>
      </c>
      <c r="AT162" s="618">
        <v>4.0739116814524044E-3</v>
      </c>
      <c r="AU162" s="618">
        <v>3.882743522544709E-3</v>
      </c>
      <c r="AV162" s="618">
        <v>4.3460017863686173E-3</v>
      </c>
      <c r="AW162" s="618">
        <v>4.1675587920480478E-3</v>
      </c>
      <c r="AX162" s="618">
        <v>4.0096684204445421E-3</v>
      </c>
      <c r="AY162" s="618">
        <v>4.4438455680711475E-3</v>
      </c>
      <c r="AZ162" s="618">
        <v>4.3731500611422997E-3</v>
      </c>
      <c r="BA162" s="618">
        <v>4.1883118405781792E-3</v>
      </c>
      <c r="BB162" s="618">
        <v>4.5805086733481408E-3</v>
      </c>
      <c r="BC162" s="617">
        <v>4.4949200755281388E-3</v>
      </c>
      <c r="BD162" s="617">
        <v>4.3773759203361356E-3</v>
      </c>
      <c r="BE162" s="617">
        <v>1.2149620327614515E-2</v>
      </c>
      <c r="BF162" s="617">
        <v>1.176158546904197E-2</v>
      </c>
      <c r="BG162" s="617">
        <v>4.6901143529175498E-3</v>
      </c>
      <c r="BH162" s="617">
        <v>4.4690579900355624E-3</v>
      </c>
      <c r="BI162" s="617"/>
      <c r="BJ162" s="617"/>
      <c r="BK162" s="617"/>
      <c r="BL162" s="617"/>
      <c r="BM162" s="617"/>
      <c r="BN162" s="617"/>
      <c r="BO162" s="617"/>
      <c r="BP162" s="617"/>
      <c r="BQ162" s="617"/>
      <c r="BR162" s="617"/>
      <c r="BS162" s="617"/>
      <c r="BT162" s="617"/>
      <c r="BU162" s="617"/>
      <c r="BV162" s="617"/>
      <c r="BW162" s="617"/>
      <c r="BX162" s="617"/>
      <c r="BY162" s="617"/>
      <c r="BZ162" s="617"/>
      <c r="CA162" s="617"/>
      <c r="CB162" s="617"/>
      <c r="CC162" s="617"/>
      <c r="CD162" s="617"/>
      <c r="CE162" s="617"/>
      <c r="CF162" s="617"/>
      <c r="CG162" s="617"/>
      <c r="CH162" s="617"/>
      <c r="CI162" s="617"/>
      <c r="CJ162" s="617"/>
    </row>
    <row r="163" spans="1:88">
      <c r="A163" s="151">
        <f t="shared" ca="1" si="25"/>
        <v>1</v>
      </c>
      <c r="B163" s="784">
        <f t="shared" si="26"/>
        <v>0</v>
      </c>
      <c r="C163" s="944">
        <f t="shared" si="33"/>
        <v>0</v>
      </c>
      <c r="D163" s="947">
        <f t="shared" si="27"/>
        <v>0</v>
      </c>
      <c r="E163" s="947">
        <f t="shared" si="40"/>
        <v>0</v>
      </c>
      <c r="F163" s="947">
        <f t="shared" si="41"/>
        <v>0</v>
      </c>
      <c r="G163" s="947">
        <f>IF(M162&lt;0.01,0,IF($F$19=$U$4,$G$19,IF(AND($F$21=1,$F$19=$U$2),M162*Adm!$U$4,IF(AND($F$21=2,$F$19=$U$2),M162*Adm!$U$5,IF(AND($F$21=1,$F$19=$U$3),M162*Adm!$V$4,IF(AND($F$21=2,$F$19=$U$3),M162*Adm!$V$5,0))))))</f>
        <v>0</v>
      </c>
      <c r="H163" s="947">
        <f>IF(M162&lt;0.01,0,IF($F$20=$V$3,0,IF(OR($F$10=$T$16,$F$10=$T$17),0,IF($F$10=$T$13,0,$F$11*Adm!$AA$3))))</f>
        <v>0</v>
      </c>
      <c r="I163" s="947">
        <f t="shared" si="34"/>
        <v>0</v>
      </c>
      <c r="J163" s="947">
        <f t="shared" si="22"/>
        <v>0</v>
      </c>
      <c r="K163" s="947">
        <f t="shared" si="28"/>
        <v>0</v>
      </c>
      <c r="L163" s="947">
        <f t="shared" si="23"/>
        <v>0</v>
      </c>
      <c r="M163" s="947">
        <f t="shared" si="29"/>
        <v>0</v>
      </c>
      <c r="N163" s="946"/>
      <c r="P163" s="733"/>
      <c r="Q163" s="733"/>
      <c r="R163" s="733"/>
      <c r="S163" s="785">
        <f t="shared" si="30"/>
        <v>2</v>
      </c>
      <c r="T163" s="786">
        <f t="shared" si="35"/>
        <v>0</v>
      </c>
      <c r="W163" s="790">
        <f t="shared" si="36"/>
        <v>0</v>
      </c>
      <c r="X163" s="818">
        <f t="shared" ca="1" si="31"/>
        <v>0</v>
      </c>
      <c r="Z163" s="843">
        <f t="shared" si="37"/>
        <v>0</v>
      </c>
      <c r="AA163" s="792">
        <f t="shared" si="38"/>
        <v>0</v>
      </c>
      <c r="AB163" s="792">
        <f t="shared" si="39"/>
        <v>0</v>
      </c>
      <c r="AC163" s="789">
        <f t="shared" si="32"/>
        <v>0</v>
      </c>
      <c r="AD163" s="789">
        <f t="shared" si="24"/>
        <v>0</v>
      </c>
      <c r="AE163" s="828" t="e">
        <f>HLOOKUP($AE$39,anticipado,123,0)</f>
        <v>#N/A</v>
      </c>
      <c r="AF163" s="827"/>
      <c r="AG163" s="614">
        <v>1.2276962812946964E-2</v>
      </c>
      <c r="AH163" s="615">
        <v>1.2022710234191601E-2</v>
      </c>
      <c r="AI163" s="616">
        <v>1.1803131357965744E-2</v>
      </c>
      <c r="AJ163" s="616">
        <v>1.2279263518282919E-2</v>
      </c>
      <c r="AK163" s="617">
        <v>1.2276962812946964E-2</v>
      </c>
      <c r="AL163" s="617">
        <v>1.2022710234191601E-2</v>
      </c>
      <c r="AM163" s="617">
        <v>1.2446029214367877E-2</v>
      </c>
      <c r="AN163" s="617">
        <v>1.2386198891761752E-2</v>
      </c>
      <c r="AO163" s="617">
        <v>1.2388720493475246E-2</v>
      </c>
      <c r="AP163" s="617">
        <v>1.2639279743051178E-2</v>
      </c>
      <c r="AQ163" s="617">
        <v>1.2446029214367877E-2</v>
      </c>
      <c r="AR163" s="618">
        <v>1.2287685667227452E-2</v>
      </c>
      <c r="AS163" s="618">
        <v>4.2229789009331012E-3</v>
      </c>
      <c r="AT163" s="618">
        <v>4.1290618337600626E-3</v>
      </c>
      <c r="AU163" s="618">
        <v>3.9364994573835793E-3</v>
      </c>
      <c r="AV163" s="618">
        <v>4.4026198454892454E-3</v>
      </c>
      <c r="AW163" s="618">
        <v>4.2229789009331012E-3</v>
      </c>
      <c r="AX163" s="618">
        <v>4.06402223816361E-3</v>
      </c>
      <c r="AY163" s="618">
        <v>4.500655640816191E-3</v>
      </c>
      <c r="AZ163" s="618">
        <v>4.4300595811619945E-3</v>
      </c>
      <c r="BA163" s="618">
        <v>4.2442716165911835E-3</v>
      </c>
      <c r="BB163" s="618">
        <v>4.6380155039216506E-3</v>
      </c>
      <c r="BC163" s="617">
        <v>4.5518641088384019E-3</v>
      </c>
      <c r="BD163" s="617">
        <v>4.4339928692759033E-3</v>
      </c>
      <c r="BE163" s="617">
        <v>1.2398876386525631E-2</v>
      </c>
      <c r="BF163" s="617">
        <v>1.2010069380745498E-2</v>
      </c>
      <c r="BG163" s="617">
        <v>4.7481458217267713E-3</v>
      </c>
      <c r="BH163" s="617">
        <v>4.5261179599361354E-3</v>
      </c>
      <c r="BI163" s="617"/>
      <c r="BJ163" s="617"/>
      <c r="BK163" s="617"/>
      <c r="BL163" s="617"/>
      <c r="BM163" s="617"/>
      <c r="BN163" s="617"/>
      <c r="BO163" s="617"/>
      <c r="BP163" s="617"/>
      <c r="BQ163" s="617"/>
      <c r="BR163" s="617"/>
      <c r="BS163" s="617"/>
      <c r="BT163" s="617"/>
      <c r="BU163" s="617"/>
      <c r="BV163" s="617"/>
      <c r="BW163" s="617"/>
      <c r="BX163" s="617"/>
      <c r="BY163" s="617"/>
      <c r="BZ163" s="617"/>
      <c r="CA163" s="617"/>
      <c r="CB163" s="617"/>
      <c r="CC163" s="617"/>
      <c r="CD163" s="617"/>
      <c r="CE163" s="617"/>
      <c r="CF163" s="617"/>
      <c r="CG163" s="617"/>
      <c r="CH163" s="617"/>
      <c r="CI163" s="617"/>
      <c r="CJ163" s="617"/>
    </row>
    <row r="164" spans="1:88">
      <c r="A164" s="151">
        <f t="shared" ca="1" si="25"/>
        <v>2</v>
      </c>
      <c r="B164" s="784">
        <f t="shared" si="26"/>
        <v>0</v>
      </c>
      <c r="C164" s="944">
        <f t="shared" si="33"/>
        <v>0</v>
      </c>
      <c r="D164" s="947">
        <f t="shared" si="27"/>
        <v>0</v>
      </c>
      <c r="E164" s="947">
        <f t="shared" si="40"/>
        <v>0</v>
      </c>
      <c r="F164" s="947">
        <f t="shared" si="41"/>
        <v>0</v>
      </c>
      <c r="G164" s="947">
        <f>IF(M163&lt;0.01,0,IF($F$19=$U$4,$G$19,IF(AND($F$21=1,$F$19=$U$2),M163*Adm!$U$4,IF(AND($F$21=2,$F$19=$U$2),M163*Adm!$U$5,IF(AND($F$21=1,$F$19=$U$3),M163*Adm!$V$4,IF(AND($F$21=2,$F$19=$U$3),M163*Adm!$V$5,0))))))</f>
        <v>0</v>
      </c>
      <c r="H164" s="947">
        <f>IF(M163&lt;0.01,0,IF($F$20=$V$3,0,IF(OR($F$10=$T$16,$F$10=$T$17),0,IF($F$10=$T$13,0,$F$11*Adm!$AA$3))))</f>
        <v>0</v>
      </c>
      <c r="I164" s="947">
        <f t="shared" si="34"/>
        <v>0</v>
      </c>
      <c r="J164" s="947">
        <f t="shared" si="22"/>
        <v>0</v>
      </c>
      <c r="K164" s="947">
        <f t="shared" si="28"/>
        <v>0</v>
      </c>
      <c r="L164" s="947">
        <f t="shared" si="23"/>
        <v>0</v>
      </c>
      <c r="M164" s="947">
        <f t="shared" si="29"/>
        <v>0</v>
      </c>
      <c r="N164" s="946"/>
      <c r="P164" s="733"/>
      <c r="Q164" s="733"/>
      <c r="R164" s="733"/>
      <c r="S164" s="785">
        <f t="shared" si="30"/>
        <v>3</v>
      </c>
      <c r="T164" s="786">
        <f t="shared" si="35"/>
        <v>0</v>
      </c>
      <c r="W164" s="790">
        <f t="shared" si="36"/>
        <v>0</v>
      </c>
      <c r="X164" s="818">
        <f t="shared" ca="1" si="31"/>
        <v>0</v>
      </c>
      <c r="Z164" s="843">
        <f t="shared" si="37"/>
        <v>0</v>
      </c>
      <c r="AA164" s="792">
        <f t="shared" si="38"/>
        <v>0</v>
      </c>
      <c r="AB164" s="792">
        <f t="shared" si="39"/>
        <v>0</v>
      </c>
      <c r="AC164" s="789">
        <f t="shared" si="32"/>
        <v>0</v>
      </c>
      <c r="AD164" s="789">
        <f t="shared" si="24"/>
        <v>0</v>
      </c>
      <c r="AE164" s="828" t="e">
        <f>HLOOKUP($AE$39,anticipado,124,0)</f>
        <v>#N/A</v>
      </c>
      <c r="AF164" s="827"/>
      <c r="AG164" s="614">
        <v>1.2536765015093591E-2</v>
      </c>
      <c r="AH164" s="615">
        <v>1.2279448581700327E-2</v>
      </c>
      <c r="AI164" s="616">
        <v>1.2056483409556737E-2</v>
      </c>
      <c r="AJ164" s="616">
        <v>1.2535414039372866E-2</v>
      </c>
      <c r="AK164" s="617">
        <v>1.2536765015093591E-2</v>
      </c>
      <c r="AL164" s="617">
        <v>1.2279448581700327E-2</v>
      </c>
      <c r="AM164" s="617">
        <v>1.2702657930687075E-2</v>
      </c>
      <c r="AN164" s="617">
        <v>1.2645426675792737E-2</v>
      </c>
      <c r="AO164" s="617">
        <v>1.2651796582646958E-2</v>
      </c>
      <c r="AP164" s="617">
        <v>1.2898684330664522E-2</v>
      </c>
      <c r="AQ164" s="617">
        <v>1.2702657930687075E-2</v>
      </c>
      <c r="AR164" s="618">
        <v>1.2543082127077259E-2</v>
      </c>
      <c r="AS164" s="618">
        <v>4.2793741411664143E-3</v>
      </c>
      <c r="AT164" s="618">
        <v>4.1851903335191768E-3</v>
      </c>
      <c r="AU164" s="618">
        <v>3.9912150219419988E-3</v>
      </c>
      <c r="AV164" s="618">
        <v>4.4602291349616005E-3</v>
      </c>
      <c r="AW164" s="618">
        <v>4.2793741411664143E-3</v>
      </c>
      <c r="AX164" s="618">
        <v>4.1193376624408442E-3</v>
      </c>
      <c r="AY164" s="618">
        <v>4.5584520948416581E-3</v>
      </c>
      <c r="AZ164" s="618">
        <v>4.4879662169730683E-3</v>
      </c>
      <c r="BA164" s="618">
        <v>4.3012207754162309E-3</v>
      </c>
      <c r="BB164" s="618">
        <v>4.6965156390091651E-3</v>
      </c>
      <c r="BC164" s="617">
        <v>4.6097932248511742E-3</v>
      </c>
      <c r="BD164" s="617">
        <v>4.491597520040266E-3</v>
      </c>
      <c r="BE164" s="617">
        <v>1.2656439562829315E-2</v>
      </c>
      <c r="BF164" s="617">
        <v>1.2266887348069395E-2</v>
      </c>
      <c r="BG164" s="617">
        <v>4.8071756043776724E-3</v>
      </c>
      <c r="BH164" s="617">
        <v>4.5841692060307445E-3</v>
      </c>
      <c r="BI164" s="617"/>
      <c r="BJ164" s="617"/>
      <c r="BK164" s="617"/>
      <c r="BL164" s="617"/>
      <c r="BM164" s="617"/>
      <c r="BN164" s="617"/>
      <c r="BO164" s="617"/>
      <c r="BP164" s="617"/>
      <c r="BQ164" s="617"/>
      <c r="BR164" s="617"/>
      <c r="BS164" s="617"/>
      <c r="BT164" s="617"/>
      <c r="BU164" s="617"/>
      <c r="BV164" s="617"/>
      <c r="BW164" s="617"/>
      <c r="BX164" s="617"/>
      <c r="BY164" s="617"/>
      <c r="BZ164" s="617"/>
      <c r="CA164" s="617"/>
      <c r="CB164" s="617"/>
      <c r="CC164" s="617"/>
      <c r="CD164" s="617"/>
      <c r="CE164" s="617"/>
      <c r="CF164" s="617"/>
      <c r="CG164" s="617"/>
      <c r="CH164" s="617"/>
      <c r="CI164" s="617"/>
      <c r="CJ164" s="617"/>
    </row>
    <row r="165" spans="1:88">
      <c r="A165" s="151">
        <f t="shared" ca="1" si="25"/>
        <v>3</v>
      </c>
      <c r="B165" s="784">
        <f t="shared" si="26"/>
        <v>0</v>
      </c>
      <c r="C165" s="944">
        <f t="shared" si="33"/>
        <v>0</v>
      </c>
      <c r="D165" s="947">
        <f t="shared" si="27"/>
        <v>0</v>
      </c>
      <c r="E165" s="947">
        <f t="shared" si="40"/>
        <v>0</v>
      </c>
      <c r="F165" s="947">
        <f t="shared" si="41"/>
        <v>0</v>
      </c>
      <c r="G165" s="947">
        <f>IF(M164&lt;0.01,0,IF($F$19=$U$4,$G$19,IF(AND($F$21=1,$F$19=$U$2),M164*Adm!$U$4,IF(AND($F$21=2,$F$19=$U$2),M164*Adm!$U$5,IF(AND($F$21=1,$F$19=$U$3),M164*Adm!$V$4,IF(AND($F$21=2,$F$19=$U$3),M164*Adm!$V$5,0))))))</f>
        <v>0</v>
      </c>
      <c r="H165" s="947">
        <f>IF(M164&lt;0.01,0,IF($F$20=$V$3,0,IF(OR($F$10=$T$16,$F$10=$T$17),0,IF($F$10=$T$13,0,$F$11*Adm!$AA$3))))</f>
        <v>0</v>
      </c>
      <c r="I165" s="947">
        <f t="shared" si="34"/>
        <v>0</v>
      </c>
      <c r="J165" s="947">
        <f t="shared" si="22"/>
        <v>0</v>
      </c>
      <c r="K165" s="947">
        <f t="shared" si="28"/>
        <v>0</v>
      </c>
      <c r="L165" s="947">
        <f t="shared" si="23"/>
        <v>0</v>
      </c>
      <c r="M165" s="947">
        <f t="shared" si="29"/>
        <v>0</v>
      </c>
      <c r="N165" s="946"/>
      <c r="P165" s="733"/>
      <c r="Q165" s="733"/>
      <c r="R165" s="733"/>
      <c r="S165" s="785">
        <f t="shared" si="30"/>
        <v>4</v>
      </c>
      <c r="T165" s="786">
        <f t="shared" si="35"/>
        <v>0</v>
      </c>
      <c r="W165" s="790">
        <f t="shared" si="36"/>
        <v>0</v>
      </c>
      <c r="X165" s="818">
        <f t="shared" ca="1" si="31"/>
        <v>0</v>
      </c>
      <c r="Z165" s="843">
        <f t="shared" si="37"/>
        <v>0</v>
      </c>
      <c r="AA165" s="792">
        <f t="shared" si="38"/>
        <v>0</v>
      </c>
      <c r="AB165" s="792">
        <f t="shared" si="39"/>
        <v>0</v>
      </c>
      <c r="AC165" s="789">
        <f t="shared" si="32"/>
        <v>0</v>
      </c>
      <c r="AD165" s="789">
        <f t="shared" si="24"/>
        <v>0</v>
      </c>
      <c r="AE165" s="828" t="e">
        <f>HLOOKUP($AE$39,anticipado,125,0)</f>
        <v>#N/A</v>
      </c>
      <c r="AF165" s="827"/>
      <c r="AG165" s="614">
        <v>1.2805433321820893E-2</v>
      </c>
      <c r="AH165" s="615">
        <v>1.2544929393021929E-2</v>
      </c>
      <c r="AI165" s="616">
        <v>1.231843179284383E-2</v>
      </c>
      <c r="AJ165" s="616">
        <v>1.2800227512923311E-2</v>
      </c>
      <c r="AK165" s="617">
        <v>1.2805433321820893E-2</v>
      </c>
      <c r="AL165" s="617">
        <v>1.2544929393021929E-2</v>
      </c>
      <c r="AM165" s="617">
        <v>1.2967948047414243E-2</v>
      </c>
      <c r="AN165" s="617">
        <v>1.2913469289116172E-2</v>
      </c>
      <c r="AO165" s="617">
        <v>1.2923901745924903E-2</v>
      </c>
      <c r="AP165" s="617">
        <v>1.3166872125859526E-2</v>
      </c>
      <c r="AQ165" s="617">
        <v>1.2967948047414243E-2</v>
      </c>
      <c r="AR165" s="618">
        <v>1.2807098517455266E-2</v>
      </c>
      <c r="AS165" s="618">
        <v>4.3367681148243128E-3</v>
      </c>
      <c r="AT165" s="618">
        <v>4.2423209197453736E-3</v>
      </c>
      <c r="AU165" s="618">
        <v>4.046913412388429E-3</v>
      </c>
      <c r="AV165" s="618">
        <v>4.5188537343331479E-3</v>
      </c>
      <c r="AW165" s="618">
        <v>4.3367681148243128E-3</v>
      </c>
      <c r="AX165" s="618">
        <v>4.1756379049065736E-3</v>
      </c>
      <c r="AY165" s="618">
        <v>4.6172588261959623E-3</v>
      </c>
      <c r="AZ165" s="618">
        <v>4.546894234719657E-3</v>
      </c>
      <c r="BA165" s="618">
        <v>4.3591833816102729E-3</v>
      </c>
      <c r="BB165" s="618">
        <v>4.7560331719898848E-3</v>
      </c>
      <c r="BC165" s="617">
        <v>4.6687312656164392E-3</v>
      </c>
      <c r="BD165" s="617">
        <v>4.5502138281065842E-3</v>
      </c>
      <c r="BE165" s="617">
        <v>1.2922723330770677E-2</v>
      </c>
      <c r="BF165" s="617">
        <v>1.2532454680823747E-2</v>
      </c>
      <c r="BG165" s="617">
        <v>4.8672279377644173E-3</v>
      </c>
      <c r="BH165" s="617">
        <v>4.6432357790450853E-3</v>
      </c>
      <c r="BI165" s="617"/>
      <c r="BJ165" s="617"/>
      <c r="BK165" s="617"/>
      <c r="BL165" s="617"/>
      <c r="BM165" s="617"/>
      <c r="BN165" s="617"/>
      <c r="BO165" s="617"/>
      <c r="BP165" s="617"/>
      <c r="BQ165" s="617"/>
      <c r="BR165" s="617"/>
      <c r="BS165" s="617"/>
      <c r="BT165" s="617"/>
      <c r="BU165" s="617"/>
      <c r="BV165" s="617"/>
      <c r="BW165" s="617"/>
      <c r="BX165" s="617"/>
      <c r="BY165" s="617"/>
      <c r="BZ165" s="617"/>
      <c r="CA165" s="617"/>
      <c r="CB165" s="617"/>
      <c r="CC165" s="617"/>
      <c r="CD165" s="617"/>
      <c r="CE165" s="617"/>
      <c r="CF165" s="617"/>
      <c r="CG165" s="617"/>
      <c r="CH165" s="617"/>
      <c r="CI165" s="617"/>
      <c r="CJ165" s="617"/>
    </row>
    <row r="166" spans="1:88">
      <c r="A166" s="151">
        <f t="shared" ca="1" si="25"/>
        <v>4</v>
      </c>
      <c r="B166" s="784">
        <f t="shared" si="26"/>
        <v>0</v>
      </c>
      <c r="C166" s="944">
        <f t="shared" si="33"/>
        <v>0</v>
      </c>
      <c r="D166" s="947">
        <f t="shared" si="27"/>
        <v>0</v>
      </c>
      <c r="E166" s="947">
        <f t="shared" si="40"/>
        <v>0</v>
      </c>
      <c r="F166" s="947">
        <f t="shared" si="41"/>
        <v>0</v>
      </c>
      <c r="G166" s="947">
        <f>IF(M165&lt;0.01,0,IF($F$19=$U$4,$G$19,IF(AND($F$21=1,$F$19=$U$2),M165*Adm!$U$4,IF(AND($F$21=2,$F$19=$U$2),M165*Adm!$U$5,IF(AND($F$21=1,$F$19=$U$3),M165*Adm!$V$4,IF(AND($F$21=2,$F$19=$U$3),M165*Adm!$V$5,0))))))</f>
        <v>0</v>
      </c>
      <c r="H166" s="947">
        <f>IF(M165&lt;0.01,0,IF($F$20=$V$3,0,IF(OR($F$10=$T$16,$F$10=$T$17),0,IF($F$10=$T$13,0,$F$11*Adm!$AA$3))))</f>
        <v>0</v>
      </c>
      <c r="I166" s="947">
        <f t="shared" si="34"/>
        <v>0</v>
      </c>
      <c r="J166" s="947">
        <f t="shared" si="22"/>
        <v>0</v>
      </c>
      <c r="K166" s="947">
        <f t="shared" si="28"/>
        <v>0</v>
      </c>
      <c r="L166" s="947">
        <f t="shared" si="23"/>
        <v>0</v>
      </c>
      <c r="M166" s="947">
        <f t="shared" si="29"/>
        <v>0</v>
      </c>
      <c r="N166" s="946"/>
      <c r="P166" s="733"/>
      <c r="Q166" s="733"/>
      <c r="R166" s="733"/>
      <c r="S166" s="785">
        <f t="shared" si="30"/>
        <v>5</v>
      </c>
      <c r="T166" s="786">
        <f t="shared" si="35"/>
        <v>0</v>
      </c>
      <c r="W166" s="790">
        <f t="shared" si="36"/>
        <v>0</v>
      </c>
      <c r="X166" s="818">
        <f t="shared" ca="1" si="31"/>
        <v>0</v>
      </c>
      <c r="Z166" s="843">
        <f t="shared" si="37"/>
        <v>0</v>
      </c>
      <c r="AA166" s="792">
        <f t="shared" si="38"/>
        <v>0</v>
      </c>
      <c r="AB166" s="792">
        <f t="shared" si="39"/>
        <v>0</v>
      </c>
      <c r="AC166" s="789">
        <f t="shared" si="32"/>
        <v>0</v>
      </c>
      <c r="AD166" s="789">
        <f t="shared" si="24"/>
        <v>0</v>
      </c>
      <c r="AE166" s="828" t="e">
        <f>HLOOKUP($AE$39,anticipado,125,0)</f>
        <v>#N/A</v>
      </c>
      <c r="AF166" s="827"/>
      <c r="AG166" s="614">
        <v>1.3083419034286597E-2</v>
      </c>
      <c r="AH166" s="615">
        <v>1.2819595548263668E-2</v>
      </c>
      <c r="AI166" s="616">
        <v>1.2589409487377275E-2</v>
      </c>
      <c r="AJ166" s="616">
        <v>1.3074141391313337E-2</v>
      </c>
      <c r="AK166" s="617">
        <v>1.3083419034286597E-2</v>
      </c>
      <c r="AL166" s="617">
        <v>1.2819595548263668E-2</v>
      </c>
      <c r="AM166" s="617">
        <v>1.3242336906485939E-2</v>
      </c>
      <c r="AN166" s="617">
        <v>1.3190774521409562E-2</v>
      </c>
      <c r="AO166" s="617">
        <v>1.3205498467274444E-2</v>
      </c>
      <c r="AP166" s="617">
        <v>1.3444288756701828E-2</v>
      </c>
      <c r="AQ166" s="617">
        <v>1.3242336906485939E-2</v>
      </c>
      <c r="AR166" s="618">
        <v>1.3080169372177776E-2</v>
      </c>
      <c r="AS166" s="618">
        <v>4.3951851844329405E-3</v>
      </c>
      <c r="AT166" s="618">
        <v>4.3004780972622329E-3</v>
      </c>
      <c r="AU166" s="618">
        <v>4.1036185684735936E-3</v>
      </c>
      <c r="AV166" s="618">
        <v>4.5785185032277973E-3</v>
      </c>
      <c r="AW166" s="618">
        <v>4.3951851844329405E-3</v>
      </c>
      <c r="AX166" s="618">
        <v>4.2329469216360865E-3</v>
      </c>
      <c r="AY166" s="618">
        <v>4.6771005037214326E-3</v>
      </c>
      <c r="AZ166" s="618">
        <v>4.6068686882463662E-3</v>
      </c>
      <c r="BA166" s="618">
        <v>4.4181842789248671E-3</v>
      </c>
      <c r="BB166" s="618">
        <v>4.8165929772438828E-3</v>
      </c>
      <c r="BC166" s="617">
        <v>4.7287028438686715E-3</v>
      </c>
      <c r="BD166" s="617">
        <v>4.6098665240489438E-3</v>
      </c>
      <c r="BE166" s="617">
        <v>1.3198169055651016E-2</v>
      </c>
      <c r="BF166" s="617">
        <v>1.280721473086608E-2</v>
      </c>
      <c r="BG166" s="617">
        <v>4.9283278457672528E-3</v>
      </c>
      <c r="BH166" s="617">
        <v>4.7033425088087201E-3</v>
      </c>
      <c r="BI166" s="617"/>
      <c r="BJ166" s="617"/>
      <c r="BK166" s="617"/>
      <c r="BL166" s="617"/>
      <c r="BM166" s="617"/>
      <c r="BN166" s="617"/>
      <c r="BO166" s="617"/>
      <c r="BP166" s="617"/>
      <c r="BQ166" s="617"/>
      <c r="BR166" s="617"/>
      <c r="BS166" s="617"/>
      <c r="BT166" s="617"/>
      <c r="BU166" s="617"/>
      <c r="BV166" s="617"/>
      <c r="BW166" s="617"/>
      <c r="BX166" s="617"/>
      <c r="BY166" s="617"/>
      <c r="BZ166" s="617"/>
      <c r="CA166" s="617"/>
      <c r="CB166" s="617"/>
      <c r="CC166" s="617"/>
      <c r="CD166" s="617"/>
      <c r="CE166" s="617"/>
      <c r="CF166" s="617"/>
      <c r="CG166" s="617"/>
      <c r="CH166" s="617"/>
      <c r="CI166" s="617"/>
      <c r="CJ166" s="617"/>
    </row>
    <row r="167" spans="1:88">
      <c r="A167" s="151">
        <f t="shared" ca="1" si="25"/>
        <v>5</v>
      </c>
      <c r="B167" s="784">
        <f t="shared" si="26"/>
        <v>0</v>
      </c>
      <c r="C167" s="944">
        <f t="shared" si="33"/>
        <v>0</v>
      </c>
      <c r="D167" s="947">
        <f t="shared" si="27"/>
        <v>0</v>
      </c>
      <c r="E167" s="947">
        <f t="shared" si="40"/>
        <v>0</v>
      </c>
      <c r="F167" s="947">
        <f t="shared" si="41"/>
        <v>0</v>
      </c>
      <c r="G167" s="947">
        <f>IF(M166&lt;0.01,0,IF($F$19=$U$4,$G$19,IF(AND($F$21=1,$F$19=$U$2),M166*Adm!$U$4,IF(AND($F$21=2,$F$19=$U$2),M166*Adm!$U$5,IF(AND($F$21=1,$F$19=$U$3),M166*Adm!$V$4,IF(AND($F$21=2,$F$19=$U$3),M166*Adm!$V$5,0))))))</f>
        <v>0</v>
      </c>
      <c r="H167" s="947">
        <f>IF(M166&lt;0.01,0,IF($F$20=$V$3,0,IF(OR($F$10=$T$16,$F$10=$T$17),0,IF($F$10=$T$13,0,$F$11*Adm!$AA$3))))</f>
        <v>0</v>
      </c>
      <c r="I167" s="947">
        <f t="shared" si="34"/>
        <v>0</v>
      </c>
      <c r="J167" s="947">
        <f t="shared" si="22"/>
        <v>0</v>
      </c>
      <c r="K167" s="947">
        <f t="shared" si="28"/>
        <v>0</v>
      </c>
      <c r="L167" s="947">
        <f t="shared" si="23"/>
        <v>0</v>
      </c>
      <c r="M167" s="947">
        <f t="shared" si="29"/>
        <v>0</v>
      </c>
      <c r="N167" s="946"/>
      <c r="P167" s="733"/>
      <c r="Q167" s="733"/>
      <c r="R167" s="733"/>
      <c r="S167" s="785">
        <f t="shared" si="30"/>
        <v>6</v>
      </c>
      <c r="T167" s="786">
        <f t="shared" si="35"/>
        <v>0</v>
      </c>
      <c r="W167" s="790">
        <f t="shared" si="36"/>
        <v>0</v>
      </c>
      <c r="X167" s="818">
        <f t="shared" ca="1" si="31"/>
        <v>0</v>
      </c>
      <c r="Z167" s="843">
        <f t="shared" si="37"/>
        <v>0</v>
      </c>
      <c r="AA167" s="792">
        <f t="shared" si="38"/>
        <v>0</v>
      </c>
      <c r="AB167" s="792">
        <f t="shared" si="39"/>
        <v>0</v>
      </c>
      <c r="AC167" s="789">
        <f t="shared" si="32"/>
        <v>0</v>
      </c>
      <c r="AD167" s="789">
        <f t="shared" si="24"/>
        <v>0</v>
      </c>
      <c r="AE167" s="828" t="e">
        <f>HLOOKUP($AE$39,anticipado,127,0)</f>
        <v>#N/A</v>
      </c>
      <c r="AF167" s="827"/>
      <c r="AG167" s="614">
        <v>1.3371204596182353E-2</v>
      </c>
      <c r="AH167" s="615">
        <v>1.3103920336677025E-2</v>
      </c>
      <c r="AI167" s="616">
        <v>1.2869879025408221E-2</v>
      </c>
      <c r="AJ167" s="616">
        <v>1.3357623071079178E-2</v>
      </c>
      <c r="AK167" s="617">
        <v>1.3371204596182353E-2</v>
      </c>
      <c r="AL167" s="617">
        <v>1.3103920336677025E-2</v>
      </c>
      <c r="AM167" s="617">
        <v>1.3526291786595817E-2</v>
      </c>
      <c r="AN167" s="617">
        <v>1.3477821001566824E-2</v>
      </c>
      <c r="AO167" s="617">
        <v>1.3497081349525722E-2</v>
      </c>
      <c r="AP167" s="617">
        <v>1.3731410506355939E-2</v>
      </c>
      <c r="AQ167" s="617">
        <v>1.3526291786595817E-2</v>
      </c>
      <c r="AR167" s="618">
        <v>1.3362758918014007E-2</v>
      </c>
      <c r="AS167" s="618">
        <v>4.4546505038781433E-3</v>
      </c>
      <c r="AT167" s="618">
        <v>4.3596871678703158E-3</v>
      </c>
      <c r="AU167" s="618">
        <v>4.1613552036064184E-3</v>
      </c>
      <c r="AV167" s="618">
        <v>4.6392491132241157E-3</v>
      </c>
      <c r="AW167" s="618">
        <v>4.4546505038781433E-3</v>
      </c>
      <c r="AX167" s="618">
        <v>4.2912894432727E-3</v>
      </c>
      <c r="AY167" s="618">
        <v>4.7380026005770515E-3</v>
      </c>
      <c r="AZ167" s="618">
        <v>4.6679154513526973E-3</v>
      </c>
      <c r="BA167" s="618">
        <v>4.478249122136263E-3</v>
      </c>
      <c r="BB167" s="618">
        <v>4.8782207420814848E-3</v>
      </c>
      <c r="BC167" s="617">
        <v>4.7897333744471937E-3</v>
      </c>
      <c r="BD167" s="617">
        <v>4.6705811451723429E-3</v>
      </c>
      <c r="BE167" s="617">
        <v>1.34832483861052E-2</v>
      </c>
      <c r="BF167" s="617">
        <v>1.3091641299801846E-2</v>
      </c>
      <c r="BG167" s="617">
        <v>4.9905011714789617E-3</v>
      </c>
      <c r="BH167" s="617">
        <v>4.7645150360885787E-3</v>
      </c>
      <c r="BI167" s="617"/>
      <c r="BJ167" s="617"/>
      <c r="BK167" s="617"/>
      <c r="BL167" s="617"/>
      <c r="BM167" s="617"/>
      <c r="BN167" s="617"/>
      <c r="BO167" s="617"/>
      <c r="BP167" s="617"/>
      <c r="BQ167" s="617"/>
      <c r="BR167" s="617"/>
      <c r="BS167" s="617"/>
      <c r="BT167" s="617"/>
      <c r="BU167" s="617"/>
      <c r="BV167" s="617"/>
      <c r="BW167" s="617"/>
      <c r="BX167" s="617"/>
      <c r="BY167" s="617"/>
      <c r="BZ167" s="617"/>
      <c r="CA167" s="617"/>
      <c r="CB167" s="617"/>
      <c r="CC167" s="617"/>
      <c r="CD167" s="617"/>
      <c r="CE167" s="617"/>
      <c r="CF167" s="617"/>
      <c r="CG167" s="617"/>
      <c r="CH167" s="617"/>
      <c r="CI167" s="617"/>
      <c r="CJ167" s="617"/>
    </row>
    <row r="168" spans="1:88">
      <c r="A168" s="151">
        <f t="shared" ca="1" si="25"/>
        <v>6</v>
      </c>
      <c r="B168" s="784">
        <f t="shared" si="26"/>
        <v>0</v>
      </c>
      <c r="C168" s="944">
        <f t="shared" si="33"/>
        <v>0</v>
      </c>
      <c r="D168" s="947">
        <f t="shared" si="27"/>
        <v>0</v>
      </c>
      <c r="E168" s="947">
        <f t="shared" si="40"/>
        <v>0</v>
      </c>
      <c r="F168" s="947">
        <f t="shared" si="41"/>
        <v>0</v>
      </c>
      <c r="G168" s="947">
        <f>IF(M167&lt;0.01,0,IF($F$19=$U$4,$G$19,IF(AND($F$21=1,$F$19=$U$2),M167*Adm!$U$4,IF(AND($F$21=2,$F$19=$U$2),M167*Adm!$U$5,IF(AND($F$21=1,$F$19=$U$3),M167*Adm!$V$4,IF(AND($F$21=2,$F$19=$U$3),M167*Adm!$V$5,0))))))</f>
        <v>0</v>
      </c>
      <c r="H168" s="947">
        <f>IF(M167&lt;0.01,0,IF($F$20=$V$3,0,IF(OR($F$10=$T$16,$F$10=$T$17),0,IF($F$10=$T$13,0,$F$11*Adm!$AA$3))))</f>
        <v>0</v>
      </c>
      <c r="I168" s="947">
        <f t="shared" si="34"/>
        <v>0</v>
      </c>
      <c r="J168" s="947">
        <f t="shared" si="22"/>
        <v>0</v>
      </c>
      <c r="K168" s="947">
        <f t="shared" si="28"/>
        <v>0</v>
      </c>
      <c r="L168" s="947">
        <f t="shared" si="23"/>
        <v>0</v>
      </c>
      <c r="M168" s="947">
        <f t="shared" si="29"/>
        <v>0</v>
      </c>
      <c r="N168" s="946"/>
      <c r="P168" s="733"/>
      <c r="Q168" s="733"/>
      <c r="R168" s="733"/>
      <c r="S168" s="785">
        <f t="shared" si="30"/>
        <v>7</v>
      </c>
      <c r="T168" s="786">
        <f t="shared" si="35"/>
        <v>0</v>
      </c>
      <c r="W168" s="790">
        <f t="shared" si="36"/>
        <v>0</v>
      </c>
      <c r="X168" s="818">
        <f t="shared" ca="1" si="31"/>
        <v>0</v>
      </c>
      <c r="Z168" s="843">
        <f t="shared" si="37"/>
        <v>0</v>
      </c>
      <c r="AA168" s="792">
        <f t="shared" si="38"/>
        <v>0</v>
      </c>
      <c r="AB168" s="792">
        <f t="shared" si="39"/>
        <v>0</v>
      </c>
      <c r="AC168" s="789">
        <f t="shared" si="32"/>
        <v>0</v>
      </c>
      <c r="AD168" s="789">
        <f t="shared" si="24"/>
        <v>0</v>
      </c>
      <c r="AE168" s="828" t="e">
        <f>HLOOKUP($AE$39,anticipado,128,0)</f>
        <v>#N/A</v>
      </c>
      <c r="AF168" s="827"/>
      <c r="AG168" s="614">
        <v>1.3669306327416197E-2</v>
      </c>
      <c r="AH168" s="615">
        <v>1.3398410112484492E-2</v>
      </c>
      <c r="AI168" s="616">
        <v>1.316033505736101E-2</v>
      </c>
      <c r="AJ168" s="616">
        <v>1.3651172499877557E-2</v>
      </c>
      <c r="AK168" s="617">
        <v>1.3669306327416197E-2</v>
      </c>
      <c r="AL168" s="617">
        <v>1.3398410112484492E-2</v>
      </c>
      <c r="AM168" s="617">
        <v>1.3820312509491693E-2</v>
      </c>
      <c r="AN168" s="617">
        <v>1.3775120899285313E-2</v>
      </c>
      <c r="AO168" s="617">
        <v>1.3799179952146688E-2</v>
      </c>
      <c r="AP168" s="617">
        <v>1.402874699534986E-2</v>
      </c>
      <c r="AQ168" s="617">
        <v>1.3820312509491693E-2</v>
      </c>
      <c r="AR168" s="618">
        <v>1.3655363655225902E-2</v>
      </c>
      <c r="AS168" s="618">
        <v>4.5151900508358976E-3</v>
      </c>
      <c r="AT168" s="618">
        <v>4.4199742630516379E-3</v>
      </c>
      <c r="AU168" s="618">
        <v>4.2201488364025088E-3</v>
      </c>
      <c r="AV168" s="618">
        <v>4.7010720813100955E-3</v>
      </c>
      <c r="AW168" s="618">
        <v>4.5151900508358976E-3</v>
      </c>
      <c r="AX168" s="618">
        <v>4.3506910066261071E-3</v>
      </c>
      <c r="AY168" s="618">
        <v>4.7999914273172068E-3</v>
      </c>
      <c r="AZ168" s="618">
        <v>4.7300612516458776E-3</v>
      </c>
      <c r="BA168" s="618">
        <v>4.539404410449188E-3</v>
      </c>
      <c r="BB168" s="618">
        <v>4.9409430002522363E-3</v>
      </c>
      <c r="BC168" s="617">
        <v>4.8518491072666462E-3</v>
      </c>
      <c r="BD168" s="617">
        <v>4.7323840687093378E-3</v>
      </c>
      <c r="BE168" s="617">
        <v>1.3778465896906556E-2</v>
      </c>
      <c r="BF168" s="617">
        <v>1.3386241299092013E-2</v>
      </c>
      <c r="BG168" s="617">
        <v>5.0537746110282163E-3</v>
      </c>
      <c r="BH168" s="617">
        <v>4.8267798459964819E-3</v>
      </c>
      <c r="BI168" s="617"/>
      <c r="BJ168" s="617"/>
      <c r="BK168" s="617"/>
      <c r="BL168" s="617"/>
      <c r="BM168" s="617"/>
      <c r="BN168" s="617"/>
      <c r="BO168" s="617"/>
      <c r="BP168" s="617"/>
      <c r="BQ168" s="617"/>
      <c r="BR168" s="617"/>
      <c r="BS168" s="617"/>
      <c r="BT168" s="617"/>
      <c r="BU168" s="617"/>
      <c r="BV168" s="617"/>
      <c r="BW168" s="617"/>
      <c r="BX168" s="617"/>
      <c r="BY168" s="617"/>
      <c r="BZ168" s="617"/>
      <c r="CA168" s="617"/>
      <c r="CB168" s="617"/>
      <c r="CC168" s="617"/>
      <c r="CD168" s="617"/>
      <c r="CE168" s="617"/>
      <c r="CF168" s="617"/>
      <c r="CG168" s="617"/>
      <c r="CH168" s="617"/>
      <c r="CI168" s="617"/>
      <c r="CJ168" s="617"/>
    </row>
    <row r="169" spans="1:88">
      <c r="A169" s="151">
        <f t="shared" ca="1" si="25"/>
        <v>7</v>
      </c>
      <c r="B169" s="784">
        <f t="shared" si="26"/>
        <v>0</v>
      </c>
      <c r="C169" s="944">
        <f t="shared" si="33"/>
        <v>0</v>
      </c>
      <c r="D169" s="947">
        <f t="shared" si="27"/>
        <v>0</v>
      </c>
      <c r="E169" s="947">
        <f t="shared" si="40"/>
        <v>0</v>
      </c>
      <c r="F169" s="947">
        <f t="shared" si="41"/>
        <v>0</v>
      </c>
      <c r="G169" s="947">
        <f>IF(M168&lt;0.01,0,IF($F$19=$U$4,$G$19,IF(AND($F$21=1,$F$19=$U$2),M168*Adm!$U$4,IF(AND($F$21=2,$F$19=$U$2),M168*Adm!$U$5,IF(AND($F$21=1,$F$19=$U$3),M168*Adm!$V$4,IF(AND($F$21=2,$F$19=$U$3),M168*Adm!$V$5,0))))))</f>
        <v>0</v>
      </c>
      <c r="H169" s="947">
        <f>IF(M168&lt;0.01,0,IF($F$20=$V$3,0,IF(OR($F$10=$T$16,$F$10=$T$17),0,IF($F$10=$T$13,0,$F$11*Adm!$AA$3))))</f>
        <v>0</v>
      </c>
      <c r="I169" s="947">
        <f t="shared" si="34"/>
        <v>0</v>
      </c>
      <c r="J169" s="947">
        <f t="shared" si="22"/>
        <v>0</v>
      </c>
      <c r="K169" s="947">
        <f t="shared" si="28"/>
        <v>0</v>
      </c>
      <c r="L169" s="947">
        <f t="shared" si="23"/>
        <v>0</v>
      </c>
      <c r="M169" s="947">
        <f t="shared" si="29"/>
        <v>0</v>
      </c>
      <c r="N169" s="946"/>
      <c r="P169" s="733"/>
      <c r="Q169" s="733"/>
      <c r="R169" s="733"/>
      <c r="S169" s="785">
        <f t="shared" si="30"/>
        <v>8</v>
      </c>
      <c r="T169" s="786">
        <f t="shared" si="35"/>
        <v>0</v>
      </c>
      <c r="W169" s="790">
        <f t="shared" si="36"/>
        <v>0</v>
      </c>
      <c r="X169" s="818">
        <f t="shared" ca="1" si="31"/>
        <v>0</v>
      </c>
      <c r="Z169" s="843">
        <f t="shared" si="37"/>
        <v>0</v>
      </c>
      <c r="AA169" s="792">
        <f t="shared" si="38"/>
        <v>0</v>
      </c>
      <c r="AB169" s="792">
        <f t="shared" si="39"/>
        <v>0</v>
      </c>
      <c r="AC169" s="789">
        <f t="shared" si="32"/>
        <v>0</v>
      </c>
      <c r="AD169" s="789">
        <f t="shared" si="24"/>
        <v>0</v>
      </c>
      <c r="AE169" s="828" t="e">
        <f>HLOOKUP($AE$39,anticipado,129,0)</f>
        <v>#N/A</v>
      </c>
      <c r="AF169" s="827"/>
      <c r="AG169" s="614">
        <v>1.3978277450896076E-2</v>
      </c>
      <c r="AH169" s="615">
        <v>1.3703607233996787E-2</v>
      </c>
      <c r="AI169" s="616">
        <v>1.3461307189280005E-2</v>
      </c>
      <c r="AJ169" s="616">
        <v>1.3955325060633616E-2</v>
      </c>
      <c r="AK169" s="617">
        <v>1.3978277450896076E-2</v>
      </c>
      <c r="AL169" s="617">
        <v>1.3703607233996787E-2</v>
      </c>
      <c r="AM169" s="617">
        <v>1.4124934323383711E-2</v>
      </c>
      <c r="AN169" s="617">
        <v>1.4083222915716643E-2</v>
      </c>
      <c r="AO169" s="617">
        <v>1.4112361935297612E-2</v>
      </c>
      <c r="AP169" s="617">
        <v>1.4336844150488364E-2</v>
      </c>
      <c r="AQ169" s="617">
        <v>1.4124934323383711E-2</v>
      </c>
      <c r="AR169" s="618">
        <v>1.3958515211991131E-2</v>
      </c>
      <c r="AS169" s="618">
        <v>4.576830660811289E-3</v>
      </c>
      <c r="AT169" s="618">
        <v>4.4813663782985675E-3</v>
      </c>
      <c r="AU169" s="618">
        <v>4.2800258237899041E-3</v>
      </c>
      <c r="AV169" s="618">
        <v>4.7640148050061568E-3</v>
      </c>
      <c r="AW169" s="618">
        <v>4.576830660811289E-3</v>
      </c>
      <c r="AX169" s="618">
        <v>4.4111779878309486E-3</v>
      </c>
      <c r="AY169" s="618">
        <v>4.8630941666168151E-3</v>
      </c>
      <c r="AZ169" s="618">
        <v>4.7933337060852002E-3</v>
      </c>
      <c r="BA169" s="618">
        <v>4.6016775225658502E-3</v>
      </c>
      <c r="BB169" s="618">
        <v>5.0047871671253944E-3</v>
      </c>
      <c r="BC169" s="617">
        <v>4.9150771619275386E-3</v>
      </c>
      <c r="BD169" s="617">
        <v>4.7953025466698678E-3</v>
      </c>
      <c r="BE169" s="617">
        <v>1.408436201345181E-2</v>
      </c>
      <c r="BF169" s="617">
        <v>1.3691557693987562E-2</v>
      </c>
      <c r="BG169" s="617">
        <v>5.1181757490928502E-3</v>
      </c>
      <c r="BH169" s="617">
        <v>4.8901643030622027E-3</v>
      </c>
      <c r="BI169" s="617"/>
      <c r="BJ169" s="617"/>
      <c r="BK169" s="617"/>
      <c r="BL169" s="617"/>
      <c r="BM169" s="617"/>
      <c r="BN169" s="617"/>
      <c r="BO169" s="617"/>
      <c r="BP169" s="617"/>
      <c r="BQ169" s="617"/>
      <c r="BR169" s="617"/>
      <c r="BS169" s="617"/>
      <c r="BT169" s="617"/>
      <c r="BU169" s="617"/>
      <c r="BV169" s="617"/>
      <c r="BW169" s="617"/>
      <c r="BX169" s="617"/>
      <c r="BY169" s="617"/>
      <c r="BZ169" s="617"/>
      <c r="CA169" s="617"/>
      <c r="CB169" s="617"/>
      <c r="CC169" s="617"/>
      <c r="CD169" s="617"/>
      <c r="CE169" s="617"/>
      <c r="CF169" s="617"/>
      <c r="CG169" s="617"/>
      <c r="CH169" s="617"/>
      <c r="CI169" s="617"/>
      <c r="CJ169" s="617"/>
    </row>
    <row r="170" spans="1:88">
      <c r="A170" s="151">
        <f t="shared" ca="1" si="25"/>
        <v>8</v>
      </c>
      <c r="B170" s="784">
        <f t="shared" si="26"/>
        <v>0</v>
      </c>
      <c r="C170" s="944">
        <f t="shared" si="33"/>
        <v>0</v>
      </c>
      <c r="D170" s="947">
        <f t="shared" si="27"/>
        <v>0</v>
      </c>
      <c r="E170" s="947">
        <f t="shared" si="40"/>
        <v>0</v>
      </c>
      <c r="F170" s="947">
        <f t="shared" si="41"/>
        <v>0</v>
      </c>
      <c r="G170" s="947">
        <f>IF(M169&lt;0.01,0,IF($F$19=$U$4,$G$19,IF(AND($F$21=1,$F$19=$U$2),M169*Adm!$U$4,IF(AND($F$21=2,$F$19=$U$2),M169*Adm!$U$5,IF(AND($F$21=1,$F$19=$U$3),M169*Adm!$V$4,IF(AND($F$21=2,$F$19=$U$3),M169*Adm!$V$5,0))))))</f>
        <v>0</v>
      </c>
      <c r="H170" s="947">
        <f>IF(M169&lt;0.01,0,IF($F$20=$V$3,0,IF(OR($F$10=$T$16,$F$10=$T$17),0,IF($F$10=$T$13,0,$F$11*Adm!$AA$3))))</f>
        <v>0</v>
      </c>
      <c r="I170" s="947">
        <f t="shared" si="34"/>
        <v>0</v>
      </c>
      <c r="J170" s="947">
        <f t="shared" ref="J170:J233" si="42">IF(M169&lt;0.01,0,IF($X$2&gt;0,D170*$X$3,0))</f>
        <v>0</v>
      </c>
      <c r="K170" s="947">
        <f t="shared" si="28"/>
        <v>0</v>
      </c>
      <c r="L170" s="947">
        <f t="shared" ref="L170:L233" si="43">IF($F$10=$T$2,MIN(M169+D170+G170+H170+I170-K170,X170),0)</f>
        <v>0</v>
      </c>
      <c r="M170" s="947">
        <f t="shared" si="29"/>
        <v>0</v>
      </c>
      <c r="N170" s="946"/>
      <c r="P170" s="733"/>
      <c r="Q170" s="733"/>
      <c r="R170" s="733"/>
      <c r="S170" s="785">
        <f t="shared" si="30"/>
        <v>9</v>
      </c>
      <c r="T170" s="786">
        <f t="shared" si="35"/>
        <v>0</v>
      </c>
      <c r="W170" s="790">
        <f t="shared" si="36"/>
        <v>0</v>
      </c>
      <c r="X170" s="818">
        <f t="shared" ca="1" si="31"/>
        <v>0</v>
      </c>
      <c r="Z170" s="843">
        <f t="shared" si="37"/>
        <v>0</v>
      </c>
      <c r="AA170" s="792">
        <f t="shared" si="38"/>
        <v>0</v>
      </c>
      <c r="AB170" s="792">
        <f t="shared" si="39"/>
        <v>0</v>
      </c>
      <c r="AC170" s="789">
        <f t="shared" si="32"/>
        <v>0</v>
      </c>
      <c r="AD170" s="789">
        <f t="shared" ref="AD170:AD233" si="44">IF(AND($Z$38=2,N169&lt;0.01),0,IF($Z$38=2,(M169*AE170)+D170,0))</f>
        <v>0</v>
      </c>
      <c r="AE170" s="828" t="e">
        <f>HLOOKUP($AE$39,anticipado,130,0)</f>
        <v>#N/A</v>
      </c>
      <c r="AF170" s="827"/>
      <c r="AG170" s="614">
        <v>1.4298711449744893E-2</v>
      </c>
      <c r="AH170" s="615">
        <v>1.4020093321912782E-2</v>
      </c>
      <c r="AI170" s="616">
        <v>1.377336312649439E-2</v>
      </c>
      <c r="AJ170" s="616">
        <v>1.4270654767877197E-2</v>
      </c>
      <c r="AK170" s="617">
        <v>1.4298711449744893E-2</v>
      </c>
      <c r="AL170" s="617">
        <v>1.4020093321912782E-2</v>
      </c>
      <c r="AM170" s="617">
        <v>1.4440731098457862E-2</v>
      </c>
      <c r="AN170" s="617">
        <v>1.4402715599920513E-2</v>
      </c>
      <c r="AO170" s="617">
        <v>1.4437236549440119E-2</v>
      </c>
      <c r="AP170" s="617">
        <v>1.4656287496802246E-2</v>
      </c>
      <c r="AQ170" s="617">
        <v>1.4440731098457862E-2</v>
      </c>
      <c r="AR170" s="618">
        <v>1.4272783507233131E-2</v>
      </c>
      <c r="AS170" s="618">
        <v>4.6396000628798435E-3</v>
      </c>
      <c r="AT170" s="618">
        <v>4.5438914091620519E-3</v>
      </c>
      <c r="AU170" s="618">
        <v>4.3410133957625715E-3</v>
      </c>
      <c r="AV170" s="618">
        <v>4.8281055992543146E-3</v>
      </c>
      <c r="AW170" s="618">
        <v>4.6396000628798435E-3</v>
      </c>
      <c r="AX170" s="618">
        <v>4.4727776371562642E-3</v>
      </c>
      <c r="AY170" s="618">
        <v>4.9273389097391866E-3</v>
      </c>
      <c r="AZ170" s="618">
        <v>4.8577613583173735E-3</v>
      </c>
      <c r="BA170" s="618">
        <v>4.6650967535178346E-3</v>
      </c>
      <c r="BB170" s="618">
        <v>5.069781576640035E-3</v>
      </c>
      <c r="BC170" s="617">
        <v>4.9794455640628354E-3</v>
      </c>
      <c r="BD170" s="617">
        <v>4.8593647424411907E-3</v>
      </c>
      <c r="BE170" s="617">
        <v>1.4401516253585772E-2</v>
      </c>
      <c r="BF170" s="617">
        <v>1.4008172767261386E-2</v>
      </c>
      <c r="BG170" s="617">
        <v>5.183733096202436E-3</v>
      </c>
      <c r="BH170" s="617">
        <v>4.9546966880697745E-3</v>
      </c>
      <c r="BI170" s="617"/>
      <c r="BJ170" s="617"/>
      <c r="BK170" s="617"/>
      <c r="BL170" s="617"/>
      <c r="BM170" s="617"/>
      <c r="BN170" s="617"/>
      <c r="BO170" s="617"/>
      <c r="BP170" s="617"/>
      <c r="BQ170" s="617"/>
      <c r="BR170" s="617"/>
      <c r="BS170" s="617"/>
      <c r="BT170" s="617"/>
      <c r="BU170" s="617"/>
      <c r="BV170" s="617"/>
      <c r="BW170" s="617"/>
      <c r="BX170" s="617"/>
      <c r="BY170" s="617"/>
      <c r="BZ170" s="617"/>
      <c r="CA170" s="617"/>
      <c r="CB170" s="617"/>
      <c r="CC170" s="617"/>
      <c r="CD170" s="617"/>
      <c r="CE170" s="617"/>
      <c r="CF170" s="617"/>
      <c r="CG170" s="617"/>
      <c r="CH170" s="617"/>
      <c r="CI170" s="617"/>
      <c r="CJ170" s="617"/>
    </row>
    <row r="171" spans="1:88">
      <c r="A171" s="151">
        <f t="shared" ref="A171:A234" ca="1" si="45">IF(A170=12,1,A170+1)</f>
        <v>9</v>
      </c>
      <c r="B171" s="784">
        <f t="shared" ref="B171:B234" si="46">IF(M170&gt;0,B170-1,0)</f>
        <v>0</v>
      </c>
      <c r="C171" s="944">
        <f t="shared" si="33"/>
        <v>0</v>
      </c>
      <c r="D171" s="947">
        <f t="shared" ref="D171:D234" si="47">IF(M170&lt;0.01,0,M170*$F$14/12)</f>
        <v>0</v>
      </c>
      <c r="E171" s="947">
        <f t="shared" si="40"/>
        <v>0</v>
      </c>
      <c r="F171" s="947">
        <f t="shared" si="41"/>
        <v>0</v>
      </c>
      <c r="G171" s="947">
        <f>IF(M170&lt;0.01,0,IF($F$19=$U$4,$G$19,IF(AND($F$21=1,$F$19=$U$2),M170*Adm!$U$4,IF(AND($F$21=2,$F$19=$U$2),M170*Adm!$U$5,IF(AND($F$21=1,$F$19=$U$3),M170*Adm!$V$4,IF(AND($F$21=2,$F$19=$U$3),M170*Adm!$V$5,0))))))</f>
        <v>0</v>
      </c>
      <c r="H171" s="947">
        <f>IF(M170&lt;0.01,0,IF($F$20=$V$3,0,IF(OR($F$10=$T$16,$F$10=$T$17),0,IF($F$10=$T$13,0,$F$11*Adm!$AA$3))))</f>
        <v>0</v>
      </c>
      <c r="I171" s="947">
        <f t="shared" si="34"/>
        <v>0</v>
      </c>
      <c r="J171" s="947">
        <f t="shared" si="42"/>
        <v>0</v>
      </c>
      <c r="K171" s="947">
        <f t="shared" ref="K171:K234" si="48">IF(M170&lt;0.01,0,F171+G171+H171+I171+J171)</f>
        <v>0</v>
      </c>
      <c r="L171" s="947">
        <f t="shared" si="43"/>
        <v>0</v>
      </c>
      <c r="M171" s="947">
        <f t="shared" ref="M171:M234" si="49">IF(M170&lt;0.001,0,+M170-E171-L171-N171)</f>
        <v>0</v>
      </c>
      <c r="N171" s="946"/>
      <c r="P171" s="733"/>
      <c r="Q171" s="733"/>
      <c r="R171" s="733"/>
      <c r="S171" s="785">
        <f t="shared" ref="S171:S234" si="50">IF(S170=12,1,S170+1)</f>
        <v>10</v>
      </c>
      <c r="T171" s="786">
        <f t="shared" si="35"/>
        <v>0</v>
      </c>
      <c r="W171" s="790">
        <f t="shared" si="36"/>
        <v>0</v>
      </c>
      <c r="X171" s="818">
        <f t="shared" ref="X171:X234" ca="1" si="51">IF(MOD(A171,2)=0,W171*0.05*2,0)</f>
        <v>0</v>
      </c>
      <c r="Z171" s="843">
        <f t="shared" si="37"/>
        <v>0</v>
      </c>
      <c r="AA171" s="792">
        <f t="shared" si="38"/>
        <v>0</v>
      </c>
      <c r="AB171" s="792">
        <f t="shared" si="39"/>
        <v>0</v>
      </c>
      <c r="AC171" s="789">
        <f t="shared" ref="AC171:AC234" si="52">IF(AND(AD171&gt;0.01,$Z$38=2),AD171,0)</f>
        <v>0</v>
      </c>
      <c r="AD171" s="789">
        <f t="shared" si="44"/>
        <v>0</v>
      </c>
      <c r="AE171" s="828" t="e">
        <f>HLOOKUP($AE$39,anticipado,131,0)</f>
        <v>#N/A</v>
      </c>
      <c r="AF171" s="827"/>
      <c r="AG171" s="614">
        <v>1.4631245797812149E-2</v>
      </c>
      <c r="AH171" s="615">
        <v>1.4348492877987321E-2</v>
      </c>
      <c r="AI171" s="616">
        <v>1.4097112162762132E-2</v>
      </c>
      <c r="AJ171" s="616">
        <v>1.4597777816416019E-2</v>
      </c>
      <c r="AK171" s="617">
        <v>1.4631245797812149E-2</v>
      </c>
      <c r="AL171" s="617">
        <v>1.4348492877987321E-2</v>
      </c>
      <c r="AM171" s="617">
        <v>1.4768318874632163E-2</v>
      </c>
      <c r="AN171" s="617">
        <v>1.4734231033295938E-2</v>
      </c>
      <c r="AO171" s="617">
        <v>1.4774458515636279E-2</v>
      </c>
      <c r="AP171" s="617">
        <v>1.4987705814297196E-2</v>
      </c>
      <c r="AQ171" s="617">
        <v>1.4768318874632163E-2</v>
      </c>
      <c r="AR171" s="618">
        <v>1.4598780261446538E-2</v>
      </c>
      <c r="AS171" s="618">
        <v>4.7035269172314223E-3</v>
      </c>
      <c r="AT171" s="618">
        <v>4.6075781891205059E-3</v>
      </c>
      <c r="AU171" s="618">
        <v>4.4031396918781081E-3</v>
      </c>
      <c r="AV171" s="618">
        <v>4.8933737351779406E-3</v>
      </c>
      <c r="AW171" s="618">
        <v>4.7035269172314223E-3</v>
      </c>
      <c r="AX171" s="618">
        <v>4.5355181155624777E-3</v>
      </c>
      <c r="AY171" s="618">
        <v>4.9927546948495757E-3</v>
      </c>
      <c r="AZ171" s="618">
        <v>4.9233737179090126E-3</v>
      </c>
      <c r="BA171" s="618">
        <v>4.7296913533651317E-3</v>
      </c>
      <c r="BB171" s="618">
        <v>5.1359555201294978E-3</v>
      </c>
      <c r="BC171" s="617">
        <v>5.0449832835230551E-3</v>
      </c>
      <c r="BD171" s="617">
        <v>4.9245997692412237E-3</v>
      </c>
      <c r="BE171" s="617">
        <v>1.4730550827679812E-2</v>
      </c>
      <c r="BF171" s="617">
        <v>1.433671174401416E-2</v>
      </c>
      <c r="BG171" s="617">
        <v>5.2504761279361847E-3</v>
      </c>
      <c r="BH171" s="617">
        <v>5.0204062367613274E-3</v>
      </c>
      <c r="BI171" s="617"/>
      <c r="BJ171" s="617"/>
      <c r="BK171" s="617"/>
      <c r="BL171" s="617"/>
      <c r="BM171" s="617"/>
      <c r="BN171" s="617"/>
      <c r="BO171" s="617"/>
      <c r="BP171" s="617"/>
      <c r="BQ171" s="617"/>
      <c r="BR171" s="617"/>
      <c r="BS171" s="617"/>
      <c r="BT171" s="617"/>
      <c r="BU171" s="617"/>
      <c r="BV171" s="617"/>
      <c r="BW171" s="617"/>
      <c r="BX171" s="617"/>
      <c r="BY171" s="617"/>
      <c r="BZ171" s="617"/>
      <c r="CA171" s="617"/>
      <c r="CB171" s="617"/>
      <c r="CC171" s="617"/>
      <c r="CD171" s="617"/>
      <c r="CE171" s="617"/>
      <c r="CF171" s="617"/>
      <c r="CG171" s="617"/>
      <c r="CH171" s="617"/>
      <c r="CI171" s="617"/>
      <c r="CJ171" s="617"/>
    </row>
    <row r="172" spans="1:88">
      <c r="A172" s="151">
        <f t="shared" ca="1" si="45"/>
        <v>10</v>
      </c>
      <c r="B172" s="784">
        <f t="shared" si="46"/>
        <v>0</v>
      </c>
      <c r="C172" s="944">
        <f t="shared" ref="C172:C235" si="53">IF(M171&lt;0.01,0,C171+1)</f>
        <v>0</v>
      </c>
      <c r="D172" s="947">
        <f t="shared" si="47"/>
        <v>0</v>
      </c>
      <c r="E172" s="947">
        <f t="shared" si="40"/>
        <v>0</v>
      </c>
      <c r="F172" s="947">
        <f t="shared" si="41"/>
        <v>0</v>
      </c>
      <c r="G172" s="947">
        <f>IF(M171&lt;0.01,0,IF($F$19=$U$4,$G$19,IF(AND($F$21=1,$F$19=$U$2),M171*Adm!$U$4,IF(AND($F$21=2,$F$19=$U$2),M171*Adm!$U$5,IF(AND($F$21=1,$F$19=$U$3),M171*Adm!$V$4,IF(AND($F$21=2,$F$19=$U$3),M171*Adm!$V$5,0))))))</f>
        <v>0</v>
      </c>
      <c r="H172" s="947">
        <f>IF(M171&lt;0.01,0,IF($F$20=$V$3,0,IF(OR($F$10=$T$16,$F$10=$T$17),0,IF($F$10=$T$13,0,$F$11*Adm!$AA$3))))</f>
        <v>0</v>
      </c>
      <c r="I172" s="947">
        <f t="shared" ref="I172:I235" si="54">IF(M171&lt;0.01,0,I171)</f>
        <v>0</v>
      </c>
      <c r="J172" s="947">
        <f t="shared" si="42"/>
        <v>0</v>
      </c>
      <c r="K172" s="947">
        <f t="shared" si="48"/>
        <v>0</v>
      </c>
      <c r="L172" s="947">
        <f t="shared" si="43"/>
        <v>0</v>
      </c>
      <c r="M172" s="947">
        <f t="shared" si="49"/>
        <v>0</v>
      </c>
      <c r="N172" s="946"/>
      <c r="P172" s="733"/>
      <c r="Q172" s="733"/>
      <c r="R172" s="733"/>
      <c r="S172" s="785">
        <f t="shared" si="50"/>
        <v>11</v>
      </c>
      <c r="T172" s="786">
        <f t="shared" ref="T172:T235" si="55">IF(S172=1,$F$17,0)</f>
        <v>0</v>
      </c>
      <c r="W172" s="790">
        <f t="shared" ref="W172:W235" si="56">W171</f>
        <v>0</v>
      </c>
      <c r="X172" s="818">
        <f t="shared" ca="1" si="51"/>
        <v>0</v>
      </c>
      <c r="Z172" s="843">
        <f t="shared" ref="Z172:Z235" si="57">IF(AA172&gt;1,AA172,IF(AC172&gt;1,AC172,0))</f>
        <v>0</v>
      </c>
      <c r="AA172" s="792">
        <f t="shared" ref="AA172:AA235" si="58">IF(AND(OR($AB$38=1,$AB$38=3),N171&gt;0.1),AB172,0)</f>
        <v>0</v>
      </c>
      <c r="AB172" s="792">
        <f t="shared" ref="AB172:AB235" si="59">IF(AND($AB$38=1,$Z$38=2),PMT($F$14/12,B171,-M171),0)</f>
        <v>0</v>
      </c>
      <c r="AC172" s="789">
        <f t="shared" si="52"/>
        <v>0</v>
      </c>
      <c r="AD172" s="789">
        <f t="shared" si="44"/>
        <v>0</v>
      </c>
      <c r="AE172" s="828" t="e">
        <f>HLOOKUP($AE$39,anticipado,132,0)</f>
        <v>#N/A</v>
      </c>
      <c r="AF172" s="827"/>
      <c r="AG172" s="614">
        <v>1.4976566112822163E-2</v>
      </c>
      <c r="AH172" s="615">
        <v>1.4689477311439606E-2</v>
      </c>
      <c r="AI172" s="616">
        <v>1.4433209060014402E-2</v>
      </c>
      <c r="AJ172" s="616">
        <v>1.4937356528505398E-2</v>
      </c>
      <c r="AK172" s="617">
        <v>1.4976566112822163E-2</v>
      </c>
      <c r="AL172" s="617">
        <v>1.4689477311439606E-2</v>
      </c>
      <c r="AM172" s="617">
        <v>1.5108359807702492E-2</v>
      </c>
      <c r="AN172" s="617">
        <v>1.5078448930521125E-2</v>
      </c>
      <c r="AO172" s="617">
        <v>1.5124732348539087E-2</v>
      </c>
      <c r="AP172" s="617">
        <v>1.5331775207552951E-2</v>
      </c>
      <c r="AQ172" s="617">
        <v>1.5108359807702492E-2</v>
      </c>
      <c r="AR172" s="618">
        <v>1.4937162901022755E-2</v>
      </c>
      <c r="AS172" s="618">
        <v>4.7686408546236281E-3</v>
      </c>
      <c r="AT172" s="618">
        <v>4.672456529377522E-3</v>
      </c>
      <c r="AU172" s="618">
        <v>4.4664337996026416E-3</v>
      </c>
      <c r="AV172" s="618">
        <v>4.9598494808237486E-3</v>
      </c>
      <c r="AW172" s="618">
        <v>4.7686408546236281E-3</v>
      </c>
      <c r="AX172" s="618">
        <v>4.5994285331091775E-3</v>
      </c>
      <c r="AY172" s="618">
        <v>5.0593715472842726E-3</v>
      </c>
      <c r="AZ172" s="618">
        <v>4.9902013015897199E-3</v>
      </c>
      <c r="BA172" s="618">
        <v>4.7954915678736845E-3</v>
      </c>
      <c r="BB172" s="618">
        <v>5.2033392871320408E-3</v>
      </c>
      <c r="BC172" s="617">
        <v>5.1117202745092636E-3</v>
      </c>
      <c r="BD172" s="617">
        <v>4.9910377305358447E-3</v>
      </c>
      <c r="BE172" s="617">
        <v>1.5072134644019845E-2</v>
      </c>
      <c r="BF172" s="617">
        <v>1.4677846825033725E-2</v>
      </c>
      <c r="BG172" s="617">
        <v>5.3184353261295121E-3</v>
      </c>
      <c r="BH172" s="617">
        <v>5.087323180519872E-3</v>
      </c>
      <c r="BI172" s="617"/>
      <c r="BJ172" s="617"/>
      <c r="BK172" s="617"/>
      <c r="BL172" s="617"/>
      <c r="BM172" s="617"/>
      <c r="BN172" s="617"/>
      <c r="BO172" s="617"/>
      <c r="BP172" s="617"/>
      <c r="BQ172" s="617"/>
      <c r="BR172" s="617"/>
      <c r="BS172" s="617"/>
      <c r="BT172" s="617"/>
      <c r="BU172" s="617"/>
      <c r="BV172" s="617"/>
      <c r="BW172" s="617"/>
      <c r="BX172" s="617"/>
      <c r="BY172" s="617"/>
      <c r="BZ172" s="617"/>
      <c r="CA172" s="617"/>
      <c r="CB172" s="617"/>
      <c r="CC172" s="617"/>
      <c r="CD172" s="617"/>
      <c r="CE172" s="617"/>
      <c r="CF172" s="617"/>
      <c r="CG172" s="617"/>
      <c r="CH172" s="617"/>
      <c r="CI172" s="617"/>
      <c r="CJ172" s="617"/>
    </row>
    <row r="173" spans="1:88">
      <c r="A173" s="151">
        <f t="shared" ca="1" si="45"/>
        <v>11</v>
      </c>
      <c r="B173" s="784">
        <f t="shared" si="46"/>
        <v>0</v>
      </c>
      <c r="C173" s="944">
        <f t="shared" si="53"/>
        <v>0</v>
      </c>
      <c r="D173" s="947">
        <f t="shared" si="47"/>
        <v>0</v>
      </c>
      <c r="E173" s="947">
        <f t="shared" si="40"/>
        <v>0</v>
      </c>
      <c r="F173" s="947">
        <f t="shared" si="41"/>
        <v>0</v>
      </c>
      <c r="G173" s="947">
        <f>IF(M172&lt;0.01,0,IF($F$19=$U$4,$G$19,IF(AND($F$21=1,$F$19=$U$2),M172*Adm!$U$4,IF(AND($F$21=2,$F$19=$U$2),M172*Adm!$U$5,IF(AND($F$21=1,$F$19=$U$3),M172*Adm!$V$4,IF(AND($F$21=2,$F$19=$U$3),M172*Adm!$V$5,0))))))</f>
        <v>0</v>
      </c>
      <c r="H173" s="947">
        <f>IF(M172&lt;0.01,0,IF($F$20=$V$3,0,IF(OR($F$10=$T$16,$F$10=$T$17),0,IF($F$10=$T$13,0,$F$11*Adm!$AA$3))))</f>
        <v>0</v>
      </c>
      <c r="I173" s="947">
        <f t="shared" si="54"/>
        <v>0</v>
      </c>
      <c r="J173" s="947">
        <f t="shared" si="42"/>
        <v>0</v>
      </c>
      <c r="K173" s="947">
        <f t="shared" si="48"/>
        <v>0</v>
      </c>
      <c r="L173" s="947">
        <f t="shared" si="43"/>
        <v>0</v>
      </c>
      <c r="M173" s="947">
        <f t="shared" si="49"/>
        <v>0</v>
      </c>
      <c r="N173" s="946"/>
      <c r="P173" s="733"/>
      <c r="Q173" s="733"/>
      <c r="R173" s="733"/>
      <c r="S173" s="785">
        <f t="shared" si="50"/>
        <v>12</v>
      </c>
      <c r="T173" s="786">
        <f t="shared" si="55"/>
        <v>0</v>
      </c>
      <c r="W173" s="790">
        <f t="shared" si="56"/>
        <v>0</v>
      </c>
      <c r="X173" s="818">
        <f t="shared" ca="1" si="51"/>
        <v>0</v>
      </c>
      <c r="Z173" s="843">
        <f t="shared" si="57"/>
        <v>0</v>
      </c>
      <c r="AA173" s="792">
        <f t="shared" si="58"/>
        <v>0</v>
      </c>
      <c r="AB173" s="792">
        <f t="shared" si="59"/>
        <v>0</v>
      </c>
      <c r="AC173" s="789">
        <f t="shared" si="52"/>
        <v>0</v>
      </c>
      <c r="AD173" s="789">
        <f t="shared" si="44"/>
        <v>0</v>
      </c>
      <c r="AE173" s="828" t="e">
        <f>HLOOKUP($AE$39,anticipado,133,0)</f>
        <v>#N/A</v>
      </c>
      <c r="AF173" s="827"/>
      <c r="AG173" s="614">
        <v>1.5335410789095427E-2</v>
      </c>
      <c r="AH173" s="615">
        <v>1.504376942772806E-2</v>
      </c>
      <c r="AI173" s="616">
        <v>1.4782358370684852E-2</v>
      </c>
      <c r="AJ173" s="616">
        <v>1.5290103752717381E-2</v>
      </c>
      <c r="AK173" s="617">
        <v>1.5335410789095427E-2</v>
      </c>
      <c r="AL173" s="617">
        <v>1.504376942772806E-2</v>
      </c>
      <c r="AM173" s="617">
        <v>1.5461566567066114E-2</v>
      </c>
      <c r="AN173" s="617">
        <v>1.5436101212988679E-2</v>
      </c>
      <c r="AO173" s="617">
        <v>1.5488817182139358E-2</v>
      </c>
      <c r="AP173" s="617">
        <v>1.5689223643595165E-2</v>
      </c>
      <c r="AQ173" s="617">
        <v>1.5461566567066114E-2</v>
      </c>
      <c r="AR173" s="618">
        <v>1.5288638908510012E-2</v>
      </c>
      <c r="AS173" s="618">
        <v>4.8349725178589813E-3</v>
      </c>
      <c r="AT173" s="618">
        <v>4.7385572607040218E-3</v>
      </c>
      <c r="AU173" s="618">
        <v>4.5309257946129222E-3</v>
      </c>
      <c r="AV173" s="618">
        <v>5.0275641440053059E-3</v>
      </c>
      <c r="AW173" s="618">
        <v>4.8349725178589813E-3</v>
      </c>
      <c r="AX173" s="618">
        <v>4.6645389893239016E-3</v>
      </c>
      <c r="AY173" s="618">
        <v>5.1272205218927253E-3</v>
      </c>
      <c r="AZ173" s="618">
        <v>5.0582756766270002E-3</v>
      </c>
      <c r="BA173" s="618">
        <v>4.8625286812904707E-3</v>
      </c>
      <c r="BB173" s="618">
        <v>5.2719642083072756E-3</v>
      </c>
      <c r="BC173" s="617">
        <v>5.1796875177709091E-3</v>
      </c>
      <c r="BD173" s="617">
        <v>5.0587097625380585E-3</v>
      </c>
      <c r="BE173" s="617">
        <v>1.5426987773758206E-2</v>
      </c>
      <c r="BF173" s="617">
        <v>1.5032301683459464E-2</v>
      </c>
      <c r="BG173" s="617">
        <v>5.3876422222104018E-3</v>
      </c>
      <c r="BH173" s="617">
        <v>5.1554787891500437E-3</v>
      </c>
      <c r="BI173" s="617"/>
      <c r="BJ173" s="617"/>
      <c r="BK173" s="617"/>
      <c r="BL173" s="617"/>
      <c r="BM173" s="617"/>
      <c r="BN173" s="617"/>
      <c r="BO173" s="617"/>
      <c r="BP173" s="617"/>
      <c r="BQ173" s="617"/>
      <c r="BR173" s="617"/>
      <c r="BS173" s="617"/>
      <c r="BT173" s="617"/>
      <c r="BU173" s="617"/>
      <c r="BV173" s="617"/>
      <c r="BW173" s="617"/>
      <c r="BX173" s="617"/>
      <c r="BY173" s="617"/>
      <c r="BZ173" s="617"/>
      <c r="CA173" s="617"/>
      <c r="CB173" s="617"/>
      <c r="CC173" s="617"/>
      <c r="CD173" s="617"/>
      <c r="CE173" s="617"/>
      <c r="CF173" s="617"/>
      <c r="CG173" s="617"/>
      <c r="CH173" s="617"/>
      <c r="CI173" s="617"/>
      <c r="CJ173" s="617"/>
    </row>
    <row r="174" spans="1:88">
      <c r="A174" s="151">
        <f t="shared" ca="1" si="45"/>
        <v>12</v>
      </c>
      <c r="B174" s="784">
        <f t="shared" si="46"/>
        <v>0</v>
      </c>
      <c r="C174" s="944">
        <f t="shared" si="53"/>
        <v>0</v>
      </c>
      <c r="D174" s="947">
        <f t="shared" si="47"/>
        <v>0</v>
      </c>
      <c r="E174" s="947">
        <f t="shared" si="40"/>
        <v>0</v>
      </c>
      <c r="F174" s="947">
        <f t="shared" si="41"/>
        <v>0</v>
      </c>
      <c r="G174" s="947">
        <f>IF(M173&lt;0.01,0,IF($F$19=$U$4,$G$19,IF(AND($F$21=1,$F$19=$U$2),M173*Adm!$U$4,IF(AND($F$21=2,$F$19=$U$2),M173*Adm!$U$5,IF(AND($F$21=1,$F$19=$U$3),M173*Adm!$V$4,IF(AND($F$21=2,$F$19=$U$3),M173*Adm!$V$5,0))))))</f>
        <v>0</v>
      </c>
      <c r="H174" s="947">
        <f>IF(M173&lt;0.01,0,IF($F$20=$V$3,0,IF(OR($F$10=$T$16,$F$10=$T$17),0,IF($F$10=$T$13,0,$F$11*Adm!$AA$3))))</f>
        <v>0</v>
      </c>
      <c r="I174" s="947">
        <f t="shared" si="54"/>
        <v>0</v>
      </c>
      <c r="J174" s="947">
        <f t="shared" si="42"/>
        <v>0</v>
      </c>
      <c r="K174" s="947">
        <f t="shared" si="48"/>
        <v>0</v>
      </c>
      <c r="L174" s="947">
        <f t="shared" si="43"/>
        <v>0</v>
      </c>
      <c r="M174" s="947">
        <f t="shared" si="49"/>
        <v>0</v>
      </c>
      <c r="N174" s="946"/>
      <c r="P174" s="733"/>
      <c r="Q174" s="733"/>
      <c r="R174" s="733"/>
      <c r="S174" s="785">
        <f t="shared" si="50"/>
        <v>1</v>
      </c>
      <c r="T174" s="786">
        <f t="shared" si="55"/>
        <v>0</v>
      </c>
      <c r="W174" s="790">
        <f t="shared" si="56"/>
        <v>0</v>
      </c>
      <c r="X174" s="818">
        <f t="shared" ca="1" si="51"/>
        <v>0</v>
      </c>
      <c r="Z174" s="843">
        <f t="shared" si="57"/>
        <v>0</v>
      </c>
      <c r="AA174" s="792">
        <f t="shared" si="58"/>
        <v>0</v>
      </c>
      <c r="AB174" s="792">
        <f t="shared" si="59"/>
        <v>0</v>
      </c>
      <c r="AC174" s="789">
        <f t="shared" si="52"/>
        <v>0</v>
      </c>
      <c r="AD174" s="789">
        <f t="shared" si="44"/>
        <v>0</v>
      </c>
      <c r="AE174" s="828" t="e">
        <f>HLOOKUP($AE$39,anticipado,134,0)</f>
        <v>#N/A</v>
      </c>
      <c r="AF174" s="827"/>
      <c r="AG174" s="614">
        <v>1.6316915580110749E-2</v>
      </c>
      <c r="AH174" s="615">
        <v>1.6024327153915881E-2</v>
      </c>
      <c r="AI174" s="616">
        <v>1.5759160577568279E-2</v>
      </c>
      <c r="AJ174" s="616">
        <v>1.6256332470387581E-2</v>
      </c>
      <c r="AK174" s="617">
        <v>1.6316915580110749E-2</v>
      </c>
      <c r="AL174" s="617">
        <v>1.6024327153915881E-2</v>
      </c>
      <c r="AM174" s="617">
        <v>1.6422341594312943E-2</v>
      </c>
      <c r="AN174" s="617">
        <v>1.6410259880812655E-2</v>
      </c>
      <c r="AO174" s="617">
        <v>1.6478803805361118E-2</v>
      </c>
      <c r="AP174" s="617">
        <v>1.6652981922685214E-2</v>
      </c>
      <c r="AQ174" s="617">
        <v>1.6422341594312943E-2</v>
      </c>
      <c r="AR174" s="618">
        <v>1.6251361613033689E-2</v>
      </c>
      <c r="AS174" s="618">
        <v>5.0423291414621119E-3</v>
      </c>
      <c r="AT174" s="618">
        <v>4.9480547335562387E-3</v>
      </c>
      <c r="AU174" s="618">
        <v>4.7416965843382133E-3</v>
      </c>
      <c r="AV174" s="618">
        <v>5.2337656185493502E-3</v>
      </c>
      <c r="AW174" s="618">
        <v>5.0423291414621119E-3</v>
      </c>
      <c r="AX174" s="618">
        <v>4.8731060884729342E-3</v>
      </c>
      <c r="AY174" s="618">
        <v>5.3311304183873724E-3</v>
      </c>
      <c r="AZ174" s="618">
        <v>5.2647391348606383E-3</v>
      </c>
      <c r="BA174" s="618">
        <v>5.0713100786234991E-3</v>
      </c>
      <c r="BB174" s="618">
        <v>5.4744479942587538E-3</v>
      </c>
      <c r="BC174" s="617">
        <v>5.3825729023101124E-3</v>
      </c>
      <c r="BD174" s="617">
        <v>5.2639245597044535E-3</v>
      </c>
      <c r="BE174" s="617">
        <v>1.6393700265765792E-2</v>
      </c>
      <c r="BF174" s="617">
        <v>1.6013794566920383E-2</v>
      </c>
      <c r="BG174" s="617">
        <v>5.5889607372229984E-3</v>
      </c>
      <c r="BH174" s="617">
        <v>5.3595711367097031E-3</v>
      </c>
      <c r="BI174" s="617"/>
      <c r="BJ174" s="617"/>
      <c r="BK174" s="617"/>
      <c r="BL174" s="617"/>
      <c r="BM174" s="617"/>
      <c r="BN174" s="617"/>
      <c r="BO174" s="617"/>
      <c r="BP174" s="617"/>
      <c r="BQ174" s="617"/>
      <c r="BR174" s="617"/>
      <c r="BS174" s="617"/>
      <c r="BT174" s="617"/>
      <c r="BU174" s="617"/>
      <c r="BV174" s="617"/>
      <c r="BW174" s="617"/>
      <c r="BX174" s="617"/>
      <c r="BY174" s="617"/>
      <c r="BZ174" s="617"/>
      <c r="CA174" s="617"/>
      <c r="CB174" s="617"/>
      <c r="CC174" s="617"/>
      <c r="CD174" s="617"/>
      <c r="CE174" s="617"/>
      <c r="CF174" s="617"/>
      <c r="CG174" s="617"/>
      <c r="CH174" s="617"/>
      <c r="CI174" s="617"/>
      <c r="CJ174" s="617"/>
    </row>
    <row r="175" spans="1:88">
      <c r="A175" s="151">
        <f t="shared" ca="1" si="45"/>
        <v>1</v>
      </c>
      <c r="B175" s="784">
        <f t="shared" si="46"/>
        <v>0</v>
      </c>
      <c r="C175" s="944">
        <f t="shared" si="53"/>
        <v>0</v>
      </c>
      <c r="D175" s="947">
        <f t="shared" si="47"/>
        <v>0</v>
      </c>
      <c r="E175" s="947">
        <f t="shared" si="40"/>
        <v>0</v>
      </c>
      <c r="F175" s="947">
        <f t="shared" si="41"/>
        <v>0</v>
      </c>
      <c r="G175" s="947">
        <f>IF(M174&lt;0.01,0,IF($F$19=$U$4,$G$19,IF(AND($F$21=1,$F$19=$U$2),M174*Adm!$U$4,IF(AND($F$21=2,$F$19=$U$2),M174*Adm!$U$5,IF(AND($F$21=1,$F$19=$U$3),M174*Adm!$V$4,IF(AND($F$21=2,$F$19=$U$3),M174*Adm!$V$5,0))))))</f>
        <v>0</v>
      </c>
      <c r="H175" s="947">
        <f>IF(M174&lt;0.01,0,IF($F$20=$V$3,0,IF(OR($F$10=$T$16,$F$10=$T$17),0,IF($F$10=$T$13,0,$F$11*Adm!$AA$3))))</f>
        <v>0</v>
      </c>
      <c r="I175" s="947">
        <f t="shared" si="54"/>
        <v>0</v>
      </c>
      <c r="J175" s="947">
        <f t="shared" si="42"/>
        <v>0</v>
      </c>
      <c r="K175" s="947">
        <f t="shared" si="48"/>
        <v>0</v>
      </c>
      <c r="L175" s="947">
        <f t="shared" si="43"/>
        <v>0</v>
      </c>
      <c r="M175" s="947">
        <f t="shared" si="49"/>
        <v>0</v>
      </c>
      <c r="N175" s="946"/>
      <c r="P175" s="733"/>
      <c r="Q175" s="733"/>
      <c r="R175" s="733"/>
      <c r="S175" s="785">
        <f t="shared" si="50"/>
        <v>2</v>
      </c>
      <c r="T175" s="786">
        <f t="shared" si="55"/>
        <v>0</v>
      </c>
      <c r="W175" s="790">
        <f t="shared" si="56"/>
        <v>0</v>
      </c>
      <c r="X175" s="818">
        <f t="shared" ca="1" si="51"/>
        <v>0</v>
      </c>
      <c r="Z175" s="843">
        <f t="shared" si="57"/>
        <v>0</v>
      </c>
      <c r="AA175" s="792">
        <f t="shared" si="58"/>
        <v>0</v>
      </c>
      <c r="AB175" s="792">
        <f t="shared" si="59"/>
        <v>0</v>
      </c>
      <c r="AC175" s="789">
        <f t="shared" si="52"/>
        <v>0</v>
      </c>
      <c r="AD175" s="789">
        <f t="shared" si="44"/>
        <v>0</v>
      </c>
      <c r="AE175" s="828" t="e">
        <f>HLOOKUP($AE$39,anticipado,135,0)</f>
        <v>#N/A</v>
      </c>
      <c r="AF175" s="827"/>
      <c r="AG175" s="614">
        <v>1.6730641440982821E-2</v>
      </c>
      <c r="AH175" s="615">
        <v>1.6433076923607012E-2</v>
      </c>
      <c r="AI175" s="616">
        <v>1.6162129609121181E-2</v>
      </c>
      <c r="AJ175" s="616">
        <v>1.6662538198966487E-2</v>
      </c>
      <c r="AK175" s="617">
        <v>1.6730641440982821E-2</v>
      </c>
      <c r="AL175" s="617">
        <v>1.6433076923607012E-2</v>
      </c>
      <c r="AM175" s="617">
        <v>1.6828718766784004E-2</v>
      </c>
      <c r="AN175" s="617">
        <v>1.6822249011551358E-2</v>
      </c>
      <c r="AO175" s="617">
        <v>1.6898717521963792E-2</v>
      </c>
      <c r="AP175" s="617">
        <v>1.7064129550781206E-2</v>
      </c>
      <c r="AQ175" s="617">
        <v>1.6828718766784004E-2</v>
      </c>
      <c r="AR175" s="618">
        <v>1.6655982309865692E-2</v>
      </c>
      <c r="AS175" s="618">
        <v>5.1138741148961907E-3</v>
      </c>
      <c r="AT175" s="618">
        <v>5.0194441663080382E-3</v>
      </c>
      <c r="AU175" s="618">
        <v>4.8114935371319474E-3</v>
      </c>
      <c r="AV175" s="618">
        <v>5.3066807703739376E-3</v>
      </c>
      <c r="AW175" s="618">
        <v>5.1138741148961907E-3</v>
      </c>
      <c r="AX175" s="618">
        <v>4.9434499431118628E-3</v>
      </c>
      <c r="AY175" s="618">
        <v>5.4040999101010916E-3</v>
      </c>
      <c r="AZ175" s="618">
        <v>5.338031489051721E-3</v>
      </c>
      <c r="BA175" s="618">
        <v>5.1436284570083382E-3</v>
      </c>
      <c r="BB175" s="618">
        <v>5.5481604902811489E-3</v>
      </c>
      <c r="BC175" s="617">
        <v>5.4556267611368097E-3</v>
      </c>
      <c r="BD175" s="617">
        <v>5.3367602216620015E-3</v>
      </c>
      <c r="BE175" s="617">
        <v>1.6802212908479448E-2</v>
      </c>
      <c r="BF175" s="617">
        <v>1.6422777986956742E-2</v>
      </c>
      <c r="BG175" s="617">
        <v>5.663228122466727E-3</v>
      </c>
      <c r="BH175" s="617">
        <v>5.432860739101807E-3</v>
      </c>
      <c r="BI175" s="617"/>
      <c r="BJ175" s="617"/>
      <c r="BK175" s="617"/>
      <c r="BL175" s="617"/>
      <c r="BM175" s="617"/>
      <c r="BN175" s="617"/>
      <c r="BO175" s="617"/>
      <c r="BP175" s="617"/>
      <c r="BQ175" s="617"/>
      <c r="BR175" s="617"/>
      <c r="BS175" s="617"/>
      <c r="BT175" s="617"/>
      <c r="BU175" s="617"/>
      <c r="BV175" s="617"/>
      <c r="BW175" s="617"/>
      <c r="BX175" s="617"/>
      <c r="BY175" s="617"/>
      <c r="BZ175" s="617"/>
      <c r="CA175" s="617"/>
      <c r="CB175" s="617"/>
      <c r="CC175" s="617"/>
      <c r="CD175" s="617"/>
      <c r="CE175" s="617"/>
      <c r="CF175" s="617"/>
      <c r="CG175" s="617"/>
      <c r="CH175" s="617"/>
      <c r="CI175" s="617"/>
      <c r="CJ175" s="617"/>
    </row>
    <row r="176" spans="1:88">
      <c r="A176" s="151">
        <f t="shared" ca="1" si="45"/>
        <v>2</v>
      </c>
      <c r="B176" s="784">
        <f t="shared" si="46"/>
        <v>0</v>
      </c>
      <c r="C176" s="944">
        <f t="shared" si="53"/>
        <v>0</v>
      </c>
      <c r="D176" s="947">
        <f t="shared" si="47"/>
        <v>0</v>
      </c>
      <c r="E176" s="947">
        <f t="shared" si="40"/>
        <v>0</v>
      </c>
      <c r="F176" s="947">
        <f t="shared" si="41"/>
        <v>0</v>
      </c>
      <c r="G176" s="947">
        <f>IF(M175&lt;0.01,0,IF($F$19=$U$4,$G$19,IF(AND($F$21=1,$F$19=$U$2),M175*Adm!$U$4,IF(AND($F$21=2,$F$19=$U$2),M175*Adm!$U$5,IF(AND($F$21=1,$F$19=$U$3),M175*Adm!$V$4,IF(AND($F$21=2,$F$19=$U$3),M175*Adm!$V$5,0))))))</f>
        <v>0</v>
      </c>
      <c r="H176" s="947">
        <f>IF(M175&lt;0.01,0,IF($F$20=$V$3,0,IF(OR($F$10=$T$16,$F$10=$T$17),0,IF($F$10=$T$13,0,$F$11*Adm!$AA$3))))</f>
        <v>0</v>
      </c>
      <c r="I176" s="947">
        <f t="shared" si="54"/>
        <v>0</v>
      </c>
      <c r="J176" s="947">
        <f t="shared" si="42"/>
        <v>0</v>
      </c>
      <c r="K176" s="947">
        <f t="shared" si="48"/>
        <v>0</v>
      </c>
      <c r="L176" s="947">
        <f t="shared" si="43"/>
        <v>0</v>
      </c>
      <c r="M176" s="947">
        <f t="shared" si="49"/>
        <v>0</v>
      </c>
      <c r="N176" s="946"/>
      <c r="P176" s="733"/>
      <c r="Q176" s="733"/>
      <c r="R176" s="733"/>
      <c r="S176" s="785">
        <f t="shared" si="50"/>
        <v>3</v>
      </c>
      <c r="T176" s="786">
        <f t="shared" si="55"/>
        <v>0</v>
      </c>
      <c r="W176" s="790">
        <f t="shared" si="56"/>
        <v>0</v>
      </c>
      <c r="X176" s="818">
        <f t="shared" ca="1" si="51"/>
        <v>0</v>
      </c>
      <c r="Z176" s="843">
        <f t="shared" si="57"/>
        <v>0</v>
      </c>
      <c r="AA176" s="792">
        <f t="shared" si="58"/>
        <v>0</v>
      </c>
      <c r="AB176" s="792">
        <f t="shared" si="59"/>
        <v>0</v>
      </c>
      <c r="AC176" s="789">
        <f t="shared" si="52"/>
        <v>0</v>
      </c>
      <c r="AD176" s="789">
        <f t="shared" si="44"/>
        <v>0</v>
      </c>
      <c r="AE176" s="828" t="e">
        <f>HLOOKUP($AE$39,anticipado,136,0)</f>
        <v>#N/A</v>
      </c>
      <c r="AF176" s="827"/>
      <c r="AG176" s="614">
        <v>1.7162075759323523E-2</v>
      </c>
      <c r="AH176" s="615">
        <v>1.685925655655748E-2</v>
      </c>
      <c r="AI176" s="616">
        <v>1.6582191845673413E-2</v>
      </c>
      <c r="AJ176" s="616">
        <v>1.7085949109170027E-2</v>
      </c>
      <c r="AK176" s="617">
        <v>1.7162075759323523E-2</v>
      </c>
      <c r="AL176" s="617">
        <v>1.685925655655748E-2</v>
      </c>
      <c r="AM176" s="617">
        <v>1.7252279890043087E-2</v>
      </c>
      <c r="AN176" s="617">
        <v>1.7251807509352048E-2</v>
      </c>
      <c r="AO176" s="617">
        <v>1.7336733407975622E-2</v>
      </c>
      <c r="AP176" s="617">
        <v>1.7492741953498803E-2</v>
      </c>
      <c r="AQ176" s="617">
        <v>1.7252279890043087E-2</v>
      </c>
      <c r="AR176" s="618">
        <v>1.7077701254050136E-2</v>
      </c>
      <c r="AS176" s="618">
        <v>5.1868072015759693E-3</v>
      </c>
      <c r="AT176" s="618">
        <v>5.0922289289637105E-3</v>
      </c>
      <c r="AU176" s="618">
        <v>4.8826603074423013E-3</v>
      </c>
      <c r="AV176" s="618">
        <v>5.3810061740072806E-3</v>
      </c>
      <c r="AW176" s="618">
        <v>5.1868072015759693E-3</v>
      </c>
      <c r="AX176" s="618">
        <v>5.0151637330259563E-3</v>
      </c>
      <c r="AY176" s="618">
        <v>5.4784700706393295E-3</v>
      </c>
      <c r="AZ176" s="618">
        <v>5.4127429851630257E-3</v>
      </c>
      <c r="BA176" s="618">
        <v>5.2173573508482694E-3</v>
      </c>
      <c r="BB176" s="618">
        <v>5.6232823001794259E-3</v>
      </c>
      <c r="BC176" s="617">
        <v>5.5300783082242342E-3</v>
      </c>
      <c r="BD176" s="617">
        <v>5.4109998925320115E-3</v>
      </c>
      <c r="BE176" s="617">
        <v>1.7228060408910603E-2</v>
      </c>
      <c r="BF176" s="617">
        <v>1.6849209811595992E-2</v>
      </c>
      <c r="BG176" s="617">
        <v>5.7389109990627621E-3</v>
      </c>
      <c r="BH176" s="617">
        <v>5.5075583639637967E-3</v>
      </c>
      <c r="BI176" s="617"/>
      <c r="BJ176" s="617"/>
      <c r="BK176" s="617"/>
      <c r="BL176" s="617"/>
      <c r="BM176" s="617"/>
      <c r="BN176" s="617"/>
      <c r="BO176" s="617"/>
      <c r="BP176" s="617"/>
      <c r="BQ176" s="617"/>
      <c r="BR176" s="617"/>
      <c r="BS176" s="617"/>
      <c r="BT176" s="617"/>
      <c r="BU176" s="617"/>
      <c r="BV176" s="617"/>
      <c r="BW176" s="617"/>
      <c r="BX176" s="617"/>
      <c r="BY176" s="617"/>
      <c r="BZ176" s="617"/>
      <c r="CA176" s="617"/>
      <c r="CB176" s="617"/>
      <c r="CC176" s="617"/>
      <c r="CD176" s="617"/>
      <c r="CE176" s="617"/>
      <c r="CF176" s="617"/>
      <c r="CG176" s="617"/>
      <c r="CH176" s="617"/>
      <c r="CI176" s="617"/>
      <c r="CJ176" s="617"/>
    </row>
    <row r="177" spans="1:88">
      <c r="A177" s="151">
        <f t="shared" ca="1" si="45"/>
        <v>3</v>
      </c>
      <c r="B177" s="784">
        <f t="shared" si="46"/>
        <v>0</v>
      </c>
      <c r="C177" s="944">
        <f t="shared" si="53"/>
        <v>0</v>
      </c>
      <c r="D177" s="947">
        <f t="shared" si="47"/>
        <v>0</v>
      </c>
      <c r="E177" s="947">
        <f t="shared" si="40"/>
        <v>0</v>
      </c>
      <c r="F177" s="947">
        <f t="shared" si="41"/>
        <v>0</v>
      </c>
      <c r="G177" s="947">
        <f>IF(M176&lt;0.01,0,IF($F$19=$U$4,$G$19,IF(AND($F$21=1,$F$19=$U$2),M176*Adm!$U$4,IF(AND($F$21=2,$F$19=$U$2),M176*Adm!$U$5,IF(AND($F$21=1,$F$19=$U$3),M176*Adm!$V$4,IF(AND($F$21=2,$F$19=$U$3),M176*Adm!$V$5,0))))))</f>
        <v>0</v>
      </c>
      <c r="H177" s="947">
        <f>IF(M176&lt;0.01,0,IF($F$20=$V$3,0,IF(OR($F$10=$T$16,$F$10=$T$17),0,IF($F$10=$T$13,0,$F$11*Adm!$AA$3))))</f>
        <v>0</v>
      </c>
      <c r="I177" s="947">
        <f t="shared" si="54"/>
        <v>0</v>
      </c>
      <c r="J177" s="947">
        <f t="shared" si="42"/>
        <v>0</v>
      </c>
      <c r="K177" s="947">
        <f t="shared" si="48"/>
        <v>0</v>
      </c>
      <c r="L177" s="947">
        <f t="shared" si="43"/>
        <v>0</v>
      </c>
      <c r="M177" s="947">
        <f t="shared" si="49"/>
        <v>0</v>
      </c>
      <c r="N177" s="946"/>
      <c r="P177" s="733"/>
      <c r="Q177" s="733"/>
      <c r="R177" s="733"/>
      <c r="S177" s="785">
        <f t="shared" si="50"/>
        <v>4</v>
      </c>
      <c r="T177" s="786">
        <f t="shared" si="55"/>
        <v>0</v>
      </c>
      <c r="W177" s="790">
        <f t="shared" si="56"/>
        <v>0</v>
      </c>
      <c r="X177" s="818">
        <f t="shared" ca="1" si="51"/>
        <v>0</v>
      </c>
      <c r="Z177" s="843">
        <f t="shared" si="57"/>
        <v>0</v>
      </c>
      <c r="AA177" s="792">
        <f t="shared" si="58"/>
        <v>0</v>
      </c>
      <c r="AB177" s="792">
        <f t="shared" si="59"/>
        <v>0</v>
      </c>
      <c r="AC177" s="789">
        <f t="shared" si="52"/>
        <v>0</v>
      </c>
      <c r="AD177" s="789">
        <f t="shared" si="44"/>
        <v>0</v>
      </c>
      <c r="AE177" s="828" t="e">
        <f>HLOOKUP($AE$39,anticipado,137,0)</f>
        <v>#N/A</v>
      </c>
      <c r="AF177" s="827"/>
      <c r="AG177" s="614">
        <v>1.7612363377330166E-2</v>
      </c>
      <c r="AH177" s="615">
        <v>1.7303986660366606E-2</v>
      </c>
      <c r="AI177" s="616">
        <v>1.7020438815694181E-2</v>
      </c>
      <c r="AJ177" s="616">
        <v>1.752766645251403E-2</v>
      </c>
      <c r="AK177" s="617">
        <v>1.7612363377330166E-2</v>
      </c>
      <c r="AL177" s="617">
        <v>1.7303986660366606E-2</v>
      </c>
      <c r="AM177" s="617">
        <v>1.7694124426182341E-2</v>
      </c>
      <c r="AN177" s="617">
        <v>1.7700068150183896E-2</v>
      </c>
      <c r="AO177" s="617">
        <v>1.7794030736865779E-2</v>
      </c>
      <c r="AP177" s="617">
        <v>1.7939942902752585E-2</v>
      </c>
      <c r="AQ177" s="617">
        <v>1.7694124426182341E-2</v>
      </c>
      <c r="AR177" s="618">
        <v>1.7517610493918891E-2</v>
      </c>
      <c r="AS177" s="618">
        <v>5.261166131308833E-3</v>
      </c>
      <c r="AT177" s="618">
        <v>5.1664470472510158E-3</v>
      </c>
      <c r="AU177" s="618">
        <v>4.9552340579708158E-3</v>
      </c>
      <c r="AV177" s="618">
        <v>5.4567803208548146E-3</v>
      </c>
      <c r="AW177" s="618">
        <v>5.261166131308833E-3</v>
      </c>
      <c r="AX177" s="618">
        <v>5.0882845757260911E-3</v>
      </c>
      <c r="AY177" s="618">
        <v>5.5542790157428511E-3</v>
      </c>
      <c r="AZ177" s="618">
        <v>5.4889124347295972E-3</v>
      </c>
      <c r="BA177" s="618">
        <v>5.2925353066837879E-3</v>
      </c>
      <c r="BB177" s="618">
        <v>5.6998518276184041E-3</v>
      </c>
      <c r="BC177" s="617">
        <v>5.6059655389160672E-3</v>
      </c>
      <c r="BD177" s="617">
        <v>5.4866818263914971E-3</v>
      </c>
      <c r="BE177" s="617">
        <v>1.7672355236138856E-2</v>
      </c>
      <c r="BF177" s="617">
        <v>1.7294212251801926E-2</v>
      </c>
      <c r="BG177" s="617">
        <v>5.8160479771376889E-3</v>
      </c>
      <c r="BH177" s="617">
        <v>5.5837023909519725E-3</v>
      </c>
      <c r="BI177" s="617"/>
      <c r="BJ177" s="617"/>
      <c r="BK177" s="617"/>
      <c r="BL177" s="617"/>
      <c r="BM177" s="617"/>
      <c r="BN177" s="617"/>
      <c r="BO177" s="617"/>
      <c r="BP177" s="617"/>
      <c r="BQ177" s="617"/>
      <c r="BR177" s="617"/>
      <c r="BS177" s="617"/>
      <c r="BT177" s="617"/>
      <c r="BU177" s="617"/>
      <c r="BV177" s="617"/>
      <c r="BW177" s="617"/>
      <c r="BX177" s="617"/>
      <c r="BY177" s="617"/>
      <c r="BZ177" s="617"/>
      <c r="CA177" s="617"/>
      <c r="CB177" s="617"/>
      <c r="CC177" s="617"/>
      <c r="CD177" s="617"/>
      <c r="CE177" s="617"/>
      <c r="CF177" s="617"/>
      <c r="CG177" s="617"/>
      <c r="CH177" s="617"/>
      <c r="CI177" s="617"/>
      <c r="CJ177" s="617"/>
    </row>
    <row r="178" spans="1:88">
      <c r="A178" s="151">
        <f t="shared" ca="1" si="45"/>
        <v>4</v>
      </c>
      <c r="B178" s="784">
        <f t="shared" si="46"/>
        <v>0</v>
      </c>
      <c r="C178" s="944">
        <f t="shared" si="53"/>
        <v>0</v>
      </c>
      <c r="D178" s="947">
        <f t="shared" si="47"/>
        <v>0</v>
      </c>
      <c r="E178" s="947">
        <f t="shared" si="40"/>
        <v>0</v>
      </c>
      <c r="F178" s="947">
        <f t="shared" si="41"/>
        <v>0</v>
      </c>
      <c r="G178" s="947">
        <f>IF(M177&lt;0.01,0,IF($F$19=$U$4,$G$19,IF(AND($F$21=1,$F$19=$U$2),M177*Adm!$U$4,IF(AND($F$21=2,$F$19=$U$2),M177*Adm!$U$5,IF(AND($F$21=1,$F$19=$U$3),M177*Adm!$V$4,IF(AND($F$21=2,$F$19=$U$3),M177*Adm!$V$5,0))))))</f>
        <v>0</v>
      </c>
      <c r="H178" s="947">
        <f>IF(M177&lt;0.01,0,IF($F$20=$V$3,0,IF(OR($F$10=$T$16,$F$10=$T$17),0,IF($F$10=$T$13,0,$F$11*Adm!$AA$3))))</f>
        <v>0</v>
      </c>
      <c r="I178" s="947">
        <f t="shared" si="54"/>
        <v>0</v>
      </c>
      <c r="J178" s="947">
        <f t="shared" si="42"/>
        <v>0</v>
      </c>
      <c r="K178" s="947">
        <f t="shared" si="48"/>
        <v>0</v>
      </c>
      <c r="L178" s="947">
        <f t="shared" si="43"/>
        <v>0</v>
      </c>
      <c r="M178" s="947">
        <f t="shared" si="49"/>
        <v>0</v>
      </c>
      <c r="N178" s="946"/>
      <c r="P178" s="733"/>
      <c r="Q178" s="733"/>
      <c r="R178" s="733"/>
      <c r="S178" s="785">
        <f t="shared" si="50"/>
        <v>5</v>
      </c>
      <c r="T178" s="786">
        <f t="shared" si="55"/>
        <v>0</v>
      </c>
      <c r="W178" s="790">
        <f t="shared" si="56"/>
        <v>0</v>
      </c>
      <c r="X178" s="818">
        <f t="shared" ca="1" si="51"/>
        <v>0</v>
      </c>
      <c r="Z178" s="843">
        <f t="shared" si="57"/>
        <v>0</v>
      </c>
      <c r="AA178" s="792">
        <f t="shared" si="58"/>
        <v>0</v>
      </c>
      <c r="AB178" s="792">
        <f t="shared" si="59"/>
        <v>0</v>
      </c>
      <c r="AC178" s="789">
        <f t="shared" si="52"/>
        <v>0</v>
      </c>
      <c r="AD178" s="789">
        <f t="shared" si="44"/>
        <v>0</v>
      </c>
      <c r="AE178" s="828" t="e">
        <f>HLOOKUP($AE$39,anticipado,138,0)</f>
        <v>#N/A</v>
      </c>
      <c r="AF178" s="827"/>
      <c r="AG178" s="614">
        <v>1.8082749974878607E-2</v>
      </c>
      <c r="AH178" s="615">
        <v>1.7768485983747105E-2</v>
      </c>
      <c r="AI178" s="616">
        <v>1.7478056976945145E-2</v>
      </c>
      <c r="AJ178" s="616">
        <v>1.7988887495605992E-2</v>
      </c>
      <c r="AK178" s="617">
        <v>1.8082749974878607E-2</v>
      </c>
      <c r="AL178" s="617">
        <v>1.7768485983747105E-2</v>
      </c>
      <c r="AM178" s="617">
        <v>1.8155447661152426E-2</v>
      </c>
      <c r="AN178" s="617">
        <v>1.8168263211712374E-2</v>
      </c>
      <c r="AO178" s="617">
        <v>1.8271893468014465E-2</v>
      </c>
      <c r="AP178" s="617">
        <v>1.8406954683420185E-2</v>
      </c>
      <c r="AQ178" s="617">
        <v>1.8155447661152426E-2</v>
      </c>
      <c r="AR178" s="618">
        <v>1.7976897081366926E-2</v>
      </c>
      <c r="AS178" s="618">
        <v>5.3369900050079409E-3</v>
      </c>
      <c r="AT178" s="618">
        <v>5.242137931256793E-3</v>
      </c>
      <c r="AU178" s="618">
        <v>5.0292532959802802E-3</v>
      </c>
      <c r="AV178" s="618">
        <v>5.5340431086522432E-3</v>
      </c>
      <c r="AW178" s="618">
        <v>5.3369900050079409E-3</v>
      </c>
      <c r="AX178" s="618">
        <v>5.1628509315859864E-3</v>
      </c>
      <c r="AY178" s="618">
        <v>5.6315662505075489E-3</v>
      </c>
      <c r="AZ178" s="618">
        <v>5.5665800703614838E-3</v>
      </c>
      <c r="BA178" s="618">
        <v>5.3692022795295237E-3</v>
      </c>
      <c r="BB178" s="618">
        <v>5.7779088790712368E-3</v>
      </c>
      <c r="BC178" s="617">
        <v>5.6833278325157145E-3</v>
      </c>
      <c r="BD178" s="617">
        <v>5.5638456728539171E-3</v>
      </c>
      <c r="BE178" s="617">
        <v>1.8136307114810148E-2</v>
      </c>
      <c r="BF178" s="617">
        <v>1.7759005836481285E-2</v>
      </c>
      <c r="BG178" s="617">
        <v>5.8946790792983924E-3</v>
      </c>
      <c r="BH178" s="617">
        <v>5.6613326012053917E-3</v>
      </c>
      <c r="BI178" s="617"/>
      <c r="BJ178" s="617"/>
      <c r="BK178" s="617"/>
      <c r="BL178" s="617"/>
      <c r="BM178" s="617"/>
      <c r="BN178" s="617"/>
      <c r="BO178" s="617"/>
      <c r="BP178" s="617"/>
      <c r="BQ178" s="617"/>
      <c r="BR178" s="617"/>
      <c r="BS178" s="617"/>
      <c r="BT178" s="617"/>
      <c r="BU178" s="617"/>
      <c r="BV178" s="617"/>
      <c r="BW178" s="617"/>
      <c r="BX178" s="617"/>
      <c r="BY178" s="617"/>
      <c r="BZ178" s="617"/>
      <c r="CA178" s="617"/>
      <c r="CB178" s="617"/>
      <c r="CC178" s="617"/>
      <c r="CD178" s="617"/>
      <c r="CE178" s="617"/>
      <c r="CF178" s="617"/>
      <c r="CG178" s="617"/>
      <c r="CH178" s="617"/>
      <c r="CI178" s="617"/>
      <c r="CJ178" s="617"/>
    </row>
    <row r="179" spans="1:88">
      <c r="A179" s="151">
        <f t="shared" ca="1" si="45"/>
        <v>5</v>
      </c>
      <c r="B179" s="784">
        <f t="shared" si="46"/>
        <v>0</v>
      </c>
      <c r="C179" s="944">
        <f t="shared" si="53"/>
        <v>0</v>
      </c>
      <c r="D179" s="947">
        <f t="shared" si="47"/>
        <v>0</v>
      </c>
      <c r="E179" s="947">
        <f t="shared" si="40"/>
        <v>0</v>
      </c>
      <c r="F179" s="947">
        <f t="shared" si="41"/>
        <v>0</v>
      </c>
      <c r="G179" s="947">
        <f>IF(M178&lt;0.01,0,IF($F$19=$U$4,$G$19,IF(AND($F$21=1,$F$19=$U$2),M178*Adm!$U$4,IF(AND($F$21=2,$F$19=$U$2),M178*Adm!$U$5,IF(AND($F$21=1,$F$19=$U$3),M178*Adm!$V$4,IF(AND($F$21=2,$F$19=$U$3),M178*Adm!$V$5,0))))))</f>
        <v>0</v>
      </c>
      <c r="H179" s="947">
        <f>IF(M178&lt;0.01,0,IF($F$20=$V$3,0,IF(OR($F$10=$T$16,$F$10=$T$17),0,IF($F$10=$T$13,0,$F$11*Adm!$AA$3))))</f>
        <v>0</v>
      </c>
      <c r="I179" s="947">
        <f t="shared" si="54"/>
        <v>0</v>
      </c>
      <c r="J179" s="947">
        <f t="shared" si="42"/>
        <v>0</v>
      </c>
      <c r="K179" s="947">
        <f t="shared" si="48"/>
        <v>0</v>
      </c>
      <c r="L179" s="947">
        <f t="shared" si="43"/>
        <v>0</v>
      </c>
      <c r="M179" s="947">
        <f t="shared" si="49"/>
        <v>0</v>
      </c>
      <c r="N179" s="946"/>
      <c r="P179" s="733"/>
      <c r="Q179" s="733"/>
      <c r="R179" s="733"/>
      <c r="S179" s="785">
        <f t="shared" si="50"/>
        <v>6</v>
      </c>
      <c r="T179" s="786">
        <f t="shared" si="55"/>
        <v>0</v>
      </c>
      <c r="W179" s="790">
        <f t="shared" si="56"/>
        <v>0</v>
      </c>
      <c r="X179" s="818">
        <f t="shared" ca="1" si="51"/>
        <v>0</v>
      </c>
      <c r="Z179" s="843">
        <f t="shared" si="57"/>
        <v>0</v>
      </c>
      <c r="AA179" s="792">
        <f t="shared" si="58"/>
        <v>0</v>
      </c>
      <c r="AB179" s="792">
        <f t="shared" si="59"/>
        <v>0</v>
      </c>
      <c r="AC179" s="789">
        <f t="shared" si="52"/>
        <v>0</v>
      </c>
      <c r="AD179" s="789">
        <f t="shared" si="44"/>
        <v>0</v>
      </c>
      <c r="AE179" s="828" t="e">
        <f>HLOOKUP($AE$39,anticipado,139,0)</f>
        <v>#N/A</v>
      </c>
      <c r="AF179" s="827"/>
      <c r="AG179" s="614">
        <v>1.8574593422149691E-2</v>
      </c>
      <c r="AH179" s="615">
        <v>1.825408240134406E-2</v>
      </c>
      <c r="AI179" s="616">
        <v>1.7956338266319267E-2</v>
      </c>
      <c r="AJ179" s="616">
        <v>1.8470916217789492E-2</v>
      </c>
      <c r="AK179" s="617">
        <v>1.8574593422149691E-2</v>
      </c>
      <c r="AL179" s="617">
        <v>1.825408240134406E-2</v>
      </c>
      <c r="AM179" s="617">
        <v>1.8637551377027543E-2</v>
      </c>
      <c r="AN179" s="617">
        <v>1.8657735644099269E-2</v>
      </c>
      <c r="AO179" s="617">
        <v>1.877172212720097E-2</v>
      </c>
      <c r="AP179" s="617">
        <v>1.8895109130382493E-2</v>
      </c>
      <c r="AQ179" s="617">
        <v>1.8637551377027543E-2</v>
      </c>
      <c r="AR179" s="618">
        <v>1.845685363301916E-2</v>
      </c>
      <c r="AS179" s="618">
        <v>5.4143193575988133E-3</v>
      </c>
      <c r="AT179" s="618">
        <v>5.3193424390625219E-3</v>
      </c>
      <c r="AU179" s="618">
        <v>5.1047579347230062E-3</v>
      </c>
      <c r="AV179" s="618">
        <v>5.6128359063317987E-3</v>
      </c>
      <c r="AW179" s="618">
        <v>5.4143193575988133E-3</v>
      </c>
      <c r="AX179" s="618">
        <v>5.2389026651837242E-3</v>
      </c>
      <c r="AY179" s="618">
        <v>5.7103727333119919E-3</v>
      </c>
      <c r="AZ179" s="618">
        <v>5.6457876114313753E-3</v>
      </c>
      <c r="BA179" s="618">
        <v>5.4473996978531237E-3</v>
      </c>
      <c r="BB179" s="618">
        <v>5.8574947284981199E-3</v>
      </c>
      <c r="BC179" s="617">
        <v>5.7622060159165812E-3</v>
      </c>
      <c r="BD179" s="617">
        <v>5.6425325413372316E-3</v>
      </c>
      <c r="BE179" s="617">
        <v>1.862123389092794E-2</v>
      </c>
      <c r="BF179" s="617">
        <v>1.8244920421271366E-2</v>
      </c>
      <c r="BG179" s="617">
        <v>5.97484580585183E-3</v>
      </c>
      <c r="BH179" s="617">
        <v>5.7404902419472973E-3</v>
      </c>
      <c r="BI179" s="617"/>
      <c r="BJ179" s="617"/>
      <c r="BK179" s="617"/>
      <c r="BL179" s="617"/>
      <c r="BM179" s="617"/>
      <c r="BN179" s="617"/>
      <c r="BO179" s="617"/>
      <c r="BP179" s="617"/>
      <c r="BQ179" s="617"/>
      <c r="BR179" s="617"/>
      <c r="BS179" s="617"/>
      <c r="BT179" s="617"/>
      <c r="BU179" s="617"/>
      <c r="BV179" s="617"/>
      <c r="BW179" s="617"/>
      <c r="BX179" s="617"/>
      <c r="BY179" s="617"/>
      <c r="BZ179" s="617"/>
      <c r="CA179" s="617"/>
      <c r="CB179" s="617"/>
      <c r="CC179" s="617"/>
      <c r="CD179" s="617"/>
      <c r="CE179" s="617"/>
      <c r="CF179" s="617"/>
      <c r="CG179" s="617"/>
      <c r="CH179" s="617"/>
      <c r="CI179" s="617"/>
      <c r="CJ179" s="617"/>
    </row>
    <row r="180" spans="1:88">
      <c r="A180" s="151">
        <f t="shared" ca="1" si="45"/>
        <v>6</v>
      </c>
      <c r="B180" s="784">
        <f t="shared" si="46"/>
        <v>0</v>
      </c>
      <c r="C180" s="944">
        <f t="shared" si="53"/>
        <v>0</v>
      </c>
      <c r="D180" s="947">
        <f t="shared" si="47"/>
        <v>0</v>
      </c>
      <c r="E180" s="947">
        <f t="shared" si="40"/>
        <v>0</v>
      </c>
      <c r="F180" s="947">
        <f t="shared" si="41"/>
        <v>0</v>
      </c>
      <c r="G180" s="947">
        <f>IF(M179&lt;0.01,0,IF($F$19=$U$4,$G$19,IF(AND($F$21=1,$F$19=$U$2),M179*Adm!$U$4,IF(AND($F$21=2,$F$19=$U$2),M179*Adm!$U$5,IF(AND($F$21=1,$F$19=$U$3),M179*Adm!$V$4,IF(AND($F$21=2,$F$19=$U$3),M179*Adm!$V$5,0))))))</f>
        <v>0</v>
      </c>
      <c r="H180" s="947">
        <f>IF(M179&lt;0.01,0,IF($F$20=$V$3,0,IF(OR($F$10=$T$16,$F$10=$T$17),0,IF($F$10=$T$13,0,$F$11*Adm!$AA$3))))</f>
        <v>0</v>
      </c>
      <c r="I180" s="947">
        <f t="shared" si="54"/>
        <v>0</v>
      </c>
      <c r="J180" s="947">
        <f t="shared" si="42"/>
        <v>0</v>
      </c>
      <c r="K180" s="947">
        <f t="shared" si="48"/>
        <v>0</v>
      </c>
      <c r="L180" s="947">
        <f t="shared" si="43"/>
        <v>0</v>
      </c>
      <c r="M180" s="947">
        <f t="shared" si="49"/>
        <v>0</v>
      </c>
      <c r="N180" s="946"/>
      <c r="P180" s="733"/>
      <c r="Q180" s="733"/>
      <c r="R180" s="733"/>
      <c r="S180" s="785">
        <f t="shared" si="50"/>
        <v>7</v>
      </c>
      <c r="T180" s="786">
        <f t="shared" si="55"/>
        <v>0</v>
      </c>
      <c r="W180" s="790">
        <f t="shared" si="56"/>
        <v>0</v>
      </c>
      <c r="X180" s="818">
        <f t="shared" ca="1" si="51"/>
        <v>0</v>
      </c>
      <c r="Z180" s="843">
        <f t="shared" si="57"/>
        <v>0</v>
      </c>
      <c r="AA180" s="792">
        <f t="shared" si="58"/>
        <v>0</v>
      </c>
      <c r="AB180" s="792">
        <f t="shared" si="59"/>
        <v>0</v>
      </c>
      <c r="AC180" s="789">
        <f t="shared" si="52"/>
        <v>0</v>
      </c>
      <c r="AD180" s="789">
        <f t="shared" si="44"/>
        <v>0</v>
      </c>
      <c r="AE180" s="828" t="e">
        <f>HLOOKUP($AE$39,anticipado,140,0)</f>
        <v>#N/A</v>
      </c>
      <c r="AF180" s="827"/>
      <c r="AG180" s="614">
        <v>1.9089376701325104E-2</v>
      </c>
      <c r="AH180" s="615">
        <v>1.8762225407762137E-2</v>
      </c>
      <c r="AI180" s="616">
        <v>1.8456692088595E-2</v>
      </c>
      <c r="AJ180" s="616">
        <v>1.8975175471657425E-2</v>
      </c>
      <c r="AK180" s="617">
        <v>1.9089376701325104E-2</v>
      </c>
      <c r="AL180" s="617">
        <v>1.8762225407762137E-2</v>
      </c>
      <c r="AM180" s="617">
        <v>1.9141855983099015E-2</v>
      </c>
      <c r="AN180" s="617">
        <v>1.9169951780311747E-2</v>
      </c>
      <c r="AO180" s="617">
        <v>1.9295047342606036E-2</v>
      </c>
      <c r="AP180" s="617">
        <v>1.9405860183436641E-2</v>
      </c>
      <c r="AQ180" s="617">
        <v>1.9141855983099015E-2</v>
      </c>
      <c r="AR180" s="618">
        <v>1.8958890332285414E-2</v>
      </c>
      <c r="AS180" s="618">
        <v>5.4931962244219989E-3</v>
      </c>
      <c r="AT180" s="618">
        <v>5.3981029439234074E-3</v>
      </c>
      <c r="AU180" s="618">
        <v>5.1817893582689085E-3</v>
      </c>
      <c r="AV180" s="618">
        <v>5.6932016225127351E-3</v>
      </c>
      <c r="AW180" s="618">
        <v>5.4931962244219989E-3</v>
      </c>
      <c r="AX180" s="618">
        <v>5.3164811100375317E-3</v>
      </c>
      <c r="AY180" s="618">
        <v>5.7907409433079326E-3</v>
      </c>
      <c r="AZ180" s="618">
        <v>5.7265783334403226E-3</v>
      </c>
      <c r="BA180" s="618">
        <v>5.5271705321855618E-3</v>
      </c>
      <c r="BB180" s="618">
        <v>5.9386521856371497E-3</v>
      </c>
      <c r="BC180" s="617">
        <v>5.842642430775904E-3</v>
      </c>
      <c r="BD180" s="617">
        <v>5.7227850689170398E-3</v>
      </c>
      <c r="BE180" s="617">
        <v>1.9128573887705499E-2</v>
      </c>
      <c r="BF180" s="617">
        <v>1.8753407710416156E-2</v>
      </c>
      <c r="BG180" s="617">
        <v>6.0565912036724739E-3</v>
      </c>
      <c r="BH180" s="617">
        <v>5.8212180946935147E-3</v>
      </c>
      <c r="BI180" s="617"/>
      <c r="BJ180" s="617"/>
      <c r="BK180" s="617"/>
      <c r="BL180" s="617"/>
      <c r="BM180" s="617"/>
      <c r="BN180" s="617"/>
      <c r="BO180" s="617"/>
      <c r="BP180" s="617"/>
      <c r="BQ180" s="617"/>
      <c r="BR180" s="617"/>
      <c r="BS180" s="617"/>
      <c r="BT180" s="617"/>
      <c r="BU180" s="617"/>
      <c r="BV180" s="617"/>
      <c r="BW180" s="617"/>
      <c r="BX180" s="617"/>
      <c r="BY180" s="617"/>
      <c r="BZ180" s="617"/>
      <c r="CA180" s="617"/>
      <c r="CB180" s="617"/>
      <c r="CC180" s="617"/>
      <c r="CD180" s="617"/>
      <c r="CE180" s="617"/>
      <c r="CF180" s="617"/>
      <c r="CG180" s="617"/>
      <c r="CH180" s="617"/>
      <c r="CI180" s="617"/>
      <c r="CJ180" s="617"/>
    </row>
    <row r="181" spans="1:88">
      <c r="A181" s="151">
        <f t="shared" ca="1" si="45"/>
        <v>7</v>
      </c>
      <c r="B181" s="784">
        <f t="shared" si="46"/>
        <v>0</v>
      </c>
      <c r="C181" s="944">
        <f t="shared" si="53"/>
        <v>0</v>
      </c>
      <c r="D181" s="947">
        <f t="shared" si="47"/>
        <v>0</v>
      </c>
      <c r="E181" s="947">
        <f t="shared" si="40"/>
        <v>0</v>
      </c>
      <c r="F181" s="947">
        <f t="shared" si="41"/>
        <v>0</v>
      </c>
      <c r="G181" s="947">
        <f>IF(M180&lt;0.01,0,IF($F$19=$U$4,$G$19,IF(AND($F$21=1,$F$19=$U$2),M180*Adm!$U$4,IF(AND($F$21=2,$F$19=$U$2),M180*Adm!$U$5,IF(AND($F$21=1,$F$19=$U$3),M180*Adm!$V$4,IF(AND($F$21=2,$F$19=$U$3),M180*Adm!$V$5,0))))))</f>
        <v>0</v>
      </c>
      <c r="H181" s="947">
        <f>IF(M180&lt;0.01,0,IF($F$20=$V$3,0,IF(OR($F$10=$T$16,$F$10=$T$17),0,IF($F$10=$T$13,0,$F$11*Adm!$AA$3))))</f>
        <v>0</v>
      </c>
      <c r="I181" s="947">
        <f t="shared" si="54"/>
        <v>0</v>
      </c>
      <c r="J181" s="947">
        <f t="shared" si="42"/>
        <v>0</v>
      </c>
      <c r="K181" s="947">
        <f t="shared" si="48"/>
        <v>0</v>
      </c>
      <c r="L181" s="947">
        <f t="shared" si="43"/>
        <v>0</v>
      </c>
      <c r="M181" s="947">
        <f t="shared" si="49"/>
        <v>0</v>
      </c>
      <c r="N181" s="946"/>
      <c r="P181" s="733"/>
      <c r="Q181" s="733"/>
      <c r="R181" s="733"/>
      <c r="S181" s="785">
        <f t="shared" si="50"/>
        <v>8</v>
      </c>
      <c r="T181" s="786">
        <f t="shared" si="55"/>
        <v>0</v>
      </c>
      <c r="W181" s="790">
        <f t="shared" si="56"/>
        <v>0</v>
      </c>
      <c r="X181" s="818">
        <f t="shared" ca="1" si="51"/>
        <v>0</v>
      </c>
      <c r="Z181" s="843">
        <f t="shared" si="57"/>
        <v>0</v>
      </c>
      <c r="AA181" s="792">
        <f t="shared" si="58"/>
        <v>0</v>
      </c>
      <c r="AB181" s="792">
        <f t="shared" si="59"/>
        <v>0</v>
      </c>
      <c r="AC181" s="789">
        <f t="shared" si="52"/>
        <v>0</v>
      </c>
      <c r="AD181" s="789">
        <f t="shared" si="44"/>
        <v>0</v>
      </c>
      <c r="AE181" s="828" t="e">
        <f>HLOOKUP($AE$39,anticipado,141,0)</f>
        <v>#N/A</v>
      </c>
      <c r="AF181" s="827"/>
      <c r="AG181" s="614">
        <v>1.9628722656326484E-2</v>
      </c>
      <c r="AH181" s="615">
        <v>1.929450036837926E-2</v>
      </c>
      <c r="AI181" s="616">
        <v>1.8980658978398117E-2</v>
      </c>
      <c r="AJ181" s="616">
        <v>1.9503220845260277E-2</v>
      </c>
      <c r="AK181" s="617">
        <v>1.9628722656326484E-2</v>
      </c>
      <c r="AL181" s="617">
        <v>1.929450036837926E-2</v>
      </c>
      <c r="AM181" s="617">
        <v>1.9669914343868777E-2</v>
      </c>
      <c r="AN181" s="617">
        <v>1.9706515839289115E-2</v>
      </c>
      <c r="AO181" s="617">
        <v>1.9843545311867706E-2</v>
      </c>
      <c r="AP181" s="617">
        <v>1.9940798209331763E-2</v>
      </c>
      <c r="AQ181" s="617">
        <v>1.9669914343868777E-2</v>
      </c>
      <c r="AR181" s="618">
        <v>1.9484548606987971E-2</v>
      </c>
      <c r="AS181" s="618">
        <v>5.573664211360671E-3</v>
      </c>
      <c r="AT181" s="618">
        <v>5.4784634052233994E-3</v>
      </c>
      <c r="AU181" s="618">
        <v>5.260390489954944E-3</v>
      </c>
      <c r="AV181" s="618">
        <v>5.7751847778545022E-3</v>
      </c>
      <c r="AW181" s="618">
        <v>5.573664211360671E-3</v>
      </c>
      <c r="AX181" s="618">
        <v>5.3956291369570402E-3</v>
      </c>
      <c r="AY181" s="618">
        <v>5.8727149517075637E-3</v>
      </c>
      <c r="AZ181" s="618">
        <v>5.8089971413040949E-3</v>
      </c>
      <c r="BA181" s="618">
        <v>5.6085593676019419E-3</v>
      </c>
      <c r="BB181" s="618">
        <v>6.0214256681448914E-3</v>
      </c>
      <c r="BC181" s="617">
        <v>5.9246810044645323E-3</v>
      </c>
      <c r="BD181" s="617">
        <v>5.8046474920003827E-3</v>
      </c>
      <c r="BE181" s="617">
        <v>1.9659899995448548E-2</v>
      </c>
      <c r="BF181" s="617">
        <v>1.9286055540044297E-2</v>
      </c>
      <c r="BG181" s="617">
        <v>6.1399599389576672E-3</v>
      </c>
      <c r="BH181" s="617">
        <v>5.9035605473050385E-3</v>
      </c>
      <c r="BI181" s="617"/>
      <c r="BJ181" s="617"/>
      <c r="BK181" s="617"/>
      <c r="BL181" s="617"/>
      <c r="BM181" s="617"/>
      <c r="BN181" s="617"/>
      <c r="BO181" s="617"/>
      <c r="BP181" s="617"/>
      <c r="BQ181" s="617"/>
      <c r="BR181" s="617"/>
      <c r="BS181" s="617"/>
      <c r="BT181" s="617"/>
      <c r="BU181" s="617"/>
      <c r="BV181" s="617"/>
      <c r="BW181" s="617"/>
      <c r="BX181" s="617"/>
      <c r="BY181" s="617"/>
      <c r="BZ181" s="617"/>
      <c r="CA181" s="617"/>
      <c r="CB181" s="617"/>
      <c r="CC181" s="617"/>
      <c r="CD181" s="617"/>
      <c r="CE181" s="617"/>
      <c r="CF181" s="617"/>
      <c r="CG181" s="617"/>
      <c r="CH181" s="617"/>
      <c r="CI181" s="617"/>
      <c r="CJ181" s="617"/>
    </row>
    <row r="182" spans="1:88">
      <c r="A182" s="151">
        <f t="shared" ca="1" si="45"/>
        <v>8</v>
      </c>
      <c r="B182" s="784">
        <f t="shared" si="46"/>
        <v>0</v>
      </c>
      <c r="C182" s="944">
        <f t="shared" si="53"/>
        <v>0</v>
      </c>
      <c r="D182" s="947">
        <f t="shared" si="47"/>
        <v>0</v>
      </c>
      <c r="E182" s="947">
        <f t="shared" si="40"/>
        <v>0</v>
      </c>
      <c r="F182" s="947">
        <f t="shared" si="41"/>
        <v>0</v>
      </c>
      <c r="G182" s="947">
        <f>IF(M181&lt;0.01,0,IF($F$19=$U$4,$G$19,IF(AND($F$21=1,$F$19=$U$2),M181*Adm!$U$4,IF(AND($F$21=2,$F$19=$U$2),M181*Adm!$U$5,IF(AND($F$21=1,$F$19=$U$3),M181*Adm!$V$4,IF(AND($F$21=2,$F$19=$U$3),M181*Adm!$V$5,0))))))</f>
        <v>0</v>
      </c>
      <c r="H182" s="947">
        <f>IF(M181&lt;0.01,0,IF($F$20=$V$3,0,IF(OR($F$10=$T$16,$F$10=$T$17),0,IF($F$10=$T$13,0,$F$11*Adm!$AA$3))))</f>
        <v>0</v>
      </c>
      <c r="I182" s="947">
        <f t="shared" si="54"/>
        <v>0</v>
      </c>
      <c r="J182" s="947">
        <f t="shared" si="42"/>
        <v>0</v>
      </c>
      <c r="K182" s="947">
        <f t="shared" si="48"/>
        <v>0</v>
      </c>
      <c r="L182" s="947">
        <f t="shared" si="43"/>
        <v>0</v>
      </c>
      <c r="M182" s="947">
        <f t="shared" si="49"/>
        <v>0</v>
      </c>
      <c r="N182" s="946"/>
      <c r="P182" s="733"/>
      <c r="Q182" s="733"/>
      <c r="R182" s="733"/>
      <c r="S182" s="785">
        <f t="shared" si="50"/>
        <v>9</v>
      </c>
      <c r="T182" s="786">
        <f t="shared" si="55"/>
        <v>0</v>
      </c>
      <c r="W182" s="790">
        <f t="shared" si="56"/>
        <v>0</v>
      </c>
      <c r="X182" s="818">
        <f t="shared" ca="1" si="51"/>
        <v>0</v>
      </c>
      <c r="Z182" s="843">
        <f t="shared" si="57"/>
        <v>0</v>
      </c>
      <c r="AA182" s="792">
        <f t="shared" si="58"/>
        <v>0</v>
      </c>
      <c r="AB182" s="792">
        <f t="shared" si="59"/>
        <v>0</v>
      </c>
      <c r="AC182" s="789">
        <f t="shared" si="52"/>
        <v>0</v>
      </c>
      <c r="AD182" s="789">
        <f t="shared" si="44"/>
        <v>0</v>
      </c>
      <c r="AE182" s="828" t="e">
        <f>HLOOKUP($AE$39,anticipado,142,0)</f>
        <v>#N/A</v>
      </c>
      <c r="AF182" s="827"/>
      <c r="AG182" s="614">
        <v>2.0194410879600892E-2</v>
      </c>
      <c r="AH182" s="615">
        <v>1.9852644822054743E-2</v>
      </c>
      <c r="AI182" s="616">
        <v>1.9529926214300119E-2</v>
      </c>
      <c r="AJ182" s="616">
        <v>2.0056756510460187E-2</v>
      </c>
      <c r="AK182" s="617">
        <v>2.0194410879600892E-2</v>
      </c>
      <c r="AL182" s="617">
        <v>1.9852644822054743E-2</v>
      </c>
      <c r="AM182" s="617">
        <v>2.022342758747616E-2</v>
      </c>
      <c r="AN182" s="617">
        <v>2.0269186524111468E-2</v>
      </c>
      <c r="AO182" s="617">
        <v>2.0419055529418122E-2</v>
      </c>
      <c r="AP182" s="617">
        <v>2.0501666388077613E-2</v>
      </c>
      <c r="AQ182" s="617">
        <v>2.022342758747616E-2</v>
      </c>
      <c r="AR182" s="618">
        <v>2.0035516761971992E-2</v>
      </c>
      <c r="AS182" s="618">
        <v>5.6557685689392042E-3</v>
      </c>
      <c r="AT182" s="618">
        <v>5.560469443456049E-3</v>
      </c>
      <c r="AU182" s="618">
        <v>5.340605864694147E-3</v>
      </c>
      <c r="AV182" s="618">
        <v>5.8588315815291565E-3</v>
      </c>
      <c r="AW182" s="618">
        <v>5.6557685689392042E-3</v>
      </c>
      <c r="AX182" s="618">
        <v>5.4763912262477069E-3</v>
      </c>
      <c r="AY182" s="618">
        <v>5.9563404971190994E-3</v>
      </c>
      <c r="AZ182" s="618">
        <v>5.8930906468211176E-3</v>
      </c>
      <c r="BA182" s="618">
        <v>5.6916124803298952E-3</v>
      </c>
      <c r="BB182" s="618">
        <v>6.1058612778422342E-3</v>
      </c>
      <c r="BC182" s="617">
        <v>6.0083673250426288E-3</v>
      </c>
      <c r="BD182" s="617">
        <v>5.8881657220735024E-3</v>
      </c>
      <c r="BE182" s="617">
        <v>2.0216935786182354E-2</v>
      </c>
      <c r="BF182" s="617">
        <v>1.9844604218852698E-2</v>
      </c>
      <c r="BG182" s="617">
        <v>6.2249983741294521E-3</v>
      </c>
      <c r="BH182" s="617">
        <v>5.9875636701399249E-3</v>
      </c>
      <c r="BI182" s="617"/>
      <c r="BJ182" s="617"/>
      <c r="BK182" s="617"/>
      <c r="BL182" s="617"/>
      <c r="BM182" s="617"/>
      <c r="BN182" s="617"/>
      <c r="BO182" s="617"/>
      <c r="BP182" s="617"/>
      <c r="BQ182" s="617"/>
      <c r="BR182" s="617"/>
      <c r="BS182" s="617"/>
      <c r="BT182" s="617"/>
      <c r="BU182" s="617"/>
      <c r="BV182" s="617"/>
      <c r="BW182" s="617"/>
      <c r="BX182" s="617"/>
      <c r="BY182" s="617"/>
      <c r="BZ182" s="617"/>
      <c r="CA182" s="617"/>
      <c r="CB182" s="617"/>
      <c r="CC182" s="617"/>
      <c r="CD182" s="617"/>
      <c r="CE182" s="617"/>
      <c r="CF182" s="617"/>
      <c r="CG182" s="617"/>
      <c r="CH182" s="617"/>
      <c r="CI182" s="617"/>
      <c r="CJ182" s="617"/>
    </row>
    <row r="183" spans="1:88">
      <c r="A183" s="151">
        <f t="shared" ca="1" si="45"/>
        <v>9</v>
      </c>
      <c r="B183" s="784">
        <f t="shared" si="46"/>
        <v>0</v>
      </c>
      <c r="C183" s="944">
        <f t="shared" si="53"/>
        <v>0</v>
      </c>
      <c r="D183" s="947">
        <f t="shared" si="47"/>
        <v>0</v>
      </c>
      <c r="E183" s="947">
        <f t="shared" ref="E183:E246" si="60">IF(M182&lt;0.01,0,MIN(M182,F183-D183))</f>
        <v>0</v>
      </c>
      <c r="F183" s="947">
        <f t="shared" ref="F183:F246" si="61">IF(M182&lt;0.01,0,MIN(M182+D183,IF(Z183&gt;0,Z183,F182*(1+T183))))</f>
        <v>0</v>
      </c>
      <c r="G183" s="947">
        <f>IF(M182&lt;0.01,0,IF($F$19=$U$4,$G$19,IF(AND($F$21=1,$F$19=$U$2),M182*Adm!$U$4,IF(AND($F$21=2,$F$19=$U$2),M182*Adm!$U$5,IF(AND($F$21=1,$F$19=$U$3),M182*Adm!$V$4,IF(AND($F$21=2,$F$19=$U$3),M182*Adm!$V$5,0))))))</f>
        <v>0</v>
      </c>
      <c r="H183" s="947">
        <f>IF(M182&lt;0.01,0,IF($F$20=$V$3,0,IF(OR($F$10=$T$16,$F$10=$T$17),0,IF($F$10=$T$13,0,$F$11*Adm!$AA$3))))</f>
        <v>0</v>
      </c>
      <c r="I183" s="947">
        <f t="shared" si="54"/>
        <v>0</v>
      </c>
      <c r="J183" s="947">
        <f t="shared" si="42"/>
        <v>0</v>
      </c>
      <c r="K183" s="947">
        <f t="shared" si="48"/>
        <v>0</v>
      </c>
      <c r="L183" s="947">
        <f t="shared" si="43"/>
        <v>0</v>
      </c>
      <c r="M183" s="947">
        <f t="shared" si="49"/>
        <v>0</v>
      </c>
      <c r="N183" s="946"/>
      <c r="P183" s="733"/>
      <c r="Q183" s="733"/>
      <c r="R183" s="733"/>
      <c r="S183" s="785">
        <f t="shared" si="50"/>
        <v>10</v>
      </c>
      <c r="T183" s="786">
        <f t="shared" si="55"/>
        <v>0</v>
      </c>
      <c r="W183" s="790">
        <f t="shared" si="56"/>
        <v>0</v>
      </c>
      <c r="X183" s="818">
        <f t="shared" ca="1" si="51"/>
        <v>0</v>
      </c>
      <c r="Z183" s="843">
        <f t="shared" si="57"/>
        <v>0</v>
      </c>
      <c r="AA183" s="792">
        <f t="shared" si="58"/>
        <v>0</v>
      </c>
      <c r="AB183" s="792">
        <f t="shared" si="59"/>
        <v>0</v>
      </c>
      <c r="AC183" s="789">
        <f t="shared" si="52"/>
        <v>0</v>
      </c>
      <c r="AD183" s="789">
        <f t="shared" si="44"/>
        <v>0</v>
      </c>
      <c r="AE183" s="828" t="e">
        <f>HLOOKUP($AE$39,anticipado,143,0)</f>
        <v>#N/A</v>
      </c>
      <c r="AF183" s="827"/>
      <c r="AG183" s="614">
        <v>2.0788397106126882E-2</v>
      </c>
      <c r="AH183" s="615">
        <v>2.0438567188887573E-2</v>
      </c>
      <c r="AI183" s="616">
        <v>2.0106345718419606E-2</v>
      </c>
      <c r="AJ183" s="616">
        <v>2.063765339755173E-2</v>
      </c>
      <c r="AK183" s="617">
        <v>2.0788397106126882E-2</v>
      </c>
      <c r="AL183" s="617">
        <v>2.0438567188887573E-2</v>
      </c>
      <c r="AM183" s="617">
        <v>2.0804263233558336E-2</v>
      </c>
      <c r="AN183" s="617">
        <v>2.0859896076943336E-2</v>
      </c>
      <c r="AO183" s="617">
        <v>2.1023601169078719E-2</v>
      </c>
      <c r="AP183" s="617">
        <v>2.1090379519187023E-2</v>
      </c>
      <c r="AQ183" s="617">
        <v>2.0804263233558336E-2</v>
      </c>
      <c r="AR183" s="618">
        <v>2.0613647900657592E-2</v>
      </c>
      <c r="AS183" s="618">
        <v>5.73955627065757E-3</v>
      </c>
      <c r="AT183" s="618">
        <v>5.6441684195002485E-3</v>
      </c>
      <c r="AU183" s="618">
        <v>5.4224817054005512E-3</v>
      </c>
      <c r="AV183" s="618">
        <v>5.9441900120892838E-3</v>
      </c>
      <c r="AW183" s="618">
        <v>5.73955627065757E-3</v>
      </c>
      <c r="AX183" s="618">
        <v>5.55881354402435E-3</v>
      </c>
      <c r="AY183" s="618">
        <v>6.0416650652014578E-3</v>
      </c>
      <c r="AZ183" s="618">
        <v>5.9789072506030725E-3</v>
      </c>
      <c r="BA183" s="618">
        <v>5.7763779187624343E-3</v>
      </c>
      <c r="BB183" s="618">
        <v>6.1920068813407321E-3</v>
      </c>
      <c r="BC183" s="617">
        <v>6.0937487205303467E-3</v>
      </c>
      <c r="BD183" s="617">
        <v>5.9733874257963679E-3</v>
      </c>
      <c r="BE183" s="617">
        <v>2.0801574000806015E-2</v>
      </c>
      <c r="BF183" s="617">
        <v>2.0430965280447504E-2</v>
      </c>
      <c r="BG183" s="617">
        <v>6.3117546491611217E-3</v>
      </c>
      <c r="BH183" s="617">
        <v>6.0732752965792164E-3</v>
      </c>
      <c r="BI183" s="617"/>
      <c r="BJ183" s="617"/>
      <c r="BK183" s="617"/>
      <c r="BL183" s="617"/>
      <c r="BM183" s="617"/>
      <c r="BN183" s="617"/>
      <c r="BO183" s="617"/>
      <c r="BP183" s="617"/>
      <c r="BQ183" s="617"/>
      <c r="BR183" s="617"/>
      <c r="BS183" s="617"/>
      <c r="BT183" s="617"/>
      <c r="BU183" s="617"/>
      <c r="BV183" s="617"/>
      <c r="BW183" s="617"/>
      <c r="BX183" s="617"/>
      <c r="BY183" s="617"/>
      <c r="BZ183" s="617"/>
      <c r="CA183" s="617"/>
      <c r="CB183" s="617"/>
      <c r="CC183" s="617"/>
      <c r="CD183" s="617"/>
      <c r="CE183" s="617"/>
      <c r="CF183" s="617"/>
      <c r="CG183" s="617"/>
      <c r="CH183" s="617"/>
      <c r="CI183" s="617"/>
      <c r="CJ183" s="617"/>
    </row>
    <row r="184" spans="1:88">
      <c r="A184" s="151">
        <f t="shared" ca="1" si="45"/>
        <v>10</v>
      </c>
      <c r="B184" s="784">
        <f t="shared" si="46"/>
        <v>0</v>
      </c>
      <c r="C184" s="944">
        <f t="shared" si="53"/>
        <v>0</v>
      </c>
      <c r="D184" s="947">
        <f t="shared" si="47"/>
        <v>0</v>
      </c>
      <c r="E184" s="947">
        <f t="shared" si="60"/>
        <v>0</v>
      </c>
      <c r="F184" s="947">
        <f t="shared" si="61"/>
        <v>0</v>
      </c>
      <c r="G184" s="947">
        <f>IF(M183&lt;0.01,0,IF($F$19=$U$4,$G$19,IF(AND($F$21=1,$F$19=$U$2),M183*Adm!$U$4,IF(AND($F$21=2,$F$19=$U$2),M183*Adm!$U$5,IF(AND($F$21=1,$F$19=$U$3),M183*Adm!$V$4,IF(AND($F$21=2,$F$19=$U$3),M183*Adm!$V$5,0))))))</f>
        <v>0</v>
      </c>
      <c r="H184" s="947">
        <f>IF(M183&lt;0.01,0,IF($F$20=$V$3,0,IF(OR($F$10=$T$16,$F$10=$T$17),0,IF($F$10=$T$13,0,$F$11*Adm!$AA$3))))</f>
        <v>0</v>
      </c>
      <c r="I184" s="947">
        <f t="shared" si="54"/>
        <v>0</v>
      </c>
      <c r="J184" s="947">
        <f t="shared" si="42"/>
        <v>0</v>
      </c>
      <c r="K184" s="947">
        <f t="shared" si="48"/>
        <v>0</v>
      </c>
      <c r="L184" s="947">
        <f t="shared" si="43"/>
        <v>0</v>
      </c>
      <c r="M184" s="947">
        <f t="shared" si="49"/>
        <v>0</v>
      </c>
      <c r="N184" s="946"/>
      <c r="P184" s="733"/>
      <c r="Q184" s="733"/>
      <c r="R184" s="733"/>
      <c r="S184" s="785">
        <f t="shared" si="50"/>
        <v>11</v>
      </c>
      <c r="T184" s="786">
        <f t="shared" si="55"/>
        <v>0</v>
      </c>
      <c r="W184" s="790">
        <f t="shared" si="56"/>
        <v>0</v>
      </c>
      <c r="X184" s="818">
        <f t="shared" ca="1" si="51"/>
        <v>0</v>
      </c>
      <c r="Z184" s="843">
        <f t="shared" si="57"/>
        <v>0</v>
      </c>
      <c r="AA184" s="792">
        <f t="shared" si="58"/>
        <v>0</v>
      </c>
      <c r="AB184" s="792">
        <f t="shared" si="59"/>
        <v>0</v>
      </c>
      <c r="AC184" s="789">
        <f t="shared" si="52"/>
        <v>0</v>
      </c>
      <c r="AD184" s="789">
        <f t="shared" si="44"/>
        <v>0</v>
      </c>
      <c r="AE184" s="828" t="e">
        <f>HLOOKUP($AE$39,anticipado,144,0)</f>
        <v>#N/A</v>
      </c>
      <c r="AF184" s="827"/>
      <c r="AG184" s="614">
        <v>2.1412835559955781E-2</v>
      </c>
      <c r="AH184" s="615">
        <v>2.1054368307397049E-2</v>
      </c>
      <c r="AI184" s="616">
        <v>2.0711954641581605E-2</v>
      </c>
      <c r="AJ184" s="616">
        <v>2.1247970104504663E-2</v>
      </c>
      <c r="AK184" s="617">
        <v>2.1412835559955781E-2</v>
      </c>
      <c r="AL184" s="617">
        <v>2.1054368307397049E-2</v>
      </c>
      <c r="AM184" s="617">
        <v>2.1414476047525458E-2</v>
      </c>
      <c r="AN184" s="617">
        <v>2.1480772225728539E-2</v>
      </c>
      <c r="AO184" s="617">
        <v>2.1659412597792485E-2</v>
      </c>
      <c r="AP184" s="617">
        <v>2.1709045675312531E-2</v>
      </c>
      <c r="AQ184" s="617">
        <v>2.1414476047525458E-2</v>
      </c>
      <c r="AR184" s="618">
        <v>2.1220980536321279E-2</v>
      </c>
      <c r="AS184" s="618">
        <v>5.8250760958467622E-3</v>
      </c>
      <c r="AT184" s="618">
        <v>5.7296095184806569E-3</v>
      </c>
      <c r="AU184" s="618">
        <v>5.5060660038059256E-3</v>
      </c>
      <c r="AV184" s="618">
        <v>6.0313099030289532E-3</v>
      </c>
      <c r="AW184" s="618">
        <v>5.8250760958467622E-3</v>
      </c>
      <c r="AX184" s="618">
        <v>5.6429440229090969E-3</v>
      </c>
      <c r="AY184" s="618">
        <v>6.1287379729296982E-3</v>
      </c>
      <c r="AZ184" s="618">
        <v>6.0664972287709446E-3</v>
      </c>
      <c r="BA184" s="618">
        <v>5.8629055891735744E-3</v>
      </c>
      <c r="BB184" s="618">
        <v>6.2799121953458093E-3</v>
      </c>
      <c r="BC184" s="617">
        <v>6.1808743427632911E-3</v>
      </c>
      <c r="BD184" s="617">
        <v>6.060362109737716E-3</v>
      </c>
      <c r="BE184" s="617">
        <v>2.1415897826545134E-2</v>
      </c>
      <c r="BF184" s="617">
        <v>2.1047243073062463E-2</v>
      </c>
      <c r="BG184" s="617">
        <v>6.400278767628483E-3</v>
      </c>
      <c r="BH184" s="617">
        <v>6.1607451082228174E-3</v>
      </c>
      <c r="BI184" s="617"/>
      <c r="BJ184" s="617"/>
      <c r="BK184" s="617"/>
      <c r="BL184" s="617"/>
      <c r="BM184" s="617"/>
      <c r="BN184" s="617"/>
      <c r="BO184" s="617"/>
      <c r="BP184" s="617"/>
      <c r="BQ184" s="617"/>
      <c r="BR184" s="617"/>
      <c r="BS184" s="617"/>
      <c r="BT184" s="617"/>
      <c r="BU184" s="617"/>
      <c r="BV184" s="617"/>
      <c r="BW184" s="617"/>
      <c r="BX184" s="617"/>
      <c r="BY184" s="617"/>
      <c r="BZ184" s="617"/>
      <c r="CA184" s="617"/>
      <c r="CB184" s="617"/>
      <c r="CC184" s="617"/>
      <c r="CD184" s="617"/>
      <c r="CE184" s="617"/>
      <c r="CF184" s="617"/>
      <c r="CG184" s="617"/>
      <c r="CH184" s="617"/>
      <c r="CI184" s="617"/>
      <c r="CJ184" s="617"/>
    </row>
    <row r="185" spans="1:88">
      <c r="A185" s="151">
        <f t="shared" ca="1" si="45"/>
        <v>11</v>
      </c>
      <c r="B185" s="784">
        <f t="shared" si="46"/>
        <v>0</v>
      </c>
      <c r="C185" s="944">
        <f t="shared" si="53"/>
        <v>0</v>
      </c>
      <c r="D185" s="947">
        <f t="shared" si="47"/>
        <v>0</v>
      </c>
      <c r="E185" s="947">
        <f t="shared" si="60"/>
        <v>0</v>
      </c>
      <c r="F185" s="947">
        <f t="shared" si="61"/>
        <v>0</v>
      </c>
      <c r="G185" s="947">
        <f>IF(M184&lt;0.01,0,IF($F$19=$U$4,$G$19,IF(AND($F$21=1,$F$19=$U$2),M184*Adm!$U$4,IF(AND($F$21=2,$F$19=$U$2),M184*Adm!$U$5,IF(AND($F$21=1,$F$19=$U$3),M184*Adm!$V$4,IF(AND($F$21=2,$F$19=$U$3),M184*Adm!$V$5,0))))))</f>
        <v>0</v>
      </c>
      <c r="H185" s="947">
        <f>IF(M184&lt;0.01,0,IF($F$20=$V$3,0,IF(OR($F$10=$T$16,$F$10=$T$17),0,IF($F$10=$T$13,0,$F$11*Adm!$AA$3))))</f>
        <v>0</v>
      </c>
      <c r="I185" s="947">
        <f t="shared" si="54"/>
        <v>0</v>
      </c>
      <c r="J185" s="947">
        <f t="shared" si="42"/>
        <v>0</v>
      </c>
      <c r="K185" s="947">
        <f t="shared" si="48"/>
        <v>0</v>
      </c>
      <c r="L185" s="947">
        <f t="shared" si="43"/>
        <v>0</v>
      </c>
      <c r="M185" s="947">
        <f t="shared" si="49"/>
        <v>0</v>
      </c>
      <c r="N185" s="946"/>
      <c r="P185" s="733"/>
      <c r="Q185" s="733"/>
      <c r="R185" s="733"/>
      <c r="S185" s="785">
        <f t="shared" si="50"/>
        <v>12</v>
      </c>
      <c r="T185" s="786">
        <f t="shared" si="55"/>
        <v>0</v>
      </c>
      <c r="W185" s="790">
        <f t="shared" si="56"/>
        <v>0</v>
      </c>
      <c r="X185" s="818">
        <f t="shared" ca="1" si="51"/>
        <v>0</v>
      </c>
      <c r="Z185" s="843">
        <f t="shared" si="57"/>
        <v>0</v>
      </c>
      <c r="AA185" s="792">
        <f t="shared" si="58"/>
        <v>0</v>
      </c>
      <c r="AB185" s="792">
        <f t="shared" si="59"/>
        <v>0</v>
      </c>
      <c r="AC185" s="789">
        <f t="shared" si="52"/>
        <v>0</v>
      </c>
      <c r="AD185" s="789">
        <f t="shared" si="44"/>
        <v>0</v>
      </c>
      <c r="AE185" s="828" t="e">
        <f>HLOOKUP($AE$39,anticipado,145,0)</f>
        <v>#N/A</v>
      </c>
      <c r="AF185" s="827"/>
      <c r="AG185" s="614">
        <v>2.2070104791348535E-2</v>
      </c>
      <c r="AH185" s="615">
        <v>2.1702366313288705E-2</v>
      </c>
      <c r="AI185" s="616">
        <v>2.1348999116171802E-2</v>
      </c>
      <c r="AJ185" s="616">
        <v>2.1889977033214703E-2</v>
      </c>
      <c r="AK185" s="617">
        <v>2.2070104791348535E-2</v>
      </c>
      <c r="AL185" s="617">
        <v>2.1702366313288705E-2</v>
      </c>
      <c r="AM185" s="617">
        <v>2.2056332111942498E-2</v>
      </c>
      <c r="AN185" s="617">
        <v>2.2134163547911364E-2</v>
      </c>
      <c r="AO185" s="617">
        <v>2.2328954596404441E-2</v>
      </c>
      <c r="AP185" s="617">
        <v>2.2359991219265407E-2</v>
      </c>
      <c r="AQ185" s="617">
        <v>2.2056332111942498E-2</v>
      </c>
      <c r="AR185" s="618">
        <v>2.1859762376154446E-2</v>
      </c>
      <c r="AS185" s="618">
        <v>5.9123787173526151E-3</v>
      </c>
      <c r="AT185" s="618">
        <v>5.8168438385250917E-3</v>
      </c>
      <c r="AU185" s="618">
        <v>5.5914086059656656E-3</v>
      </c>
      <c r="AV185" s="618">
        <v>6.1202430333586197E-3</v>
      </c>
      <c r="AW185" s="618">
        <v>5.9123787173526151E-3</v>
      </c>
      <c r="AX185" s="618">
        <v>5.7288324474105727E-3</v>
      </c>
      <c r="AY185" s="618">
        <v>6.2176104577856489E-3</v>
      </c>
      <c r="AZ185" s="618">
        <v>6.1559128247430893E-3</v>
      </c>
      <c r="BA185" s="618">
        <v>5.9512473464583123E-3</v>
      </c>
      <c r="BB185" s="618">
        <v>6.3696288769565243E-3</v>
      </c>
      <c r="BC185" s="617">
        <v>6.2697952561451414E-3</v>
      </c>
      <c r="BD185" s="617">
        <v>6.1491412100674074E-3</v>
      </c>
      <c r="BE185" s="617">
        <v>2.2062205468716883E-2</v>
      </c>
      <c r="BF185" s="617">
        <v>2.1695759700482691E-2</v>
      </c>
      <c r="BG185" s="617">
        <v>6.4906226878091227E-3</v>
      </c>
      <c r="BH185" s="617">
        <v>6.2500247250743598E-3</v>
      </c>
      <c r="BI185" s="617"/>
      <c r="BJ185" s="617"/>
      <c r="BK185" s="617"/>
      <c r="BL185" s="617"/>
      <c r="BM185" s="617"/>
      <c r="BN185" s="617"/>
      <c r="BO185" s="617"/>
      <c r="BP185" s="617"/>
      <c r="BQ185" s="617"/>
      <c r="BR185" s="617"/>
      <c r="BS185" s="617"/>
      <c r="BT185" s="617"/>
      <c r="BU185" s="617"/>
      <c r="BV185" s="617"/>
      <c r="BW185" s="617"/>
      <c r="BX185" s="617"/>
      <c r="BY185" s="617"/>
      <c r="BZ185" s="617"/>
      <c r="CA185" s="617"/>
      <c r="CB185" s="617"/>
      <c r="CC185" s="617"/>
      <c r="CD185" s="617"/>
      <c r="CE185" s="617"/>
      <c r="CF185" s="617"/>
      <c r="CG185" s="617"/>
      <c r="CH185" s="617"/>
      <c r="CI185" s="617"/>
      <c r="CJ185" s="617"/>
    </row>
    <row r="186" spans="1:88">
      <c r="A186" s="151">
        <f t="shared" ca="1" si="45"/>
        <v>12</v>
      </c>
      <c r="B186" s="784">
        <f t="shared" si="46"/>
        <v>0</v>
      </c>
      <c r="C186" s="944">
        <f t="shared" si="53"/>
        <v>0</v>
      </c>
      <c r="D186" s="947">
        <f t="shared" si="47"/>
        <v>0</v>
      </c>
      <c r="E186" s="947">
        <f t="shared" si="60"/>
        <v>0</v>
      </c>
      <c r="F186" s="947">
        <f t="shared" si="61"/>
        <v>0</v>
      </c>
      <c r="G186" s="947">
        <f>IF(M185&lt;0.01,0,IF($F$19=$U$4,$G$19,IF(AND($F$21=1,$F$19=$U$2),M185*Adm!$U$4,IF(AND($F$21=2,$F$19=$U$2),M185*Adm!$U$5,IF(AND($F$21=1,$F$19=$U$3),M185*Adm!$V$4,IF(AND($F$21=2,$F$19=$U$3),M185*Adm!$V$5,0))))))</f>
        <v>0</v>
      </c>
      <c r="H186" s="947">
        <f>IF(M185&lt;0.01,0,IF($F$20=$V$3,0,IF(OR($F$10=$T$16,$F$10=$T$17),0,IF($F$10=$T$13,0,$F$11*Adm!$AA$3))))</f>
        <v>0</v>
      </c>
      <c r="I186" s="947">
        <f t="shared" si="54"/>
        <v>0</v>
      </c>
      <c r="J186" s="947">
        <f t="shared" si="42"/>
        <v>0</v>
      </c>
      <c r="K186" s="947">
        <f t="shared" si="48"/>
        <v>0</v>
      </c>
      <c r="L186" s="947">
        <f t="shared" si="43"/>
        <v>0</v>
      </c>
      <c r="M186" s="947">
        <f t="shared" si="49"/>
        <v>0</v>
      </c>
      <c r="N186" s="946"/>
      <c r="P186" s="733"/>
      <c r="Q186" s="733"/>
      <c r="R186" s="733"/>
      <c r="S186" s="785">
        <f t="shared" si="50"/>
        <v>1</v>
      </c>
      <c r="T186" s="786">
        <f t="shared" si="55"/>
        <v>0</v>
      </c>
      <c r="W186" s="790">
        <f t="shared" si="56"/>
        <v>0</v>
      </c>
      <c r="X186" s="818">
        <f t="shared" ca="1" si="51"/>
        <v>0</v>
      </c>
      <c r="Z186" s="843">
        <f t="shared" si="57"/>
        <v>0</v>
      </c>
      <c r="AA186" s="792">
        <f t="shared" si="58"/>
        <v>0</v>
      </c>
      <c r="AB186" s="792">
        <f t="shared" si="59"/>
        <v>0</v>
      </c>
      <c r="AC186" s="789">
        <f t="shared" si="52"/>
        <v>0</v>
      </c>
      <c r="AD186" s="789">
        <f t="shared" si="44"/>
        <v>0</v>
      </c>
      <c r="AE186" s="828" t="e">
        <f>HLOOKUP($AE$39,anticipado,146,0)</f>
        <v>#N/A</v>
      </c>
      <c r="AF186" s="827"/>
      <c r="AG186" s="614">
        <v>2.3547533599066837E-2</v>
      </c>
      <c r="AH186" s="615">
        <v>2.317162861775195E-2</v>
      </c>
      <c r="AI186" s="616">
        <v>2.2805669137691695E-2</v>
      </c>
      <c r="AJ186" s="616">
        <v>2.3338463957874974E-2</v>
      </c>
      <c r="AK186" s="617">
        <v>2.3547533599066837E-2</v>
      </c>
      <c r="AL186" s="617">
        <v>2.317162861775195E-2</v>
      </c>
      <c r="AM186" s="617">
        <v>2.3498561793702164E-2</v>
      </c>
      <c r="AN186" s="617">
        <v>2.3600318943952665E-2</v>
      </c>
      <c r="AO186" s="617">
        <v>2.3825415270754852E-2</v>
      </c>
      <c r="AP186" s="617">
        <v>2.3812559555360026E-2</v>
      </c>
      <c r="AQ186" s="617">
        <v>2.3498561793702164E-2</v>
      </c>
      <c r="AR186" s="618">
        <v>2.330183147613938E-2</v>
      </c>
      <c r="AS186" s="618">
        <v>6.1522819623233112E-3</v>
      </c>
      <c r="AT186" s="618">
        <v>6.0590670629367205E-3</v>
      </c>
      <c r="AU186" s="618">
        <v>5.8344302491353519E-3</v>
      </c>
      <c r="AV186" s="618">
        <v>6.3594036557755012E-3</v>
      </c>
      <c r="AW186" s="618">
        <v>6.1522819623233112E-3</v>
      </c>
      <c r="AX186" s="618">
        <v>5.9696125164138483E-3</v>
      </c>
      <c r="AY186" s="618">
        <v>6.4542524632683019E-3</v>
      </c>
      <c r="AZ186" s="618">
        <v>6.3955137632656723E-3</v>
      </c>
      <c r="BA186" s="618">
        <v>6.1930383278130186E-3</v>
      </c>
      <c r="BB186" s="618">
        <v>6.6049893921663293E-3</v>
      </c>
      <c r="BC186" s="617">
        <v>6.5053368436173769E-3</v>
      </c>
      <c r="BD186" s="617">
        <v>6.3871759694231877E-3</v>
      </c>
      <c r="BE186" s="617">
        <v>2.3514531259980816E-2</v>
      </c>
      <c r="BF186" s="617">
        <v>2.3166477702265778E-2</v>
      </c>
      <c r="BG186" s="617">
        <v>6.7249188233704004E-3</v>
      </c>
      <c r="BH186" s="617">
        <v>6.4869961457365722E-3</v>
      </c>
      <c r="BI186" s="617"/>
      <c r="BJ186" s="617"/>
      <c r="BK186" s="617"/>
      <c r="BL186" s="617"/>
      <c r="BM186" s="617"/>
      <c r="BN186" s="617"/>
      <c r="BO186" s="617"/>
      <c r="BP186" s="617"/>
      <c r="BQ186" s="617"/>
      <c r="BR186" s="617"/>
      <c r="BS186" s="617"/>
      <c r="BT186" s="617"/>
      <c r="BU186" s="617"/>
      <c r="BV186" s="617"/>
      <c r="BW186" s="617"/>
      <c r="BX186" s="617"/>
      <c r="BY186" s="617"/>
      <c r="BZ186" s="617"/>
      <c r="CA186" s="617"/>
      <c r="CB186" s="617"/>
      <c r="CC186" s="617"/>
      <c r="CD186" s="617"/>
      <c r="CE186" s="617"/>
      <c r="CF186" s="617"/>
      <c r="CG186" s="617"/>
      <c r="CH186" s="617"/>
      <c r="CI186" s="617"/>
      <c r="CJ186" s="617"/>
    </row>
    <row r="187" spans="1:88">
      <c r="A187" s="151">
        <f t="shared" ca="1" si="45"/>
        <v>1</v>
      </c>
      <c r="B187" s="784">
        <f t="shared" si="46"/>
        <v>0</v>
      </c>
      <c r="C187" s="944">
        <f t="shared" si="53"/>
        <v>0</v>
      </c>
      <c r="D187" s="947">
        <f t="shared" si="47"/>
        <v>0</v>
      </c>
      <c r="E187" s="947">
        <f t="shared" si="60"/>
        <v>0</v>
      </c>
      <c r="F187" s="947">
        <f t="shared" si="61"/>
        <v>0</v>
      </c>
      <c r="G187" s="947">
        <f>IF(M186&lt;0.01,0,IF($F$19=$U$4,$G$19,IF(AND($F$21=1,$F$19=$U$2),M186*Adm!$U$4,IF(AND($F$21=2,$F$19=$U$2),M186*Adm!$U$5,IF(AND($F$21=1,$F$19=$U$3),M186*Adm!$V$4,IF(AND($F$21=2,$F$19=$U$3),M186*Adm!$V$5,0))))))</f>
        <v>0</v>
      </c>
      <c r="H187" s="947">
        <f>IF(M186&lt;0.01,0,IF($F$20=$V$3,0,IF(OR($F$10=$T$16,$F$10=$T$17),0,IF($F$10=$T$13,0,$F$11*Adm!$AA$3))))</f>
        <v>0</v>
      </c>
      <c r="I187" s="947">
        <f t="shared" si="54"/>
        <v>0</v>
      </c>
      <c r="J187" s="947">
        <f t="shared" si="42"/>
        <v>0</v>
      </c>
      <c r="K187" s="947">
        <f t="shared" si="48"/>
        <v>0</v>
      </c>
      <c r="L187" s="947">
        <f t="shared" si="43"/>
        <v>0</v>
      </c>
      <c r="M187" s="947">
        <f t="shared" si="49"/>
        <v>0</v>
      </c>
      <c r="N187" s="946"/>
      <c r="P187" s="733"/>
      <c r="Q187" s="733"/>
      <c r="R187" s="733"/>
      <c r="S187" s="785">
        <f t="shared" si="50"/>
        <v>2</v>
      </c>
      <c r="T187" s="786">
        <f t="shared" si="55"/>
        <v>0</v>
      </c>
      <c r="W187" s="790">
        <f t="shared" si="56"/>
        <v>0</v>
      </c>
      <c r="X187" s="818">
        <f t="shared" ca="1" si="51"/>
        <v>0</v>
      </c>
      <c r="Z187" s="843">
        <f t="shared" si="57"/>
        <v>0</v>
      </c>
      <c r="AA187" s="792">
        <f t="shared" si="58"/>
        <v>0</v>
      </c>
      <c r="AB187" s="792">
        <f t="shared" si="59"/>
        <v>0</v>
      </c>
      <c r="AC187" s="789">
        <f t="shared" si="52"/>
        <v>0</v>
      </c>
      <c r="AD187" s="789">
        <f t="shared" si="44"/>
        <v>0</v>
      </c>
      <c r="AE187" s="828" t="e">
        <f>HLOOKUP($AE$39,anticipado,147,0)</f>
        <v>#N/A</v>
      </c>
      <c r="AF187" s="827"/>
      <c r="AG187" s="614">
        <v>2.4323386845342593E-2</v>
      </c>
      <c r="AH187" s="615">
        <v>2.3936560231529503E-2</v>
      </c>
      <c r="AI187" s="616">
        <v>2.3557476489364203E-2</v>
      </c>
      <c r="AJ187" s="616">
        <v>2.4095099276346718E-2</v>
      </c>
      <c r="AK187" s="617">
        <v>2.4323386845342593E-2</v>
      </c>
      <c r="AL187" s="617">
        <v>2.3936560231529503E-2</v>
      </c>
      <c r="AM187" s="617">
        <v>2.425453885462206E-2</v>
      </c>
      <c r="AN187" s="617">
        <v>2.4370970939688864E-2</v>
      </c>
      <c r="AO187" s="617">
        <v>2.4616413014372677E-2</v>
      </c>
      <c r="AP187" s="617">
        <v>2.4579429449574409E-2</v>
      </c>
      <c r="AQ187" s="617">
        <v>2.425453885462206E-2</v>
      </c>
      <c r="AR187" s="618">
        <v>2.4054388716010591E-2</v>
      </c>
      <c r="AS187" s="618">
        <v>6.2465444237162753E-3</v>
      </c>
      <c r="AT187" s="618">
        <v>6.1533563845499878E-3</v>
      </c>
      <c r="AU187" s="618">
        <v>5.926819342909298E-3</v>
      </c>
      <c r="AV187" s="618">
        <v>6.4553054050988986E-3</v>
      </c>
      <c r="AW187" s="618">
        <v>6.2465444237162753E-3</v>
      </c>
      <c r="AX187" s="618">
        <v>6.0624646534242089E-3</v>
      </c>
      <c r="AY187" s="618">
        <v>6.5499904800291539E-3</v>
      </c>
      <c r="AZ187" s="618">
        <v>6.491927803350157E-3</v>
      </c>
      <c r="BA187" s="618">
        <v>6.2884427609423551E-3</v>
      </c>
      <c r="BB187" s="618">
        <v>6.7015425087021095E-3</v>
      </c>
      <c r="BC187" s="617">
        <v>6.6010807481299066E-3</v>
      </c>
      <c r="BD187" s="617">
        <v>6.4828742236171652E-3</v>
      </c>
      <c r="BE187" s="617">
        <v>2.4276235162647718E-2</v>
      </c>
      <c r="BF187" s="617">
        <v>2.3932101247230428E-2</v>
      </c>
      <c r="BG187" s="617">
        <v>6.8220742247671658E-3</v>
      </c>
      <c r="BH187" s="617">
        <v>6.5831647701282536E-3</v>
      </c>
      <c r="BI187" s="617"/>
      <c r="BJ187" s="617"/>
      <c r="BK187" s="617"/>
      <c r="BL187" s="617"/>
      <c r="BM187" s="617"/>
      <c r="BN187" s="617"/>
      <c r="BO187" s="617"/>
      <c r="BP187" s="617"/>
      <c r="BQ187" s="617"/>
      <c r="BR187" s="617"/>
      <c r="BS187" s="617"/>
      <c r="BT187" s="617"/>
      <c r="BU187" s="617"/>
      <c r="BV187" s="617"/>
      <c r="BW187" s="617"/>
      <c r="BX187" s="617"/>
      <c r="BY187" s="617"/>
      <c r="BZ187" s="617"/>
      <c r="CA187" s="617"/>
      <c r="CB187" s="617"/>
      <c r="CC187" s="617"/>
      <c r="CD187" s="617"/>
      <c r="CE187" s="617"/>
      <c r="CF187" s="617"/>
      <c r="CG187" s="617"/>
      <c r="CH187" s="617"/>
      <c r="CI187" s="617"/>
      <c r="CJ187" s="617"/>
    </row>
    <row r="188" spans="1:88">
      <c r="A188" s="151">
        <f t="shared" ca="1" si="45"/>
        <v>2</v>
      </c>
      <c r="B188" s="784">
        <f t="shared" si="46"/>
        <v>0</v>
      </c>
      <c r="C188" s="944">
        <f t="shared" si="53"/>
        <v>0</v>
      </c>
      <c r="D188" s="947">
        <f t="shared" si="47"/>
        <v>0</v>
      </c>
      <c r="E188" s="947">
        <f t="shared" si="60"/>
        <v>0</v>
      </c>
      <c r="F188" s="947">
        <f t="shared" si="61"/>
        <v>0</v>
      </c>
      <c r="G188" s="947">
        <f>IF(M187&lt;0.01,0,IF($F$19=$U$4,$G$19,IF(AND($F$21=1,$F$19=$U$2),M187*Adm!$U$4,IF(AND($F$21=2,$F$19=$U$2),M187*Adm!$U$5,IF(AND($F$21=1,$F$19=$U$3),M187*Adm!$V$4,IF(AND($F$21=2,$F$19=$U$3),M187*Adm!$V$5,0))))))</f>
        <v>0</v>
      </c>
      <c r="H188" s="947">
        <f>IF(M187&lt;0.01,0,IF($F$20=$V$3,0,IF(OR($F$10=$T$16,$F$10=$T$17),0,IF($F$10=$T$13,0,$F$11*Adm!$AA$3))))</f>
        <v>0</v>
      </c>
      <c r="I188" s="947">
        <f t="shared" si="54"/>
        <v>0</v>
      </c>
      <c r="J188" s="947">
        <f t="shared" si="42"/>
        <v>0</v>
      </c>
      <c r="K188" s="947">
        <f t="shared" si="48"/>
        <v>0</v>
      </c>
      <c r="L188" s="947">
        <f t="shared" si="43"/>
        <v>0</v>
      </c>
      <c r="M188" s="947">
        <f t="shared" si="49"/>
        <v>0</v>
      </c>
      <c r="N188" s="946"/>
      <c r="P188" s="733"/>
      <c r="Q188" s="733"/>
      <c r="R188" s="733"/>
      <c r="S188" s="785">
        <f t="shared" si="50"/>
        <v>3</v>
      </c>
      <c r="T188" s="786">
        <f t="shared" si="55"/>
        <v>0</v>
      </c>
      <c r="W188" s="790">
        <f t="shared" si="56"/>
        <v>0</v>
      </c>
      <c r="X188" s="818">
        <f t="shared" ca="1" si="51"/>
        <v>0</v>
      </c>
      <c r="Z188" s="843">
        <f t="shared" si="57"/>
        <v>0</v>
      </c>
      <c r="AA188" s="792">
        <f t="shared" si="58"/>
        <v>0</v>
      </c>
      <c r="AB188" s="792">
        <f t="shared" si="59"/>
        <v>0</v>
      </c>
      <c r="AC188" s="789">
        <f t="shared" si="52"/>
        <v>0</v>
      </c>
      <c r="AD188" s="789">
        <f t="shared" si="44"/>
        <v>0</v>
      </c>
      <c r="AE188" s="828" t="e">
        <f>HLOOKUP($AE$39,anticipado,148,0)</f>
        <v>#N/A</v>
      </c>
      <c r="AF188" s="827"/>
      <c r="AG188" s="614">
        <v>2.5144782324504528E-2</v>
      </c>
      <c r="AH188" s="615">
        <v>2.4746121544476748E-2</v>
      </c>
      <c r="AI188" s="616">
        <v>2.4352803680829548E-2</v>
      </c>
      <c r="AJ188" s="616">
        <v>2.4895551769241613E-2</v>
      </c>
      <c r="AK188" s="617">
        <v>2.5144782324504528E-2</v>
      </c>
      <c r="AL188" s="617">
        <v>2.4746121544476748E-2</v>
      </c>
      <c r="AM188" s="617">
        <v>2.5054232817225974E-2</v>
      </c>
      <c r="AN188" s="617">
        <v>2.5186667353786014E-2</v>
      </c>
      <c r="AO188" s="617">
        <v>2.5454297390296244E-2</v>
      </c>
      <c r="AP188" s="617">
        <v>2.5390942478434288E-2</v>
      </c>
      <c r="AQ188" s="617">
        <v>2.5054232817225974E-2</v>
      </c>
      <c r="AR188" s="618">
        <v>2.4850398105454592E-2</v>
      </c>
      <c r="AS188" s="618">
        <v>6.3428527256855858E-3</v>
      </c>
      <c r="AT188" s="618">
        <v>6.2497058801135848E-3</v>
      </c>
      <c r="AU188" s="618">
        <v>6.0212309928820299E-3</v>
      </c>
      <c r="AV188" s="618">
        <v>6.5532858759540791E-3</v>
      </c>
      <c r="AW188" s="618">
        <v>6.3428527256855858E-3</v>
      </c>
      <c r="AX188" s="618">
        <v>6.1573361800437232E-3</v>
      </c>
      <c r="AY188" s="618">
        <v>6.6477891904158613E-3</v>
      </c>
      <c r="AZ188" s="618">
        <v>6.5904348106456418E-3</v>
      </c>
      <c r="BA188" s="618">
        <v>6.3859299524275069E-3</v>
      </c>
      <c r="BB188" s="618">
        <v>6.8001680018265568E-3</v>
      </c>
      <c r="BC188" s="617">
        <v>6.6988793638046839E-3</v>
      </c>
      <c r="BD188" s="617">
        <v>6.5806401167053993E-3</v>
      </c>
      <c r="BE188" s="617">
        <v>2.5082178125961814E-2</v>
      </c>
      <c r="BF188" s="617">
        <v>2.4742420345750381E-2</v>
      </c>
      <c r="BG188" s="617">
        <v>6.9213102328723108E-3</v>
      </c>
      <c r="BH188" s="617">
        <v>6.6814058151526351E-3</v>
      </c>
      <c r="BI188" s="617"/>
      <c r="BJ188" s="617"/>
      <c r="BK188" s="617"/>
      <c r="BL188" s="617"/>
      <c r="BM188" s="617"/>
      <c r="BN188" s="617"/>
      <c r="BO188" s="617"/>
      <c r="BP188" s="617"/>
      <c r="BQ188" s="617"/>
      <c r="BR188" s="617"/>
      <c r="BS188" s="617"/>
      <c r="BT188" s="617"/>
      <c r="BU188" s="617"/>
      <c r="BV188" s="617"/>
      <c r="BW188" s="617"/>
      <c r="BX188" s="617"/>
      <c r="BY188" s="617"/>
      <c r="BZ188" s="617"/>
      <c r="CA188" s="617"/>
      <c r="CB188" s="617"/>
      <c r="CC188" s="617"/>
      <c r="CD188" s="617"/>
      <c r="CE188" s="617"/>
      <c r="CF188" s="617"/>
      <c r="CG188" s="617"/>
      <c r="CH188" s="617"/>
      <c r="CI188" s="617"/>
      <c r="CJ188" s="617"/>
    </row>
    <row r="189" spans="1:88">
      <c r="A189" s="151">
        <f t="shared" ca="1" si="45"/>
        <v>3</v>
      </c>
      <c r="B189" s="784">
        <f t="shared" si="46"/>
        <v>0</v>
      </c>
      <c r="C189" s="944">
        <f t="shared" si="53"/>
        <v>0</v>
      </c>
      <c r="D189" s="947">
        <f t="shared" si="47"/>
        <v>0</v>
      </c>
      <c r="E189" s="947">
        <f t="shared" si="60"/>
        <v>0</v>
      </c>
      <c r="F189" s="947">
        <f t="shared" si="61"/>
        <v>0</v>
      </c>
      <c r="G189" s="947">
        <f>IF(M188&lt;0.01,0,IF($F$19=$U$4,$G$19,IF(AND($F$21=1,$F$19=$U$2),M188*Adm!$U$4,IF(AND($F$21=2,$F$19=$U$2),M188*Adm!$U$5,IF(AND($F$21=1,$F$19=$U$3),M188*Adm!$V$4,IF(AND($F$21=2,$F$19=$U$3),M188*Adm!$V$5,0))))))</f>
        <v>0</v>
      </c>
      <c r="H189" s="947">
        <f>IF(M188&lt;0.01,0,IF($F$20=$V$3,0,IF(OR($F$10=$T$16,$F$10=$T$17),0,IF($F$10=$T$13,0,$F$11*Adm!$AA$3))))</f>
        <v>0</v>
      </c>
      <c r="I189" s="947">
        <f t="shared" si="54"/>
        <v>0</v>
      </c>
      <c r="J189" s="947">
        <f t="shared" si="42"/>
        <v>0</v>
      </c>
      <c r="K189" s="947">
        <f t="shared" si="48"/>
        <v>0</v>
      </c>
      <c r="L189" s="947">
        <f t="shared" si="43"/>
        <v>0</v>
      </c>
      <c r="M189" s="947">
        <f t="shared" si="49"/>
        <v>0</v>
      </c>
      <c r="N189" s="946"/>
      <c r="P189" s="733"/>
      <c r="Q189" s="733"/>
      <c r="R189" s="733"/>
      <c r="S189" s="785">
        <f t="shared" si="50"/>
        <v>4</v>
      </c>
      <c r="T189" s="786">
        <f t="shared" si="55"/>
        <v>0</v>
      </c>
      <c r="W189" s="790">
        <f t="shared" si="56"/>
        <v>0</v>
      </c>
      <c r="X189" s="818">
        <f t="shared" ca="1" si="51"/>
        <v>0</v>
      </c>
      <c r="Z189" s="843">
        <f t="shared" si="57"/>
        <v>0</v>
      </c>
      <c r="AA189" s="792">
        <f t="shared" si="58"/>
        <v>0</v>
      </c>
      <c r="AB189" s="792">
        <f t="shared" si="59"/>
        <v>0</v>
      </c>
      <c r="AC189" s="789">
        <f t="shared" si="52"/>
        <v>0</v>
      </c>
      <c r="AD189" s="789">
        <f t="shared" si="44"/>
        <v>0</v>
      </c>
      <c r="AE189" s="828" t="e">
        <f>HLOOKUP($AE$39,anticipado,149,0)</f>
        <v>#N/A</v>
      </c>
      <c r="AF189" s="827"/>
      <c r="AG189" s="614">
        <v>2.6015818156594848E-2</v>
      </c>
      <c r="AH189" s="615">
        <v>2.5604299710182254E-2</v>
      </c>
      <c r="AI189" s="616">
        <v>2.5195504141456437E-2</v>
      </c>
      <c r="AJ189" s="616">
        <v>2.5743711130912585E-2</v>
      </c>
      <c r="AK189" s="617">
        <v>2.6015818156594848E-2</v>
      </c>
      <c r="AL189" s="617">
        <v>2.5604299710182254E-2</v>
      </c>
      <c r="AM189" s="617">
        <v>2.5901521578989412E-2</v>
      </c>
      <c r="AN189" s="617">
        <v>2.6051446020024682E-2</v>
      </c>
      <c r="AO189" s="617">
        <v>2.6343331093467107E-2</v>
      </c>
      <c r="AP189" s="617">
        <v>2.625108828753752E-2</v>
      </c>
      <c r="AQ189" s="617">
        <v>2.5901521578989412E-2</v>
      </c>
      <c r="AR189" s="618">
        <v>2.5693705616549319E-2</v>
      </c>
      <c r="AS189" s="618">
        <v>6.4412701420485515E-3</v>
      </c>
      <c r="AT189" s="618">
        <v>6.3481794507101062E-3</v>
      </c>
      <c r="AU189" s="618">
        <v>6.1177276077140803E-3</v>
      </c>
      <c r="AV189" s="618">
        <v>6.6534096622004194E-3</v>
      </c>
      <c r="AW189" s="618">
        <v>6.4412701420485515E-3</v>
      </c>
      <c r="AX189" s="618">
        <v>6.254289324557869E-3</v>
      </c>
      <c r="AY189" s="618">
        <v>6.7477124138546635E-3</v>
      </c>
      <c r="AZ189" s="618">
        <v>6.6910999675848992E-3</v>
      </c>
      <c r="BA189" s="618">
        <v>6.4855647090946867E-3</v>
      </c>
      <c r="BB189" s="618">
        <v>6.9009301495602318E-3</v>
      </c>
      <c r="BC189" s="617">
        <v>6.7987962505423691E-3</v>
      </c>
      <c r="BD189" s="617">
        <v>6.6805377725647E-3</v>
      </c>
      <c r="BE189" s="617">
        <v>2.5936300719663307E-2</v>
      </c>
      <c r="BF189" s="617">
        <v>2.5601430089290712E-2</v>
      </c>
      <c r="BG189" s="617">
        <v>7.0226914495903165E-3</v>
      </c>
      <c r="BH189" s="617">
        <v>6.7817835830145147E-3</v>
      </c>
      <c r="BI189" s="617"/>
      <c r="BJ189" s="617"/>
      <c r="BK189" s="617"/>
      <c r="BL189" s="617"/>
      <c r="BM189" s="617"/>
      <c r="BN189" s="617"/>
      <c r="BO189" s="617"/>
      <c r="BP189" s="617"/>
      <c r="BQ189" s="617"/>
      <c r="BR189" s="617"/>
      <c r="BS189" s="617"/>
      <c r="BT189" s="617"/>
      <c r="BU189" s="617"/>
      <c r="BV189" s="617"/>
      <c r="BW189" s="617"/>
      <c r="BX189" s="617"/>
      <c r="BY189" s="617"/>
      <c r="BZ189" s="617"/>
      <c r="CA189" s="617"/>
      <c r="CB189" s="617"/>
      <c r="CC189" s="617"/>
      <c r="CD189" s="617"/>
      <c r="CE189" s="617"/>
      <c r="CF189" s="617"/>
      <c r="CG189" s="617"/>
      <c r="CH189" s="617"/>
      <c r="CI189" s="617"/>
      <c r="CJ189" s="617"/>
    </row>
    <row r="190" spans="1:88">
      <c r="A190" s="151">
        <f t="shared" ca="1" si="45"/>
        <v>4</v>
      </c>
      <c r="B190" s="784">
        <f t="shared" si="46"/>
        <v>0</v>
      </c>
      <c r="C190" s="944">
        <f t="shared" si="53"/>
        <v>0</v>
      </c>
      <c r="D190" s="947">
        <f t="shared" si="47"/>
        <v>0</v>
      </c>
      <c r="E190" s="947">
        <f t="shared" si="60"/>
        <v>0</v>
      </c>
      <c r="F190" s="947">
        <f t="shared" si="61"/>
        <v>0</v>
      </c>
      <c r="G190" s="947">
        <f>IF(M189&lt;0.01,0,IF($F$19=$U$4,$G$19,IF(AND($F$21=1,$F$19=$U$2),M189*Adm!$U$4,IF(AND($F$21=2,$F$19=$U$2),M189*Adm!$U$5,IF(AND($F$21=1,$F$19=$U$3),M189*Adm!$V$4,IF(AND($F$21=2,$F$19=$U$3),M189*Adm!$V$5,0))))))</f>
        <v>0</v>
      </c>
      <c r="H190" s="947">
        <f>IF(M189&lt;0.01,0,IF($F$20=$V$3,0,IF(OR($F$10=$T$16,$F$10=$T$17),0,IF($F$10=$T$13,0,$F$11*Adm!$AA$3))))</f>
        <v>0</v>
      </c>
      <c r="I190" s="947">
        <f t="shared" si="54"/>
        <v>0</v>
      </c>
      <c r="J190" s="947">
        <f t="shared" si="42"/>
        <v>0</v>
      </c>
      <c r="K190" s="947">
        <f t="shared" si="48"/>
        <v>0</v>
      </c>
      <c r="L190" s="947">
        <f t="shared" si="43"/>
        <v>0</v>
      </c>
      <c r="M190" s="947">
        <f t="shared" si="49"/>
        <v>0</v>
      </c>
      <c r="N190" s="946"/>
      <c r="P190" s="733"/>
      <c r="Q190" s="733"/>
      <c r="R190" s="733"/>
      <c r="S190" s="785">
        <f t="shared" si="50"/>
        <v>5</v>
      </c>
      <c r="T190" s="786">
        <f t="shared" si="55"/>
        <v>0</v>
      </c>
      <c r="W190" s="790">
        <f t="shared" si="56"/>
        <v>0</v>
      </c>
      <c r="X190" s="818">
        <f t="shared" ca="1" si="51"/>
        <v>0</v>
      </c>
      <c r="Z190" s="843">
        <f t="shared" si="57"/>
        <v>0</v>
      </c>
      <c r="AA190" s="792">
        <f t="shared" si="58"/>
        <v>0</v>
      </c>
      <c r="AB190" s="792">
        <f t="shared" si="59"/>
        <v>0</v>
      </c>
      <c r="AC190" s="789">
        <f t="shared" si="52"/>
        <v>0</v>
      </c>
      <c r="AD190" s="789">
        <f t="shared" si="44"/>
        <v>0</v>
      </c>
      <c r="AE190" s="828" t="e">
        <f>HLOOKUP($AE$39,anticipado,150,0)</f>
        <v>#N/A</v>
      </c>
      <c r="AF190" s="827"/>
      <c r="AG190" s="614">
        <v>2.6941099329284915E-2</v>
      </c>
      <c r="AH190" s="615">
        <v>2.6515571366301678E-2</v>
      </c>
      <c r="AI190" s="616">
        <v>2.6089900027103714E-2</v>
      </c>
      <c r="AJ190" s="616">
        <v>2.6643941458370672E-2</v>
      </c>
      <c r="AK190" s="617">
        <v>2.6941099329284915E-2</v>
      </c>
      <c r="AL190" s="617">
        <v>2.6515571366301678E-2</v>
      </c>
      <c r="AM190" s="617">
        <v>2.6800755642086477E-2</v>
      </c>
      <c r="AN190" s="617">
        <v>2.6969842219986447E-2</v>
      </c>
      <c r="AO190" s="617">
        <v>2.7288309661753322E-2</v>
      </c>
      <c r="AP190" s="617">
        <v>2.7164346493812316E-2</v>
      </c>
      <c r="AQ190" s="617">
        <v>2.6800755642086477E-2</v>
      </c>
      <c r="AR190" s="618">
        <v>2.6588624873932057E-2</v>
      </c>
      <c r="AS190" s="618">
        <v>6.5418625726502396E-3</v>
      </c>
      <c r="AT190" s="618">
        <v>6.448843655818914E-3</v>
      </c>
      <c r="AU190" s="618">
        <v>6.2163741760103072E-3</v>
      </c>
      <c r="AV190" s="618">
        <v>6.7557440532964542E-3</v>
      </c>
      <c r="AW190" s="618">
        <v>6.5418625726502396E-3</v>
      </c>
      <c r="AX190" s="618">
        <v>6.3533888863501293E-3</v>
      </c>
      <c r="AY190" s="618">
        <v>6.8498266251674871E-3</v>
      </c>
      <c r="AZ190" s="618">
        <v>6.7939911831587417E-3</v>
      </c>
      <c r="BA190" s="618">
        <v>6.5874145439832341E-3</v>
      </c>
      <c r="BB190" s="618">
        <v>7.0038959096918249E-3</v>
      </c>
      <c r="BC190" s="617">
        <v>6.9008976102404836E-3</v>
      </c>
      <c r="BD190" s="617">
        <v>6.782633986173613E-3</v>
      </c>
      <c r="BE190" s="617">
        <v>2.6843025816986287E-2</v>
      </c>
      <c r="BF190" s="617">
        <v>2.6513616287400923E-2</v>
      </c>
      <c r="BG190" s="617">
        <v>7.12628517385119E-3</v>
      </c>
      <c r="BH190" s="617">
        <v>6.8843650566317348E-3</v>
      </c>
      <c r="BI190" s="617"/>
      <c r="BJ190" s="617"/>
      <c r="BK190" s="617"/>
      <c r="BL190" s="617"/>
      <c r="BM190" s="617"/>
      <c r="BN190" s="617"/>
      <c r="BO190" s="617"/>
      <c r="BP190" s="617"/>
      <c r="BQ190" s="617"/>
      <c r="BR190" s="617"/>
      <c r="BS190" s="617"/>
      <c r="BT190" s="617"/>
      <c r="BU190" s="617"/>
      <c r="BV190" s="617"/>
      <c r="BW190" s="617"/>
      <c r="BX190" s="617"/>
      <c r="BY190" s="617"/>
      <c r="BZ190" s="617"/>
      <c r="CA190" s="617"/>
      <c r="CB190" s="617"/>
      <c r="CC190" s="617"/>
      <c r="CD190" s="617"/>
      <c r="CE190" s="617"/>
      <c r="CF190" s="617"/>
      <c r="CG190" s="617"/>
      <c r="CH190" s="617"/>
      <c r="CI190" s="617"/>
      <c r="CJ190" s="617"/>
    </row>
    <row r="191" spans="1:88">
      <c r="A191" s="151">
        <f t="shared" ca="1" si="45"/>
        <v>5</v>
      </c>
      <c r="B191" s="784">
        <f t="shared" si="46"/>
        <v>0</v>
      </c>
      <c r="C191" s="944">
        <f t="shared" si="53"/>
        <v>0</v>
      </c>
      <c r="D191" s="947">
        <f t="shared" si="47"/>
        <v>0</v>
      </c>
      <c r="E191" s="947">
        <f t="shared" si="60"/>
        <v>0</v>
      </c>
      <c r="F191" s="947">
        <f t="shared" si="61"/>
        <v>0</v>
      </c>
      <c r="G191" s="947">
        <f>IF(M190&lt;0.01,0,IF($F$19=$U$4,$G$19,IF(AND($F$21=1,$F$19=$U$2),M190*Adm!$U$4,IF(AND($F$21=2,$F$19=$U$2),M190*Adm!$U$5,IF(AND($F$21=1,$F$19=$U$3),M190*Adm!$V$4,IF(AND($F$21=2,$F$19=$U$3),M190*Adm!$V$5,0))))))</f>
        <v>0</v>
      </c>
      <c r="H191" s="947">
        <f>IF(M190&lt;0.01,0,IF($F$20=$V$3,0,IF(OR($F$10=$T$16,$F$10=$T$17),0,IF($F$10=$T$13,0,$F$11*Adm!$AA$3))))</f>
        <v>0</v>
      </c>
      <c r="I191" s="947">
        <f t="shared" si="54"/>
        <v>0</v>
      </c>
      <c r="J191" s="947">
        <f t="shared" si="42"/>
        <v>0</v>
      </c>
      <c r="K191" s="947">
        <f t="shared" si="48"/>
        <v>0</v>
      </c>
      <c r="L191" s="947">
        <f t="shared" si="43"/>
        <v>0</v>
      </c>
      <c r="M191" s="947">
        <f t="shared" si="49"/>
        <v>0</v>
      </c>
      <c r="N191" s="946"/>
      <c r="P191" s="733"/>
      <c r="Q191" s="733"/>
      <c r="R191" s="733"/>
      <c r="S191" s="785">
        <f t="shared" si="50"/>
        <v>6</v>
      </c>
      <c r="T191" s="786">
        <f t="shared" si="55"/>
        <v>0</v>
      </c>
      <c r="W191" s="790">
        <f t="shared" si="56"/>
        <v>0</v>
      </c>
      <c r="X191" s="818">
        <f t="shared" ca="1" si="51"/>
        <v>0</v>
      </c>
      <c r="Z191" s="843">
        <f t="shared" si="57"/>
        <v>0</v>
      </c>
      <c r="AA191" s="792">
        <f t="shared" si="58"/>
        <v>0</v>
      </c>
      <c r="AB191" s="792">
        <f t="shared" si="59"/>
        <v>0</v>
      </c>
      <c r="AC191" s="789">
        <f t="shared" si="52"/>
        <v>0</v>
      </c>
      <c r="AD191" s="789">
        <f t="shared" si="44"/>
        <v>0</v>
      </c>
      <c r="AE191" s="828" t="e">
        <f>HLOOKUP($AE$39,anticipado,151,0)</f>
        <v>#N/A</v>
      </c>
      <c r="AF191" s="827"/>
      <c r="AG191" s="614">
        <v>2.7925818562750653E-2</v>
      </c>
      <c r="AH191" s="615">
        <v>2.7484980128550836E-2</v>
      </c>
      <c r="AI191" s="616">
        <v>2.7040855725723512E-2</v>
      </c>
      <c r="AJ191" s="616">
        <v>2.760115585170788E-2</v>
      </c>
      <c r="AK191" s="617">
        <v>2.7925818562750653E-2</v>
      </c>
      <c r="AL191" s="617">
        <v>2.7484980128550836E-2</v>
      </c>
      <c r="AM191" s="617">
        <v>2.7756832372739817E-2</v>
      </c>
      <c r="AN191" s="617">
        <v>2.794696772305998E-2</v>
      </c>
      <c r="AO191" s="617">
        <v>2.8294647420257484E-2</v>
      </c>
      <c r="AP191" s="617">
        <v>2.8135764285754095E-2</v>
      </c>
      <c r="AQ191" s="617">
        <v>2.7756832372739817E-2</v>
      </c>
      <c r="AR191" s="618">
        <v>2.7540010464533689E-2</v>
      </c>
      <c r="AS191" s="618">
        <v>6.6446986811055046E-3</v>
      </c>
      <c r="AT191" s="618">
        <v>6.5517678531012797E-3</v>
      </c>
      <c r="AU191" s="618">
        <v>6.3172384011314356E-3</v>
      </c>
      <c r="AV191" s="618">
        <v>6.8603591764660231E-3</v>
      </c>
      <c r="AW191" s="618">
        <v>6.6446986811055046E-3</v>
      </c>
      <c r="AX191" s="618">
        <v>6.4547023701663825E-3</v>
      </c>
      <c r="AY191" s="618">
        <v>6.9542010941910483E-3</v>
      </c>
      <c r="AZ191" s="618">
        <v>6.8991792370551057E-3</v>
      </c>
      <c r="BA191" s="618">
        <v>6.6915498191765137E-3</v>
      </c>
      <c r="BB191" s="618">
        <v>7.1091350609517314E-3</v>
      </c>
      <c r="BC191" s="617">
        <v>7.0052524255663252E-3</v>
      </c>
      <c r="BD191" s="617">
        <v>6.8869983642239957E-3</v>
      </c>
      <c r="BE191" s="617">
        <v>2.7807334713483099E-2</v>
      </c>
      <c r="BF191" s="617">
        <v>2.7484033199502867E-2</v>
      </c>
      <c r="BG191" s="617">
        <v>7.2321615438869042E-3</v>
      </c>
      <c r="BH191" s="617">
        <v>6.9892200408625668E-3</v>
      </c>
      <c r="BI191" s="617"/>
      <c r="BJ191" s="617"/>
      <c r="BK191" s="617"/>
      <c r="BL191" s="617"/>
      <c r="BM191" s="617"/>
      <c r="BN191" s="617"/>
      <c r="BO191" s="617"/>
      <c r="BP191" s="617"/>
      <c r="BQ191" s="617"/>
      <c r="BR191" s="617"/>
      <c r="BS191" s="617"/>
      <c r="BT191" s="617"/>
      <c r="BU191" s="617"/>
      <c r="BV191" s="617"/>
      <c r="BW191" s="617"/>
      <c r="BX191" s="617"/>
      <c r="BY191" s="617"/>
      <c r="BZ191" s="617"/>
      <c r="CA191" s="617"/>
      <c r="CB191" s="617"/>
      <c r="CC191" s="617"/>
      <c r="CD191" s="617"/>
      <c r="CE191" s="617"/>
      <c r="CF191" s="617"/>
      <c r="CG191" s="617"/>
      <c r="CH191" s="617"/>
      <c r="CI191" s="617"/>
      <c r="CJ191" s="617"/>
    </row>
    <row r="192" spans="1:88">
      <c r="A192" s="151">
        <f t="shared" ca="1" si="45"/>
        <v>6</v>
      </c>
      <c r="B192" s="784">
        <f t="shared" si="46"/>
        <v>0</v>
      </c>
      <c r="C192" s="944">
        <f t="shared" si="53"/>
        <v>0</v>
      </c>
      <c r="D192" s="947">
        <f t="shared" si="47"/>
        <v>0</v>
      </c>
      <c r="E192" s="947">
        <f t="shared" si="60"/>
        <v>0</v>
      </c>
      <c r="F192" s="947">
        <f t="shared" si="61"/>
        <v>0</v>
      </c>
      <c r="G192" s="947">
        <f>IF(M191&lt;0.01,0,IF($F$19=$U$4,$G$19,IF(AND($F$21=1,$F$19=$U$2),M191*Adm!$U$4,IF(AND($F$21=2,$F$19=$U$2),M191*Adm!$U$5,IF(AND($F$21=1,$F$19=$U$3),M191*Adm!$V$4,IF(AND($F$21=2,$F$19=$U$3),M191*Adm!$V$5,0))))))</f>
        <v>0</v>
      </c>
      <c r="H192" s="947">
        <f>IF(M191&lt;0.01,0,IF($F$20=$V$3,0,IF(OR($F$10=$T$16,$F$10=$T$17),0,IF($F$10=$T$13,0,$F$11*Adm!$AA$3))))</f>
        <v>0</v>
      </c>
      <c r="I192" s="947">
        <f t="shared" si="54"/>
        <v>0</v>
      </c>
      <c r="J192" s="947">
        <f t="shared" si="42"/>
        <v>0</v>
      </c>
      <c r="K192" s="947">
        <f t="shared" si="48"/>
        <v>0</v>
      </c>
      <c r="L192" s="947">
        <f t="shared" si="43"/>
        <v>0</v>
      </c>
      <c r="M192" s="947">
        <f t="shared" si="49"/>
        <v>0</v>
      </c>
      <c r="N192" s="946"/>
      <c r="P192" s="733"/>
      <c r="Q192" s="733"/>
      <c r="R192" s="733"/>
      <c r="S192" s="785">
        <f t="shared" si="50"/>
        <v>7</v>
      </c>
      <c r="T192" s="786">
        <f t="shared" si="55"/>
        <v>0</v>
      </c>
      <c r="W192" s="790">
        <f t="shared" si="56"/>
        <v>0</v>
      </c>
      <c r="X192" s="818">
        <f t="shared" ca="1" si="51"/>
        <v>0</v>
      </c>
      <c r="Z192" s="843">
        <f t="shared" si="57"/>
        <v>0</v>
      </c>
      <c r="AA192" s="792">
        <f t="shared" si="58"/>
        <v>0</v>
      </c>
      <c r="AB192" s="792">
        <f t="shared" si="59"/>
        <v>0</v>
      </c>
      <c r="AC192" s="789">
        <f t="shared" si="52"/>
        <v>0</v>
      </c>
      <c r="AD192" s="789">
        <f t="shared" si="44"/>
        <v>0</v>
      </c>
      <c r="AE192" s="828" t="e">
        <f>HLOOKUP($AE$39,anticipado,152,0)</f>
        <v>#N/A</v>
      </c>
      <c r="AF192" s="827"/>
      <c r="AG192" s="614">
        <v>2.8975853166070979E-2</v>
      </c>
      <c r="AH192" s="615">
        <v>2.8518229288513688E-2</v>
      </c>
      <c r="AI192" s="616">
        <v>2.8053865643422306E-2</v>
      </c>
      <c r="AJ192" s="616">
        <v>2.8620905548844E-2</v>
      </c>
      <c r="AK192" s="617">
        <v>2.8975853166070979E-2</v>
      </c>
      <c r="AL192" s="617">
        <v>2.8518229288513688E-2</v>
      </c>
      <c r="AM192" s="617">
        <v>2.8775284716717125E-2</v>
      </c>
      <c r="AN192" s="617">
        <v>2.8988605391581036E-2</v>
      </c>
      <c r="AO192" s="617">
        <v>2.9368480614881433E-2</v>
      </c>
      <c r="AP192" s="617">
        <v>2.9171049254217762E-2</v>
      </c>
      <c r="AQ192" s="617">
        <v>2.8775284716717125E-2</v>
      </c>
      <c r="AR192" s="618">
        <v>2.8553345484211522E-2</v>
      </c>
      <c r="AS192" s="618">
        <v>6.7498500413036462E-3</v>
      </c>
      <c r="AT192" s="618">
        <v>6.6570243471005229E-3</v>
      </c>
      <c r="AU192" s="618">
        <v>6.4203908445494397E-3</v>
      </c>
      <c r="AV192" s="618">
        <v>6.9673281479583392E-3</v>
      </c>
      <c r="AW192" s="618">
        <v>6.7498500413036462E-3</v>
      </c>
      <c r="AX192" s="618">
        <v>6.5583001288827035E-3</v>
      </c>
      <c r="AY192" s="618">
        <v>7.0609080342993727E-3</v>
      </c>
      <c r="AZ192" s="618">
        <v>7.0067379330402821E-3</v>
      </c>
      <c r="BA192" s="618">
        <v>6.7980438977762563E-3</v>
      </c>
      <c r="BB192" s="618">
        <v>7.2167203532056568E-3</v>
      </c>
      <c r="BC192" s="617">
        <v>7.1119326075701492E-3</v>
      </c>
      <c r="BD192" s="617">
        <v>6.9937034747100946E-3</v>
      </c>
      <c r="BE192" s="617">
        <v>2.8834858131725555E-2</v>
      </c>
      <c r="BF192" s="617">
        <v>2.8518396525748595E-2</v>
      </c>
      <c r="BG192" s="617">
        <v>7.3403936886108009E-3</v>
      </c>
      <c r="BH192" s="617">
        <v>7.0964213127568676E-3</v>
      </c>
      <c r="BI192" s="617"/>
      <c r="BJ192" s="617"/>
      <c r="BK192" s="617"/>
      <c r="BL192" s="617"/>
      <c r="BM192" s="617"/>
      <c r="BN192" s="617"/>
      <c r="BO192" s="617"/>
      <c r="BP192" s="617"/>
      <c r="BQ192" s="617"/>
      <c r="BR192" s="617"/>
      <c r="BS192" s="617"/>
      <c r="BT192" s="617"/>
      <c r="BU192" s="617"/>
      <c r="BV192" s="617"/>
      <c r="BW192" s="617"/>
      <c r="BX192" s="617"/>
      <c r="BY192" s="617"/>
      <c r="BZ192" s="617"/>
      <c r="CA192" s="617"/>
      <c r="CB192" s="617"/>
      <c r="CC192" s="617"/>
      <c r="CD192" s="617"/>
      <c r="CE192" s="617"/>
      <c r="CF192" s="617"/>
      <c r="CG192" s="617"/>
      <c r="CH192" s="617"/>
      <c r="CI192" s="617"/>
      <c r="CJ192" s="617"/>
    </row>
    <row r="193" spans="1:88">
      <c r="A193" s="151">
        <f t="shared" ca="1" si="45"/>
        <v>7</v>
      </c>
      <c r="B193" s="784">
        <f t="shared" si="46"/>
        <v>0</v>
      </c>
      <c r="C193" s="944">
        <f t="shared" si="53"/>
        <v>0</v>
      </c>
      <c r="D193" s="947">
        <f t="shared" si="47"/>
        <v>0</v>
      </c>
      <c r="E193" s="947">
        <f t="shared" si="60"/>
        <v>0</v>
      </c>
      <c r="F193" s="947">
        <f t="shared" si="61"/>
        <v>0</v>
      </c>
      <c r="G193" s="947">
        <f>IF(M192&lt;0.01,0,IF($F$19=$U$4,$G$19,IF(AND($F$21=1,$F$19=$U$2),M192*Adm!$U$4,IF(AND($F$21=2,$F$19=$U$2),M192*Adm!$U$5,IF(AND($F$21=1,$F$19=$U$3),M192*Adm!$V$4,IF(AND($F$21=2,$F$19=$U$3),M192*Adm!$V$5,0))))))</f>
        <v>0</v>
      </c>
      <c r="H193" s="947">
        <f>IF(M192&lt;0.01,0,IF($F$20=$V$3,0,IF(OR($F$10=$T$16,$F$10=$T$17),0,IF($F$10=$T$13,0,$F$11*Adm!$AA$3))))</f>
        <v>0</v>
      </c>
      <c r="I193" s="947">
        <f t="shared" si="54"/>
        <v>0</v>
      </c>
      <c r="J193" s="947">
        <f t="shared" si="42"/>
        <v>0</v>
      </c>
      <c r="K193" s="947">
        <f t="shared" si="48"/>
        <v>0</v>
      </c>
      <c r="L193" s="947">
        <f t="shared" si="43"/>
        <v>0</v>
      </c>
      <c r="M193" s="947">
        <f t="shared" si="49"/>
        <v>0</v>
      </c>
      <c r="N193" s="946"/>
      <c r="P193" s="733"/>
      <c r="Q193" s="733"/>
      <c r="R193" s="733"/>
      <c r="S193" s="785">
        <f t="shared" si="50"/>
        <v>8</v>
      </c>
      <c r="T193" s="786">
        <f t="shared" si="55"/>
        <v>0</v>
      </c>
      <c r="W193" s="790">
        <f t="shared" si="56"/>
        <v>0</v>
      </c>
      <c r="X193" s="818">
        <f t="shared" ca="1" si="51"/>
        <v>0</v>
      </c>
      <c r="Z193" s="843">
        <f t="shared" si="57"/>
        <v>0</v>
      </c>
      <c r="AA193" s="792">
        <f t="shared" si="58"/>
        <v>0</v>
      </c>
      <c r="AB193" s="792">
        <f t="shared" si="59"/>
        <v>0</v>
      </c>
      <c r="AC193" s="789">
        <f t="shared" si="52"/>
        <v>0</v>
      </c>
      <c r="AD193" s="789">
        <f t="shared" si="44"/>
        <v>0</v>
      </c>
      <c r="AE193" s="828" t="e">
        <f>HLOOKUP($AE$39,anticipado,153,0)</f>
        <v>#N/A</v>
      </c>
      <c r="AF193" s="827"/>
      <c r="AG193" s="614">
        <v>3.0097881700388573E-2</v>
      </c>
      <c r="AH193" s="615">
        <v>2.9621793312942409E-2</v>
      </c>
      <c r="AI193" s="616">
        <v>2.9135159616052578E-2</v>
      </c>
      <c r="AJ193" s="616">
        <v>2.9709487009131074E-2</v>
      </c>
      <c r="AK193" s="617">
        <v>3.0097881700388573E-2</v>
      </c>
      <c r="AL193" s="617">
        <v>2.9621793312942409E-2</v>
      </c>
      <c r="AM193" s="617">
        <v>2.9862387764296439E-2</v>
      </c>
      <c r="AN193" s="617">
        <v>3.0101323048526193E-2</v>
      </c>
      <c r="AO193" s="617">
        <v>3.0516791884377201E-2</v>
      </c>
      <c r="AP193" s="617">
        <v>3.0276681059213741E-2</v>
      </c>
      <c r="AQ193" s="617">
        <v>2.9862387764296439E-2</v>
      </c>
      <c r="AR193" s="618">
        <v>2.9634846654817189E-2</v>
      </c>
      <c r="AS193" s="618">
        <v>6.8573912933330185E-3</v>
      </c>
      <c r="AT193" s="618">
        <v>6.7646885475276027E-3</v>
      </c>
      <c r="AU193" s="618">
        <v>6.5259050783851797E-3</v>
      </c>
      <c r="AV193" s="618">
        <v>7.0767272340879648E-3</v>
      </c>
      <c r="AW193" s="618">
        <v>6.8573912933330185E-3</v>
      </c>
      <c r="AX193" s="618">
        <v>6.6642555154116483E-3</v>
      </c>
      <c r="AY193" s="618">
        <v>7.1700227604992043E-3</v>
      </c>
      <c r="AZ193" s="618">
        <v>7.1167442622811494E-3</v>
      </c>
      <c r="BA193" s="618">
        <v>6.9069733057106402E-3</v>
      </c>
      <c r="BB193" s="618">
        <v>7.32672766734788E-3</v>
      </c>
      <c r="BC193" s="617">
        <v>7.2210131528027037E-3</v>
      </c>
      <c r="BD193" s="617">
        <v>7.1028250061710473E-3</v>
      </c>
      <c r="BE193" s="617">
        <v>2.9931985622589617E-2</v>
      </c>
      <c r="BF193" s="617">
        <v>2.9623195269805665E-2</v>
      </c>
      <c r="BG193" s="617">
        <v>7.4510578887867825E-3</v>
      </c>
      <c r="BH193" s="617">
        <v>7.2060447815110321E-3</v>
      </c>
      <c r="BI193" s="617"/>
      <c r="BJ193" s="617"/>
      <c r="BK193" s="617"/>
      <c r="BL193" s="617"/>
      <c r="BM193" s="617"/>
      <c r="BN193" s="617"/>
      <c r="BO193" s="617"/>
      <c r="BP193" s="617"/>
      <c r="BQ193" s="617"/>
      <c r="BR193" s="617"/>
      <c r="BS193" s="617"/>
      <c r="BT193" s="617"/>
      <c r="BU193" s="617"/>
      <c r="BV193" s="617"/>
      <c r="BW193" s="617"/>
      <c r="BX193" s="617"/>
      <c r="BY193" s="617"/>
      <c r="BZ193" s="617"/>
      <c r="CA193" s="617"/>
      <c r="CB193" s="617"/>
      <c r="CC193" s="617"/>
      <c r="CD193" s="617"/>
      <c r="CE193" s="617"/>
      <c r="CF193" s="617"/>
      <c r="CG193" s="617"/>
      <c r="CH193" s="617"/>
      <c r="CI193" s="617"/>
      <c r="CJ193" s="617"/>
    </row>
    <row r="194" spans="1:88">
      <c r="A194" s="151">
        <f t="shared" ca="1" si="45"/>
        <v>8</v>
      </c>
      <c r="B194" s="784">
        <f t="shared" si="46"/>
        <v>0</v>
      </c>
      <c r="C194" s="944">
        <f t="shared" si="53"/>
        <v>0</v>
      </c>
      <c r="D194" s="947">
        <f t="shared" si="47"/>
        <v>0</v>
      </c>
      <c r="E194" s="947">
        <f t="shared" si="60"/>
        <v>0</v>
      </c>
      <c r="F194" s="947">
        <f t="shared" si="61"/>
        <v>0</v>
      </c>
      <c r="G194" s="947">
        <f>IF(M193&lt;0.01,0,IF($F$19=$U$4,$G$19,IF(AND($F$21=1,$F$19=$U$2),M193*Adm!$U$4,IF(AND($F$21=2,$F$19=$U$2),M193*Adm!$U$5,IF(AND($F$21=1,$F$19=$U$3),M193*Adm!$V$4,IF(AND($F$21=2,$F$19=$U$3),M193*Adm!$V$5,0))))))</f>
        <v>0</v>
      </c>
      <c r="H194" s="947">
        <f>IF(M193&lt;0.01,0,IF($F$20=$V$3,0,IF(OR($F$10=$T$16,$F$10=$T$17),0,IF($F$10=$T$13,0,$F$11*Adm!$AA$3))))</f>
        <v>0</v>
      </c>
      <c r="I194" s="947">
        <f t="shared" si="54"/>
        <v>0</v>
      </c>
      <c r="J194" s="947">
        <f t="shared" si="42"/>
        <v>0</v>
      </c>
      <c r="K194" s="947">
        <f t="shared" si="48"/>
        <v>0</v>
      </c>
      <c r="L194" s="947">
        <f t="shared" si="43"/>
        <v>0</v>
      </c>
      <c r="M194" s="947">
        <f t="shared" si="49"/>
        <v>0</v>
      </c>
      <c r="N194" s="946"/>
      <c r="P194" s="733"/>
      <c r="Q194" s="733"/>
      <c r="R194" s="733"/>
      <c r="S194" s="785">
        <f t="shared" si="50"/>
        <v>9</v>
      </c>
      <c r="T194" s="786">
        <f t="shared" si="55"/>
        <v>0</v>
      </c>
      <c r="W194" s="790">
        <f t="shared" si="56"/>
        <v>0</v>
      </c>
      <c r="X194" s="818">
        <f t="shared" ca="1" si="51"/>
        <v>0</v>
      </c>
      <c r="Z194" s="843">
        <f t="shared" si="57"/>
        <v>0</v>
      </c>
      <c r="AA194" s="792">
        <f t="shared" si="58"/>
        <v>0</v>
      </c>
      <c r="AB194" s="792">
        <f t="shared" si="59"/>
        <v>0</v>
      </c>
      <c r="AC194" s="789">
        <f t="shared" si="52"/>
        <v>0</v>
      </c>
      <c r="AD194" s="789">
        <f t="shared" si="44"/>
        <v>0</v>
      </c>
      <c r="AE194" s="828" t="e">
        <f>HLOOKUP($AE$39,anticipado,154,0)</f>
        <v>#N/A</v>
      </c>
      <c r="AF194" s="827"/>
      <c r="AG194" s="614">
        <v>3.1299525341047588E-2</v>
      </c>
      <c r="AH194" s="615">
        <v>3.0803052749201879E-2</v>
      </c>
      <c r="AI194" s="616">
        <v>3.0291830217901185E-2</v>
      </c>
      <c r="AJ194" s="616">
        <v>3.0874071308954462E-2</v>
      </c>
      <c r="AK194" s="617">
        <v>3.1299525341047588E-2</v>
      </c>
      <c r="AL194" s="617">
        <v>3.0803052749201879E-2</v>
      </c>
      <c r="AM194" s="617">
        <v>3.1025287499918459E-2</v>
      </c>
      <c r="AN194" s="617">
        <v>3.1292611344215696E-2</v>
      </c>
      <c r="AO194" s="617">
        <v>3.1747561405637087E-2</v>
      </c>
      <c r="AP194" s="617">
        <v>3.1460046547723691E-2</v>
      </c>
      <c r="AQ194" s="617">
        <v>3.1025287499918459E-2</v>
      </c>
      <c r="AR194" s="618">
        <v>3.079159126815351E-2</v>
      </c>
      <c r="AS194" s="618">
        <v>6.9674003095398195E-3</v>
      </c>
      <c r="AT194" s="618">
        <v>6.8748391378609056E-3</v>
      </c>
      <c r="AU194" s="618">
        <v>6.6338578478219012E-3</v>
      </c>
      <c r="AV194" s="618">
        <v>7.1886360228004707E-3</v>
      </c>
      <c r="AW194" s="618">
        <v>6.9674003095398195E-3</v>
      </c>
      <c r="AX194" s="618">
        <v>6.7726450444367432E-3</v>
      </c>
      <c r="AY194" s="618">
        <v>7.2816238578260117E-3</v>
      </c>
      <c r="AZ194" s="618">
        <v>7.2292785773683151E-3</v>
      </c>
      <c r="BA194" s="618">
        <v>7.0184179041264932E-3</v>
      </c>
      <c r="BB194" s="618">
        <v>7.4392361856329293E-3</v>
      </c>
      <c r="BC194" s="617">
        <v>7.3325723106587616E-3</v>
      </c>
      <c r="BD194" s="617">
        <v>7.214441937321475E-3</v>
      </c>
      <c r="BE194" s="617">
        <v>3.1105997853074153E-2</v>
      </c>
      <c r="BF194" s="617">
        <v>3.080582709826174E-2</v>
      </c>
      <c r="BG194" s="617">
        <v>7.5642337487349196E-3</v>
      </c>
      <c r="BH194" s="617">
        <v>7.3181696588658007E-3</v>
      </c>
      <c r="BI194" s="617"/>
      <c r="BJ194" s="617"/>
      <c r="BK194" s="617"/>
      <c r="BL194" s="617"/>
      <c r="BM194" s="617"/>
      <c r="BN194" s="617"/>
      <c r="BO194" s="617"/>
      <c r="BP194" s="617"/>
      <c r="BQ194" s="617"/>
      <c r="BR194" s="617"/>
      <c r="BS194" s="617"/>
      <c r="BT194" s="617"/>
      <c r="BU194" s="617"/>
      <c r="BV194" s="617"/>
      <c r="BW194" s="617"/>
      <c r="BX194" s="617"/>
      <c r="BY194" s="617"/>
      <c r="BZ194" s="617"/>
      <c r="CA194" s="617"/>
      <c r="CB194" s="617"/>
      <c r="CC194" s="617"/>
      <c r="CD194" s="617"/>
      <c r="CE194" s="617"/>
      <c r="CF194" s="617"/>
      <c r="CG194" s="617"/>
      <c r="CH194" s="617"/>
      <c r="CI194" s="617"/>
      <c r="CJ194" s="617"/>
    </row>
    <row r="195" spans="1:88">
      <c r="A195" s="151">
        <f t="shared" ca="1" si="45"/>
        <v>9</v>
      </c>
      <c r="B195" s="784">
        <f t="shared" si="46"/>
        <v>0</v>
      </c>
      <c r="C195" s="944">
        <f t="shared" si="53"/>
        <v>0</v>
      </c>
      <c r="D195" s="947">
        <f t="shared" si="47"/>
        <v>0</v>
      </c>
      <c r="E195" s="947">
        <f t="shared" si="60"/>
        <v>0</v>
      </c>
      <c r="F195" s="947">
        <f t="shared" si="61"/>
        <v>0</v>
      </c>
      <c r="G195" s="947">
        <f>IF(M194&lt;0.01,0,IF($F$19=$U$4,$G$19,IF(AND($F$21=1,$F$19=$U$2),M194*Adm!$U$4,IF(AND($F$21=2,$F$19=$U$2),M194*Adm!$U$5,IF(AND($F$21=1,$F$19=$U$3),M194*Adm!$V$4,IF(AND($F$21=2,$F$19=$U$3),M194*Adm!$V$5,0))))))</f>
        <v>0</v>
      </c>
      <c r="H195" s="947">
        <f>IF(M194&lt;0.01,0,IF($F$20=$V$3,0,IF(OR($F$10=$T$16,$F$10=$T$17),0,IF($F$10=$T$13,0,$F$11*Adm!$AA$3))))</f>
        <v>0</v>
      </c>
      <c r="I195" s="947">
        <f t="shared" si="54"/>
        <v>0</v>
      </c>
      <c r="J195" s="947">
        <f t="shared" si="42"/>
        <v>0</v>
      </c>
      <c r="K195" s="947">
        <f t="shared" si="48"/>
        <v>0</v>
      </c>
      <c r="L195" s="947">
        <f t="shared" si="43"/>
        <v>0</v>
      </c>
      <c r="M195" s="947">
        <f t="shared" si="49"/>
        <v>0</v>
      </c>
      <c r="N195" s="946"/>
      <c r="P195" s="733"/>
      <c r="Q195" s="733"/>
      <c r="R195" s="733"/>
      <c r="S195" s="785">
        <f t="shared" si="50"/>
        <v>10</v>
      </c>
      <c r="T195" s="786">
        <f t="shared" si="55"/>
        <v>0</v>
      </c>
      <c r="W195" s="790">
        <f t="shared" si="56"/>
        <v>0</v>
      </c>
      <c r="X195" s="818">
        <f t="shared" ca="1" si="51"/>
        <v>0</v>
      </c>
      <c r="Z195" s="843">
        <f t="shared" si="57"/>
        <v>0</v>
      </c>
      <c r="AA195" s="792">
        <f t="shared" si="58"/>
        <v>0</v>
      </c>
      <c r="AB195" s="792">
        <f t="shared" si="59"/>
        <v>0</v>
      </c>
      <c r="AC195" s="789">
        <f t="shared" si="52"/>
        <v>0</v>
      </c>
      <c r="AD195" s="789">
        <f t="shared" si="44"/>
        <v>0</v>
      </c>
      <c r="AE195" s="828" t="e">
        <f>HLOOKUP($AE$39,anticipado,155,0)</f>
        <v>#N/A</v>
      </c>
      <c r="AF195" s="827"/>
      <c r="AG195" s="614">
        <v>3.2589520262420332E-2</v>
      </c>
      <c r="AH195" s="615">
        <v>3.207045847706088E-2</v>
      </c>
      <c r="AI195" s="616">
        <v>3.1531987464577922E-2</v>
      </c>
      <c r="AJ195" s="616">
        <v>3.2122861468218966E-2</v>
      </c>
      <c r="AK195" s="617">
        <v>3.2589520262420332E-2</v>
      </c>
      <c r="AL195" s="617">
        <v>3.207045847706088E-2</v>
      </c>
      <c r="AM195" s="617">
        <v>3.2272157318336811E-2</v>
      </c>
      <c r="AN195" s="617">
        <v>3.2571051737958559E-2</v>
      </c>
      <c r="AO195" s="617">
        <v>3.3069951627683475E-2</v>
      </c>
      <c r="AP195" s="617">
        <v>3.2729604276683116E-2</v>
      </c>
      <c r="AQ195" s="617">
        <v>3.2272157318336811E-2</v>
      </c>
      <c r="AR195" s="618">
        <v>3.2031671433951914E-2</v>
      </c>
      <c r="AS195" s="618">
        <v>7.0799583714979963E-3</v>
      </c>
      <c r="AT195" s="618">
        <v>6.9875582550528665E-3</v>
      </c>
      <c r="AU195" s="618">
        <v>6.7443292441486591E-3</v>
      </c>
      <c r="AV195" s="618">
        <v>7.303137606575221E-3</v>
      </c>
      <c r="AW195" s="618">
        <v>7.0799583714979963E-3</v>
      </c>
      <c r="AX195" s="618">
        <v>6.8835485647252151E-3</v>
      </c>
      <c r="AY195" s="618">
        <v>7.3957933608321258E-3</v>
      </c>
      <c r="AZ195" s="618">
        <v>7.3444247778671201E-3</v>
      </c>
      <c r="BA195" s="618">
        <v>7.1324610731822871E-3</v>
      </c>
      <c r="BB195" s="618">
        <v>7.5543285732494669E-3</v>
      </c>
      <c r="BC195" s="617">
        <v>7.4466917617316926E-3</v>
      </c>
      <c r="BD195" s="617">
        <v>7.3286367178694968E-3</v>
      </c>
      <c r="BE195" s="617">
        <v>3.2365227568233332E-2</v>
      </c>
      <c r="BF195" s="617">
        <v>3.2074763163541305E-2</v>
      </c>
      <c r="BG195" s="617">
        <v>7.6800043793860059E-3</v>
      </c>
      <c r="BH195" s="617">
        <v>7.4328786407510611E-3</v>
      </c>
      <c r="BI195" s="617"/>
      <c r="BJ195" s="617"/>
      <c r="BK195" s="617"/>
      <c r="BL195" s="617"/>
      <c r="BM195" s="617"/>
      <c r="BN195" s="617"/>
      <c r="BO195" s="617"/>
      <c r="BP195" s="617"/>
      <c r="BQ195" s="617"/>
      <c r="BR195" s="617"/>
      <c r="BS195" s="617"/>
      <c r="BT195" s="617"/>
      <c r="BU195" s="617"/>
      <c r="BV195" s="617"/>
      <c r="BW195" s="617"/>
      <c r="BX195" s="617"/>
      <c r="BY195" s="617"/>
      <c r="BZ195" s="617"/>
      <c r="CA195" s="617"/>
      <c r="CB195" s="617"/>
      <c r="CC195" s="617"/>
      <c r="CD195" s="617"/>
      <c r="CE195" s="617"/>
      <c r="CF195" s="617"/>
      <c r="CG195" s="617"/>
      <c r="CH195" s="617"/>
      <c r="CI195" s="617"/>
      <c r="CJ195" s="617"/>
    </row>
    <row r="196" spans="1:88">
      <c r="A196" s="151">
        <f t="shared" ca="1" si="45"/>
        <v>10</v>
      </c>
      <c r="B196" s="784">
        <f t="shared" si="46"/>
        <v>0</v>
      </c>
      <c r="C196" s="944">
        <f t="shared" si="53"/>
        <v>0</v>
      </c>
      <c r="D196" s="947">
        <f t="shared" si="47"/>
        <v>0</v>
      </c>
      <c r="E196" s="947">
        <f t="shared" si="60"/>
        <v>0</v>
      </c>
      <c r="F196" s="947">
        <f t="shared" si="61"/>
        <v>0</v>
      </c>
      <c r="G196" s="947">
        <f>IF(M195&lt;0.01,0,IF($F$19=$U$4,$G$19,IF(AND($F$21=1,$F$19=$U$2),M195*Adm!$U$4,IF(AND($F$21=2,$F$19=$U$2),M195*Adm!$U$5,IF(AND($F$21=1,$F$19=$U$3),M195*Adm!$V$4,IF(AND($F$21=2,$F$19=$U$3),M195*Adm!$V$5,0))))))</f>
        <v>0</v>
      </c>
      <c r="H196" s="947">
        <f>IF(M195&lt;0.01,0,IF($F$20=$V$3,0,IF(OR($F$10=$T$16,$F$10=$T$17),0,IF($F$10=$T$13,0,$F$11*Adm!$AA$3))))</f>
        <v>0</v>
      </c>
      <c r="I196" s="947">
        <f t="shared" si="54"/>
        <v>0</v>
      </c>
      <c r="J196" s="947">
        <f t="shared" si="42"/>
        <v>0</v>
      </c>
      <c r="K196" s="947">
        <f t="shared" si="48"/>
        <v>0</v>
      </c>
      <c r="L196" s="947">
        <f t="shared" si="43"/>
        <v>0</v>
      </c>
      <c r="M196" s="947">
        <f t="shared" si="49"/>
        <v>0</v>
      </c>
      <c r="N196" s="946"/>
      <c r="P196" s="733"/>
      <c r="Q196" s="733"/>
      <c r="R196" s="733"/>
      <c r="S196" s="785">
        <f t="shared" si="50"/>
        <v>11</v>
      </c>
      <c r="T196" s="786">
        <f t="shared" si="55"/>
        <v>0</v>
      </c>
      <c r="W196" s="790">
        <f t="shared" si="56"/>
        <v>0</v>
      </c>
      <c r="X196" s="818">
        <f t="shared" ca="1" si="51"/>
        <v>0</v>
      </c>
      <c r="Z196" s="843">
        <f t="shared" si="57"/>
        <v>0</v>
      </c>
      <c r="AA196" s="792">
        <f t="shared" si="58"/>
        <v>0</v>
      </c>
      <c r="AB196" s="792">
        <f t="shared" si="59"/>
        <v>0</v>
      </c>
      <c r="AC196" s="789">
        <f t="shared" si="52"/>
        <v>0</v>
      </c>
      <c r="AD196" s="789">
        <f t="shared" si="44"/>
        <v>0</v>
      </c>
      <c r="AE196" s="828" t="e">
        <f>HLOOKUP($AE$39,anticipado,156,0)</f>
        <v>#N/A</v>
      </c>
      <c r="AF196" s="827"/>
      <c r="AG196" s="614">
        <v>3.3977929289747001E-2</v>
      </c>
      <c r="AH196" s="615">
        <v>3.3433733034764775E-2</v>
      </c>
      <c r="AI196" s="616">
        <v>3.2864948043023791E-2</v>
      </c>
      <c r="AJ196" s="616">
        <v>3.3465285004123817E-2</v>
      </c>
      <c r="AK196" s="617">
        <v>3.3977929289747001E-2</v>
      </c>
      <c r="AL196" s="617">
        <v>3.3433733034764775E-2</v>
      </c>
      <c r="AM196" s="617">
        <v>3.3612389553971299E-2</v>
      </c>
      <c r="AN196" s="617">
        <v>3.3946522559118134E-2</v>
      </c>
      <c r="AO196" s="617">
        <v>3.4494534637709601E-2</v>
      </c>
      <c r="AP196" s="617">
        <v>3.4095086188005656E-2</v>
      </c>
      <c r="AQ196" s="617">
        <v>3.3612389553971299E-2</v>
      </c>
      <c r="AR196" s="618">
        <v>3.3364382738151829E-2</v>
      </c>
      <c r="AS196" s="618">
        <v>7.1951503587358622E-3</v>
      </c>
      <c r="AT196" s="618">
        <v>7.1029316812065806E-3</v>
      </c>
      <c r="AU196" s="618">
        <v>6.8574028892543397E-3</v>
      </c>
      <c r="AV196" s="618">
        <v>7.4203187775490273E-3</v>
      </c>
      <c r="AW196" s="618">
        <v>7.1951503587358622E-3</v>
      </c>
      <c r="AX196" s="618">
        <v>6.9970494428349371E-3</v>
      </c>
      <c r="AY196" s="618">
        <v>7.5126169450288709E-3</v>
      </c>
      <c r="AZ196" s="618">
        <v>7.4622705082974354E-3</v>
      </c>
      <c r="BA196" s="618">
        <v>7.2491899081313163E-3</v>
      </c>
      <c r="BB196" s="618">
        <v>7.6720911720116617E-3</v>
      </c>
      <c r="BC196" s="617">
        <v>7.5634568080336804E-3</v>
      </c>
      <c r="BD196" s="617">
        <v>7.4454954613924797E-3</v>
      </c>
      <c r="BE196" s="617">
        <v>3.3719256750145643E-2</v>
      </c>
      <c r="BF196" s="617">
        <v>3.3439750154158211E-2</v>
      </c>
      <c r="BG196" s="617">
        <v>7.7984565935698925E-3</v>
      </c>
      <c r="BH196" s="617">
        <v>7.5502581010533963E-3</v>
      </c>
      <c r="BI196" s="617"/>
      <c r="BJ196" s="617"/>
      <c r="BK196" s="617"/>
      <c r="BL196" s="617"/>
      <c r="BM196" s="617"/>
      <c r="BN196" s="617"/>
      <c r="BO196" s="617"/>
      <c r="BP196" s="617"/>
      <c r="BQ196" s="617"/>
      <c r="BR196" s="617"/>
      <c r="BS196" s="617"/>
      <c r="BT196" s="617"/>
      <c r="BU196" s="617"/>
      <c r="BV196" s="617"/>
      <c r="BW196" s="617"/>
      <c r="BX196" s="617"/>
      <c r="BY196" s="617"/>
      <c r="BZ196" s="617"/>
      <c r="CA196" s="617"/>
      <c r="CB196" s="617"/>
      <c r="CC196" s="617"/>
      <c r="CD196" s="617"/>
      <c r="CE196" s="617"/>
      <c r="CF196" s="617"/>
      <c r="CG196" s="617"/>
      <c r="CH196" s="617"/>
      <c r="CI196" s="617"/>
      <c r="CJ196" s="617"/>
    </row>
    <row r="197" spans="1:88">
      <c r="A197" s="151">
        <f t="shared" ca="1" si="45"/>
        <v>11</v>
      </c>
      <c r="B197" s="784">
        <f t="shared" si="46"/>
        <v>0</v>
      </c>
      <c r="C197" s="944">
        <f t="shared" si="53"/>
        <v>0</v>
      </c>
      <c r="D197" s="947">
        <f t="shared" si="47"/>
        <v>0</v>
      </c>
      <c r="E197" s="947">
        <f t="shared" si="60"/>
        <v>0</v>
      </c>
      <c r="F197" s="947">
        <f t="shared" si="61"/>
        <v>0</v>
      </c>
      <c r="G197" s="947">
        <f>IF(M196&lt;0.01,0,IF($F$19=$U$4,$G$19,IF(AND($F$21=1,$F$19=$U$2),M196*Adm!$U$4,IF(AND($F$21=2,$F$19=$U$2),M196*Adm!$U$5,IF(AND($F$21=1,$F$19=$U$3),M196*Adm!$V$4,IF(AND($F$21=2,$F$19=$U$3),M196*Adm!$V$5,0))))))</f>
        <v>0</v>
      </c>
      <c r="H197" s="947">
        <f>IF(M196&lt;0.01,0,IF($F$20=$V$3,0,IF(OR($F$10=$T$16,$F$10=$T$17),0,IF($F$10=$T$13,0,$F$11*Adm!$AA$3))))</f>
        <v>0</v>
      </c>
      <c r="I197" s="947">
        <f t="shared" si="54"/>
        <v>0</v>
      </c>
      <c r="J197" s="947">
        <f t="shared" si="42"/>
        <v>0</v>
      </c>
      <c r="K197" s="947">
        <f t="shared" si="48"/>
        <v>0</v>
      </c>
      <c r="L197" s="947">
        <f t="shared" si="43"/>
        <v>0</v>
      </c>
      <c r="M197" s="947">
        <f t="shared" si="49"/>
        <v>0</v>
      </c>
      <c r="N197" s="946"/>
      <c r="P197" s="733"/>
      <c r="Q197" s="733"/>
      <c r="R197" s="733"/>
      <c r="S197" s="785">
        <f t="shared" si="50"/>
        <v>12</v>
      </c>
      <c r="T197" s="786">
        <f t="shared" si="55"/>
        <v>0</v>
      </c>
      <c r="W197" s="790">
        <f t="shared" si="56"/>
        <v>0</v>
      </c>
      <c r="X197" s="818">
        <f t="shared" ca="1" si="51"/>
        <v>0</v>
      </c>
      <c r="Z197" s="843">
        <f t="shared" si="57"/>
        <v>0</v>
      </c>
      <c r="AA197" s="792">
        <f t="shared" si="58"/>
        <v>0</v>
      </c>
      <c r="AB197" s="792">
        <f t="shared" si="59"/>
        <v>0</v>
      </c>
      <c r="AC197" s="789">
        <f t="shared" si="52"/>
        <v>0</v>
      </c>
      <c r="AD197" s="789">
        <f t="shared" si="44"/>
        <v>0</v>
      </c>
      <c r="AE197" s="828" t="e">
        <f>HLOOKUP($AE$39,anticipado,157,0)</f>
        <v>#N/A</v>
      </c>
      <c r="AF197" s="827"/>
      <c r="AG197" s="614">
        <v>3.5476403665056895E-2</v>
      </c>
      <c r="AH197" s="615">
        <v>3.4904119163997986E-2</v>
      </c>
      <c r="AI197" s="616">
        <v>3.4301468406163223E-2</v>
      </c>
      <c r="AJ197" s="616">
        <v>3.4912231271410799E-2</v>
      </c>
      <c r="AK197" s="617">
        <v>3.5476403665056895E-2</v>
      </c>
      <c r="AL197" s="617">
        <v>3.4904119163997986E-2</v>
      </c>
      <c r="AM197" s="617">
        <v>3.5056831515362534E-2</v>
      </c>
      <c r="AN197" s="617">
        <v>3.5430453613865702E-2</v>
      </c>
      <c r="AO197" s="617">
        <v>3.6033574096474591E-2</v>
      </c>
      <c r="AP197" s="617">
        <v>3.5567746606242165E-2</v>
      </c>
      <c r="AQ197" s="617">
        <v>3.5056831515362534E-2</v>
      </c>
      <c r="AR197" s="618">
        <v>3.4800456613121394E-2</v>
      </c>
      <c r="AS197" s="618">
        <v>7.3130649501408542E-3</v>
      </c>
      <c r="AT197" s="618">
        <v>7.2210490481630077E-3</v>
      </c>
      <c r="AU197" s="618">
        <v>6.9731661324660592E-3</v>
      </c>
      <c r="AV197" s="618">
        <v>7.5402702358240668E-3</v>
      </c>
      <c r="AW197" s="618">
        <v>7.3130649501408542E-3</v>
      </c>
      <c r="AX197" s="618">
        <v>7.113234759104455E-3</v>
      </c>
      <c r="AY197" s="618">
        <v>7.6321841312219944E-3</v>
      </c>
      <c r="AZ197" s="618">
        <v>7.5829073695244057E-3</v>
      </c>
      <c r="BA197" s="618">
        <v>7.3686954286646834E-3</v>
      </c>
      <c r="BB197" s="618">
        <v>7.7926142071221075E-3</v>
      </c>
      <c r="BC197" s="617">
        <v>7.6829565760128905E-3</v>
      </c>
      <c r="BD197" s="617">
        <v>7.5651081512191614E-3</v>
      </c>
      <c r="BE197" s="617">
        <v>3.5179159840345343E-2</v>
      </c>
      <c r="BF197" s="617">
        <v>3.491205976566103E-2</v>
      </c>
      <c r="BG197" s="617">
        <v>7.9196811145022233E-3</v>
      </c>
      <c r="BH197" s="617">
        <v>7.6703982984608361E-3</v>
      </c>
      <c r="BI197" s="617"/>
      <c r="BJ197" s="617"/>
      <c r="BK197" s="617"/>
      <c r="BL197" s="617"/>
      <c r="BM197" s="617"/>
      <c r="BN197" s="617"/>
      <c r="BO197" s="617"/>
      <c r="BP197" s="617"/>
      <c r="BQ197" s="617"/>
      <c r="BR197" s="617"/>
      <c r="BS197" s="617"/>
      <c r="BT197" s="617"/>
      <c r="BU197" s="617"/>
      <c r="BV197" s="617"/>
      <c r="BW197" s="617"/>
      <c r="BX197" s="617"/>
      <c r="BY197" s="617"/>
      <c r="BZ197" s="617"/>
      <c r="CA197" s="617"/>
      <c r="CB197" s="617"/>
      <c r="CC197" s="617"/>
      <c r="CD197" s="617"/>
      <c r="CE197" s="617"/>
      <c r="CF197" s="617"/>
      <c r="CG197" s="617"/>
      <c r="CH197" s="617"/>
      <c r="CI197" s="617"/>
      <c r="CJ197" s="617"/>
    </row>
    <row r="198" spans="1:88">
      <c r="A198" s="151">
        <f t="shared" ca="1" si="45"/>
        <v>12</v>
      </c>
      <c r="B198" s="784">
        <f t="shared" si="46"/>
        <v>0</v>
      </c>
      <c r="C198" s="944">
        <f t="shared" si="53"/>
        <v>0</v>
      </c>
      <c r="D198" s="947">
        <f t="shared" si="47"/>
        <v>0</v>
      </c>
      <c r="E198" s="947">
        <f t="shared" si="60"/>
        <v>0</v>
      </c>
      <c r="F198" s="947">
        <f t="shared" si="61"/>
        <v>0</v>
      </c>
      <c r="G198" s="947">
        <f>IF(M197&lt;0.01,0,IF($F$19=$U$4,$G$19,IF(AND($F$21=1,$F$19=$U$2),M197*Adm!$U$4,IF(AND($F$21=2,$F$19=$U$2),M197*Adm!$U$5,IF(AND($F$21=1,$F$19=$U$3),M197*Adm!$V$4,IF(AND($F$21=2,$F$19=$U$3),M197*Adm!$V$5,0))))))</f>
        <v>0</v>
      </c>
      <c r="H198" s="947">
        <f>IF(M197&lt;0.01,0,IF($F$20=$V$3,0,IF(OR($F$10=$T$16,$F$10=$T$17),0,IF($F$10=$T$13,0,$F$11*Adm!$AA$3))))</f>
        <v>0</v>
      </c>
      <c r="I198" s="947">
        <f t="shared" si="54"/>
        <v>0</v>
      </c>
      <c r="J198" s="947">
        <f t="shared" si="42"/>
        <v>0</v>
      </c>
      <c r="K198" s="947">
        <f t="shared" si="48"/>
        <v>0</v>
      </c>
      <c r="L198" s="947">
        <f t="shared" si="43"/>
        <v>0</v>
      </c>
      <c r="M198" s="947">
        <f t="shared" si="49"/>
        <v>0</v>
      </c>
      <c r="N198" s="946"/>
      <c r="P198" s="733"/>
      <c r="Q198" s="733"/>
      <c r="R198" s="733"/>
      <c r="S198" s="785">
        <f t="shared" si="50"/>
        <v>1</v>
      </c>
      <c r="T198" s="786">
        <f t="shared" si="55"/>
        <v>0</v>
      </c>
      <c r="W198" s="790">
        <f t="shared" si="56"/>
        <v>0</v>
      </c>
      <c r="X198" s="818">
        <f t="shared" ca="1" si="51"/>
        <v>0</v>
      </c>
      <c r="Z198" s="843">
        <f t="shared" si="57"/>
        <v>0</v>
      </c>
      <c r="AA198" s="792">
        <f t="shared" si="58"/>
        <v>0</v>
      </c>
      <c r="AB198" s="792">
        <f t="shared" si="59"/>
        <v>0</v>
      </c>
      <c r="AC198" s="789">
        <f t="shared" si="52"/>
        <v>0</v>
      </c>
      <c r="AD198" s="789">
        <f t="shared" si="44"/>
        <v>0</v>
      </c>
      <c r="AE198" s="828" t="e">
        <f>HLOOKUP($AE$39,anticipado,158,0)</f>
        <v>#N/A</v>
      </c>
      <c r="AF198" s="827"/>
      <c r="AG198" s="614">
        <v>3.8241597072847217E-2</v>
      </c>
      <c r="AH198" s="615">
        <v>3.7633931245307124E-2</v>
      </c>
      <c r="AI198" s="616">
        <v>3.6985593256820659E-2</v>
      </c>
      <c r="AJ198" s="616">
        <v>3.7596379888153585E-2</v>
      </c>
      <c r="AK198" s="617">
        <v>3.8241597072847217E-2</v>
      </c>
      <c r="AL198" s="617">
        <v>3.7633931245307124E-2</v>
      </c>
      <c r="AM198" s="617">
        <v>3.7731447206975625E-2</v>
      </c>
      <c r="AN198" s="617">
        <v>3.8169130139883267E-2</v>
      </c>
      <c r="AO198" s="617">
        <v>3.8858495434393944E-2</v>
      </c>
      <c r="AP198" s="617">
        <v>3.8280313842010888E-2</v>
      </c>
      <c r="AQ198" s="617">
        <v>3.7731447206975625E-2</v>
      </c>
      <c r="AR198" s="618">
        <v>3.7467199094885995E-2</v>
      </c>
      <c r="AS198" s="618">
        <v>7.5988827874378323E-3</v>
      </c>
      <c r="AT198" s="618">
        <v>7.5095074299184241E-3</v>
      </c>
      <c r="AU198" s="618">
        <v>7.2617106966468628E-3</v>
      </c>
      <c r="AV198" s="618">
        <v>7.8259676801313051E-3</v>
      </c>
      <c r="AW198" s="618">
        <v>7.5988827874378323E-3</v>
      </c>
      <c r="AX198" s="618">
        <v>7.3994341387306562E-3</v>
      </c>
      <c r="AY198" s="618">
        <v>7.9149677221358565E-3</v>
      </c>
      <c r="AZ198" s="618">
        <v>7.8693287894118415E-3</v>
      </c>
      <c r="BA198" s="618">
        <v>7.6571501972645057E-3</v>
      </c>
      <c r="BB198" s="618">
        <v>8.0743185947943375E-3</v>
      </c>
      <c r="BC198" s="617">
        <v>7.9645037423838865E-3</v>
      </c>
      <c r="BD198" s="617">
        <v>7.84944454895657E-3</v>
      </c>
      <c r="BE198" s="617">
        <v>3.7879667909132692E-2</v>
      </c>
      <c r="BF198" s="617">
        <v>3.7645335749587477E-2</v>
      </c>
      <c r="BG198" s="617">
        <v>8.2004605265073287E-3</v>
      </c>
      <c r="BH198" s="617">
        <v>7.9537442000671855E-3</v>
      </c>
      <c r="BI198" s="617"/>
      <c r="BJ198" s="617"/>
      <c r="BK198" s="617"/>
      <c r="BL198" s="617"/>
      <c r="BM198" s="617"/>
      <c r="BN198" s="617"/>
      <c r="BO198" s="617"/>
      <c r="BP198" s="617"/>
      <c r="BQ198" s="617"/>
      <c r="BR198" s="617"/>
      <c r="BS198" s="617"/>
      <c r="BT198" s="617"/>
      <c r="BU198" s="617"/>
      <c r="BV198" s="617"/>
      <c r="BW198" s="617"/>
      <c r="BX198" s="617"/>
      <c r="BY198" s="617"/>
      <c r="BZ198" s="617"/>
      <c r="CA198" s="617"/>
      <c r="CB198" s="617"/>
      <c r="CC198" s="617"/>
      <c r="CD198" s="617"/>
      <c r="CE198" s="617"/>
      <c r="CF198" s="617"/>
      <c r="CG198" s="617"/>
      <c r="CH198" s="617"/>
      <c r="CI198" s="617"/>
      <c r="CJ198" s="617"/>
    </row>
    <row r="199" spans="1:88">
      <c r="A199" s="151">
        <f t="shared" ca="1" si="45"/>
        <v>1</v>
      </c>
      <c r="B199" s="784">
        <f t="shared" si="46"/>
        <v>0</v>
      </c>
      <c r="C199" s="944">
        <f t="shared" si="53"/>
        <v>0</v>
      </c>
      <c r="D199" s="947">
        <f t="shared" si="47"/>
        <v>0</v>
      </c>
      <c r="E199" s="947">
        <f t="shared" si="60"/>
        <v>0</v>
      </c>
      <c r="F199" s="947">
        <f t="shared" si="61"/>
        <v>0</v>
      </c>
      <c r="G199" s="947">
        <f>IF(M198&lt;0.01,0,IF($F$19=$U$4,$G$19,IF(AND($F$21=1,$F$19=$U$2),M198*Adm!$U$4,IF(AND($F$21=2,$F$19=$U$2),M198*Adm!$U$5,IF(AND($F$21=1,$F$19=$U$3),M198*Adm!$V$4,IF(AND($F$21=2,$F$19=$U$3),M198*Adm!$V$5,0))))))</f>
        <v>0</v>
      </c>
      <c r="H199" s="947">
        <f>IF(M198&lt;0.01,0,IF($F$20=$V$3,0,IF(OR($F$10=$T$16,$F$10=$T$17),0,IF($F$10=$T$13,0,$F$11*Adm!$AA$3))))</f>
        <v>0</v>
      </c>
      <c r="I199" s="947">
        <f t="shared" si="54"/>
        <v>0</v>
      </c>
      <c r="J199" s="947">
        <f t="shared" si="42"/>
        <v>0</v>
      </c>
      <c r="K199" s="947">
        <f t="shared" si="48"/>
        <v>0</v>
      </c>
      <c r="L199" s="947">
        <f t="shared" si="43"/>
        <v>0</v>
      </c>
      <c r="M199" s="947">
        <f t="shared" si="49"/>
        <v>0</v>
      </c>
      <c r="N199" s="946"/>
      <c r="P199" s="733"/>
      <c r="Q199" s="733"/>
      <c r="R199" s="733"/>
      <c r="S199" s="785">
        <f t="shared" si="50"/>
        <v>2</v>
      </c>
      <c r="T199" s="786">
        <f t="shared" si="55"/>
        <v>0</v>
      </c>
      <c r="W199" s="790">
        <f t="shared" si="56"/>
        <v>0</v>
      </c>
      <c r="X199" s="818">
        <f t="shared" ca="1" si="51"/>
        <v>0</v>
      </c>
      <c r="Z199" s="843">
        <f t="shared" si="57"/>
        <v>0</v>
      </c>
      <c r="AA199" s="792">
        <f t="shared" si="58"/>
        <v>0</v>
      </c>
      <c r="AB199" s="792">
        <f t="shared" si="59"/>
        <v>0</v>
      </c>
      <c r="AC199" s="789">
        <f t="shared" si="52"/>
        <v>0</v>
      </c>
      <c r="AD199" s="789">
        <f t="shared" si="44"/>
        <v>0</v>
      </c>
      <c r="AE199" s="828" t="e">
        <f>HLOOKUP($AE$39,anticipado,159,0)</f>
        <v>#N/A</v>
      </c>
      <c r="AF199" s="827"/>
      <c r="AG199" s="614">
        <v>4.0105114475950228E-2</v>
      </c>
      <c r="AH199" s="615">
        <v>3.9460513420323258E-2</v>
      </c>
      <c r="AI199" s="616">
        <v>3.8767401385998351E-2</v>
      </c>
      <c r="AJ199" s="616">
        <v>3.9390302528492988E-2</v>
      </c>
      <c r="AK199" s="617">
        <v>4.0105114475950228E-2</v>
      </c>
      <c r="AL199" s="617">
        <v>3.9460513420323258E-2</v>
      </c>
      <c r="AM199" s="617">
        <v>3.9521352315816702E-2</v>
      </c>
      <c r="AN199" s="617">
        <v>4.0012541678426682E-2</v>
      </c>
      <c r="AO199" s="617">
        <v>4.0776546083349345E-2</v>
      </c>
      <c r="AP199" s="617">
        <v>4.0107530073705558E-2</v>
      </c>
      <c r="AQ199" s="617">
        <v>3.9521352315816702E-2</v>
      </c>
      <c r="AR199" s="618">
        <v>3.9246445653838676E-2</v>
      </c>
      <c r="AS199" s="618">
        <v>7.7265558409195722E-3</v>
      </c>
      <c r="AT199" s="618">
        <v>7.637513342177423E-3</v>
      </c>
      <c r="AU199" s="618">
        <v>7.3873066303766898E-3</v>
      </c>
      <c r="AV199" s="618">
        <v>7.9557279209537379E-3</v>
      </c>
      <c r="AW199" s="618">
        <v>7.7265558409195722E-3</v>
      </c>
      <c r="AX199" s="618">
        <v>7.5253504360196354E-3</v>
      </c>
      <c r="AY199" s="618">
        <v>8.0441996184311814E-3</v>
      </c>
      <c r="AZ199" s="618">
        <v>7.9998271314770109E-3</v>
      </c>
      <c r="BA199" s="618">
        <v>7.786580902724884E-3</v>
      </c>
      <c r="BB199" s="618">
        <v>8.2044859168690972E-3</v>
      </c>
      <c r="BC199" s="617">
        <v>8.0936105559888064E-3</v>
      </c>
      <c r="BD199" s="617">
        <v>7.9787939281291027E-3</v>
      </c>
      <c r="BE199" s="617">
        <v>3.9690590951349504E-2</v>
      </c>
      <c r="BF199" s="617">
        <v>3.9474569135861004E-2</v>
      </c>
      <c r="BG199" s="617">
        <v>8.3313096136427359E-3</v>
      </c>
      <c r="BH199" s="617">
        <v>8.0835911245385854E-3</v>
      </c>
      <c r="BI199" s="617"/>
      <c r="BJ199" s="617"/>
      <c r="BK199" s="617"/>
      <c r="BL199" s="617"/>
      <c r="BM199" s="617"/>
      <c r="BN199" s="617"/>
      <c r="BO199" s="617"/>
      <c r="BP199" s="617"/>
      <c r="BQ199" s="617"/>
      <c r="BR199" s="617"/>
      <c r="BS199" s="617"/>
      <c r="BT199" s="617"/>
      <c r="BU199" s="617"/>
      <c r="BV199" s="617"/>
      <c r="BW199" s="617"/>
      <c r="BX199" s="617"/>
      <c r="BY199" s="617"/>
      <c r="BZ199" s="617"/>
      <c r="CA199" s="617"/>
      <c r="CB199" s="617"/>
      <c r="CC199" s="617"/>
      <c r="CD199" s="617"/>
      <c r="CE199" s="617"/>
      <c r="CF199" s="617"/>
      <c r="CG199" s="617"/>
      <c r="CH199" s="617"/>
      <c r="CI199" s="617"/>
      <c r="CJ199" s="617"/>
    </row>
    <row r="200" spans="1:88">
      <c r="A200" s="151">
        <f t="shared" ca="1" si="45"/>
        <v>2</v>
      </c>
      <c r="B200" s="784">
        <f t="shared" si="46"/>
        <v>0</v>
      </c>
      <c r="C200" s="944">
        <f t="shared" si="53"/>
        <v>0</v>
      </c>
      <c r="D200" s="947">
        <f t="shared" si="47"/>
        <v>0</v>
      </c>
      <c r="E200" s="947">
        <f t="shared" si="60"/>
        <v>0</v>
      </c>
      <c r="F200" s="947">
        <f t="shared" si="61"/>
        <v>0</v>
      </c>
      <c r="G200" s="947">
        <f>IF(M199&lt;0.01,0,IF($F$19=$U$4,$G$19,IF(AND($F$21=1,$F$19=$U$2),M199*Adm!$U$4,IF(AND($F$21=2,$F$19=$U$2),M199*Adm!$U$5,IF(AND($F$21=1,$F$19=$U$3),M199*Adm!$V$4,IF(AND($F$21=2,$F$19=$U$3),M199*Adm!$V$5,0))))))</f>
        <v>0</v>
      </c>
      <c r="H200" s="947">
        <f>IF(M199&lt;0.01,0,IF($F$20=$V$3,0,IF(OR($F$10=$T$16,$F$10=$T$17),0,IF($F$10=$T$13,0,$F$11*Adm!$AA$3))))</f>
        <v>0</v>
      </c>
      <c r="I200" s="947">
        <f t="shared" si="54"/>
        <v>0</v>
      </c>
      <c r="J200" s="947">
        <f t="shared" si="42"/>
        <v>0</v>
      </c>
      <c r="K200" s="947">
        <f t="shared" si="48"/>
        <v>0</v>
      </c>
      <c r="L200" s="947">
        <f t="shared" si="43"/>
        <v>0</v>
      </c>
      <c r="M200" s="947">
        <f t="shared" si="49"/>
        <v>0</v>
      </c>
      <c r="N200" s="946"/>
      <c r="P200" s="733"/>
      <c r="Q200" s="733"/>
      <c r="R200" s="733"/>
      <c r="S200" s="785">
        <f t="shared" si="50"/>
        <v>3</v>
      </c>
      <c r="T200" s="786">
        <f t="shared" si="55"/>
        <v>0</v>
      </c>
      <c r="W200" s="790">
        <f t="shared" si="56"/>
        <v>0</v>
      </c>
      <c r="X200" s="818">
        <f t="shared" ca="1" si="51"/>
        <v>0</v>
      </c>
      <c r="Z200" s="843">
        <f t="shared" si="57"/>
        <v>0</v>
      </c>
      <c r="AA200" s="792">
        <f t="shared" si="58"/>
        <v>0</v>
      </c>
      <c r="AB200" s="792">
        <f t="shared" si="59"/>
        <v>0</v>
      </c>
      <c r="AC200" s="789">
        <f t="shared" si="52"/>
        <v>0</v>
      </c>
      <c r="AD200" s="789">
        <f t="shared" si="44"/>
        <v>0</v>
      </c>
      <c r="AE200" s="828" t="e">
        <f>HLOOKUP($AE$39,anticipado,160,0)</f>
        <v>#N/A</v>
      </c>
      <c r="AF200" s="827"/>
      <c r="AG200" s="614">
        <v>4.2141094507677536E-2</v>
      </c>
      <c r="AH200" s="615">
        <v>4.1454430698523635E-2</v>
      </c>
      <c r="AI200" s="616">
        <v>4.0710373407153964E-2</v>
      </c>
      <c r="AJ200" s="616">
        <v>4.1346893438186205E-2</v>
      </c>
      <c r="AK200" s="617">
        <v>4.2141094507677536E-2</v>
      </c>
      <c r="AL200" s="617">
        <v>4.1454430698523635E-2</v>
      </c>
      <c r="AM200" s="617">
        <v>4.1473311025041003E-2</v>
      </c>
      <c r="AN200" s="617">
        <v>4.2025527051363504E-2</v>
      </c>
      <c r="AO200" s="617">
        <v>4.287483234760265E-2</v>
      </c>
      <c r="AP200" s="617">
        <v>4.210195543425891E-2</v>
      </c>
      <c r="AQ200" s="617">
        <v>4.1473311025041003E-2</v>
      </c>
      <c r="AR200" s="618">
        <v>4.1186318382863824E-2</v>
      </c>
      <c r="AS200" s="618">
        <v>7.8573848580451976E-3</v>
      </c>
      <c r="AT200" s="618">
        <v>7.7687031877865433E-3</v>
      </c>
      <c r="AU200" s="618">
        <v>7.5160257134933781E-3</v>
      </c>
      <c r="AV200" s="618">
        <v>8.0886975512243914E-3</v>
      </c>
      <c r="AW200" s="618">
        <v>7.8573848580451976E-3</v>
      </c>
      <c r="AX200" s="618">
        <v>7.6543804491587247E-3</v>
      </c>
      <c r="AY200" s="618">
        <v>8.1766066614566719E-3</v>
      </c>
      <c r="AZ200" s="618">
        <v>8.1335593833862171E-3</v>
      </c>
      <c r="BA200" s="618">
        <v>7.9192323083444559E-3</v>
      </c>
      <c r="BB200" s="618">
        <v>8.3378458357810017E-3</v>
      </c>
      <c r="BC200" s="617">
        <v>8.2258807704374999E-3</v>
      </c>
      <c r="BD200" s="617">
        <v>8.1113323256269479E-3</v>
      </c>
      <c r="BE200" s="617">
        <v>4.1666514844985264E-2</v>
      </c>
      <c r="BF200" s="617">
        <v>4.1471515843829125E-2</v>
      </c>
      <c r="BG200" s="617">
        <v>8.4653634130327417E-3</v>
      </c>
      <c r="BH200" s="617">
        <v>8.2166332920095338E-3</v>
      </c>
      <c r="BI200" s="617"/>
      <c r="BJ200" s="617"/>
      <c r="BK200" s="617"/>
      <c r="BL200" s="617"/>
      <c r="BM200" s="617"/>
      <c r="BN200" s="617"/>
      <c r="BO200" s="617"/>
      <c r="BP200" s="617"/>
      <c r="BQ200" s="617"/>
      <c r="BR200" s="617"/>
      <c r="BS200" s="617"/>
      <c r="BT200" s="617"/>
      <c r="BU200" s="617"/>
      <c r="BV200" s="617"/>
      <c r="BW200" s="617"/>
      <c r="BX200" s="617"/>
      <c r="BY200" s="617"/>
      <c r="BZ200" s="617"/>
      <c r="CA200" s="617"/>
      <c r="CB200" s="617"/>
      <c r="CC200" s="617"/>
      <c r="CD200" s="617"/>
      <c r="CE200" s="617"/>
      <c r="CF200" s="617"/>
      <c r="CG200" s="617"/>
      <c r="CH200" s="617"/>
      <c r="CI200" s="617"/>
      <c r="CJ200" s="617"/>
    </row>
    <row r="201" spans="1:88">
      <c r="A201" s="151">
        <f t="shared" ca="1" si="45"/>
        <v>3</v>
      </c>
      <c r="B201" s="784">
        <f t="shared" si="46"/>
        <v>0</v>
      </c>
      <c r="C201" s="944">
        <f t="shared" si="53"/>
        <v>0</v>
      </c>
      <c r="D201" s="947">
        <f t="shared" si="47"/>
        <v>0</v>
      </c>
      <c r="E201" s="947">
        <f t="shared" si="60"/>
        <v>0</v>
      </c>
      <c r="F201" s="947">
        <f t="shared" si="61"/>
        <v>0</v>
      </c>
      <c r="G201" s="947">
        <f>IF(M200&lt;0.01,0,IF($F$19=$U$4,$G$19,IF(AND($F$21=1,$F$19=$U$2),M200*Adm!$U$4,IF(AND($F$21=2,$F$19=$U$2),M200*Adm!$U$5,IF(AND($F$21=1,$F$19=$U$3),M200*Adm!$V$4,IF(AND($F$21=2,$F$19=$U$3),M200*Adm!$V$5,0))))))</f>
        <v>0</v>
      </c>
      <c r="H201" s="947">
        <f>IF(M200&lt;0.01,0,IF($F$20=$V$3,0,IF(OR($F$10=$T$16,$F$10=$T$17),0,IF($F$10=$T$13,0,$F$11*Adm!$AA$3))))</f>
        <v>0</v>
      </c>
      <c r="I201" s="947">
        <f t="shared" si="54"/>
        <v>0</v>
      </c>
      <c r="J201" s="947">
        <f t="shared" si="42"/>
        <v>0</v>
      </c>
      <c r="K201" s="947">
        <f t="shared" si="48"/>
        <v>0</v>
      </c>
      <c r="L201" s="947">
        <f t="shared" si="43"/>
        <v>0</v>
      </c>
      <c r="M201" s="947">
        <f t="shared" si="49"/>
        <v>0</v>
      </c>
      <c r="N201" s="946"/>
      <c r="P201" s="733"/>
      <c r="Q201" s="733"/>
      <c r="R201" s="733"/>
      <c r="S201" s="785">
        <f t="shared" si="50"/>
        <v>4</v>
      </c>
      <c r="T201" s="786">
        <f t="shared" si="55"/>
        <v>0</v>
      </c>
      <c r="W201" s="790">
        <f t="shared" si="56"/>
        <v>0</v>
      </c>
      <c r="X201" s="818">
        <f t="shared" ca="1" si="51"/>
        <v>0</v>
      </c>
      <c r="Z201" s="843">
        <f t="shared" si="57"/>
        <v>0</v>
      </c>
      <c r="AA201" s="792">
        <f t="shared" si="58"/>
        <v>0</v>
      </c>
      <c r="AB201" s="792">
        <f t="shared" si="59"/>
        <v>0</v>
      </c>
      <c r="AC201" s="789">
        <f t="shared" si="52"/>
        <v>0</v>
      </c>
      <c r="AD201" s="789">
        <f t="shared" si="44"/>
        <v>0</v>
      </c>
      <c r="AE201" s="828" t="e">
        <f>HLOOKUP($AE$39,anticipado,161,0)</f>
        <v>#N/A</v>
      </c>
      <c r="AF201" s="827"/>
      <c r="AG201" s="614">
        <v>4.4374553709410541E-2</v>
      </c>
      <c r="AH201" s="615">
        <v>4.3639688082431058E-2</v>
      </c>
      <c r="AI201" s="616">
        <v>4.2837313185848012E-2</v>
      </c>
      <c r="AJ201" s="616">
        <v>4.3489251785333749E-2</v>
      </c>
      <c r="AK201" s="617">
        <v>4.4374553709410541E-2</v>
      </c>
      <c r="AL201" s="617">
        <v>4.3639688082431058E-2</v>
      </c>
      <c r="AM201" s="617">
        <v>4.3610305153518047E-2</v>
      </c>
      <c r="AN201" s="617">
        <v>4.4232534057001859E-2</v>
      </c>
      <c r="AO201" s="617">
        <v>4.5179922947086865E-2</v>
      </c>
      <c r="AP201" s="617">
        <v>4.4287576412871177E-2</v>
      </c>
      <c r="AQ201" s="617">
        <v>4.3610305153518047E-2</v>
      </c>
      <c r="AR201" s="618">
        <v>4.3309522054550992E-2</v>
      </c>
      <c r="AS201" s="618">
        <v>7.9914827814321129E-3</v>
      </c>
      <c r="AT201" s="618">
        <v>7.9031912842687548E-3</v>
      </c>
      <c r="AU201" s="618">
        <v>7.6479794115178103E-3</v>
      </c>
      <c r="AV201" s="618">
        <v>8.2249920405811916E-3</v>
      </c>
      <c r="AW201" s="618">
        <v>7.9914827814321129E-3</v>
      </c>
      <c r="AX201" s="618">
        <v>7.7866351447386075E-3</v>
      </c>
      <c r="AY201" s="618">
        <v>8.3123026491824202E-3</v>
      </c>
      <c r="AZ201" s="618">
        <v>8.2706421941854263E-3</v>
      </c>
      <c r="BA201" s="618">
        <v>8.0552204717663795E-3</v>
      </c>
      <c r="BB201" s="618">
        <v>8.474512964613207E-3</v>
      </c>
      <c r="BC201" s="617">
        <v>8.3614276092754281E-3</v>
      </c>
      <c r="BD201" s="617">
        <v>8.2471742212506857E-3</v>
      </c>
      <c r="BE201" s="617">
        <v>4.3830992767981261E-2</v>
      </c>
      <c r="BF201" s="617">
        <v>4.3660254777697596E-2</v>
      </c>
      <c r="BG201" s="617">
        <v>8.6027371049977007E-3</v>
      </c>
      <c r="BH201" s="617">
        <v>8.3529854631688577E-3</v>
      </c>
      <c r="BI201" s="617"/>
      <c r="BJ201" s="617"/>
      <c r="BK201" s="617"/>
      <c r="BL201" s="617"/>
      <c r="BM201" s="617"/>
      <c r="BN201" s="617"/>
      <c r="BO201" s="617"/>
      <c r="BP201" s="617"/>
      <c r="BQ201" s="617"/>
      <c r="BR201" s="617"/>
      <c r="BS201" s="617"/>
      <c r="BT201" s="617"/>
      <c r="BU201" s="617"/>
      <c r="BV201" s="617"/>
      <c r="BW201" s="617"/>
      <c r="BX201" s="617"/>
      <c r="BY201" s="617"/>
      <c r="BZ201" s="617"/>
      <c r="CA201" s="617"/>
      <c r="CB201" s="617"/>
      <c r="CC201" s="617"/>
      <c r="CD201" s="617"/>
      <c r="CE201" s="617"/>
      <c r="CF201" s="617"/>
      <c r="CG201" s="617"/>
      <c r="CH201" s="617"/>
      <c r="CI201" s="617"/>
      <c r="CJ201" s="617"/>
    </row>
    <row r="202" spans="1:88">
      <c r="A202" s="151">
        <f t="shared" ca="1" si="45"/>
        <v>4</v>
      </c>
      <c r="B202" s="784">
        <f t="shared" si="46"/>
        <v>0</v>
      </c>
      <c r="C202" s="944">
        <f t="shared" si="53"/>
        <v>0</v>
      </c>
      <c r="D202" s="947">
        <f t="shared" si="47"/>
        <v>0</v>
      </c>
      <c r="E202" s="947">
        <f t="shared" si="60"/>
        <v>0</v>
      </c>
      <c r="F202" s="947">
        <f t="shared" si="61"/>
        <v>0</v>
      </c>
      <c r="G202" s="947">
        <f>IF(M201&lt;0.01,0,IF($F$19=$U$4,$G$19,IF(AND($F$21=1,$F$19=$U$2),M201*Adm!$U$4,IF(AND($F$21=2,$F$19=$U$2),M201*Adm!$U$5,IF(AND($F$21=1,$F$19=$U$3),M201*Adm!$V$4,IF(AND($F$21=2,$F$19=$U$3),M201*Adm!$V$5,0))))))</f>
        <v>0</v>
      </c>
      <c r="H202" s="947">
        <f>IF(M201&lt;0.01,0,IF($F$20=$V$3,0,IF(OR($F$10=$T$16,$F$10=$T$17),0,IF($F$10=$T$13,0,$F$11*Adm!$AA$3))))</f>
        <v>0</v>
      </c>
      <c r="I202" s="947">
        <f t="shared" si="54"/>
        <v>0</v>
      </c>
      <c r="J202" s="947">
        <f t="shared" si="42"/>
        <v>0</v>
      </c>
      <c r="K202" s="947">
        <f t="shared" si="48"/>
        <v>0</v>
      </c>
      <c r="L202" s="947">
        <f t="shared" si="43"/>
        <v>0</v>
      </c>
      <c r="M202" s="947">
        <f t="shared" si="49"/>
        <v>0</v>
      </c>
      <c r="N202" s="946"/>
      <c r="P202" s="733"/>
      <c r="Q202" s="733"/>
      <c r="R202" s="733"/>
      <c r="S202" s="785">
        <f t="shared" si="50"/>
        <v>5</v>
      </c>
      <c r="T202" s="786">
        <f t="shared" si="55"/>
        <v>0</v>
      </c>
      <c r="W202" s="790">
        <f t="shared" si="56"/>
        <v>0</v>
      </c>
      <c r="X202" s="818">
        <f t="shared" ca="1" si="51"/>
        <v>0</v>
      </c>
      <c r="Z202" s="843">
        <f t="shared" si="57"/>
        <v>0</v>
      </c>
      <c r="AA202" s="792">
        <f t="shared" si="58"/>
        <v>0</v>
      </c>
      <c r="AB202" s="792">
        <f t="shared" si="59"/>
        <v>0</v>
      </c>
      <c r="AC202" s="789">
        <f t="shared" si="52"/>
        <v>0</v>
      </c>
      <c r="AD202" s="789">
        <f t="shared" si="44"/>
        <v>0</v>
      </c>
      <c r="AE202" s="828" t="e">
        <f>HLOOKUP($AE$39,anticipado,162,0)</f>
        <v>#N/A</v>
      </c>
      <c r="AF202" s="827"/>
      <c r="AG202" s="614">
        <v>4.6835592761668959E-2</v>
      </c>
      <c r="AH202" s="615">
        <v>4.604511260351702E-2</v>
      </c>
      <c r="AI202" s="616">
        <v>4.5175539647630096E-2</v>
      </c>
      <c r="AJ202" s="616">
        <v>4.584506748961828E-2</v>
      </c>
      <c r="AK202" s="617">
        <v>4.6835592761668959E-2</v>
      </c>
      <c r="AL202" s="617">
        <v>4.604511260351702E-2</v>
      </c>
      <c r="AM202" s="617">
        <v>4.5959877693690261E-2</v>
      </c>
      <c r="AN202" s="617">
        <v>4.6662947285792941E-2</v>
      </c>
      <c r="AO202" s="617">
        <v>4.7723878436199671E-2</v>
      </c>
      <c r="AP202" s="617">
        <v>4.6693197746163859E-2</v>
      </c>
      <c r="AQ202" s="617">
        <v>4.5959877693690261E-2</v>
      </c>
      <c r="AR202" s="618">
        <v>4.5643252133745128E-2</v>
      </c>
      <c r="AS202" s="618">
        <v>8.1289679954399795E-3</v>
      </c>
      <c r="AT202" s="618">
        <v>8.0410974737386565E-3</v>
      </c>
      <c r="AU202" s="618">
        <v>7.7832845407754345E-3</v>
      </c>
      <c r="AV202" s="618">
        <v>8.36473245479347E-3</v>
      </c>
      <c r="AW202" s="618">
        <v>8.1289679954399795E-3</v>
      </c>
      <c r="AX202" s="618">
        <v>7.9222308108438649E-3</v>
      </c>
      <c r="AY202" s="618">
        <v>8.4514068745457534E-3</v>
      </c>
      <c r="AZ202" s="618">
        <v>8.4111978811180713E-3</v>
      </c>
      <c r="BA202" s="618">
        <v>8.1946670817703675E-3</v>
      </c>
      <c r="BB202" s="618">
        <v>8.6146074615342221E-3</v>
      </c>
      <c r="BC202" s="617">
        <v>8.5003697564076577E-3</v>
      </c>
      <c r="BD202" s="617">
        <v>8.3864396308630448E-3</v>
      </c>
      <c r="BE202" s="617">
        <v>4.6212284639786411E-2</v>
      </c>
      <c r="BF202" s="617">
        <v>4.6069705862581509E-2</v>
      </c>
      <c r="BG202" s="617">
        <v>8.7435514499109145E-3</v>
      </c>
      <c r="BH202" s="617">
        <v>8.4927679522752309E-3</v>
      </c>
      <c r="BI202" s="617"/>
      <c r="BJ202" s="617"/>
      <c r="BK202" s="617"/>
      <c r="BL202" s="617"/>
      <c r="BM202" s="617"/>
      <c r="BN202" s="617"/>
      <c r="BO202" s="617"/>
      <c r="BP202" s="617"/>
      <c r="BQ202" s="617"/>
      <c r="BR202" s="617"/>
      <c r="BS202" s="617"/>
      <c r="BT202" s="617"/>
      <c r="BU202" s="617"/>
      <c r="BV202" s="617"/>
      <c r="BW202" s="617"/>
      <c r="BX202" s="617"/>
      <c r="BY202" s="617"/>
      <c r="BZ202" s="617"/>
      <c r="CA202" s="617"/>
      <c r="CB202" s="617"/>
      <c r="CC202" s="617"/>
      <c r="CD202" s="617"/>
      <c r="CE202" s="617"/>
      <c r="CF202" s="617"/>
      <c r="CG202" s="617"/>
      <c r="CH202" s="617"/>
      <c r="CI202" s="617"/>
      <c r="CJ202" s="617"/>
    </row>
    <row r="203" spans="1:88">
      <c r="A203" s="151">
        <f t="shared" ca="1" si="45"/>
        <v>5</v>
      </c>
      <c r="B203" s="784">
        <f t="shared" si="46"/>
        <v>0</v>
      </c>
      <c r="C203" s="944">
        <f t="shared" si="53"/>
        <v>0</v>
      </c>
      <c r="D203" s="947">
        <f t="shared" si="47"/>
        <v>0</v>
      </c>
      <c r="E203" s="947">
        <f t="shared" si="60"/>
        <v>0</v>
      </c>
      <c r="F203" s="947">
        <f t="shared" si="61"/>
        <v>0</v>
      </c>
      <c r="G203" s="947">
        <f>IF(M202&lt;0.01,0,IF($F$19=$U$4,$G$19,IF(AND($F$21=1,$F$19=$U$2),M202*Adm!$U$4,IF(AND($F$21=2,$F$19=$U$2),M202*Adm!$U$5,IF(AND($F$21=1,$F$19=$U$3),M202*Adm!$V$4,IF(AND($F$21=2,$F$19=$U$3),M202*Adm!$V$5,0))))))</f>
        <v>0</v>
      </c>
      <c r="H203" s="947">
        <f>IF(M202&lt;0.01,0,IF($F$20=$V$3,0,IF(OR($F$10=$T$16,$F$10=$T$17),0,IF($F$10=$T$13,0,$F$11*Adm!$AA$3))))</f>
        <v>0</v>
      </c>
      <c r="I203" s="947">
        <f t="shared" si="54"/>
        <v>0</v>
      </c>
      <c r="J203" s="947">
        <f t="shared" si="42"/>
        <v>0</v>
      </c>
      <c r="K203" s="947">
        <f t="shared" si="48"/>
        <v>0</v>
      </c>
      <c r="L203" s="947">
        <f t="shared" si="43"/>
        <v>0</v>
      </c>
      <c r="M203" s="947">
        <f t="shared" si="49"/>
        <v>0</v>
      </c>
      <c r="N203" s="946"/>
      <c r="P203" s="733"/>
      <c r="Q203" s="733"/>
      <c r="R203" s="733"/>
      <c r="S203" s="785">
        <f t="shared" si="50"/>
        <v>6</v>
      </c>
      <c r="T203" s="786">
        <f t="shared" si="55"/>
        <v>0</v>
      </c>
      <c r="W203" s="790">
        <f t="shared" si="56"/>
        <v>0</v>
      </c>
      <c r="X203" s="818">
        <f t="shared" ca="1" si="51"/>
        <v>0</v>
      </c>
      <c r="Z203" s="843">
        <f t="shared" si="57"/>
        <v>0</v>
      </c>
      <c r="AA203" s="792">
        <f t="shared" si="58"/>
        <v>0</v>
      </c>
      <c r="AB203" s="792">
        <f t="shared" si="59"/>
        <v>0</v>
      </c>
      <c r="AC203" s="789">
        <f t="shared" si="52"/>
        <v>0</v>
      </c>
      <c r="AD203" s="789">
        <f t="shared" si="44"/>
        <v>0</v>
      </c>
      <c r="AE203" s="828" t="e">
        <f>HLOOKUP($AE$39,anticipado,163,0)</f>
        <v>#N/A</v>
      </c>
      <c r="AF203" s="827"/>
      <c r="AG203" s="614">
        <v>4.9560757189946653E-2</v>
      </c>
      <c r="AH203" s="615">
        <v>4.8705628132164482E-2</v>
      </c>
      <c r="AI203" s="616">
        <v>4.7758062425756989E-2</v>
      </c>
      <c r="AJ203" s="616">
        <v>4.8447821314350735E-2</v>
      </c>
      <c r="AK203" s="617">
        <v>4.9560757189946653E-2</v>
      </c>
      <c r="AL203" s="617">
        <v>4.8705628132164482E-2</v>
      </c>
      <c r="AM203" s="617">
        <v>4.8555323452695434E-2</v>
      </c>
      <c r="AN203" s="617">
        <v>4.9352400495212355E-2</v>
      </c>
      <c r="AO203" s="617">
        <v>5.0545747502030808E-2</v>
      </c>
      <c r="AP203" s="617">
        <v>4.9353716209454473E-2</v>
      </c>
      <c r="AQ203" s="617">
        <v>4.8555323452695434E-2</v>
      </c>
      <c r="AR203" s="618">
        <v>4.8220362779750899E-2</v>
      </c>
      <c r="AS203" s="618">
        <v>8.2699646580271183E-3</v>
      </c>
      <c r="AT203" s="618">
        <v>8.1825474608536331E-3</v>
      </c>
      <c r="AU203" s="618">
        <v>7.9220635935321991E-3</v>
      </c>
      <c r="AV203" s="618">
        <v>8.5080457990381452E-3</v>
      </c>
      <c r="AW203" s="618">
        <v>8.2699646580271183E-3</v>
      </c>
      <c r="AX203" s="618">
        <v>8.0612893800586227E-3</v>
      </c>
      <c r="AY203" s="618">
        <v>8.5940444612633143E-3</v>
      </c>
      <c r="AZ203" s="618">
        <v>8.555354778247341E-3</v>
      </c>
      <c r="BA203" s="618">
        <v>8.3376998041216933E-3</v>
      </c>
      <c r="BB203" s="618">
        <v>8.7582553693259842E-3</v>
      </c>
      <c r="BC203" s="617">
        <v>8.6428316893658388E-3</v>
      </c>
      <c r="BD203" s="617">
        <v>8.5292544452265414E-3</v>
      </c>
      <c r="BE203" s="617">
        <v>4.884459466173581E-2</v>
      </c>
      <c r="BF203" s="617">
        <v>4.8734911030789599E-2</v>
      </c>
      <c r="BG203" s="617">
        <v>8.8879331303248488E-3</v>
      </c>
      <c r="BH203" s="617">
        <v>8.6361069672995349E-3</v>
      </c>
      <c r="BI203" s="617"/>
      <c r="BJ203" s="617"/>
      <c r="BK203" s="617"/>
      <c r="BL203" s="617"/>
      <c r="BM203" s="617"/>
      <c r="BN203" s="617"/>
      <c r="BO203" s="617"/>
      <c r="BP203" s="617"/>
      <c r="BQ203" s="617"/>
      <c r="BR203" s="617"/>
      <c r="BS203" s="617"/>
      <c r="BT203" s="617"/>
      <c r="BU203" s="617"/>
      <c r="BV203" s="617"/>
      <c r="BW203" s="617"/>
      <c r="BX203" s="617"/>
      <c r="BY203" s="617"/>
      <c r="BZ203" s="617"/>
      <c r="CA203" s="617"/>
      <c r="CB203" s="617"/>
      <c r="CC203" s="617"/>
      <c r="CD203" s="617"/>
      <c r="CE203" s="617"/>
      <c r="CF203" s="617"/>
      <c r="CG203" s="617"/>
      <c r="CH203" s="617"/>
      <c r="CI203" s="617"/>
      <c r="CJ203" s="617"/>
    </row>
    <row r="204" spans="1:88">
      <c r="A204" s="151">
        <f t="shared" ca="1" si="45"/>
        <v>6</v>
      </c>
      <c r="B204" s="784">
        <f t="shared" si="46"/>
        <v>0</v>
      </c>
      <c r="C204" s="944">
        <f t="shared" si="53"/>
        <v>0</v>
      </c>
      <c r="D204" s="947">
        <f t="shared" si="47"/>
        <v>0</v>
      </c>
      <c r="E204" s="947">
        <f t="shared" si="60"/>
        <v>0</v>
      </c>
      <c r="F204" s="947">
        <f t="shared" si="61"/>
        <v>0</v>
      </c>
      <c r="G204" s="947">
        <f>IF(M203&lt;0.01,0,IF($F$19=$U$4,$G$19,IF(AND($F$21=1,$F$19=$U$2),M203*Adm!$U$4,IF(AND($F$21=2,$F$19=$U$2),M203*Adm!$U$5,IF(AND($F$21=1,$F$19=$U$3),M203*Adm!$V$4,IF(AND($F$21=2,$F$19=$U$3),M203*Adm!$V$5,0))))))</f>
        <v>0</v>
      </c>
      <c r="H204" s="947">
        <f>IF(M203&lt;0.01,0,IF($F$20=$V$3,0,IF(OR($F$10=$T$16,$F$10=$T$17),0,IF($F$10=$T$13,0,$F$11*Adm!$AA$3))))</f>
        <v>0</v>
      </c>
      <c r="I204" s="947">
        <f t="shared" si="54"/>
        <v>0</v>
      </c>
      <c r="J204" s="947">
        <f t="shared" si="42"/>
        <v>0</v>
      </c>
      <c r="K204" s="947">
        <f t="shared" si="48"/>
        <v>0</v>
      </c>
      <c r="L204" s="947">
        <f t="shared" si="43"/>
        <v>0</v>
      </c>
      <c r="M204" s="947">
        <f t="shared" si="49"/>
        <v>0</v>
      </c>
      <c r="N204" s="946"/>
      <c r="P204" s="733"/>
      <c r="Q204" s="733"/>
      <c r="R204" s="733"/>
      <c r="S204" s="785">
        <f t="shared" si="50"/>
        <v>7</v>
      </c>
      <c r="T204" s="786">
        <f t="shared" si="55"/>
        <v>0</v>
      </c>
      <c r="W204" s="790">
        <f t="shared" si="56"/>
        <v>0</v>
      </c>
      <c r="X204" s="818">
        <f t="shared" ca="1" si="51"/>
        <v>0</v>
      </c>
      <c r="Z204" s="843">
        <f t="shared" si="57"/>
        <v>0</v>
      </c>
      <c r="AA204" s="792">
        <f t="shared" si="58"/>
        <v>0</v>
      </c>
      <c r="AB204" s="792">
        <f t="shared" si="59"/>
        <v>0</v>
      </c>
      <c r="AC204" s="789">
        <f t="shared" si="52"/>
        <v>0</v>
      </c>
      <c r="AD204" s="789">
        <f t="shared" si="44"/>
        <v>0</v>
      </c>
      <c r="AE204" s="828" t="e">
        <f>HLOOKUP($AE$39,anticipado,164,0)</f>
        <v>#N/A</v>
      </c>
      <c r="AF204" s="827"/>
      <c r="AG204" s="614">
        <v>5.2594859796524798E-2</v>
      </c>
      <c r="AH204" s="615">
        <v>5.1663957194410907E-2</v>
      </c>
      <c r="AI204" s="616">
        <v>5.0625145033222282E-2</v>
      </c>
      <c r="AJ204" s="616">
        <v>5.1338382193890135E-2</v>
      </c>
      <c r="AK204" s="617">
        <v>5.2594859796524798E-2</v>
      </c>
      <c r="AL204" s="617">
        <v>5.1663957194410907E-2</v>
      </c>
      <c r="AM204" s="617">
        <v>5.1437273201170086E-2</v>
      </c>
      <c r="AN204" s="617">
        <v>5.2344531144070658E-2</v>
      </c>
      <c r="AO204" s="617">
        <v>5.3693580672579365E-2</v>
      </c>
      <c r="AP204" s="617">
        <v>5.2311821066886435E-2</v>
      </c>
      <c r="AQ204" s="617">
        <v>5.1437273201170086E-2</v>
      </c>
      <c r="AR204" s="618">
        <v>5.1080919400965111E-2</v>
      </c>
      <c r="AS204" s="618">
        <v>8.4146030571930278E-3</v>
      </c>
      <c r="AT204" s="618">
        <v>8.3276731758812911E-3</v>
      </c>
      <c r="AU204" s="618">
        <v>8.0644450871315866E-3</v>
      </c>
      <c r="AV204" s="618">
        <v>8.6550653867590657E-3</v>
      </c>
      <c r="AW204" s="618">
        <v>8.4146030571930278E-3</v>
      </c>
      <c r="AX204" s="618">
        <v>8.2039387762896324E-3</v>
      </c>
      <c r="AY204" s="618">
        <v>8.7403467245753038E-3</v>
      </c>
      <c r="AZ204" s="618">
        <v>8.7032476111301178E-3</v>
      </c>
      <c r="BA204" s="618">
        <v>8.4844526532274964E-3</v>
      </c>
      <c r="BB204" s="618">
        <v>8.9055889801690595E-3</v>
      </c>
      <c r="BC204" s="617">
        <v>8.788944037286044E-3</v>
      </c>
      <c r="BD204" s="617">
        <v>8.6757507940366831E-3</v>
      </c>
      <c r="BE204" s="617">
        <v>5.1769720992713819E-2</v>
      </c>
      <c r="BF204" s="617">
        <v>5.1698744692688647E-2</v>
      </c>
      <c r="BG204" s="617">
        <v>9.0360151185821386E-3</v>
      </c>
      <c r="BH204" s="617">
        <v>8.7831349753772839E-3</v>
      </c>
      <c r="BI204" s="617"/>
      <c r="BJ204" s="617"/>
      <c r="BK204" s="617"/>
      <c r="BL204" s="617"/>
      <c r="BM204" s="617"/>
      <c r="BN204" s="617"/>
      <c r="BO204" s="617"/>
      <c r="BP204" s="617"/>
      <c r="BQ204" s="617"/>
      <c r="BR204" s="617"/>
      <c r="BS204" s="617"/>
      <c r="BT204" s="617"/>
      <c r="BU204" s="617"/>
      <c r="BV204" s="617"/>
      <c r="BW204" s="617"/>
      <c r="BX204" s="617"/>
      <c r="BY204" s="617"/>
      <c r="BZ204" s="617"/>
      <c r="CA204" s="617"/>
      <c r="CB204" s="617"/>
      <c r="CC204" s="617"/>
      <c r="CD204" s="617"/>
      <c r="CE204" s="617"/>
      <c r="CF204" s="617"/>
      <c r="CG204" s="617"/>
      <c r="CH204" s="617"/>
      <c r="CI204" s="617"/>
      <c r="CJ204" s="617"/>
    </row>
    <row r="205" spans="1:88">
      <c r="A205" s="151">
        <f t="shared" ca="1" si="45"/>
        <v>7</v>
      </c>
      <c r="B205" s="784">
        <f t="shared" si="46"/>
        <v>0</v>
      </c>
      <c r="C205" s="944">
        <f t="shared" si="53"/>
        <v>0</v>
      </c>
      <c r="D205" s="947">
        <f t="shared" si="47"/>
        <v>0</v>
      </c>
      <c r="E205" s="947">
        <f t="shared" si="60"/>
        <v>0</v>
      </c>
      <c r="F205" s="947">
        <f t="shared" si="61"/>
        <v>0</v>
      </c>
      <c r="G205" s="947">
        <f>IF(M204&lt;0.01,0,IF($F$19=$U$4,$G$19,IF(AND($F$21=1,$F$19=$U$2),M204*Adm!$U$4,IF(AND($F$21=2,$F$19=$U$2),M204*Adm!$U$5,IF(AND($F$21=1,$F$19=$U$3),M204*Adm!$V$4,IF(AND($F$21=2,$F$19=$U$3),M204*Adm!$V$5,0))))))</f>
        <v>0</v>
      </c>
      <c r="H205" s="947">
        <f>IF(M204&lt;0.01,0,IF($F$20=$V$3,0,IF(OR($F$10=$T$16,$F$10=$T$17),0,IF($F$10=$T$13,0,$F$11*Adm!$AA$3))))</f>
        <v>0</v>
      </c>
      <c r="I205" s="947">
        <f t="shared" si="54"/>
        <v>0</v>
      </c>
      <c r="J205" s="947">
        <f t="shared" si="42"/>
        <v>0</v>
      </c>
      <c r="K205" s="947">
        <f t="shared" si="48"/>
        <v>0</v>
      </c>
      <c r="L205" s="947">
        <f t="shared" si="43"/>
        <v>0</v>
      </c>
      <c r="M205" s="947">
        <f t="shared" si="49"/>
        <v>0</v>
      </c>
      <c r="N205" s="946"/>
      <c r="P205" s="733"/>
      <c r="Q205" s="733"/>
      <c r="R205" s="733"/>
      <c r="S205" s="785">
        <f t="shared" si="50"/>
        <v>8</v>
      </c>
      <c r="T205" s="786">
        <f t="shared" si="55"/>
        <v>0</v>
      </c>
      <c r="W205" s="790">
        <f t="shared" si="56"/>
        <v>0</v>
      </c>
      <c r="X205" s="818">
        <f t="shared" ca="1" si="51"/>
        <v>0</v>
      </c>
      <c r="Z205" s="843">
        <f t="shared" si="57"/>
        <v>0</v>
      </c>
      <c r="AA205" s="792">
        <f t="shared" si="58"/>
        <v>0</v>
      </c>
      <c r="AB205" s="792">
        <f t="shared" si="59"/>
        <v>0</v>
      </c>
      <c r="AC205" s="789">
        <f t="shared" si="52"/>
        <v>0</v>
      </c>
      <c r="AD205" s="789">
        <f t="shared" si="44"/>
        <v>0</v>
      </c>
      <c r="AE205" s="828" t="e">
        <f>HLOOKUP($AE$39,anticipado,165,0)</f>
        <v>#N/A</v>
      </c>
      <c r="AF205" s="827"/>
      <c r="AG205" s="614">
        <v>5.5993458565019555E-2</v>
      </c>
      <c r="AH205" s="615">
        <v>5.4972926528995714E-2</v>
      </c>
      <c r="AI205" s="616">
        <v>5.3826413250150189E-2</v>
      </c>
      <c r="AJ205" s="616">
        <v>5.4567164154241454E-2</v>
      </c>
      <c r="AK205" s="617">
        <v>5.5993458565019555E-2</v>
      </c>
      <c r="AL205" s="617">
        <v>5.4972926528995714E-2</v>
      </c>
      <c r="AM205" s="617">
        <v>5.4655831905085106E-2</v>
      </c>
      <c r="AN205" s="617">
        <v>5.5693361224867073E-2</v>
      </c>
      <c r="AO205" s="617">
        <v>5.7227182937047129E-2</v>
      </c>
      <c r="AP205" s="617">
        <v>5.5620297766995452E-2</v>
      </c>
      <c r="AQ205" s="617">
        <v>5.4655831905085106E-2</v>
      </c>
      <c r="AR205" s="618">
        <v>5.4274292049415349E-2</v>
      </c>
      <c r="AS205" s="618">
        <v>8.5630199941587083E-3</v>
      </c>
      <c r="AT205" s="618">
        <v>8.4766131650882686E-3</v>
      </c>
      <c r="AU205" s="618">
        <v>8.2105639392255139E-3</v>
      </c>
      <c r="AV205" s="618">
        <v>8.8059312363618792E-3</v>
      </c>
      <c r="AW205" s="618">
        <v>8.5630199941587083E-3</v>
      </c>
      <c r="AX205" s="618">
        <v>8.3503132874812487E-3</v>
      </c>
      <c r="AY205" s="618">
        <v>8.8904515591085188E-3</v>
      </c>
      <c r="AZ205" s="618">
        <v>8.8550178998422994E-3</v>
      </c>
      <c r="BA205" s="618">
        <v>8.6350663918754317E-3</v>
      </c>
      <c r="BB205" s="618">
        <v>9.0567472279043989E-3</v>
      </c>
      <c r="BC205" s="617">
        <v>8.9388439657617953E-3</v>
      </c>
      <c r="BD205" s="617">
        <v>8.8260674373639263E-3</v>
      </c>
      <c r="BE205" s="617">
        <v>5.5039287098146955E-2</v>
      </c>
      <c r="BF205" s="617">
        <v>5.5014231630675731E-2</v>
      </c>
      <c r="BG205" s="617">
        <v>9.1879370721538924E-3</v>
      </c>
      <c r="BH205" s="617">
        <v>8.9339910957958787E-3</v>
      </c>
      <c r="BI205" s="617"/>
      <c r="BJ205" s="617"/>
      <c r="BK205" s="617"/>
      <c r="BL205" s="617"/>
      <c r="BM205" s="617"/>
      <c r="BN205" s="617"/>
      <c r="BO205" s="617"/>
      <c r="BP205" s="617"/>
      <c r="BQ205" s="617"/>
      <c r="BR205" s="617"/>
      <c r="BS205" s="617"/>
      <c r="BT205" s="617"/>
      <c r="BU205" s="617"/>
      <c r="BV205" s="617"/>
      <c r="BW205" s="617"/>
      <c r="BX205" s="617"/>
      <c r="BY205" s="617"/>
      <c r="BZ205" s="617"/>
      <c r="CA205" s="617"/>
      <c r="CB205" s="617"/>
      <c r="CC205" s="617"/>
      <c r="CD205" s="617"/>
      <c r="CE205" s="617"/>
      <c r="CF205" s="617"/>
      <c r="CG205" s="617"/>
      <c r="CH205" s="617"/>
      <c r="CI205" s="617"/>
      <c r="CJ205" s="617"/>
    </row>
    <row r="206" spans="1:88">
      <c r="A206" s="151">
        <f t="shared" ca="1" si="45"/>
        <v>8</v>
      </c>
      <c r="B206" s="784">
        <f t="shared" si="46"/>
        <v>0</v>
      </c>
      <c r="C206" s="944">
        <f t="shared" si="53"/>
        <v>0</v>
      </c>
      <c r="D206" s="947">
        <f t="shared" si="47"/>
        <v>0</v>
      </c>
      <c r="E206" s="947">
        <f t="shared" si="60"/>
        <v>0</v>
      </c>
      <c r="F206" s="947">
        <f t="shared" si="61"/>
        <v>0</v>
      </c>
      <c r="G206" s="947">
        <f>IF(M205&lt;0.01,0,IF($F$19=$U$4,$G$19,IF(AND($F$21=1,$F$19=$U$2),M205*Adm!$U$4,IF(AND($F$21=2,$F$19=$U$2),M205*Adm!$U$5,IF(AND($F$21=1,$F$19=$U$3),M205*Adm!$V$4,IF(AND($F$21=2,$F$19=$U$3),M205*Adm!$V$5,0))))))</f>
        <v>0</v>
      </c>
      <c r="H206" s="947">
        <f>IF(M205&lt;0.01,0,IF($F$20=$V$3,0,IF(OR($F$10=$T$16,$F$10=$T$17),0,IF($F$10=$T$13,0,$F$11*Adm!$AA$3))))</f>
        <v>0</v>
      </c>
      <c r="I206" s="947">
        <f t="shared" si="54"/>
        <v>0</v>
      </c>
      <c r="J206" s="947">
        <f t="shared" si="42"/>
        <v>0</v>
      </c>
      <c r="K206" s="947">
        <f t="shared" si="48"/>
        <v>0</v>
      </c>
      <c r="L206" s="947">
        <f t="shared" si="43"/>
        <v>0</v>
      </c>
      <c r="M206" s="947">
        <f t="shared" si="49"/>
        <v>0</v>
      </c>
      <c r="N206" s="946"/>
      <c r="P206" s="733"/>
      <c r="Q206" s="733"/>
      <c r="R206" s="733"/>
      <c r="S206" s="785">
        <f t="shared" si="50"/>
        <v>9</v>
      </c>
      <c r="T206" s="786">
        <f t="shared" si="55"/>
        <v>0</v>
      </c>
      <c r="W206" s="790">
        <f t="shared" si="56"/>
        <v>0</v>
      </c>
      <c r="X206" s="818">
        <f t="shared" ca="1" si="51"/>
        <v>0</v>
      </c>
      <c r="Z206" s="843">
        <f t="shared" si="57"/>
        <v>0</v>
      </c>
      <c r="AA206" s="792">
        <f t="shared" si="58"/>
        <v>0</v>
      </c>
      <c r="AB206" s="792">
        <f t="shared" si="59"/>
        <v>0</v>
      </c>
      <c r="AC206" s="789">
        <f t="shared" si="52"/>
        <v>0</v>
      </c>
      <c r="AD206" s="789">
        <f t="shared" si="44"/>
        <v>0</v>
      </c>
      <c r="AE206" s="828" t="e">
        <f>HLOOKUP($AE$39,anticipado,166,0)</f>
        <v>#N/A</v>
      </c>
      <c r="AF206" s="827"/>
      <c r="AG206" s="614">
        <v>5.9826282622251009E-2</v>
      </c>
      <c r="AH206" s="615">
        <v>5.869864196959259E-2</v>
      </c>
      <c r="AI206" s="616">
        <v>5.7423744278025282E-2</v>
      </c>
      <c r="AJ206" s="616">
        <v>5.8197085725930846E-2</v>
      </c>
      <c r="AK206" s="617">
        <v>5.9826282622251009E-2</v>
      </c>
      <c r="AL206" s="617">
        <v>5.869864196959259E-2</v>
      </c>
      <c r="AM206" s="617">
        <v>5.8273511136883636E-2</v>
      </c>
      <c r="AN206" s="617">
        <v>5.9466581716702792E-2</v>
      </c>
      <c r="AO206" s="617">
        <v>6.1221942210569008E-2</v>
      </c>
      <c r="AP206" s="617">
        <v>5.9345200246204668E-2</v>
      </c>
      <c r="AQ206" s="617">
        <v>5.8273511136883636E-2</v>
      </c>
      <c r="AR206" s="618">
        <v>5.7862023008382911E-2</v>
      </c>
      <c r="AS206" s="618">
        <v>8.7153591956543614E-3</v>
      </c>
      <c r="AT206" s="618">
        <v>8.6295130108794624E-3</v>
      </c>
      <c r="AU206" s="618">
        <v>8.3605618714030095E-3</v>
      </c>
      <c r="AV206" s="618">
        <v>8.9607904982263297E-3</v>
      </c>
      <c r="AW206" s="618">
        <v>8.7153591956543614E-3</v>
      </c>
      <c r="AX206" s="618">
        <v>8.5005539665057219E-3</v>
      </c>
      <c r="AY206" s="618">
        <v>9.0445038562667768E-3</v>
      </c>
      <c r="AZ206" s="618">
        <v>9.0108143928904847E-3</v>
      </c>
      <c r="BA206" s="618">
        <v>8.7896889615617195E-3</v>
      </c>
      <c r="BB206" s="618">
        <v>9.2118761102169804E-3</v>
      </c>
      <c r="BC206" s="617">
        <v>9.0926755909560755E-3</v>
      </c>
      <c r="BD206" s="617">
        <v>8.9803501869426226E-3</v>
      </c>
      <c r="BE206" s="617">
        <v>5.871780899197717E-2</v>
      </c>
      <c r="BF206" s="617">
        <v>5.8747739807948549E-2</v>
      </c>
      <c r="BG206" s="617">
        <v>9.3438457591762895E-3</v>
      </c>
      <c r="BH206" s="617">
        <v>9.0888215229678691E-3</v>
      </c>
      <c r="BI206" s="617"/>
      <c r="BJ206" s="617"/>
      <c r="BK206" s="617"/>
      <c r="BL206" s="617"/>
      <c r="BM206" s="617"/>
      <c r="BN206" s="617"/>
      <c r="BO206" s="617"/>
      <c r="BP206" s="617"/>
      <c r="BQ206" s="617"/>
      <c r="BR206" s="617"/>
      <c r="BS206" s="617"/>
      <c r="BT206" s="617"/>
      <c r="BU206" s="617"/>
      <c r="BV206" s="617"/>
      <c r="BW206" s="617"/>
      <c r="BX206" s="617"/>
      <c r="BY206" s="617"/>
      <c r="BZ206" s="617"/>
      <c r="CA206" s="617"/>
      <c r="CB206" s="617"/>
      <c r="CC206" s="617"/>
      <c r="CD206" s="617"/>
      <c r="CE206" s="617"/>
      <c r="CF206" s="617"/>
      <c r="CG206" s="617"/>
      <c r="CH206" s="617"/>
      <c r="CI206" s="617"/>
      <c r="CJ206" s="617"/>
    </row>
    <row r="207" spans="1:88">
      <c r="A207" s="151">
        <f t="shared" ca="1" si="45"/>
        <v>9</v>
      </c>
      <c r="B207" s="784">
        <f t="shared" si="46"/>
        <v>0</v>
      </c>
      <c r="C207" s="944">
        <f t="shared" si="53"/>
        <v>0</v>
      </c>
      <c r="D207" s="947">
        <f t="shared" si="47"/>
        <v>0</v>
      </c>
      <c r="E207" s="947">
        <f t="shared" si="60"/>
        <v>0</v>
      </c>
      <c r="F207" s="947">
        <f t="shared" si="61"/>
        <v>0</v>
      </c>
      <c r="G207" s="947">
        <f>IF(M206&lt;0.01,0,IF($F$19=$U$4,$G$19,IF(AND($F$21=1,$F$19=$U$2),M206*Adm!$U$4,IF(AND($F$21=2,$F$19=$U$2),M206*Adm!$U$5,IF(AND($F$21=1,$F$19=$U$3),M206*Adm!$V$4,IF(AND($F$21=2,$F$19=$U$3),M206*Adm!$V$5,0))))))</f>
        <v>0</v>
      </c>
      <c r="H207" s="947">
        <f>IF(M206&lt;0.01,0,IF($F$20=$V$3,0,IF(OR($F$10=$T$16,$F$10=$T$17),0,IF($F$10=$T$13,0,$F$11*Adm!$AA$3))))</f>
        <v>0</v>
      </c>
      <c r="I207" s="947">
        <f t="shared" si="54"/>
        <v>0</v>
      </c>
      <c r="J207" s="947">
        <f t="shared" si="42"/>
        <v>0</v>
      </c>
      <c r="K207" s="947">
        <f t="shared" si="48"/>
        <v>0</v>
      </c>
      <c r="L207" s="947">
        <f t="shared" si="43"/>
        <v>0</v>
      </c>
      <c r="M207" s="947">
        <f t="shared" si="49"/>
        <v>0</v>
      </c>
      <c r="N207" s="946"/>
      <c r="P207" s="733"/>
      <c r="Q207" s="733"/>
      <c r="R207" s="733"/>
      <c r="S207" s="785">
        <f t="shared" si="50"/>
        <v>10</v>
      </c>
      <c r="T207" s="786">
        <f t="shared" si="55"/>
        <v>0</v>
      </c>
      <c r="W207" s="790">
        <f t="shared" si="56"/>
        <v>0</v>
      </c>
      <c r="X207" s="818">
        <f t="shared" ca="1" si="51"/>
        <v>0</v>
      </c>
      <c r="Z207" s="843">
        <f t="shared" si="57"/>
        <v>0</v>
      </c>
      <c r="AA207" s="792">
        <f t="shared" si="58"/>
        <v>0</v>
      </c>
      <c r="AB207" s="792">
        <f t="shared" si="59"/>
        <v>0</v>
      </c>
      <c r="AC207" s="789">
        <f t="shared" si="52"/>
        <v>0</v>
      </c>
      <c r="AD207" s="789">
        <f t="shared" si="44"/>
        <v>0</v>
      </c>
      <c r="AE207" s="828" t="e">
        <f>HLOOKUP($AE$39,anticipado,167,0)</f>
        <v>#N/A</v>
      </c>
      <c r="AF207" s="827"/>
      <c r="AG207" s="614">
        <v>6.4182058267028969E-2</v>
      </c>
      <c r="AH207" s="615">
        <v>6.2924940711233154E-2</v>
      </c>
      <c r="AI207" s="616">
        <v>6.1495296166826308E-2</v>
      </c>
      <c r="AJ207" s="616">
        <v>6.2307703209678746E-2</v>
      </c>
      <c r="AK207" s="617">
        <v>6.4182058267028969E-2</v>
      </c>
      <c r="AL207" s="617">
        <v>6.2924940711233154E-2</v>
      </c>
      <c r="AM207" s="617">
        <v>6.2369322509933108E-2</v>
      </c>
      <c r="AN207" s="617">
        <v>6.3750167798073812E-2</v>
      </c>
      <c r="AO207" s="617">
        <v>6.5774258394231039E-2</v>
      </c>
      <c r="AP207" s="617">
        <v>6.3570299554877391E-2</v>
      </c>
      <c r="AQ207" s="617">
        <v>6.2369322509933108E-2</v>
      </c>
      <c r="AR207" s="618">
        <v>6.1921824551602903E-2</v>
      </c>
      <c r="AS207" s="618">
        <v>8.8717717579271244E-3</v>
      </c>
      <c r="AT207" s="618">
        <v>8.7865257843667745E-3</v>
      </c>
      <c r="AU207" s="618">
        <v>8.5145878437560465E-3</v>
      </c>
      <c r="AV207" s="618">
        <v>9.1197979147739829E-3</v>
      </c>
      <c r="AW207" s="618">
        <v>8.8717717579271244E-3</v>
      </c>
      <c r="AX207" s="618">
        <v>8.6548090627454749E-3</v>
      </c>
      <c r="AY207" s="618">
        <v>9.2026559538049384E-3</v>
      </c>
      <c r="AZ207" s="618">
        <v>9.1707935348071274E-3</v>
      </c>
      <c r="BA207" s="618">
        <v>8.9484759461748494E-3</v>
      </c>
      <c r="BB207" s="618">
        <v>9.3711291434383972E-3</v>
      </c>
      <c r="BC207" s="617">
        <v>9.2505904256007954E-3</v>
      </c>
      <c r="BD207" s="617">
        <v>9.1387523599961475E-3</v>
      </c>
      <c r="BE207" s="617">
        <v>6.2886988025950566E-2</v>
      </c>
      <c r="BF207" s="617">
        <v>6.2983459245135431E-2</v>
      </c>
      <c r="BG207" s="617">
        <v>9.503895516911354E-3</v>
      </c>
      <c r="BH207" s="617">
        <v>9.2477799820939229E-3</v>
      </c>
      <c r="BI207" s="617"/>
      <c r="BJ207" s="617"/>
      <c r="BK207" s="617"/>
      <c r="BL207" s="617"/>
      <c r="BM207" s="617"/>
      <c r="BN207" s="617"/>
      <c r="BO207" s="617"/>
      <c r="BP207" s="617"/>
      <c r="BQ207" s="617"/>
      <c r="BR207" s="617"/>
      <c r="BS207" s="617"/>
      <c r="BT207" s="617"/>
      <c r="BU207" s="617"/>
      <c r="BV207" s="617"/>
      <c r="BW207" s="617"/>
      <c r="BX207" s="617"/>
      <c r="BY207" s="617"/>
      <c r="BZ207" s="617"/>
      <c r="CA207" s="617"/>
      <c r="CB207" s="617"/>
      <c r="CC207" s="617"/>
      <c r="CD207" s="617"/>
      <c r="CE207" s="617"/>
      <c r="CF207" s="617"/>
      <c r="CG207" s="617"/>
      <c r="CH207" s="617"/>
      <c r="CI207" s="617"/>
      <c r="CJ207" s="617"/>
    </row>
    <row r="208" spans="1:88">
      <c r="A208" s="151">
        <f t="shared" ca="1" si="45"/>
        <v>10</v>
      </c>
      <c r="B208" s="784">
        <f t="shared" si="46"/>
        <v>0</v>
      </c>
      <c r="C208" s="944">
        <f t="shared" si="53"/>
        <v>0</v>
      </c>
      <c r="D208" s="947">
        <f t="shared" si="47"/>
        <v>0</v>
      </c>
      <c r="E208" s="947">
        <f t="shared" si="60"/>
        <v>0</v>
      </c>
      <c r="F208" s="947">
        <f t="shared" si="61"/>
        <v>0</v>
      </c>
      <c r="G208" s="947">
        <f>IF(M207&lt;0.01,0,IF($F$19=$U$4,$G$19,IF(AND($F$21=1,$F$19=$U$2),M207*Adm!$U$4,IF(AND($F$21=2,$F$19=$U$2),M207*Adm!$U$5,IF(AND($F$21=1,$F$19=$U$3),M207*Adm!$V$4,IF(AND($F$21=2,$F$19=$U$3),M207*Adm!$V$5,0))))))</f>
        <v>0</v>
      </c>
      <c r="H208" s="947">
        <f>IF(M207&lt;0.01,0,IF($F$20=$V$3,0,IF(OR($F$10=$T$16,$F$10=$T$17),0,IF($F$10=$T$13,0,$F$11*Adm!$AA$3))))</f>
        <v>0</v>
      </c>
      <c r="I208" s="947">
        <f t="shared" si="54"/>
        <v>0</v>
      </c>
      <c r="J208" s="947">
        <f t="shared" si="42"/>
        <v>0</v>
      </c>
      <c r="K208" s="947">
        <f t="shared" si="48"/>
        <v>0</v>
      </c>
      <c r="L208" s="947">
        <f t="shared" si="43"/>
        <v>0</v>
      </c>
      <c r="M208" s="947">
        <f t="shared" si="49"/>
        <v>0</v>
      </c>
      <c r="N208" s="946"/>
      <c r="P208" s="733"/>
      <c r="Q208" s="733"/>
      <c r="R208" s="733"/>
      <c r="S208" s="785">
        <f t="shared" si="50"/>
        <v>11</v>
      </c>
      <c r="T208" s="786">
        <f t="shared" si="55"/>
        <v>0</v>
      </c>
      <c r="W208" s="790">
        <f t="shared" si="56"/>
        <v>0</v>
      </c>
      <c r="X208" s="818">
        <f t="shared" ca="1" si="51"/>
        <v>0</v>
      </c>
      <c r="Z208" s="843">
        <f t="shared" si="57"/>
        <v>0</v>
      </c>
      <c r="AA208" s="792">
        <f t="shared" si="58"/>
        <v>0</v>
      </c>
      <c r="AB208" s="792">
        <f t="shared" si="59"/>
        <v>0</v>
      </c>
      <c r="AC208" s="789">
        <f t="shared" si="52"/>
        <v>0</v>
      </c>
      <c r="AD208" s="789">
        <f t="shared" si="44"/>
        <v>0</v>
      </c>
      <c r="AE208" s="828" t="e">
        <f>HLOOKUP($AE$39,anticipado,168,0)</f>
        <v>#N/A</v>
      </c>
      <c r="AF208" s="827"/>
      <c r="AG208" s="614">
        <v>6.9175451370063548E-2</v>
      </c>
      <c r="AH208" s="615">
        <v>6.7759763659039851E-2</v>
      </c>
      <c r="AI208" s="616">
        <v>6.6141239525028483E-2</v>
      </c>
      <c r="AJ208" s="616">
        <v>6.7001099458693786E-2</v>
      </c>
      <c r="AK208" s="617">
        <v>6.9175451370063548E-2</v>
      </c>
      <c r="AL208" s="617">
        <v>6.7759763659039851E-2</v>
      </c>
      <c r="AM208" s="617">
        <v>6.7044606320633152E-2</v>
      </c>
      <c r="AN208" s="617">
        <v>6.8654999421284765E-2</v>
      </c>
      <c r="AO208" s="617">
        <v>7.1009412205616171E-2</v>
      </c>
      <c r="AP208" s="617">
        <v>6.8403450956900883E-2</v>
      </c>
      <c r="AQ208" s="617">
        <v>6.7044606320633152E-2</v>
      </c>
      <c r="AR208" s="618">
        <v>6.6553263067981233E-2</v>
      </c>
      <c r="AS208" s="618">
        <v>9.0324166253529497E-3</v>
      </c>
      <c r="AT208" s="618">
        <v>8.9478125333257736E-3</v>
      </c>
      <c r="AU208" s="618">
        <v>8.6727985231847844E-3</v>
      </c>
      <c r="AV208" s="618">
        <v>9.2831163166157849E-3</v>
      </c>
      <c r="AW208" s="618">
        <v>9.0324166253529497E-3</v>
      </c>
      <c r="AX208" s="618">
        <v>8.8132344871441372E-3</v>
      </c>
      <c r="AY208" s="618">
        <v>9.3650681205193782E-3</v>
      </c>
      <c r="AZ208" s="618">
        <v>9.3351199705198444E-3</v>
      </c>
      <c r="BA208" s="618">
        <v>9.1115910720907974E-3</v>
      </c>
      <c r="BB208" s="618">
        <v>9.5346678529470413E-3</v>
      </c>
      <c r="BC208" s="617">
        <v>9.4127478597855838E-3</v>
      </c>
      <c r="BD208" s="617">
        <v>9.3014352685680916E-3</v>
      </c>
      <c r="BE208" s="617">
        <v>6.7651841277798275E-2</v>
      </c>
      <c r="BF208" s="617">
        <v>6.7829814826304555E-2</v>
      </c>
      <c r="BG208" s="617">
        <v>9.668248746142652E-3</v>
      </c>
      <c r="BH208" s="617">
        <v>9.4110282205014904E-3</v>
      </c>
      <c r="BI208" s="617"/>
      <c r="BJ208" s="617"/>
      <c r="BK208" s="617"/>
      <c r="BL208" s="617"/>
      <c r="BM208" s="617"/>
      <c r="BN208" s="617"/>
      <c r="BO208" s="617"/>
      <c r="BP208" s="617"/>
      <c r="BQ208" s="617"/>
      <c r="BR208" s="617"/>
      <c r="BS208" s="617"/>
      <c r="BT208" s="617"/>
      <c r="BU208" s="617"/>
      <c r="BV208" s="617"/>
      <c r="BW208" s="617"/>
      <c r="BX208" s="617"/>
      <c r="BY208" s="617"/>
      <c r="BZ208" s="617"/>
      <c r="CA208" s="617"/>
      <c r="CB208" s="617"/>
      <c r="CC208" s="617"/>
      <c r="CD208" s="617"/>
      <c r="CE208" s="617"/>
      <c r="CF208" s="617"/>
      <c r="CG208" s="617"/>
      <c r="CH208" s="617"/>
      <c r="CI208" s="617"/>
      <c r="CJ208" s="617"/>
    </row>
    <row r="209" spans="1:88">
      <c r="A209" s="151">
        <f t="shared" ca="1" si="45"/>
        <v>11</v>
      </c>
      <c r="B209" s="784">
        <f t="shared" si="46"/>
        <v>0</v>
      </c>
      <c r="C209" s="944">
        <f t="shared" si="53"/>
        <v>0</v>
      </c>
      <c r="D209" s="947">
        <f t="shared" si="47"/>
        <v>0</v>
      </c>
      <c r="E209" s="947">
        <f t="shared" si="60"/>
        <v>0</v>
      </c>
      <c r="F209" s="947">
        <f t="shared" si="61"/>
        <v>0</v>
      </c>
      <c r="G209" s="947">
        <f>IF(M208&lt;0.01,0,IF($F$19=$U$4,$G$19,IF(AND($F$21=1,$F$19=$U$2),M208*Adm!$U$4,IF(AND($F$21=2,$F$19=$U$2),M208*Adm!$U$5,IF(AND($F$21=1,$F$19=$U$3),M208*Adm!$V$4,IF(AND($F$21=2,$F$19=$U$3),M208*Adm!$V$5,0))))))</f>
        <v>0</v>
      </c>
      <c r="H209" s="947">
        <f>IF(M208&lt;0.01,0,IF($F$20=$V$3,0,IF(OR($F$10=$T$16,$F$10=$T$17),0,IF($F$10=$T$13,0,$F$11*Adm!$AA$3))))</f>
        <v>0</v>
      </c>
      <c r="I209" s="947">
        <f t="shared" si="54"/>
        <v>0</v>
      </c>
      <c r="J209" s="947">
        <f t="shared" si="42"/>
        <v>0</v>
      </c>
      <c r="K209" s="947">
        <f t="shared" si="48"/>
        <v>0</v>
      </c>
      <c r="L209" s="947">
        <f t="shared" si="43"/>
        <v>0</v>
      </c>
      <c r="M209" s="947">
        <f t="shared" si="49"/>
        <v>0</v>
      </c>
      <c r="N209" s="946"/>
      <c r="P209" s="733"/>
      <c r="Q209" s="733"/>
      <c r="R209" s="733"/>
      <c r="S209" s="785">
        <f t="shared" si="50"/>
        <v>12</v>
      </c>
      <c r="T209" s="786">
        <f t="shared" si="55"/>
        <v>0</v>
      </c>
      <c r="W209" s="790">
        <f t="shared" si="56"/>
        <v>0</v>
      </c>
      <c r="X209" s="818">
        <f t="shared" ca="1" si="51"/>
        <v>0</v>
      </c>
      <c r="Z209" s="843">
        <f t="shared" si="57"/>
        <v>0</v>
      </c>
      <c r="AA209" s="792">
        <f t="shared" si="58"/>
        <v>0</v>
      </c>
      <c r="AB209" s="792">
        <f t="shared" si="59"/>
        <v>0</v>
      </c>
      <c r="AC209" s="789">
        <f t="shared" si="52"/>
        <v>0</v>
      </c>
      <c r="AD209" s="789">
        <f t="shared" si="44"/>
        <v>0</v>
      </c>
      <c r="AE209" s="828" t="e">
        <f>HLOOKUP($AE$39,anticipado,169,0)</f>
        <v>#N/A</v>
      </c>
      <c r="AF209" s="827"/>
      <c r="AG209" s="614">
        <v>7.495729430516912E-2</v>
      </c>
      <c r="AH209" s="615">
        <v>7.3344488736740279E-2</v>
      </c>
      <c r="AI209" s="616">
        <v>7.1492094071702122E-2</v>
      </c>
      <c r="AJ209" s="616">
        <v>7.2410464334407232E-2</v>
      </c>
      <c r="AK209" s="617">
        <v>7.495729430516912E-2</v>
      </c>
      <c r="AL209" s="617">
        <v>7.3344488736740279E-2</v>
      </c>
      <c r="AM209" s="617">
        <v>7.2431518782660506E-2</v>
      </c>
      <c r="AN209" s="617">
        <v>7.4326583192562523E-2</v>
      </c>
      <c r="AO209" s="617">
        <v>7.7093256488657419E-2</v>
      </c>
      <c r="AP209" s="617">
        <v>7.3985919485473006E-2</v>
      </c>
      <c r="AQ209" s="617">
        <v>7.2431518782660506E-2</v>
      </c>
      <c r="AR209" s="618">
        <v>7.1886022225875992E-2</v>
      </c>
      <c r="AS209" s="618">
        <v>9.1974611068404918E-3</v>
      </c>
      <c r="AT209" s="618">
        <v>9.1135428088111609E-3</v>
      </c>
      <c r="AU209" s="618">
        <v>8.8353587885383854E-3</v>
      </c>
      <c r="AV209" s="618">
        <v>9.4509171581241645E-3</v>
      </c>
      <c r="AW209" s="618">
        <v>9.1974611068404918E-3</v>
      </c>
      <c r="AX209" s="618">
        <v>8.9759943137940178E-3</v>
      </c>
      <c r="AY209" s="618">
        <v>9.5319090792972284E-3</v>
      </c>
      <c r="AZ209" s="618">
        <v>9.5039670899136897E-3</v>
      </c>
      <c r="BA209" s="618">
        <v>9.2792067480597304E-3</v>
      </c>
      <c r="BB209" s="618">
        <v>9.702662302459468E-3</v>
      </c>
      <c r="BC209" s="617">
        <v>9.579315679743558E-3</v>
      </c>
      <c r="BD209" s="617">
        <v>9.468568747643109E-3</v>
      </c>
      <c r="BE209" s="617">
        <v>7.3149657759078876E-2</v>
      </c>
      <c r="BF209" s="617">
        <v>7.342886280511475E-2</v>
      </c>
      <c r="BG209" s="617">
        <v>9.8370764448354811E-3</v>
      </c>
      <c r="BH209" s="617">
        <v>9.5787365379609562E-3</v>
      </c>
      <c r="BI209" s="617"/>
      <c r="BJ209" s="617"/>
      <c r="BK209" s="617"/>
      <c r="BL209" s="617"/>
      <c r="BM209" s="617"/>
      <c r="BN209" s="617"/>
      <c r="BO209" s="617"/>
      <c r="BP209" s="617"/>
      <c r="BQ209" s="617"/>
      <c r="BR209" s="617"/>
      <c r="BS209" s="617"/>
      <c r="BT209" s="617"/>
      <c r="BU209" s="617"/>
      <c r="BV209" s="617"/>
      <c r="BW209" s="617"/>
      <c r="BX209" s="617"/>
      <c r="BY209" s="617"/>
      <c r="BZ209" s="617"/>
      <c r="CA209" s="617"/>
      <c r="CB209" s="617"/>
      <c r="CC209" s="617"/>
      <c r="CD209" s="617"/>
      <c r="CE209" s="617"/>
      <c r="CF209" s="617"/>
      <c r="CG209" s="617"/>
      <c r="CH209" s="617"/>
      <c r="CI209" s="617"/>
      <c r="CJ209" s="617"/>
    </row>
    <row r="210" spans="1:88">
      <c r="A210" s="151">
        <f t="shared" ca="1" si="45"/>
        <v>12</v>
      </c>
      <c r="B210" s="784">
        <f t="shared" si="46"/>
        <v>0</v>
      </c>
      <c r="C210" s="944">
        <f t="shared" si="53"/>
        <v>0</v>
      </c>
      <c r="D210" s="947">
        <f t="shared" si="47"/>
        <v>0</v>
      </c>
      <c r="E210" s="947">
        <f t="shared" si="60"/>
        <v>0</v>
      </c>
      <c r="F210" s="947">
        <f t="shared" si="61"/>
        <v>0</v>
      </c>
      <c r="G210" s="947">
        <f>IF(M209&lt;0.01,0,IF($F$19=$U$4,$G$19,IF(AND($F$21=1,$F$19=$U$2),M209*Adm!$U$4,IF(AND($F$21=2,$F$19=$U$2),M209*Adm!$U$5,IF(AND($F$21=1,$F$19=$U$3),M209*Adm!$V$4,IF(AND($F$21=2,$F$19=$U$3),M209*Adm!$V$5,0))))))</f>
        <v>0</v>
      </c>
      <c r="H210" s="947">
        <f>IF(M209&lt;0.01,0,IF($F$20=$V$3,0,IF(OR($F$10=$T$16,$F$10=$T$17),0,IF($F$10=$T$13,0,$F$11*Adm!$AA$3))))</f>
        <v>0</v>
      </c>
      <c r="I210" s="947">
        <f t="shared" si="54"/>
        <v>0</v>
      </c>
      <c r="J210" s="947">
        <f t="shared" si="42"/>
        <v>0</v>
      </c>
      <c r="K210" s="947">
        <f t="shared" si="48"/>
        <v>0</v>
      </c>
      <c r="L210" s="947">
        <f t="shared" si="43"/>
        <v>0</v>
      </c>
      <c r="M210" s="947">
        <f t="shared" si="49"/>
        <v>0</v>
      </c>
      <c r="N210" s="946"/>
      <c r="P210" s="733"/>
      <c r="Q210" s="733"/>
      <c r="R210" s="733"/>
      <c r="S210" s="785">
        <f t="shared" si="50"/>
        <v>1</v>
      </c>
      <c r="T210" s="786">
        <f t="shared" si="55"/>
        <v>0</v>
      </c>
      <c r="W210" s="790">
        <f t="shared" si="56"/>
        <v>0</v>
      </c>
      <c r="X210" s="818">
        <f t="shared" ca="1" si="51"/>
        <v>0</v>
      </c>
      <c r="Z210" s="843">
        <f t="shared" si="57"/>
        <v>0</v>
      </c>
      <c r="AA210" s="792">
        <f t="shared" si="58"/>
        <v>0</v>
      </c>
      <c r="AB210" s="792">
        <f t="shared" si="59"/>
        <v>0</v>
      </c>
      <c r="AC210" s="789">
        <f t="shared" si="52"/>
        <v>0</v>
      </c>
      <c r="AD210" s="789">
        <f t="shared" si="44"/>
        <v>0</v>
      </c>
      <c r="AE210" s="828" t="e">
        <f>HLOOKUP($AE$39,anticipado,170,0)</f>
        <v>#N/A</v>
      </c>
      <c r="AF210" s="827"/>
      <c r="AG210" s="614">
        <v>8.3988942183833903E-2</v>
      </c>
      <c r="AH210" s="615">
        <v>8.2091539159726973E-2</v>
      </c>
      <c r="AI210" s="616">
        <v>7.9899401755101004E-2</v>
      </c>
      <c r="AJ210" s="616">
        <v>8.0888868592628421E-2</v>
      </c>
      <c r="AK210" s="617">
        <v>8.3988942183833903E-2</v>
      </c>
      <c r="AL210" s="617">
        <v>8.2091539159726973E-2</v>
      </c>
      <c r="AM210" s="617">
        <v>8.087126840576625E-2</v>
      </c>
      <c r="AN210" s="617">
        <v>8.3190790155142871E-2</v>
      </c>
      <c r="AO210" s="617">
        <v>8.657092270062014E-2</v>
      </c>
      <c r="AP210" s="617">
        <v>8.2709687379840066E-2</v>
      </c>
      <c r="AQ210" s="617">
        <v>8.087126840576625E-2</v>
      </c>
      <c r="AR210" s="618">
        <v>8.0250569288909571E-2</v>
      </c>
      <c r="AS210" s="618">
        <v>9.5515022478903453E-3</v>
      </c>
      <c r="AT210" s="618">
        <v>9.4708175197259631E-3</v>
      </c>
      <c r="AU210" s="618">
        <v>9.1915500321100314E-3</v>
      </c>
      <c r="AV210" s="618">
        <v>9.80586490709494E-3</v>
      </c>
      <c r="AW210" s="618">
        <v>9.5515022478903453E-3</v>
      </c>
      <c r="AX210" s="618">
        <v>9.3296106013345467E-3</v>
      </c>
      <c r="AY210" s="618">
        <v>9.8832234711679311E-3</v>
      </c>
      <c r="AZ210" s="618">
        <v>9.8601261258705938E-3</v>
      </c>
      <c r="BA210" s="618">
        <v>9.6371863617806842E-3</v>
      </c>
      <c r="BB210" s="618">
        <v>1.0053211249184658E-2</v>
      </c>
      <c r="BC210" s="617">
        <v>9.9291420011327642E-3</v>
      </c>
      <c r="BD210" s="617">
        <v>9.821735042949812E-3</v>
      </c>
      <c r="BE210" s="617">
        <v>8.1755428902713922E-2</v>
      </c>
      <c r="BF210" s="617">
        <v>8.2197604102357005E-2</v>
      </c>
      <c r="BG210" s="617">
        <v>1.0186914372595926E-2</v>
      </c>
      <c r="BH210" s="617">
        <v>9.9310118698980425E-3</v>
      </c>
      <c r="BI210" s="617"/>
      <c r="BJ210" s="617"/>
      <c r="BK210" s="617"/>
      <c r="BL210" s="617"/>
      <c r="BM210" s="617"/>
      <c r="BN210" s="617"/>
      <c r="BO210" s="617"/>
      <c r="BP210" s="617"/>
      <c r="BQ210" s="617"/>
      <c r="BR210" s="617"/>
      <c r="BS210" s="617"/>
      <c r="BT210" s="617"/>
      <c r="BU210" s="617"/>
      <c r="BV210" s="617"/>
      <c r="BW210" s="617"/>
      <c r="BX210" s="617"/>
      <c r="BY210" s="617"/>
      <c r="BZ210" s="617"/>
      <c r="CA210" s="617"/>
      <c r="CB210" s="617"/>
      <c r="CC210" s="617"/>
      <c r="CD210" s="617"/>
      <c r="CE210" s="617"/>
      <c r="CF210" s="617"/>
      <c r="CG210" s="617"/>
      <c r="CH210" s="617"/>
      <c r="CI210" s="617"/>
      <c r="CJ210" s="617"/>
    </row>
    <row r="211" spans="1:88">
      <c r="A211" s="151">
        <f t="shared" ca="1" si="45"/>
        <v>1</v>
      </c>
      <c r="B211" s="784">
        <f t="shared" si="46"/>
        <v>0</v>
      </c>
      <c r="C211" s="944">
        <f t="shared" si="53"/>
        <v>0</v>
      </c>
      <c r="D211" s="947">
        <f t="shared" si="47"/>
        <v>0</v>
      </c>
      <c r="E211" s="947">
        <f t="shared" si="60"/>
        <v>0</v>
      </c>
      <c r="F211" s="947">
        <f t="shared" si="61"/>
        <v>0</v>
      </c>
      <c r="G211" s="947">
        <f>IF(M210&lt;0.01,0,IF($F$19=$U$4,$G$19,IF(AND($F$21=1,$F$19=$U$2),M210*Adm!$U$4,IF(AND($F$21=2,$F$19=$U$2),M210*Adm!$U$5,IF(AND($F$21=1,$F$19=$U$3),M210*Adm!$V$4,IF(AND($F$21=2,$F$19=$U$3),M210*Adm!$V$5,0))))))</f>
        <v>0</v>
      </c>
      <c r="H211" s="947">
        <f>IF(M210&lt;0.01,0,IF($F$20=$V$3,0,IF(OR($F$10=$T$16,$F$10=$T$17),0,IF($F$10=$T$13,0,$F$11*Adm!$AA$3))))</f>
        <v>0</v>
      </c>
      <c r="I211" s="947">
        <f t="shared" si="54"/>
        <v>0</v>
      </c>
      <c r="J211" s="947">
        <f t="shared" si="42"/>
        <v>0</v>
      </c>
      <c r="K211" s="947">
        <f t="shared" si="48"/>
        <v>0</v>
      </c>
      <c r="L211" s="947">
        <f t="shared" si="43"/>
        <v>0</v>
      </c>
      <c r="M211" s="947">
        <f t="shared" si="49"/>
        <v>0</v>
      </c>
      <c r="N211" s="946"/>
      <c r="P211" s="733"/>
      <c r="Q211" s="733"/>
      <c r="R211" s="733"/>
      <c r="S211" s="785">
        <f t="shared" si="50"/>
        <v>2</v>
      </c>
      <c r="T211" s="786">
        <f t="shared" si="55"/>
        <v>0</v>
      </c>
      <c r="W211" s="790">
        <f t="shared" si="56"/>
        <v>0</v>
      </c>
      <c r="X211" s="818">
        <f t="shared" ca="1" si="51"/>
        <v>0</v>
      </c>
      <c r="Z211" s="843">
        <f t="shared" si="57"/>
        <v>0</v>
      </c>
      <c r="AA211" s="792">
        <f t="shared" si="58"/>
        <v>0</v>
      </c>
      <c r="AB211" s="792">
        <f t="shared" si="59"/>
        <v>0</v>
      </c>
      <c r="AC211" s="789">
        <f t="shared" si="52"/>
        <v>0</v>
      </c>
      <c r="AD211" s="789">
        <f t="shared" si="44"/>
        <v>0</v>
      </c>
      <c r="AE211" s="828" t="e">
        <f>HLOOKUP($AE$39,anticipado,171,0)</f>
        <v>#N/A</v>
      </c>
      <c r="AF211" s="827"/>
      <c r="AG211" s="614">
        <v>9.2480703248421434E-2</v>
      </c>
      <c r="AH211" s="615">
        <v>9.024485927689474E-2</v>
      </c>
      <c r="AI211" s="616">
        <v>8.7654678318642251E-2</v>
      </c>
      <c r="AJ211" s="616">
        <v>8.8740377128031692E-2</v>
      </c>
      <c r="AK211" s="617">
        <v>9.2480703248421434E-2</v>
      </c>
      <c r="AL211" s="617">
        <v>9.024485927689474E-2</v>
      </c>
      <c r="AM211" s="617">
        <v>8.8683441697294238E-2</v>
      </c>
      <c r="AN211" s="617">
        <v>9.1491104473585619E-2</v>
      </c>
      <c r="AO211" s="617">
        <v>9.5589238351470068E-2</v>
      </c>
      <c r="AP211" s="617">
        <v>9.0854931747896578E-2</v>
      </c>
      <c r="AQ211" s="617">
        <v>8.8683441697294238E-2</v>
      </c>
      <c r="AR211" s="618">
        <v>8.7971750815048766E-2</v>
      </c>
      <c r="AS211" s="618">
        <v>9.7311290316098812E-3</v>
      </c>
      <c r="AT211" s="618">
        <v>9.6513280951024405E-3</v>
      </c>
      <c r="AU211" s="618">
        <v>9.3687361810237072E-3</v>
      </c>
      <c r="AV211" s="618">
        <v>9.988385248303519E-3</v>
      </c>
      <c r="AW211" s="618">
        <v>9.7311290316098812E-3</v>
      </c>
      <c r="AX211" s="618">
        <v>9.506859452021189E-3</v>
      </c>
      <c r="AY211" s="618">
        <v>1.0064559799222085E-2</v>
      </c>
      <c r="AZ211" s="618">
        <v>1.0043791930332731E-2</v>
      </c>
      <c r="BA211" s="618">
        <v>9.8196794583991255E-3</v>
      </c>
      <c r="BB211" s="618">
        <v>1.0235700834345166E-2</v>
      </c>
      <c r="BC211" s="617">
        <v>1.011011833766489E-2</v>
      </c>
      <c r="BD211" s="617">
        <v>1.0003471234792791E-2</v>
      </c>
      <c r="BE211" s="617">
        <v>8.9757144296337452E-2</v>
      </c>
      <c r="BF211" s="617">
        <v>9.0375632740239006E-2</v>
      </c>
      <c r="BG211" s="617">
        <v>1.0370230242188248E-2</v>
      </c>
      <c r="BH211" s="617">
        <v>1.0113295214208541E-2</v>
      </c>
      <c r="BI211" s="617"/>
      <c r="BJ211" s="617"/>
      <c r="BK211" s="617"/>
      <c r="BL211" s="617"/>
      <c r="BM211" s="617"/>
      <c r="BN211" s="617"/>
      <c r="BO211" s="617"/>
      <c r="BP211" s="617"/>
      <c r="BQ211" s="617"/>
      <c r="BR211" s="617"/>
      <c r="BS211" s="617"/>
      <c r="BT211" s="617"/>
      <c r="BU211" s="617"/>
      <c r="BV211" s="617"/>
      <c r="BW211" s="617"/>
      <c r="BX211" s="617"/>
      <c r="BY211" s="617"/>
      <c r="BZ211" s="617"/>
      <c r="CA211" s="617"/>
      <c r="CB211" s="617"/>
      <c r="CC211" s="617"/>
      <c r="CD211" s="617"/>
      <c r="CE211" s="617"/>
      <c r="CF211" s="617"/>
      <c r="CG211" s="617"/>
      <c r="CH211" s="617"/>
      <c r="CI211" s="617"/>
      <c r="CJ211" s="617"/>
    </row>
    <row r="212" spans="1:88">
      <c r="A212" s="151">
        <f t="shared" ca="1" si="45"/>
        <v>2</v>
      </c>
      <c r="B212" s="784">
        <f t="shared" si="46"/>
        <v>0</v>
      </c>
      <c r="C212" s="944">
        <f t="shared" si="53"/>
        <v>0</v>
      </c>
      <c r="D212" s="947">
        <f t="shared" si="47"/>
        <v>0</v>
      </c>
      <c r="E212" s="947">
        <f t="shared" si="60"/>
        <v>0</v>
      </c>
      <c r="F212" s="947">
        <f t="shared" si="61"/>
        <v>0</v>
      </c>
      <c r="G212" s="947">
        <f>IF(M211&lt;0.01,0,IF($F$19=$U$4,$G$19,IF(AND($F$21=1,$F$19=$U$2),M211*Adm!$U$4,IF(AND($F$21=2,$F$19=$U$2),M211*Adm!$U$5,IF(AND($F$21=1,$F$19=$U$3),M211*Adm!$V$4,IF(AND($F$21=2,$F$19=$U$3),M211*Adm!$V$5,0))))))</f>
        <v>0</v>
      </c>
      <c r="H212" s="947">
        <f>IF(M211&lt;0.01,0,IF($F$20=$V$3,0,IF(OR($F$10=$T$16,$F$10=$T$17),0,IF($F$10=$T$13,0,$F$11*Adm!$AA$3))))</f>
        <v>0</v>
      </c>
      <c r="I212" s="947">
        <f t="shared" si="54"/>
        <v>0</v>
      </c>
      <c r="J212" s="947">
        <f t="shared" si="42"/>
        <v>0</v>
      </c>
      <c r="K212" s="947">
        <f t="shared" si="48"/>
        <v>0</v>
      </c>
      <c r="L212" s="947">
        <f t="shared" si="43"/>
        <v>0</v>
      </c>
      <c r="M212" s="947">
        <f t="shared" si="49"/>
        <v>0</v>
      </c>
      <c r="N212" s="946"/>
      <c r="P212" s="733"/>
      <c r="Q212" s="733"/>
      <c r="R212" s="733"/>
      <c r="S212" s="785">
        <f t="shared" si="50"/>
        <v>3</v>
      </c>
      <c r="T212" s="786">
        <f t="shared" si="55"/>
        <v>0</v>
      </c>
      <c r="W212" s="790">
        <f t="shared" si="56"/>
        <v>0</v>
      </c>
      <c r="X212" s="818">
        <f t="shared" ca="1" si="51"/>
        <v>0</v>
      </c>
      <c r="Z212" s="843">
        <f t="shared" si="57"/>
        <v>0</v>
      </c>
      <c r="AA212" s="792">
        <f t="shared" si="58"/>
        <v>0</v>
      </c>
      <c r="AB212" s="792">
        <f t="shared" si="59"/>
        <v>0</v>
      </c>
      <c r="AC212" s="789">
        <f t="shared" si="52"/>
        <v>0</v>
      </c>
      <c r="AD212" s="789">
        <f t="shared" si="44"/>
        <v>0</v>
      </c>
      <c r="AE212" s="828" t="e">
        <f>HLOOKUP($AE$39,anticipado,172,0)</f>
        <v>#N/A</v>
      </c>
      <c r="AF212" s="827"/>
      <c r="AG212" s="614">
        <v>0.10278387429096485</v>
      </c>
      <c r="AH212" s="615">
        <v>0.10009707810219334</v>
      </c>
      <c r="AI212" s="616">
        <v>9.698012435404596E-2</v>
      </c>
      <c r="AJ212" s="616">
        <v>9.8192807539980692E-2</v>
      </c>
      <c r="AK212" s="617">
        <v>0.10278387429096485</v>
      </c>
      <c r="AL212" s="617">
        <v>0.10009707810219334</v>
      </c>
      <c r="AM212" s="617">
        <v>9.8083940349489307E-2</v>
      </c>
      <c r="AN212" s="617">
        <v>0.10153885805985823</v>
      </c>
      <c r="AO212" s="617">
        <v>0.10659947529990438</v>
      </c>
      <c r="AP212" s="617">
        <v>0.10069647166263719</v>
      </c>
      <c r="AQ212" s="617">
        <v>9.8083940349489307E-2</v>
      </c>
      <c r="AR212" s="618">
        <v>9.7252233952857023E-2</v>
      </c>
      <c r="AS212" s="618">
        <v>9.9159322437039239E-3</v>
      </c>
      <c r="AT212" s="618">
        <v>9.8370718145074244E-3</v>
      </c>
      <c r="AU212" s="618">
        <v>9.5510459719816768E-3</v>
      </c>
      <c r="AV212" s="618">
        <v>1.0176178663920944E-2</v>
      </c>
      <c r="AW212" s="618">
        <v>9.9159322437039239E-3</v>
      </c>
      <c r="AX212" s="618">
        <v>9.6892093444252824E-3</v>
      </c>
      <c r="AY212" s="618">
        <v>1.0251100719087409E-2</v>
      </c>
      <c r="AZ212" s="618">
        <v>1.0232777027737505E-2</v>
      </c>
      <c r="BA212" s="618">
        <v>1.0007472373693318E-2</v>
      </c>
      <c r="BB212" s="618">
        <v>1.0423424521016904E-2</v>
      </c>
      <c r="BC212" s="617">
        <v>1.0296275360504148E-2</v>
      </c>
      <c r="BD212" s="617">
        <v>1.0190440518889104E-2</v>
      </c>
      <c r="BE212" s="617">
        <v>9.9408276099671053E-2</v>
      </c>
      <c r="BF212" s="617">
        <v>0.10026067961818029</v>
      </c>
      <c r="BG212" s="617">
        <v>1.0558800439423068E-2</v>
      </c>
      <c r="BH212" s="617">
        <v>1.0300820864618206E-2</v>
      </c>
      <c r="BI212" s="617"/>
      <c r="BJ212" s="617"/>
      <c r="BK212" s="617"/>
      <c r="BL212" s="617"/>
      <c r="BM212" s="617"/>
      <c r="BN212" s="617"/>
      <c r="BO212" s="617"/>
      <c r="BP212" s="617"/>
      <c r="BQ212" s="617"/>
      <c r="BR212" s="617"/>
      <c r="BS212" s="617"/>
      <c r="BT212" s="617"/>
      <c r="BU212" s="617"/>
      <c r="BV212" s="617"/>
      <c r="BW212" s="617"/>
      <c r="BX212" s="617"/>
      <c r="BY212" s="617"/>
      <c r="BZ212" s="617"/>
      <c r="CA212" s="617"/>
      <c r="CB212" s="617"/>
      <c r="CC212" s="617"/>
      <c r="CD212" s="617"/>
      <c r="CE212" s="617"/>
      <c r="CF212" s="617"/>
      <c r="CG212" s="617"/>
      <c r="CH212" s="617"/>
      <c r="CI212" s="617"/>
      <c r="CJ212" s="617"/>
    </row>
    <row r="213" spans="1:88">
      <c r="A213" s="151">
        <f t="shared" ca="1" si="45"/>
        <v>3</v>
      </c>
      <c r="B213" s="784">
        <f t="shared" si="46"/>
        <v>0</v>
      </c>
      <c r="C213" s="944">
        <f t="shared" si="53"/>
        <v>0</v>
      </c>
      <c r="D213" s="947">
        <f t="shared" si="47"/>
        <v>0</v>
      </c>
      <c r="E213" s="947">
        <f t="shared" si="60"/>
        <v>0</v>
      </c>
      <c r="F213" s="947">
        <f t="shared" si="61"/>
        <v>0</v>
      </c>
      <c r="G213" s="947">
        <f>IF(M212&lt;0.01,0,IF($F$19=$U$4,$G$19,IF(AND($F$21=1,$F$19=$U$2),M212*Adm!$U$4,IF(AND($F$21=2,$F$19=$U$2),M212*Adm!$U$5,IF(AND($F$21=1,$F$19=$U$3),M212*Adm!$V$4,IF(AND($F$21=2,$F$19=$U$3),M212*Adm!$V$5,0))))))</f>
        <v>0</v>
      </c>
      <c r="H213" s="947">
        <f>IF(M212&lt;0.01,0,IF($F$20=$V$3,0,IF(OR($F$10=$T$16,$F$10=$T$17),0,IF($F$10=$T$13,0,$F$11*Adm!$AA$3))))</f>
        <v>0</v>
      </c>
      <c r="I213" s="947">
        <f t="shared" si="54"/>
        <v>0</v>
      </c>
      <c r="J213" s="947">
        <f t="shared" si="42"/>
        <v>0</v>
      </c>
      <c r="K213" s="947">
        <f t="shared" si="48"/>
        <v>0</v>
      </c>
      <c r="L213" s="947">
        <f t="shared" si="43"/>
        <v>0</v>
      </c>
      <c r="M213" s="947">
        <f t="shared" si="49"/>
        <v>0</v>
      </c>
      <c r="N213" s="946"/>
      <c r="P213" s="733"/>
      <c r="Q213" s="733"/>
      <c r="R213" s="733"/>
      <c r="S213" s="785">
        <f t="shared" si="50"/>
        <v>4</v>
      </c>
      <c r="T213" s="786">
        <f t="shared" si="55"/>
        <v>0</v>
      </c>
      <c r="W213" s="790">
        <f t="shared" si="56"/>
        <v>0</v>
      </c>
      <c r="X213" s="818">
        <f t="shared" ca="1" si="51"/>
        <v>0</v>
      </c>
      <c r="Z213" s="843">
        <f t="shared" si="57"/>
        <v>0</v>
      </c>
      <c r="AA213" s="792">
        <f t="shared" si="58"/>
        <v>0</v>
      </c>
      <c r="AB213" s="792">
        <f t="shared" si="59"/>
        <v>0</v>
      </c>
      <c r="AC213" s="789">
        <f t="shared" si="52"/>
        <v>0</v>
      </c>
      <c r="AD213" s="789">
        <f t="shared" si="44"/>
        <v>0</v>
      </c>
      <c r="AE213" s="828" t="e">
        <f>HLOOKUP($AE$39,anticipado,173,0)</f>
        <v>#N/A</v>
      </c>
      <c r="AF213" s="827"/>
      <c r="AG213" s="614">
        <v>0.1155467252940842</v>
      </c>
      <c r="AH213" s="615">
        <v>0.11224039463385692</v>
      </c>
      <c r="AI213" s="616">
        <v>0.10840574867818033</v>
      </c>
      <c r="AJ213" s="616">
        <v>0.10979094366353764</v>
      </c>
      <c r="AK213" s="617">
        <v>0.1155467252940842</v>
      </c>
      <c r="AL213" s="617">
        <v>0.11224039463385692</v>
      </c>
      <c r="AM213" s="617">
        <v>0.1096115732199042</v>
      </c>
      <c r="AN213" s="617">
        <v>0.11395032404670753</v>
      </c>
      <c r="AO213" s="617">
        <v>0.12034294939064791</v>
      </c>
      <c r="AP213" s="617">
        <v>0.11282540217167</v>
      </c>
      <c r="AQ213" s="617">
        <v>0.1096115732199042</v>
      </c>
      <c r="AR213" s="618">
        <v>0.10861700037988753</v>
      </c>
      <c r="AS213" s="618">
        <v>1.0106131039448702E-2</v>
      </c>
      <c r="AT213" s="618">
        <v>1.0028271088030552E-2</v>
      </c>
      <c r="AU213" s="618">
        <v>9.738695649004845E-3</v>
      </c>
      <c r="AV213" s="618">
        <v>1.0369469782049525E-2</v>
      </c>
      <c r="AW213" s="618">
        <v>1.0106131039448702E-2</v>
      </c>
      <c r="AX213" s="618">
        <v>9.8768752012800866E-3</v>
      </c>
      <c r="AY213" s="618">
        <v>1.0443066934337246E-2</v>
      </c>
      <c r="AZ213" s="618">
        <v>1.0427308688703139E-2</v>
      </c>
      <c r="BA213" s="618">
        <v>1.0200791300631033E-2</v>
      </c>
      <c r="BB213" s="618">
        <v>1.0616604675984556E-2</v>
      </c>
      <c r="BC213" s="617">
        <v>1.0487832405899533E-2</v>
      </c>
      <c r="BD213" s="617">
        <v>1.0382865233881168E-2</v>
      </c>
      <c r="BE213" s="617">
        <v>0.1112769940930205</v>
      </c>
      <c r="BF213" s="617">
        <v>0.11244892884207559</v>
      </c>
      <c r="BG213" s="617">
        <v>1.0752848473965628E-2</v>
      </c>
      <c r="BH213" s="617">
        <v>1.0493811670785232E-2</v>
      </c>
      <c r="BI213" s="617"/>
      <c r="BJ213" s="617"/>
      <c r="BK213" s="617"/>
      <c r="BL213" s="617"/>
      <c r="BM213" s="617"/>
      <c r="BN213" s="617"/>
      <c r="BO213" s="617"/>
      <c r="BP213" s="617"/>
      <c r="BQ213" s="617"/>
      <c r="BR213" s="617"/>
      <c r="BS213" s="617"/>
      <c r="BT213" s="617"/>
      <c r="BU213" s="617"/>
      <c r="BV213" s="617"/>
      <c r="BW213" s="617"/>
      <c r="BX213" s="617"/>
      <c r="BY213" s="617"/>
      <c r="BZ213" s="617"/>
      <c r="CA213" s="617"/>
      <c r="CB213" s="617"/>
      <c r="CC213" s="617"/>
      <c r="CD213" s="617"/>
      <c r="CE213" s="617"/>
      <c r="CF213" s="617"/>
      <c r="CG213" s="617"/>
      <c r="CH213" s="617"/>
      <c r="CI213" s="617"/>
      <c r="CJ213" s="617"/>
    </row>
    <row r="214" spans="1:88">
      <c r="A214" s="151">
        <f t="shared" ca="1" si="45"/>
        <v>4</v>
      </c>
      <c r="B214" s="784">
        <f t="shared" si="46"/>
        <v>0</v>
      </c>
      <c r="C214" s="944">
        <f t="shared" si="53"/>
        <v>0</v>
      </c>
      <c r="D214" s="947">
        <f t="shared" si="47"/>
        <v>0</v>
      </c>
      <c r="E214" s="947">
        <f t="shared" si="60"/>
        <v>0</v>
      </c>
      <c r="F214" s="947">
        <f t="shared" si="61"/>
        <v>0</v>
      </c>
      <c r="G214" s="947">
        <f>IF(M213&lt;0.01,0,IF($F$19=$U$4,$G$19,IF(AND($F$21=1,$F$19=$U$2),M213*Adm!$U$4,IF(AND($F$21=2,$F$19=$U$2),M213*Adm!$U$5,IF(AND($F$21=1,$F$19=$U$3),M213*Adm!$V$4,IF(AND($F$21=2,$F$19=$U$3),M213*Adm!$V$5,0))))))</f>
        <v>0</v>
      </c>
      <c r="H214" s="947">
        <f>IF(M213&lt;0.01,0,IF($F$20=$V$3,0,IF(OR($F$10=$T$16,$F$10=$T$17),0,IF($F$10=$T$13,0,$F$11*Adm!$AA$3))))</f>
        <v>0</v>
      </c>
      <c r="I214" s="947">
        <f t="shared" si="54"/>
        <v>0</v>
      </c>
      <c r="J214" s="947">
        <f t="shared" si="42"/>
        <v>0</v>
      </c>
      <c r="K214" s="947">
        <f t="shared" si="48"/>
        <v>0</v>
      </c>
      <c r="L214" s="947">
        <f t="shared" si="43"/>
        <v>0</v>
      </c>
      <c r="M214" s="947">
        <f t="shared" si="49"/>
        <v>0</v>
      </c>
      <c r="N214" s="946"/>
      <c r="P214" s="733"/>
      <c r="Q214" s="733"/>
      <c r="R214" s="733"/>
      <c r="S214" s="785">
        <f t="shared" si="50"/>
        <v>5</v>
      </c>
      <c r="T214" s="786">
        <f t="shared" si="55"/>
        <v>0</v>
      </c>
      <c r="W214" s="790">
        <f t="shared" si="56"/>
        <v>0</v>
      </c>
      <c r="X214" s="818">
        <f t="shared" ca="1" si="51"/>
        <v>0</v>
      </c>
      <c r="Z214" s="843">
        <f t="shared" si="57"/>
        <v>0</v>
      </c>
      <c r="AA214" s="792">
        <f t="shared" si="58"/>
        <v>0</v>
      </c>
      <c r="AB214" s="792">
        <f t="shared" si="59"/>
        <v>0</v>
      </c>
      <c r="AC214" s="789">
        <f t="shared" si="52"/>
        <v>0</v>
      </c>
      <c r="AD214" s="789">
        <f t="shared" si="44"/>
        <v>0</v>
      </c>
      <c r="AE214" s="828" t="e">
        <f>HLOOKUP($AE$39,anticipado,174,0)</f>
        <v>#N/A</v>
      </c>
      <c r="AF214" s="827"/>
      <c r="AG214" s="614">
        <v>0.13176876510350061</v>
      </c>
      <c r="AH214" s="615">
        <v>0.127578429487617</v>
      </c>
      <c r="AI214" s="616">
        <v>0.12273034054982615</v>
      </c>
      <c r="AJ214" s="616">
        <v>0.12435837681221554</v>
      </c>
      <c r="AK214" s="617">
        <v>0.13176876510350061</v>
      </c>
      <c r="AL214" s="617">
        <v>0.127578429487617</v>
      </c>
      <c r="AM214" s="617">
        <v>0.12407992757432908</v>
      </c>
      <c r="AN214" s="617">
        <v>0.12967017051342428</v>
      </c>
      <c r="AO214" s="617">
        <v>0.13798092444720964</v>
      </c>
      <c r="AP214" s="617">
        <v>0.1281435425918579</v>
      </c>
      <c r="AQ214" s="617">
        <v>0.12407992757432908</v>
      </c>
      <c r="AR214" s="618">
        <v>0.12285648877982126</v>
      </c>
      <c r="AS214" s="618">
        <v>1.0301957107119024E-2</v>
      </c>
      <c r="AT214" s="618">
        <v>1.0225161092538529E-2</v>
      </c>
      <c r="AU214" s="618">
        <v>9.9319137772155269E-3</v>
      </c>
      <c r="AV214" s="618">
        <v>1.0568496160497692E-2</v>
      </c>
      <c r="AW214" s="618">
        <v>1.0301957107119024E-2</v>
      </c>
      <c r="AX214" s="618">
        <v>1.0070084173042429E-2</v>
      </c>
      <c r="AY214" s="618">
        <v>1.0640691795423936E-2</v>
      </c>
      <c r="AZ214" s="618">
        <v>1.0627627305490682E-2</v>
      </c>
      <c r="BA214" s="618">
        <v>1.0399875473917101E-2</v>
      </c>
      <c r="BB214" s="618">
        <v>1.0815476434018499E-2</v>
      </c>
      <c r="BC214" s="617">
        <v>1.0685021358859258E-2</v>
      </c>
      <c r="BD214" s="617">
        <v>1.0580980482764023E-2</v>
      </c>
      <c r="BE214" s="617">
        <v>0.1262262725462559</v>
      </c>
      <c r="BF214" s="617">
        <v>0.12785077042981988</v>
      </c>
      <c r="BG214" s="617">
        <v>1.0952610706905303E-2</v>
      </c>
      <c r="BH214" s="617">
        <v>1.0692503284394306E-2</v>
      </c>
      <c r="BI214" s="617"/>
      <c r="BJ214" s="617"/>
      <c r="BK214" s="617"/>
      <c r="BL214" s="617"/>
      <c r="BM214" s="617"/>
      <c r="BN214" s="617"/>
      <c r="BO214" s="617"/>
      <c r="BP214" s="617"/>
      <c r="BQ214" s="617"/>
      <c r="BR214" s="617"/>
      <c r="BS214" s="617"/>
      <c r="BT214" s="617"/>
      <c r="BU214" s="617"/>
      <c r="BV214" s="617"/>
      <c r="BW214" s="617"/>
      <c r="BX214" s="617"/>
      <c r="BY214" s="617"/>
      <c r="BZ214" s="617"/>
      <c r="CA214" s="617"/>
      <c r="CB214" s="617"/>
      <c r="CC214" s="617"/>
      <c r="CD214" s="617"/>
      <c r="CE214" s="617"/>
      <c r="CF214" s="617"/>
      <c r="CG214" s="617"/>
      <c r="CH214" s="617"/>
      <c r="CI214" s="617"/>
      <c r="CJ214" s="617"/>
    </row>
    <row r="215" spans="1:88">
      <c r="A215" s="151">
        <f t="shared" ca="1" si="45"/>
        <v>5</v>
      </c>
      <c r="B215" s="784">
        <f t="shared" si="46"/>
        <v>0</v>
      </c>
      <c r="C215" s="944">
        <f t="shared" si="53"/>
        <v>0</v>
      </c>
      <c r="D215" s="947">
        <f t="shared" si="47"/>
        <v>0</v>
      </c>
      <c r="E215" s="947">
        <f t="shared" si="60"/>
        <v>0</v>
      </c>
      <c r="F215" s="947">
        <f t="shared" si="61"/>
        <v>0</v>
      </c>
      <c r="G215" s="947">
        <f>IF(M214&lt;0.01,0,IF($F$19=$U$4,$G$19,IF(AND($F$21=1,$F$19=$U$2),M214*Adm!$U$4,IF(AND($F$21=2,$F$19=$U$2),M214*Adm!$U$5,IF(AND($F$21=1,$F$19=$U$3),M214*Adm!$V$4,IF(AND($F$21=2,$F$19=$U$3),M214*Adm!$V$5,0))))))</f>
        <v>0</v>
      </c>
      <c r="H215" s="947">
        <f>IF(M214&lt;0.01,0,IF($F$20=$V$3,0,IF(OR($F$10=$T$16,$F$10=$T$17),0,IF($F$10=$T$13,0,$F$11*Adm!$AA$3))))</f>
        <v>0</v>
      </c>
      <c r="I215" s="947">
        <f t="shared" si="54"/>
        <v>0</v>
      </c>
      <c r="J215" s="947">
        <f t="shared" si="42"/>
        <v>0</v>
      </c>
      <c r="K215" s="947">
        <f t="shared" si="48"/>
        <v>0</v>
      </c>
      <c r="L215" s="947">
        <f t="shared" si="43"/>
        <v>0</v>
      </c>
      <c r="M215" s="947">
        <f t="shared" si="49"/>
        <v>0</v>
      </c>
      <c r="N215" s="946"/>
      <c r="P215" s="733"/>
      <c r="Q215" s="733"/>
      <c r="R215" s="733"/>
      <c r="S215" s="785">
        <f t="shared" si="50"/>
        <v>6</v>
      </c>
      <c r="T215" s="786">
        <f t="shared" si="55"/>
        <v>0</v>
      </c>
      <c r="W215" s="790">
        <f t="shared" si="56"/>
        <v>0</v>
      </c>
      <c r="X215" s="818">
        <f t="shared" ca="1" si="51"/>
        <v>0</v>
      </c>
      <c r="Z215" s="843">
        <f t="shared" si="57"/>
        <v>0</v>
      </c>
      <c r="AA215" s="792">
        <f t="shared" si="58"/>
        <v>0</v>
      </c>
      <c r="AB215" s="792">
        <f t="shared" si="59"/>
        <v>0</v>
      </c>
      <c r="AC215" s="789">
        <f t="shared" si="52"/>
        <v>0</v>
      </c>
      <c r="AD215" s="789">
        <f t="shared" si="44"/>
        <v>0</v>
      </c>
      <c r="AE215" s="828" t="e">
        <f>HLOOKUP($AE$39,anticipado,175,0)</f>
        <v>#N/A</v>
      </c>
      <c r="AF215" s="827"/>
      <c r="AG215" s="614">
        <v>0.153075891952173</v>
      </c>
      <c r="AH215" s="615">
        <v>0.14756192199558857</v>
      </c>
      <c r="AI215" s="616">
        <v>0.141216588501963</v>
      </c>
      <c r="AJ215" s="616">
        <v>0.14320203263371606</v>
      </c>
      <c r="AK215" s="617">
        <v>0.153075891952173</v>
      </c>
      <c r="AL215" s="617">
        <v>0.14756192199558857</v>
      </c>
      <c r="AM215" s="617">
        <v>0.14277812660991596</v>
      </c>
      <c r="AN215" s="617">
        <v>0.15022382013070343</v>
      </c>
      <c r="AO215" s="617">
        <v>0.1614410454039413</v>
      </c>
      <c r="AP215" s="617">
        <v>0.14809850406794148</v>
      </c>
      <c r="AQ215" s="617">
        <v>0.14277812660991596</v>
      </c>
      <c r="AR215" s="618">
        <v>0.14121865968759159</v>
      </c>
      <c r="AS215" s="618">
        <v>1.0503655577089257E-2</v>
      </c>
      <c r="AT215" s="618">
        <v>1.0427990701276207E-2</v>
      </c>
      <c r="AU215" s="618">
        <v>1.013094213330808E-2</v>
      </c>
      <c r="AV215" s="618">
        <v>1.0773509230823021E-2</v>
      </c>
      <c r="AW215" s="618">
        <v>1.0503655577089257E-2</v>
      </c>
      <c r="AX215" s="618">
        <v>1.0269076520256623E-2</v>
      </c>
      <c r="AY215" s="618">
        <v>1.0844222218854619E-2</v>
      </c>
      <c r="AZ215" s="618">
        <v>1.0833987353016401E-2</v>
      </c>
      <c r="BA215" s="618">
        <v>1.0604978123879607E-2</v>
      </c>
      <c r="BB215" s="618">
        <v>1.1020288627737188E-2</v>
      </c>
      <c r="BC215" s="617">
        <v>1.0888087563730926E-2</v>
      </c>
      <c r="BD215" s="617">
        <v>1.0785035062368364E-2</v>
      </c>
      <c r="BE215" s="617">
        <v>0.14563359497648215</v>
      </c>
      <c r="BF215" s="617">
        <v>0.14792920627870987</v>
      </c>
      <c r="BG215" s="617">
        <v>1.1158337287997233E-2</v>
      </c>
      <c r="BH215" s="617">
        <v>1.0897145091983073E-2</v>
      </c>
      <c r="BI215" s="617"/>
      <c r="BJ215" s="617"/>
      <c r="BK215" s="617"/>
      <c r="BL215" s="617"/>
      <c r="BM215" s="617"/>
      <c r="BN215" s="617"/>
      <c r="BO215" s="617"/>
      <c r="BP215" s="617"/>
      <c r="BQ215" s="617"/>
      <c r="BR215" s="617"/>
      <c r="BS215" s="617"/>
      <c r="BT215" s="617"/>
      <c r="BU215" s="617"/>
      <c r="BV215" s="617"/>
      <c r="BW215" s="617"/>
      <c r="BX215" s="617"/>
      <c r="BY215" s="617"/>
      <c r="BZ215" s="617"/>
      <c r="CA215" s="617"/>
      <c r="CB215" s="617"/>
      <c r="CC215" s="617"/>
      <c r="CD215" s="617"/>
      <c r="CE215" s="617"/>
      <c r="CF215" s="617"/>
      <c r="CG215" s="617"/>
      <c r="CH215" s="617"/>
      <c r="CI215" s="617"/>
      <c r="CJ215" s="617"/>
    </row>
    <row r="216" spans="1:88">
      <c r="A216" s="151">
        <f t="shared" ca="1" si="45"/>
        <v>6</v>
      </c>
      <c r="B216" s="784">
        <f t="shared" si="46"/>
        <v>0</v>
      </c>
      <c r="C216" s="944">
        <f t="shared" si="53"/>
        <v>0</v>
      </c>
      <c r="D216" s="947">
        <f t="shared" si="47"/>
        <v>0</v>
      </c>
      <c r="E216" s="947">
        <f t="shared" si="60"/>
        <v>0</v>
      </c>
      <c r="F216" s="947">
        <f t="shared" si="61"/>
        <v>0</v>
      </c>
      <c r="G216" s="947">
        <f>IF(M215&lt;0.01,0,IF($F$19=$U$4,$G$19,IF(AND($F$21=1,$F$19=$U$2),M215*Adm!$U$4,IF(AND($F$21=2,$F$19=$U$2),M215*Adm!$U$5,IF(AND($F$21=1,$F$19=$U$3),M215*Adm!$V$4,IF(AND($F$21=2,$F$19=$U$3),M215*Adm!$V$5,0))))))</f>
        <v>0</v>
      </c>
      <c r="H216" s="947">
        <f>IF(M215&lt;0.01,0,IF($F$20=$V$3,0,IF(OR($F$10=$T$16,$F$10=$T$17),0,IF($F$10=$T$13,0,$F$11*Adm!$AA$3))))</f>
        <v>0</v>
      </c>
      <c r="I216" s="947">
        <f t="shared" si="54"/>
        <v>0</v>
      </c>
      <c r="J216" s="947">
        <f t="shared" si="42"/>
        <v>0</v>
      </c>
      <c r="K216" s="947">
        <f t="shared" si="48"/>
        <v>0</v>
      </c>
      <c r="L216" s="947">
        <f t="shared" si="43"/>
        <v>0</v>
      </c>
      <c r="M216" s="947">
        <f t="shared" si="49"/>
        <v>0</v>
      </c>
      <c r="N216" s="946"/>
      <c r="P216" s="733"/>
      <c r="Q216" s="733"/>
      <c r="R216" s="733"/>
      <c r="S216" s="785">
        <f t="shared" si="50"/>
        <v>7</v>
      </c>
      <c r="T216" s="786">
        <f t="shared" si="55"/>
        <v>0</v>
      </c>
      <c r="W216" s="790">
        <f t="shared" si="56"/>
        <v>0</v>
      </c>
      <c r="X216" s="818">
        <f t="shared" ca="1" si="51"/>
        <v>0</v>
      </c>
      <c r="Z216" s="843">
        <f t="shared" si="57"/>
        <v>0</v>
      </c>
      <c r="AA216" s="792">
        <f t="shared" si="58"/>
        <v>0</v>
      </c>
      <c r="AB216" s="792">
        <f t="shared" si="59"/>
        <v>0</v>
      </c>
      <c r="AC216" s="789">
        <f t="shared" si="52"/>
        <v>0</v>
      </c>
      <c r="AD216" s="789">
        <f t="shared" si="44"/>
        <v>0</v>
      </c>
      <c r="AE216" s="828" t="e">
        <f>HLOOKUP($AE$39,anticipado,176,0)</f>
        <v>#N/A</v>
      </c>
      <c r="AF216" s="827"/>
      <c r="AG216" s="614">
        <v>0.18230225123257623</v>
      </c>
      <c r="AH216" s="615">
        <v>0.17467667186604485</v>
      </c>
      <c r="AI216" s="616">
        <v>0.16598504271307929</v>
      </c>
      <c r="AJ216" s="616">
        <v>0.16852769854163618</v>
      </c>
      <c r="AK216" s="617">
        <v>0.18230225123257623</v>
      </c>
      <c r="AL216" s="617">
        <v>0.17467667186604485</v>
      </c>
      <c r="AM216" s="617">
        <v>0.16787771977452953</v>
      </c>
      <c r="AN216" s="617">
        <v>0.17824478691642073</v>
      </c>
      <c r="AO216" s="617">
        <v>0.19417447851208058</v>
      </c>
      <c r="AP216" s="617">
        <v>0.17517019969332331</v>
      </c>
      <c r="AQ216" s="617">
        <v>0.16787771977452953</v>
      </c>
      <c r="AR216" s="618">
        <v>0.16579602993708983</v>
      </c>
      <c r="AS216" s="618">
        <v>1.0711486011232133E-2</v>
      </c>
      <c r="AT216" s="618">
        <v>1.0637023495895162E-2</v>
      </c>
      <c r="AU216" s="618">
        <v>1.0336036674381519E-2</v>
      </c>
      <c r="AV216" s="618">
        <v>1.0984775326315446E-2</v>
      </c>
      <c r="AW216" s="618">
        <v>1.0711486011232133E-2</v>
      </c>
      <c r="AX216" s="618">
        <v>1.0474106573445425E-2</v>
      </c>
      <c r="AY216" s="618">
        <v>1.1053919687717108E-2</v>
      </c>
      <c r="AZ216" s="618">
        <v>1.1046658435580631E-2</v>
      </c>
      <c r="BA216" s="618">
        <v>1.0816367515322143E-2</v>
      </c>
      <c r="BB216" s="618">
        <v>1.1231304799934814E-2</v>
      </c>
      <c r="BC216" s="617">
        <v>1.1097290815239726E-2</v>
      </c>
      <c r="BD216" s="617">
        <v>1.0995292475265225E-2</v>
      </c>
      <c r="BE216" s="617">
        <v>0.17184155821100347</v>
      </c>
      <c r="BF216" s="617">
        <v>0.17519416067609728</v>
      </c>
      <c r="BG216" s="617">
        <v>1.1370293176141006E-2</v>
      </c>
      <c r="BH216" s="617">
        <v>1.1108001230540629E-2</v>
      </c>
      <c r="BI216" s="617"/>
      <c r="BJ216" s="617"/>
      <c r="BK216" s="617"/>
      <c r="BL216" s="617"/>
      <c r="BM216" s="617"/>
      <c r="BN216" s="617"/>
      <c r="BO216" s="617"/>
      <c r="BP216" s="617"/>
      <c r="BQ216" s="617"/>
      <c r="BR216" s="617"/>
      <c r="BS216" s="617"/>
      <c r="BT216" s="617"/>
      <c r="BU216" s="617"/>
      <c r="BV216" s="617"/>
      <c r="BW216" s="617"/>
      <c r="BX216" s="617"/>
      <c r="BY216" s="617"/>
      <c r="BZ216" s="617"/>
      <c r="CA216" s="617"/>
      <c r="CB216" s="617"/>
      <c r="CC216" s="617"/>
      <c r="CD216" s="617"/>
      <c r="CE216" s="617"/>
      <c r="CF216" s="617"/>
      <c r="CG216" s="617"/>
      <c r="CH216" s="617"/>
      <c r="CI216" s="617"/>
      <c r="CJ216" s="617"/>
    </row>
    <row r="217" spans="1:88">
      <c r="A217" s="151">
        <f t="shared" ca="1" si="45"/>
        <v>7</v>
      </c>
      <c r="B217" s="784">
        <f t="shared" si="46"/>
        <v>0</v>
      </c>
      <c r="C217" s="944">
        <f t="shared" si="53"/>
        <v>0</v>
      </c>
      <c r="D217" s="947">
        <f t="shared" si="47"/>
        <v>0</v>
      </c>
      <c r="E217" s="947">
        <f t="shared" si="60"/>
        <v>0</v>
      </c>
      <c r="F217" s="947">
        <f t="shared" si="61"/>
        <v>0</v>
      </c>
      <c r="G217" s="947">
        <f>IF(M216&lt;0.01,0,IF($F$19=$U$4,$G$19,IF(AND($F$21=1,$F$19=$U$2),M216*Adm!$U$4,IF(AND($F$21=2,$F$19=$U$2),M216*Adm!$U$5,IF(AND($F$21=1,$F$19=$U$3),M216*Adm!$V$4,IF(AND($F$21=2,$F$19=$U$3),M216*Adm!$V$5,0))))))</f>
        <v>0</v>
      </c>
      <c r="H217" s="947">
        <f>IF(M216&lt;0.01,0,IF($F$20=$V$3,0,IF(OR($F$10=$T$16,$F$10=$T$17),0,IF($F$10=$T$13,0,$F$11*Adm!$AA$3))))</f>
        <v>0</v>
      </c>
      <c r="I217" s="947">
        <f t="shared" si="54"/>
        <v>0</v>
      </c>
      <c r="J217" s="947">
        <f t="shared" si="42"/>
        <v>0</v>
      </c>
      <c r="K217" s="947">
        <f t="shared" si="48"/>
        <v>0</v>
      </c>
      <c r="L217" s="947">
        <f t="shared" si="43"/>
        <v>0</v>
      </c>
      <c r="M217" s="947">
        <f t="shared" si="49"/>
        <v>0</v>
      </c>
      <c r="N217" s="946"/>
      <c r="P217" s="733"/>
      <c r="Q217" s="733"/>
      <c r="R217" s="733"/>
      <c r="S217" s="785">
        <f t="shared" si="50"/>
        <v>8</v>
      </c>
      <c r="T217" s="786">
        <f t="shared" si="55"/>
        <v>0</v>
      </c>
      <c r="W217" s="790">
        <f t="shared" si="56"/>
        <v>0</v>
      </c>
      <c r="X217" s="818">
        <f t="shared" ca="1" si="51"/>
        <v>0</v>
      </c>
      <c r="Z217" s="843">
        <f t="shared" si="57"/>
        <v>0</v>
      </c>
      <c r="AA217" s="792">
        <f t="shared" si="58"/>
        <v>0</v>
      </c>
      <c r="AB217" s="792">
        <f t="shared" si="59"/>
        <v>0</v>
      </c>
      <c r="AC217" s="789">
        <f t="shared" si="52"/>
        <v>0</v>
      </c>
      <c r="AD217" s="789">
        <f t="shared" si="44"/>
        <v>0</v>
      </c>
      <c r="AE217" s="828" t="e">
        <f>HLOOKUP($AE$39,anticipado,177,0)</f>
        <v>#N/A</v>
      </c>
      <c r="AF217" s="827"/>
      <c r="AG217" s="614">
        <v>0.22486867357360951</v>
      </c>
      <c r="AH217" s="615">
        <v>0.21356704294516299</v>
      </c>
      <c r="AI217" s="616">
        <v>0.20089170327149361</v>
      </c>
      <c r="AJ217" s="616">
        <v>0.20437324410439744</v>
      </c>
      <c r="AK217" s="617">
        <v>0.22486867357360951</v>
      </c>
      <c r="AL217" s="617">
        <v>0.21356704294516299</v>
      </c>
      <c r="AM217" s="617">
        <v>0.20334361396608269</v>
      </c>
      <c r="AN217" s="617">
        <v>0.21870411655435312</v>
      </c>
      <c r="AO217" s="617">
        <v>0.24303169552679885</v>
      </c>
      <c r="AP217" s="617">
        <v>0.2139906589218272</v>
      </c>
      <c r="AQ217" s="617">
        <v>0.20334361396608269</v>
      </c>
      <c r="AR217" s="618">
        <v>0.20038560298134486</v>
      </c>
      <c r="AS217" s="618">
        <v>1.0925723481013533E-2</v>
      </c>
      <c r="AT217" s="618">
        <v>1.0852538869564721E-2</v>
      </c>
      <c r="AU217" s="618">
        <v>1.0547468593299072E-2</v>
      </c>
      <c r="AV217" s="618">
        <v>1.1202576802759018E-2</v>
      </c>
      <c r="AW217" s="618">
        <v>1.0925723481013533E-2</v>
      </c>
      <c r="AX217" s="618">
        <v>1.0685443778593257E-2</v>
      </c>
      <c r="AY217" s="618">
        <v>1.1270061342081377E-2</v>
      </c>
      <c r="AZ217" s="618">
        <v>1.126592642836725E-2</v>
      </c>
      <c r="BA217" s="618">
        <v>1.1034328080304714E-2</v>
      </c>
      <c r="BB217" s="618">
        <v>1.1448804307034745E-2</v>
      </c>
      <c r="BC217" s="617">
        <v>1.1312906438402642E-2</v>
      </c>
      <c r="BD217" s="617">
        <v>1.121203203274708E-2</v>
      </c>
      <c r="BE217" s="617">
        <v>0.20918260337267808</v>
      </c>
      <c r="BF217" s="617">
        <v>0.21434298717604183</v>
      </c>
      <c r="BG217" s="617">
        <v>1.1588759251850338E-2</v>
      </c>
      <c r="BH217" s="617">
        <v>1.1325351694575315E-2</v>
      </c>
      <c r="BI217" s="617"/>
      <c r="BJ217" s="617"/>
      <c r="BK217" s="617"/>
      <c r="BL217" s="617"/>
      <c r="BM217" s="617"/>
      <c r="BN217" s="617"/>
      <c r="BO217" s="617"/>
      <c r="BP217" s="617"/>
      <c r="BQ217" s="617"/>
      <c r="BR217" s="617"/>
      <c r="BS217" s="617"/>
      <c r="BT217" s="617"/>
      <c r="BU217" s="617"/>
      <c r="BV217" s="617"/>
      <c r="BW217" s="617"/>
      <c r="BX217" s="617"/>
      <c r="BY217" s="617"/>
      <c r="BZ217" s="617"/>
      <c r="CA217" s="617"/>
      <c r="CB217" s="617"/>
      <c r="CC217" s="617"/>
      <c r="CD217" s="617"/>
      <c r="CE217" s="617"/>
      <c r="CF217" s="617"/>
      <c r="CG217" s="617"/>
      <c r="CH217" s="617"/>
      <c r="CI217" s="617"/>
      <c r="CJ217" s="617"/>
    </row>
    <row r="218" spans="1:88">
      <c r="A218" s="151">
        <f t="shared" ca="1" si="45"/>
        <v>8</v>
      </c>
      <c r="B218" s="784">
        <f t="shared" si="46"/>
        <v>0</v>
      </c>
      <c r="C218" s="944">
        <f t="shared" si="53"/>
        <v>0</v>
      </c>
      <c r="D218" s="947">
        <f t="shared" si="47"/>
        <v>0</v>
      </c>
      <c r="E218" s="947">
        <f t="shared" si="60"/>
        <v>0</v>
      </c>
      <c r="F218" s="947">
        <f t="shared" si="61"/>
        <v>0</v>
      </c>
      <c r="G218" s="947">
        <f>IF(M217&lt;0.01,0,IF($F$19=$U$4,$G$19,IF(AND($F$21=1,$F$19=$U$2),M217*Adm!$U$4,IF(AND($F$21=2,$F$19=$U$2),M217*Adm!$U$5,IF(AND($F$21=1,$F$19=$U$3),M217*Adm!$V$4,IF(AND($F$21=2,$F$19=$U$3),M217*Adm!$V$5,0))))))</f>
        <v>0</v>
      </c>
      <c r="H218" s="947">
        <f>IF(M217&lt;0.01,0,IF($F$20=$V$3,0,IF(OR($F$10=$T$16,$F$10=$T$17),0,IF($F$10=$T$13,0,$F$11*Adm!$AA$3))))</f>
        <v>0</v>
      </c>
      <c r="I218" s="947">
        <f t="shared" si="54"/>
        <v>0</v>
      </c>
      <c r="J218" s="947">
        <f t="shared" si="42"/>
        <v>0</v>
      </c>
      <c r="K218" s="947">
        <f t="shared" si="48"/>
        <v>0</v>
      </c>
      <c r="L218" s="947">
        <f t="shared" si="43"/>
        <v>0</v>
      </c>
      <c r="M218" s="947">
        <f t="shared" si="49"/>
        <v>0</v>
      </c>
      <c r="N218" s="946"/>
      <c r="P218" s="733"/>
      <c r="Q218" s="733"/>
      <c r="R218" s="733"/>
      <c r="S218" s="785">
        <f t="shared" si="50"/>
        <v>9</v>
      </c>
      <c r="T218" s="786">
        <f t="shared" si="55"/>
        <v>0</v>
      </c>
      <c r="W218" s="790">
        <f t="shared" si="56"/>
        <v>0</v>
      </c>
      <c r="X218" s="818">
        <f t="shared" ca="1" si="51"/>
        <v>0</v>
      </c>
      <c r="Z218" s="843">
        <f t="shared" si="57"/>
        <v>0</v>
      </c>
      <c r="AA218" s="792">
        <f t="shared" si="58"/>
        <v>0</v>
      </c>
      <c r="AB218" s="792">
        <f t="shared" si="59"/>
        <v>0</v>
      </c>
      <c r="AC218" s="789">
        <f t="shared" si="52"/>
        <v>0</v>
      </c>
      <c r="AD218" s="789">
        <f t="shared" si="44"/>
        <v>0</v>
      </c>
      <c r="AE218" s="828" t="e">
        <f>HLOOKUP($AE$39,anticipado,178,0)</f>
        <v>#N/A</v>
      </c>
      <c r="AF218" s="827"/>
      <c r="AG218" s="614">
        <v>0.29260611479714266</v>
      </c>
      <c r="AH218" s="615">
        <v>0.27402865295339268</v>
      </c>
      <c r="AI218" s="616">
        <v>0.25376004755544057</v>
      </c>
      <c r="AJ218" s="616">
        <v>0.25900920228555818</v>
      </c>
      <c r="AK218" s="617">
        <v>0.29260611479714266</v>
      </c>
      <c r="AL218" s="617">
        <v>0.27402865295339268</v>
      </c>
      <c r="AM218" s="617">
        <v>0.25726702398883639</v>
      </c>
      <c r="AN218" s="617">
        <v>0.28224353964420429</v>
      </c>
      <c r="AO218" s="617">
        <v>0.323815034436159</v>
      </c>
      <c r="AP218" s="617">
        <v>0.27432541374169411</v>
      </c>
      <c r="AQ218" s="617">
        <v>0.25726702398883639</v>
      </c>
      <c r="AR218" s="618">
        <v>0.25266817991172635</v>
      </c>
      <c r="AS218" s="618">
        <v>1.1146659743700342E-2</v>
      </c>
      <c r="AT218" s="618">
        <v>1.1074833230874555E-2</v>
      </c>
      <c r="AU218" s="618">
        <v>1.0765525469726646E-2</v>
      </c>
      <c r="AV218" s="618">
        <v>1.1427213261890648E-2</v>
      </c>
      <c r="AW218" s="618">
        <v>1.1146659743700342E-2</v>
      </c>
      <c r="AX218" s="618">
        <v>1.0903373837260101E-2</v>
      </c>
      <c r="AY218" s="618">
        <v>1.1492941168838696E-2</v>
      </c>
      <c r="AZ218" s="618">
        <v>1.149209472387777E-2</v>
      </c>
      <c r="BA218" s="618">
        <v>1.1259161654912989E-2</v>
      </c>
      <c r="BB218" s="618">
        <v>1.1673083523384335E-2</v>
      </c>
      <c r="BC218" s="617">
        <v>1.1535226466758568E-2</v>
      </c>
      <c r="BD218" s="617">
        <v>1.1435550058594476E-2</v>
      </c>
      <c r="BE218" s="617">
        <v>0.26666139330783906</v>
      </c>
      <c r="BF218" s="617">
        <v>0.27530726158098839</v>
      </c>
      <c r="BG218" s="617">
        <v>1.1814033531535954E-2</v>
      </c>
      <c r="BH218" s="617">
        <v>1.1549493544409439E-2</v>
      </c>
      <c r="BI218" s="617"/>
      <c r="BJ218" s="617"/>
      <c r="BK218" s="617"/>
      <c r="BL218" s="617"/>
      <c r="BM218" s="617"/>
      <c r="BN218" s="617"/>
      <c r="BO218" s="617"/>
      <c r="BP218" s="617"/>
      <c r="BQ218" s="617"/>
      <c r="BR218" s="617"/>
      <c r="BS218" s="617"/>
      <c r="BT218" s="617"/>
      <c r="BU218" s="617"/>
      <c r="BV218" s="617"/>
      <c r="BW218" s="617"/>
      <c r="BX218" s="617"/>
      <c r="BY218" s="617"/>
      <c r="BZ218" s="617"/>
      <c r="CA218" s="617"/>
      <c r="CB218" s="617"/>
      <c r="CC218" s="617"/>
      <c r="CD218" s="617"/>
      <c r="CE218" s="617"/>
      <c r="CF218" s="617"/>
      <c r="CG218" s="617"/>
      <c r="CH218" s="617"/>
      <c r="CI218" s="617"/>
      <c r="CJ218" s="617"/>
    </row>
    <row r="219" spans="1:88">
      <c r="A219" s="151">
        <f t="shared" ca="1" si="45"/>
        <v>9</v>
      </c>
      <c r="B219" s="784">
        <f t="shared" si="46"/>
        <v>0</v>
      </c>
      <c r="C219" s="944">
        <f t="shared" si="53"/>
        <v>0</v>
      </c>
      <c r="D219" s="947">
        <f t="shared" si="47"/>
        <v>0</v>
      </c>
      <c r="E219" s="947">
        <f t="shared" si="60"/>
        <v>0</v>
      </c>
      <c r="F219" s="947">
        <f t="shared" si="61"/>
        <v>0</v>
      </c>
      <c r="G219" s="947">
        <f>IF(M218&lt;0.01,0,IF($F$19=$U$4,$G$19,IF(AND($F$21=1,$F$19=$U$2),M218*Adm!$U$4,IF(AND($F$21=2,$F$19=$U$2),M218*Adm!$U$5,IF(AND($F$21=1,$F$19=$U$3),M218*Adm!$V$4,IF(AND($F$21=2,$F$19=$U$3),M218*Adm!$V$5,0))))))</f>
        <v>0</v>
      </c>
      <c r="H219" s="947">
        <f>IF(M218&lt;0.01,0,IF($F$20=$V$3,0,IF(OR($F$10=$T$16,$F$10=$T$17),0,IF($F$10=$T$13,0,$F$11*Adm!$AA$3))))</f>
        <v>0</v>
      </c>
      <c r="I219" s="947">
        <f t="shared" si="54"/>
        <v>0</v>
      </c>
      <c r="J219" s="947">
        <f t="shared" si="42"/>
        <v>0</v>
      </c>
      <c r="K219" s="947">
        <f t="shared" si="48"/>
        <v>0</v>
      </c>
      <c r="L219" s="947">
        <f t="shared" si="43"/>
        <v>0</v>
      </c>
      <c r="M219" s="947">
        <f t="shared" si="49"/>
        <v>0</v>
      </c>
      <c r="N219" s="946"/>
      <c r="P219" s="733"/>
      <c r="Q219" s="733"/>
      <c r="R219" s="733"/>
      <c r="S219" s="785">
        <f t="shared" si="50"/>
        <v>10</v>
      </c>
      <c r="T219" s="786">
        <f t="shared" si="55"/>
        <v>0</v>
      </c>
      <c r="W219" s="790">
        <f t="shared" si="56"/>
        <v>0</v>
      </c>
      <c r="X219" s="818">
        <f t="shared" ca="1" si="51"/>
        <v>0</v>
      </c>
      <c r="Z219" s="843">
        <f t="shared" si="57"/>
        <v>0</v>
      </c>
      <c r="AA219" s="792">
        <f t="shared" si="58"/>
        <v>0</v>
      </c>
      <c r="AB219" s="792">
        <f t="shared" si="59"/>
        <v>0</v>
      </c>
      <c r="AC219" s="789">
        <f t="shared" si="52"/>
        <v>0</v>
      </c>
      <c r="AD219" s="789">
        <f t="shared" si="44"/>
        <v>0</v>
      </c>
      <c r="AE219" s="828" t="e">
        <f>HLOOKUP($AE$39,anticipado,179,0)</f>
        <v>#N/A</v>
      </c>
      <c r="AF219" s="827"/>
      <c r="AG219" s="614">
        <v>0.41720722883070227</v>
      </c>
      <c r="AH219" s="615">
        <v>0.38089032591143368</v>
      </c>
      <c r="AI219" s="616">
        <v>0.34325086164366775</v>
      </c>
      <c r="AJ219" s="616">
        <v>0.35245438229481452</v>
      </c>
      <c r="AK219" s="617">
        <v>0.41720722883070227</v>
      </c>
      <c r="AL219" s="617">
        <v>0.38089032591143368</v>
      </c>
      <c r="AM219" s="617">
        <v>0.34912105647263453</v>
      </c>
      <c r="AN219" s="617">
        <v>0.39648748939603912</v>
      </c>
      <c r="AO219" s="617">
        <v>0.48299572372588412</v>
      </c>
      <c r="AP219" s="617">
        <v>0.38091060408595195</v>
      </c>
      <c r="AQ219" s="617">
        <v>0.34912105647263453</v>
      </c>
      <c r="AR219" s="618">
        <v>0.34088015521370602</v>
      </c>
      <c r="AS219" s="618">
        <v>1.1374604527258931E-2</v>
      </c>
      <c r="AT219" s="618">
        <v>1.1304221319439388E-2</v>
      </c>
      <c r="AU219" s="618">
        <v>1.0990512527125306E-2</v>
      </c>
      <c r="AV219" s="618">
        <v>1.1659002888704683E-2</v>
      </c>
      <c r="AW219" s="618">
        <v>1.1374604527258931E-2</v>
      </c>
      <c r="AX219" s="618">
        <v>1.112819995147211E-2</v>
      </c>
      <c r="AY219" s="618">
        <v>1.1722871301721123E-2</v>
      </c>
      <c r="AZ219" s="618">
        <v>1.1725485594729145E-2</v>
      </c>
      <c r="BA219" s="618">
        <v>1.1491188831325976E-2</v>
      </c>
      <c r="BB219" s="618">
        <v>1.1904457157308946E-2</v>
      </c>
      <c r="BC219" s="617">
        <v>1.1764560929517725E-2</v>
      </c>
      <c r="BD219" s="617">
        <v>1.1666161204538663E-2</v>
      </c>
      <c r="BE219" s="617">
        <v>0.36657799343575909</v>
      </c>
      <c r="BF219" s="617">
        <v>0.38335853443463569</v>
      </c>
      <c r="BG219" s="617">
        <v>1.2046432494640987E-2</v>
      </c>
      <c r="BH219" s="617">
        <v>1.1780742226666516E-2</v>
      </c>
      <c r="BI219" s="617"/>
      <c r="BJ219" s="617"/>
      <c r="BK219" s="617"/>
      <c r="BL219" s="617"/>
      <c r="BM219" s="617"/>
      <c r="BN219" s="617"/>
      <c r="BO219" s="617"/>
      <c r="BP219" s="617"/>
      <c r="BQ219" s="617"/>
      <c r="BR219" s="617"/>
      <c r="BS219" s="617"/>
      <c r="BT219" s="617"/>
      <c r="BU219" s="617"/>
      <c r="BV219" s="617"/>
      <c r="BW219" s="617"/>
      <c r="BX219" s="617"/>
      <c r="BY219" s="617"/>
      <c r="BZ219" s="617"/>
      <c r="CA219" s="617"/>
      <c r="CB219" s="617"/>
      <c r="CC219" s="617"/>
      <c r="CD219" s="617"/>
      <c r="CE219" s="617"/>
      <c r="CF219" s="617"/>
      <c r="CG219" s="617"/>
      <c r="CH219" s="617"/>
      <c r="CI219" s="617"/>
      <c r="CJ219" s="617"/>
    </row>
    <row r="220" spans="1:88">
      <c r="A220" s="151">
        <f t="shared" ca="1" si="45"/>
        <v>10</v>
      </c>
      <c r="B220" s="784">
        <f t="shared" si="46"/>
        <v>0</v>
      </c>
      <c r="C220" s="944">
        <f t="shared" si="53"/>
        <v>0</v>
      </c>
      <c r="D220" s="947">
        <f t="shared" si="47"/>
        <v>0</v>
      </c>
      <c r="E220" s="947">
        <f t="shared" si="60"/>
        <v>0</v>
      </c>
      <c r="F220" s="947">
        <f t="shared" si="61"/>
        <v>0</v>
      </c>
      <c r="G220" s="947">
        <f>IF(M219&lt;0.01,0,IF($F$19=$U$4,$G$19,IF(AND($F$21=1,$F$19=$U$2),M219*Adm!$U$4,IF(AND($F$21=2,$F$19=$U$2),M219*Adm!$U$5,IF(AND($F$21=1,$F$19=$U$3),M219*Adm!$V$4,IF(AND($F$21=2,$F$19=$U$3),M219*Adm!$V$5,0))))))</f>
        <v>0</v>
      </c>
      <c r="H220" s="947">
        <f>IF(M219&lt;0.01,0,IF($F$20=$V$3,0,IF(OR($F$10=$T$16,$F$10=$T$17),0,IF($F$10=$T$13,0,$F$11*Adm!$AA$3))))</f>
        <v>0</v>
      </c>
      <c r="I220" s="947">
        <f t="shared" si="54"/>
        <v>0</v>
      </c>
      <c r="J220" s="947">
        <f t="shared" si="42"/>
        <v>0</v>
      </c>
      <c r="K220" s="947">
        <f t="shared" si="48"/>
        <v>0</v>
      </c>
      <c r="L220" s="947">
        <f t="shared" si="43"/>
        <v>0</v>
      </c>
      <c r="M220" s="947">
        <f t="shared" si="49"/>
        <v>0</v>
      </c>
      <c r="N220" s="946"/>
      <c r="P220" s="733"/>
      <c r="Q220" s="733"/>
      <c r="R220" s="733"/>
      <c r="S220" s="785">
        <f t="shared" si="50"/>
        <v>11</v>
      </c>
      <c r="T220" s="786">
        <f t="shared" si="55"/>
        <v>0</v>
      </c>
      <c r="W220" s="790">
        <f t="shared" si="56"/>
        <v>0</v>
      </c>
      <c r="X220" s="818">
        <f t="shared" ca="1" si="51"/>
        <v>0</v>
      </c>
      <c r="Z220" s="843">
        <f t="shared" si="57"/>
        <v>0</v>
      </c>
      <c r="AA220" s="792">
        <f t="shared" si="58"/>
        <v>0</v>
      </c>
      <c r="AB220" s="792">
        <f t="shared" si="59"/>
        <v>0</v>
      </c>
      <c r="AC220" s="789">
        <f t="shared" si="52"/>
        <v>0</v>
      </c>
      <c r="AD220" s="789">
        <f t="shared" si="44"/>
        <v>0</v>
      </c>
      <c r="AE220" s="828" t="e">
        <f>HLOOKUP($AE$39,anticipado,180,0)</f>
        <v>#N/A</v>
      </c>
      <c r="AF220" s="827"/>
      <c r="AG220" s="614">
        <v>0.72205020720328339</v>
      </c>
      <c r="AH220" s="615">
        <v>0.62080584701717556</v>
      </c>
      <c r="AI220" s="616">
        <v>0.52756868632384191</v>
      </c>
      <c r="AJ220" s="616">
        <v>0.54882398291392687</v>
      </c>
      <c r="AK220" s="617">
        <v>0.72205020720328339</v>
      </c>
      <c r="AL220" s="617">
        <v>0.62080584701717556</v>
      </c>
      <c r="AM220" s="617">
        <v>0.54063038142859854</v>
      </c>
      <c r="AN220" s="617">
        <v>0.66240835178898638</v>
      </c>
      <c r="AO220" s="617">
        <v>0.94223869971031982</v>
      </c>
      <c r="AP220" s="617">
        <v>0.6199670838739334</v>
      </c>
      <c r="AQ220" s="617">
        <v>0.54063038142859854</v>
      </c>
      <c r="AR220" s="618">
        <v>0.52143715372079746</v>
      </c>
      <c r="AS220" s="618">
        <v>1.1609886935845234E-2</v>
      </c>
      <c r="AT220" s="618">
        <v>1.154103764548701E-2</v>
      </c>
      <c r="AU220" s="618">
        <v>1.1222754007253807E-2</v>
      </c>
      <c r="AV220" s="618">
        <v>1.1898283915157206E-2</v>
      </c>
      <c r="AW220" s="618">
        <v>1.1609886935845234E-2</v>
      </c>
      <c r="AX220" s="618">
        <v>1.1360244184797473E-2</v>
      </c>
      <c r="AY220" s="618">
        <v>1.1960183443591245E-2</v>
      </c>
      <c r="AZ220" s="618">
        <v>1.1966441685689624E-2</v>
      </c>
      <c r="BA220" s="618">
        <v>1.17307504379202E-2</v>
      </c>
      <c r="BB220" s="618">
        <v>1.2143259691215123E-2</v>
      </c>
      <c r="BC220" s="617">
        <v>1.2001239259561139E-2</v>
      </c>
      <c r="BD220" s="617">
        <v>1.1904199889701553E-2</v>
      </c>
      <c r="BE220" s="617">
        <v>0.58342365908680027</v>
      </c>
      <c r="BF220" s="617">
        <v>0.62735561587998889</v>
      </c>
      <c r="BG220" s="617">
        <v>1.2286292536057657E-2</v>
      </c>
      <c r="BH220" s="617">
        <v>1.2019433019295631E-2</v>
      </c>
      <c r="BI220" s="617"/>
      <c r="BJ220" s="617"/>
      <c r="BK220" s="617"/>
      <c r="BL220" s="617"/>
      <c r="BM220" s="617"/>
      <c r="BN220" s="617"/>
      <c r="BO220" s="617"/>
      <c r="BP220" s="617"/>
      <c r="BQ220" s="617"/>
      <c r="BR220" s="617"/>
      <c r="BS220" s="617"/>
      <c r="BT220" s="617"/>
      <c r="BU220" s="617"/>
      <c r="BV220" s="617"/>
      <c r="BW220" s="617"/>
      <c r="BX220" s="617"/>
      <c r="BY220" s="617"/>
      <c r="BZ220" s="617"/>
      <c r="CA220" s="617"/>
      <c r="CB220" s="617"/>
      <c r="CC220" s="617"/>
      <c r="CD220" s="617"/>
      <c r="CE220" s="617"/>
      <c r="CF220" s="617"/>
      <c r="CG220" s="617"/>
      <c r="CH220" s="617"/>
      <c r="CI220" s="617"/>
      <c r="CJ220" s="617"/>
    </row>
    <row r="221" spans="1:88">
      <c r="A221" s="151">
        <f t="shared" ca="1" si="45"/>
        <v>11</v>
      </c>
      <c r="B221" s="784">
        <f t="shared" si="46"/>
        <v>0</v>
      </c>
      <c r="C221" s="944">
        <f t="shared" si="53"/>
        <v>0</v>
      </c>
      <c r="D221" s="947">
        <f t="shared" si="47"/>
        <v>0</v>
      </c>
      <c r="E221" s="947">
        <f t="shared" si="60"/>
        <v>0</v>
      </c>
      <c r="F221" s="947">
        <f t="shared" si="61"/>
        <v>0</v>
      </c>
      <c r="G221" s="947">
        <f>IF(M220&lt;0.01,0,IF($F$19=$U$4,$G$19,IF(AND($F$21=1,$F$19=$U$2),M220*Adm!$U$4,IF(AND($F$21=2,$F$19=$U$2),M220*Adm!$U$5,IF(AND($F$21=1,$F$19=$U$3),M220*Adm!$V$4,IF(AND($F$21=2,$F$19=$U$3),M220*Adm!$V$5,0))))))</f>
        <v>0</v>
      </c>
      <c r="H221" s="947">
        <f>IF(M220&lt;0.01,0,IF($F$20=$V$3,0,IF(OR($F$10=$T$16,$F$10=$T$17),0,IF($F$10=$T$13,0,$F$11*Adm!$AA$3))))</f>
        <v>0</v>
      </c>
      <c r="I221" s="947">
        <f t="shared" si="54"/>
        <v>0</v>
      </c>
      <c r="J221" s="947">
        <f t="shared" si="42"/>
        <v>0</v>
      </c>
      <c r="K221" s="947">
        <f t="shared" si="48"/>
        <v>0</v>
      </c>
      <c r="L221" s="947">
        <f t="shared" si="43"/>
        <v>0</v>
      </c>
      <c r="M221" s="947">
        <f t="shared" si="49"/>
        <v>0</v>
      </c>
      <c r="N221" s="946"/>
      <c r="P221" s="733"/>
      <c r="Q221" s="733"/>
      <c r="R221" s="733"/>
      <c r="S221" s="785">
        <f t="shared" si="50"/>
        <v>12</v>
      </c>
      <c r="T221" s="786">
        <f t="shared" si="55"/>
        <v>0</v>
      </c>
      <c r="W221" s="790">
        <f t="shared" si="56"/>
        <v>0</v>
      </c>
      <c r="X221" s="818">
        <f t="shared" ca="1" si="51"/>
        <v>0</v>
      </c>
      <c r="Z221" s="843">
        <f t="shared" si="57"/>
        <v>0</v>
      </c>
      <c r="AA221" s="792">
        <f t="shared" si="58"/>
        <v>0</v>
      </c>
      <c r="AB221" s="792">
        <f t="shared" si="59"/>
        <v>0</v>
      </c>
      <c r="AC221" s="789">
        <f t="shared" si="52"/>
        <v>0</v>
      </c>
      <c r="AD221" s="789">
        <f t="shared" si="44"/>
        <v>0</v>
      </c>
      <c r="AE221" s="828" t="e">
        <f>HLOOKUP($AE$39,anticipado,181,0)</f>
        <v>#N/A</v>
      </c>
      <c r="AF221" s="827"/>
      <c r="AG221" s="614">
        <v>1</v>
      </c>
      <c r="AH221" s="615">
        <v>1</v>
      </c>
      <c r="AI221" s="616">
        <v>1</v>
      </c>
      <c r="AJ221" s="616">
        <v>1</v>
      </c>
      <c r="AK221" s="617">
        <v>1</v>
      </c>
      <c r="AL221" s="617">
        <v>1</v>
      </c>
      <c r="AM221" s="617">
        <v>1</v>
      </c>
      <c r="AN221" s="617">
        <v>1</v>
      </c>
      <c r="AO221" s="617">
        <v>1</v>
      </c>
      <c r="AP221" s="617">
        <v>1</v>
      </c>
      <c r="AQ221" s="617">
        <v>1</v>
      </c>
      <c r="AR221" s="618">
        <v>1.0000000000000002</v>
      </c>
      <c r="AS221" s="618">
        <v>1.1852856989300551E-2</v>
      </c>
      <c r="AT221" s="618">
        <v>1.178563806727885E-2</v>
      </c>
      <c r="AU221" s="618">
        <v>1.1462594675200308E-2</v>
      </c>
      <c r="AV221" s="618">
        <v>1.214541622443148E-2</v>
      </c>
      <c r="AW221" s="618">
        <v>1.1852856989300551E-2</v>
      </c>
      <c r="AX221" s="618">
        <v>1.1599848952458202E-2</v>
      </c>
      <c r="AY221" s="618">
        <v>1.2205230424632228E-2</v>
      </c>
      <c r="AZ221" s="618">
        <v>1.2215327649480898E-2</v>
      </c>
      <c r="BA221" s="618">
        <v>1.1978209161782659E-2</v>
      </c>
      <c r="BB221" s="618">
        <v>1.2389846959602104E-2</v>
      </c>
      <c r="BC221" s="617">
        <v>1.2245611835738319E-2</v>
      </c>
      <c r="BD221" s="617">
        <v>1.2150021877862334E-2</v>
      </c>
      <c r="BE221" s="617">
        <v>1</v>
      </c>
      <c r="BF221" s="617">
        <v>1</v>
      </c>
      <c r="BG221" s="617">
        <v>1.2533971557843386E-2</v>
      </c>
      <c r="BH221" s="617">
        <v>1.2265922615054502E-2</v>
      </c>
      <c r="BI221" s="617"/>
      <c r="BJ221" s="617"/>
      <c r="BK221" s="617"/>
      <c r="BL221" s="617"/>
      <c r="BM221" s="617"/>
      <c r="BN221" s="617"/>
      <c r="BO221" s="617"/>
      <c r="BP221" s="617"/>
      <c r="BQ221" s="617"/>
      <c r="BR221" s="617"/>
      <c r="BS221" s="617"/>
      <c r="BT221" s="617"/>
      <c r="BU221" s="617"/>
      <c r="BV221" s="617"/>
      <c r="BW221" s="617"/>
      <c r="BX221" s="617"/>
      <c r="BY221" s="617"/>
      <c r="BZ221" s="617"/>
      <c r="CA221" s="617"/>
      <c r="CB221" s="617"/>
      <c r="CC221" s="617"/>
      <c r="CD221" s="617"/>
      <c r="CE221" s="617"/>
      <c r="CF221" s="617"/>
      <c r="CG221" s="617"/>
      <c r="CH221" s="617"/>
      <c r="CI221" s="617"/>
      <c r="CJ221" s="617"/>
    </row>
    <row r="222" spans="1:88">
      <c r="A222" s="151">
        <f t="shared" ca="1" si="45"/>
        <v>12</v>
      </c>
      <c r="B222" s="784">
        <f t="shared" si="46"/>
        <v>0</v>
      </c>
      <c r="C222" s="944">
        <f t="shared" si="53"/>
        <v>0</v>
      </c>
      <c r="D222" s="947">
        <f t="shared" si="47"/>
        <v>0</v>
      </c>
      <c r="E222" s="947">
        <f t="shared" si="60"/>
        <v>0</v>
      </c>
      <c r="F222" s="947">
        <f t="shared" si="61"/>
        <v>0</v>
      </c>
      <c r="G222" s="947">
        <f>IF(M221&lt;0.01,0,IF($F$19=$U$4,$G$19,IF(AND($F$21=1,$F$19=$U$2),M221*Adm!$U$4,IF(AND($F$21=2,$F$19=$U$2),M221*Adm!$U$5,IF(AND($F$21=1,$F$19=$U$3),M221*Adm!$V$4,IF(AND($F$21=2,$F$19=$U$3),M221*Adm!$V$5,0))))))</f>
        <v>0</v>
      </c>
      <c r="H222" s="947">
        <f>IF(M221&lt;0.01,0,IF($F$20=$V$3,0,IF(OR($F$10=$T$16,$F$10=$T$17),0,IF($F$10=$T$13,0,$F$11*Adm!$AA$3))))</f>
        <v>0</v>
      </c>
      <c r="I222" s="947">
        <f t="shared" si="54"/>
        <v>0</v>
      </c>
      <c r="J222" s="947">
        <f t="shared" si="42"/>
        <v>0</v>
      </c>
      <c r="K222" s="947">
        <f t="shared" si="48"/>
        <v>0</v>
      </c>
      <c r="L222" s="947">
        <f t="shared" si="43"/>
        <v>0</v>
      </c>
      <c r="M222" s="947">
        <f t="shared" si="49"/>
        <v>0</v>
      </c>
      <c r="N222" s="946"/>
      <c r="P222" s="733"/>
      <c r="Q222" s="733"/>
      <c r="R222" s="733"/>
      <c r="S222" s="785">
        <f t="shared" si="50"/>
        <v>1</v>
      </c>
      <c r="T222" s="786">
        <f t="shared" si="55"/>
        <v>0</v>
      </c>
      <c r="W222" s="790">
        <f t="shared" si="56"/>
        <v>0</v>
      </c>
      <c r="X222" s="818">
        <f t="shared" ca="1" si="51"/>
        <v>0</v>
      </c>
      <c r="Z222" s="843">
        <f t="shared" si="57"/>
        <v>0</v>
      </c>
      <c r="AA222" s="792">
        <f t="shared" si="58"/>
        <v>0</v>
      </c>
      <c r="AB222" s="792">
        <f t="shared" si="59"/>
        <v>0</v>
      </c>
      <c r="AC222" s="789">
        <f t="shared" si="52"/>
        <v>0</v>
      </c>
      <c r="AD222" s="789">
        <f t="shared" si="44"/>
        <v>0</v>
      </c>
      <c r="AE222" s="828" t="e">
        <f>HLOOKUP($AE$39,anticipado,182,0)</f>
        <v>#N/A</v>
      </c>
      <c r="AF222" s="827"/>
      <c r="AG222" s="618"/>
      <c r="AH222" s="618"/>
      <c r="AI222" s="618"/>
      <c r="AJ222" s="618"/>
      <c r="AK222" s="618"/>
      <c r="AL222" s="618"/>
      <c r="AM222" s="618"/>
      <c r="AN222" s="618"/>
      <c r="AO222" s="618"/>
      <c r="AP222" s="618"/>
      <c r="AQ222" s="618"/>
      <c r="AR222" s="618"/>
      <c r="AS222" s="618">
        <v>1.2315676184917822E-2</v>
      </c>
      <c r="AT222" s="618">
        <v>1.2252868870562228E-2</v>
      </c>
      <c r="AU222" s="618">
        <v>1.1926588817667118E-2</v>
      </c>
      <c r="AV222" s="618">
        <v>1.2611040942886216E-2</v>
      </c>
      <c r="AW222" s="618">
        <v>1.2315676184917822E-2</v>
      </c>
      <c r="AX222" s="618">
        <v>1.2060769108195406E-2</v>
      </c>
      <c r="AY222" s="618">
        <v>1.2665805124284635E-2</v>
      </c>
      <c r="AZ222" s="618">
        <v>1.2683090595532904E-2</v>
      </c>
      <c r="BA222" s="618">
        <v>1.2447457509844049E-2</v>
      </c>
      <c r="BB222" s="618">
        <v>1.2850210526112174E-2</v>
      </c>
      <c r="BC222" s="618">
        <v>1.270419885806231E-2</v>
      </c>
      <c r="BD222" s="618">
        <v>1.2613046068278861E-2</v>
      </c>
      <c r="BE222" s="618"/>
      <c r="BF222" s="618"/>
      <c r="BG222" s="618">
        <v>1.299399922323707E-2</v>
      </c>
      <c r="BH222" s="618">
        <v>1.2728213434438846E-2</v>
      </c>
      <c r="BI222" s="618"/>
      <c r="BJ222" s="618"/>
      <c r="BK222" s="618"/>
      <c r="BL222" s="618"/>
      <c r="BM222" s="618"/>
      <c r="BN222" s="618"/>
      <c r="BO222" s="618"/>
      <c r="BP222" s="618"/>
      <c r="BQ222" s="618"/>
      <c r="BR222" s="618"/>
      <c r="BS222" s="618"/>
      <c r="BT222" s="618"/>
      <c r="BU222" s="618"/>
      <c r="BV222" s="618"/>
      <c r="BW222" s="618"/>
      <c r="BX222" s="618"/>
      <c r="BY222" s="618"/>
      <c r="BZ222" s="618"/>
      <c r="CA222" s="618"/>
      <c r="CB222" s="618"/>
      <c r="CC222" s="618"/>
      <c r="CD222" s="618"/>
      <c r="CE222" s="618"/>
      <c r="CF222" s="618"/>
      <c r="CG222" s="618"/>
      <c r="CH222" s="618"/>
      <c r="CI222" s="618"/>
      <c r="CJ222" s="618"/>
    </row>
    <row r="223" spans="1:88">
      <c r="A223" s="151">
        <f t="shared" ca="1" si="45"/>
        <v>1</v>
      </c>
      <c r="B223" s="784">
        <f t="shared" si="46"/>
        <v>0</v>
      </c>
      <c r="C223" s="944">
        <f t="shared" si="53"/>
        <v>0</v>
      </c>
      <c r="D223" s="947">
        <f t="shared" si="47"/>
        <v>0</v>
      </c>
      <c r="E223" s="947">
        <f t="shared" si="60"/>
        <v>0</v>
      </c>
      <c r="F223" s="947">
        <f t="shared" si="61"/>
        <v>0</v>
      </c>
      <c r="G223" s="947">
        <f>IF(M222&lt;0.01,0,IF($F$19=$U$4,$G$19,IF(AND($F$21=1,$F$19=$U$2),M222*Adm!$U$4,IF(AND($F$21=2,$F$19=$U$2),M222*Adm!$U$5,IF(AND($F$21=1,$F$19=$U$3),M222*Adm!$V$4,IF(AND($F$21=2,$F$19=$U$3),M222*Adm!$V$5,0))))))</f>
        <v>0</v>
      </c>
      <c r="H223" s="947">
        <f>IF(M222&lt;0.01,0,IF($F$20=$V$3,0,IF(OR($F$10=$T$16,$F$10=$T$17),0,IF($F$10=$T$13,0,$F$11*Adm!$AA$3))))</f>
        <v>0</v>
      </c>
      <c r="I223" s="947">
        <f t="shared" si="54"/>
        <v>0</v>
      </c>
      <c r="J223" s="947">
        <f t="shared" si="42"/>
        <v>0</v>
      </c>
      <c r="K223" s="947">
        <f t="shared" si="48"/>
        <v>0</v>
      </c>
      <c r="L223" s="947">
        <f t="shared" si="43"/>
        <v>0</v>
      </c>
      <c r="M223" s="947">
        <f t="shared" si="49"/>
        <v>0</v>
      </c>
      <c r="N223" s="946"/>
      <c r="P223" s="733"/>
      <c r="Q223" s="733"/>
      <c r="R223" s="733"/>
      <c r="S223" s="785">
        <f t="shared" si="50"/>
        <v>2</v>
      </c>
      <c r="T223" s="786">
        <f t="shared" si="55"/>
        <v>0</v>
      </c>
      <c r="W223" s="790">
        <f t="shared" si="56"/>
        <v>0</v>
      </c>
      <c r="X223" s="818">
        <f t="shared" ca="1" si="51"/>
        <v>0</v>
      </c>
      <c r="Z223" s="843">
        <f t="shared" si="57"/>
        <v>0</v>
      </c>
      <c r="AA223" s="792">
        <f t="shared" si="58"/>
        <v>0</v>
      </c>
      <c r="AB223" s="792">
        <f t="shared" si="59"/>
        <v>0</v>
      </c>
      <c r="AC223" s="789">
        <f t="shared" si="52"/>
        <v>0</v>
      </c>
      <c r="AD223" s="789">
        <f t="shared" si="44"/>
        <v>0</v>
      </c>
      <c r="AE223" s="828" t="e">
        <f>HLOOKUP($AE$39,anticipado,183,0)</f>
        <v>#N/A</v>
      </c>
      <c r="AF223" s="827"/>
      <c r="AG223" s="618"/>
      <c r="AH223" s="618"/>
      <c r="AI223" s="618"/>
      <c r="AJ223" s="618"/>
      <c r="AK223" s="618"/>
      <c r="AL223" s="618"/>
      <c r="AM223" s="618"/>
      <c r="AN223" s="618"/>
      <c r="AO223" s="618"/>
      <c r="AP223" s="618"/>
      <c r="AQ223" s="618"/>
      <c r="AR223" s="618"/>
      <c r="AS223" s="618">
        <v>1.2582401731651521E-2</v>
      </c>
      <c r="AT223" s="618">
        <v>1.2521573138910324E-2</v>
      </c>
      <c r="AU223" s="618">
        <v>1.2190148321863405E-2</v>
      </c>
      <c r="AV223" s="618">
        <v>1.2882270005495222E-2</v>
      </c>
      <c r="AW223" s="618">
        <v>1.2582401731651521E-2</v>
      </c>
      <c r="AX223" s="618">
        <v>1.2323881396352218E-2</v>
      </c>
      <c r="AY223" s="618">
        <v>1.2934546657397693E-2</v>
      </c>
      <c r="AZ223" s="618">
        <v>1.2956279455931852E-2</v>
      </c>
      <c r="BA223" s="618">
        <v>1.2719259270130432E-2</v>
      </c>
      <c r="BB223" s="618">
        <v>1.3120543100502277E-2</v>
      </c>
      <c r="BC223" s="618">
        <v>1.2972114933181018E-2</v>
      </c>
      <c r="BD223" s="618">
        <v>1.2882747649447726E-2</v>
      </c>
      <c r="BE223" s="618"/>
      <c r="BF223" s="618"/>
      <c r="BG223" s="618">
        <v>1.3265449710549014E-2</v>
      </c>
      <c r="BH223" s="618">
        <v>1.2998563618910303E-2</v>
      </c>
      <c r="BI223" s="618"/>
      <c r="BJ223" s="618"/>
      <c r="BK223" s="618"/>
      <c r="BL223" s="618"/>
      <c r="BM223" s="618"/>
      <c r="BN223" s="618"/>
      <c r="BO223" s="618"/>
      <c r="BP223" s="618"/>
      <c r="BQ223" s="618"/>
      <c r="BR223" s="618"/>
      <c r="BS223" s="618"/>
      <c r="BT223" s="618"/>
      <c r="BU223" s="618"/>
      <c r="BV223" s="618"/>
      <c r="BW223" s="618"/>
      <c r="BX223" s="618"/>
      <c r="BY223" s="618"/>
      <c r="BZ223" s="618"/>
      <c r="CA223" s="618"/>
      <c r="CB223" s="618"/>
      <c r="CC223" s="618"/>
      <c r="CD223" s="618"/>
      <c r="CE223" s="618"/>
      <c r="CF223" s="618"/>
      <c r="CG223" s="618"/>
      <c r="CH223" s="618"/>
      <c r="CI223" s="618"/>
      <c r="CJ223" s="618"/>
    </row>
    <row r="224" spans="1:88">
      <c r="A224" s="151">
        <f t="shared" ca="1" si="45"/>
        <v>2</v>
      </c>
      <c r="B224" s="784">
        <f t="shared" si="46"/>
        <v>0</v>
      </c>
      <c r="C224" s="944">
        <f t="shared" si="53"/>
        <v>0</v>
      </c>
      <c r="D224" s="947">
        <f t="shared" si="47"/>
        <v>0</v>
      </c>
      <c r="E224" s="947">
        <f t="shared" si="60"/>
        <v>0</v>
      </c>
      <c r="F224" s="947">
        <f t="shared" si="61"/>
        <v>0</v>
      </c>
      <c r="G224" s="947">
        <f>IF(M223&lt;0.01,0,IF($F$19=$U$4,$G$19,IF(AND($F$21=1,$F$19=$U$2),M223*Adm!$U$4,IF(AND($F$21=2,$F$19=$U$2),M223*Adm!$U$5,IF(AND($F$21=1,$F$19=$U$3),M223*Adm!$V$4,IF(AND($F$21=2,$F$19=$U$3),M223*Adm!$V$5,0))))))</f>
        <v>0</v>
      </c>
      <c r="H224" s="947">
        <f>IF(M223&lt;0.01,0,IF($F$20=$V$3,0,IF(OR($F$10=$T$16,$F$10=$T$17),0,IF($F$10=$T$13,0,$F$11*Adm!$AA$3))))</f>
        <v>0</v>
      </c>
      <c r="I224" s="947">
        <f t="shared" si="54"/>
        <v>0</v>
      </c>
      <c r="J224" s="947">
        <f t="shared" si="42"/>
        <v>0</v>
      </c>
      <c r="K224" s="947">
        <f t="shared" si="48"/>
        <v>0</v>
      </c>
      <c r="L224" s="947">
        <f t="shared" si="43"/>
        <v>0</v>
      </c>
      <c r="M224" s="947">
        <f t="shared" si="49"/>
        <v>0</v>
      </c>
      <c r="N224" s="946"/>
      <c r="P224" s="733"/>
      <c r="Q224" s="733"/>
      <c r="R224" s="733"/>
      <c r="S224" s="785">
        <f t="shared" si="50"/>
        <v>3</v>
      </c>
      <c r="T224" s="786">
        <f t="shared" si="55"/>
        <v>0</v>
      </c>
      <c r="W224" s="790">
        <f t="shared" si="56"/>
        <v>0</v>
      </c>
      <c r="X224" s="818">
        <f t="shared" ca="1" si="51"/>
        <v>0</v>
      </c>
      <c r="Z224" s="843">
        <f t="shared" si="57"/>
        <v>0</v>
      </c>
      <c r="AA224" s="792">
        <f t="shared" si="58"/>
        <v>0</v>
      </c>
      <c r="AB224" s="792">
        <f t="shared" si="59"/>
        <v>0</v>
      </c>
      <c r="AC224" s="789">
        <f t="shared" si="52"/>
        <v>0</v>
      </c>
      <c r="AD224" s="789">
        <f t="shared" si="44"/>
        <v>0</v>
      </c>
      <c r="AE224" s="828" t="e">
        <f>HLOOKUP($AE$39,anticipado,184,0)</f>
        <v>#N/A</v>
      </c>
      <c r="AF224" s="827"/>
      <c r="AG224" s="618"/>
      <c r="AH224" s="618"/>
      <c r="AI224" s="618"/>
      <c r="AJ224" s="618"/>
      <c r="AK224" s="618"/>
      <c r="AL224" s="618"/>
      <c r="AM224" s="618"/>
      <c r="AN224" s="618"/>
      <c r="AO224" s="618"/>
      <c r="AP224" s="618"/>
      <c r="AQ224" s="618"/>
      <c r="AR224" s="618"/>
      <c r="AS224" s="618">
        <v>1.2858376283380494E-2</v>
      </c>
      <c r="AT224" s="618">
        <v>1.2799652052182918E-2</v>
      </c>
      <c r="AU224" s="618">
        <v>1.2462856443378075E-2</v>
      </c>
      <c r="AV224" s="618">
        <v>1.3162948237557186E-2</v>
      </c>
      <c r="AW224" s="618">
        <v>1.2858376283380494E-2</v>
      </c>
      <c r="AX224" s="618">
        <v>1.2596088268484717E-2</v>
      </c>
      <c r="AY224" s="618">
        <v>1.3212586637200244E-2</v>
      </c>
      <c r="AZ224" s="618">
        <v>1.3239015911128037E-2</v>
      </c>
      <c r="BA224" s="618">
        <v>1.300057419093823E-2</v>
      </c>
      <c r="BB224" s="618">
        <v>1.3400232393388792E-2</v>
      </c>
      <c r="BC224" s="618">
        <v>1.3249276402327814E-2</v>
      </c>
      <c r="BD224" s="618">
        <v>1.3161811298030205E-2</v>
      </c>
      <c r="BE224" s="618"/>
      <c r="BF224" s="618"/>
      <c r="BG224" s="618">
        <v>1.3546296479302325E-2</v>
      </c>
      <c r="BH224" s="618">
        <v>1.3278292172963564E-2</v>
      </c>
      <c r="BI224" s="618"/>
      <c r="BJ224" s="618"/>
      <c r="BK224" s="618"/>
      <c r="BL224" s="618"/>
      <c r="BM224" s="618"/>
      <c r="BN224" s="618"/>
      <c r="BO224" s="618"/>
      <c r="BP224" s="618"/>
      <c r="BQ224" s="618"/>
      <c r="BR224" s="618"/>
      <c r="BS224" s="618"/>
      <c r="BT224" s="618"/>
      <c r="BU224" s="618"/>
      <c r="BV224" s="618"/>
      <c r="BW224" s="618"/>
      <c r="BX224" s="618"/>
      <c r="BY224" s="618"/>
      <c r="BZ224" s="618"/>
      <c r="CA224" s="618"/>
      <c r="CB224" s="618"/>
      <c r="CC224" s="618"/>
      <c r="CD224" s="618"/>
      <c r="CE224" s="618"/>
      <c r="CF224" s="618"/>
      <c r="CG224" s="618"/>
      <c r="CH224" s="618"/>
      <c r="CI224" s="618"/>
      <c r="CJ224" s="618"/>
    </row>
    <row r="225" spans="1:88">
      <c r="A225" s="151">
        <f t="shared" ca="1" si="45"/>
        <v>3</v>
      </c>
      <c r="B225" s="784">
        <f t="shared" si="46"/>
        <v>0</v>
      </c>
      <c r="C225" s="944">
        <f t="shared" si="53"/>
        <v>0</v>
      </c>
      <c r="D225" s="947">
        <f t="shared" si="47"/>
        <v>0</v>
      </c>
      <c r="E225" s="947">
        <f t="shared" si="60"/>
        <v>0</v>
      </c>
      <c r="F225" s="947">
        <f t="shared" si="61"/>
        <v>0</v>
      </c>
      <c r="G225" s="947">
        <f>IF(M224&lt;0.01,0,IF($F$19=$U$4,$G$19,IF(AND($F$21=1,$F$19=$U$2),M224*Adm!$U$4,IF(AND($F$21=2,$F$19=$U$2),M224*Adm!$U$5,IF(AND($F$21=1,$F$19=$U$3),M224*Adm!$V$4,IF(AND($F$21=2,$F$19=$U$3),M224*Adm!$V$5,0))))))</f>
        <v>0</v>
      </c>
      <c r="H225" s="947">
        <f>IF(M224&lt;0.01,0,IF($F$20=$V$3,0,IF(OR($F$10=$T$16,$F$10=$T$17),0,IF($F$10=$T$13,0,$F$11*Adm!$AA$3))))</f>
        <v>0</v>
      </c>
      <c r="I225" s="947">
        <f t="shared" si="54"/>
        <v>0</v>
      </c>
      <c r="J225" s="947">
        <f t="shared" si="42"/>
        <v>0</v>
      </c>
      <c r="K225" s="947">
        <f t="shared" si="48"/>
        <v>0</v>
      </c>
      <c r="L225" s="947">
        <f t="shared" si="43"/>
        <v>0</v>
      </c>
      <c r="M225" s="947">
        <f t="shared" si="49"/>
        <v>0</v>
      </c>
      <c r="N225" s="946"/>
      <c r="P225" s="733"/>
      <c r="Q225" s="733"/>
      <c r="R225" s="733"/>
      <c r="S225" s="785">
        <f t="shared" si="50"/>
        <v>4</v>
      </c>
      <c r="T225" s="786">
        <f t="shared" si="55"/>
        <v>0</v>
      </c>
      <c r="W225" s="790">
        <f t="shared" si="56"/>
        <v>0</v>
      </c>
      <c r="X225" s="818">
        <f t="shared" ca="1" si="51"/>
        <v>0</v>
      </c>
      <c r="Z225" s="843">
        <f t="shared" si="57"/>
        <v>0</v>
      </c>
      <c r="AA225" s="792">
        <f t="shared" si="58"/>
        <v>0</v>
      </c>
      <c r="AB225" s="792">
        <f t="shared" si="59"/>
        <v>0</v>
      </c>
      <c r="AC225" s="789">
        <f t="shared" si="52"/>
        <v>0</v>
      </c>
      <c r="AD225" s="789">
        <f t="shared" si="44"/>
        <v>0</v>
      </c>
      <c r="AE225" s="828" t="e">
        <f>HLOOKUP($AE$39,anticipado,185,0)</f>
        <v>#N/A</v>
      </c>
      <c r="AF225" s="827"/>
      <c r="AG225" s="618"/>
      <c r="AH225" s="618"/>
      <c r="AI225" s="618"/>
      <c r="AJ225" s="618"/>
      <c r="AK225" s="618"/>
      <c r="AL225" s="618"/>
      <c r="AM225" s="618"/>
      <c r="AN225" s="618"/>
      <c r="AO225" s="618"/>
      <c r="AP225" s="618"/>
      <c r="AQ225" s="618"/>
      <c r="AR225" s="618"/>
      <c r="AS225" s="618">
        <v>1.3144077543099273E-2</v>
      </c>
      <c r="AT225" s="618">
        <v>1.3087592069936637E-2</v>
      </c>
      <c r="AU225" s="618">
        <v>1.2745183977561334E-2</v>
      </c>
      <c r="AV225" s="618">
        <v>1.3453567275767537E-2</v>
      </c>
      <c r="AW225" s="618">
        <v>1.3144077543099273E-2</v>
      </c>
      <c r="AX225" s="618">
        <v>1.2877856760092107E-2</v>
      </c>
      <c r="AY225" s="618">
        <v>1.3500406182839887E-2</v>
      </c>
      <c r="AZ225" s="618">
        <v>1.3531798493256961E-2</v>
      </c>
      <c r="BA225" s="618">
        <v>1.3291898403647312E-2</v>
      </c>
      <c r="BB225" s="618">
        <v>1.3689763579884119E-2</v>
      </c>
      <c r="BC225" s="618">
        <v>1.3536160696960396E-2</v>
      </c>
      <c r="BD225" s="618">
        <v>1.3450722566303305E-2</v>
      </c>
      <c r="BE225" s="618"/>
      <c r="BF225" s="618"/>
      <c r="BG225" s="618">
        <v>1.3837027466409232E-2</v>
      </c>
      <c r="BH225" s="618">
        <v>1.3567885782545783E-2</v>
      </c>
      <c r="BI225" s="618"/>
      <c r="BJ225" s="618"/>
      <c r="BK225" s="618"/>
      <c r="BL225" s="618"/>
      <c r="BM225" s="618"/>
      <c r="BN225" s="618"/>
      <c r="BO225" s="618"/>
      <c r="BP225" s="618"/>
      <c r="BQ225" s="618"/>
      <c r="BR225" s="618"/>
      <c r="BS225" s="618"/>
      <c r="BT225" s="618"/>
      <c r="BU225" s="618"/>
      <c r="BV225" s="618"/>
      <c r="BW225" s="618"/>
      <c r="BX225" s="618"/>
      <c r="BY225" s="618"/>
      <c r="BZ225" s="618"/>
      <c r="CA225" s="618"/>
      <c r="CB225" s="618"/>
      <c r="CC225" s="618"/>
      <c r="CD225" s="618"/>
      <c r="CE225" s="618"/>
      <c r="CF225" s="618"/>
      <c r="CG225" s="618"/>
      <c r="CH225" s="618"/>
      <c r="CI225" s="618"/>
      <c r="CJ225" s="618"/>
    </row>
    <row r="226" spans="1:88">
      <c r="A226" s="151">
        <f t="shared" ca="1" si="45"/>
        <v>4</v>
      </c>
      <c r="B226" s="784">
        <f t="shared" si="46"/>
        <v>0</v>
      </c>
      <c r="C226" s="944">
        <f t="shared" si="53"/>
        <v>0</v>
      </c>
      <c r="D226" s="947">
        <f t="shared" si="47"/>
        <v>0</v>
      </c>
      <c r="E226" s="947">
        <f t="shared" si="60"/>
        <v>0</v>
      </c>
      <c r="F226" s="947">
        <f t="shared" si="61"/>
        <v>0</v>
      </c>
      <c r="G226" s="947">
        <f>IF(M225&lt;0.01,0,IF($F$19=$U$4,$G$19,IF(AND($F$21=1,$F$19=$U$2),M225*Adm!$U$4,IF(AND($F$21=2,$F$19=$U$2),M225*Adm!$U$5,IF(AND($F$21=1,$F$19=$U$3),M225*Adm!$V$4,IF(AND($F$21=2,$F$19=$U$3),M225*Adm!$V$5,0))))))</f>
        <v>0</v>
      </c>
      <c r="H226" s="947">
        <f>IF(M225&lt;0.01,0,IF($F$20=$V$3,0,IF(OR($F$10=$T$16,$F$10=$T$17),0,IF($F$10=$T$13,0,$F$11*Adm!$AA$3))))</f>
        <v>0</v>
      </c>
      <c r="I226" s="947">
        <f t="shared" si="54"/>
        <v>0</v>
      </c>
      <c r="J226" s="947">
        <f t="shared" si="42"/>
        <v>0</v>
      </c>
      <c r="K226" s="947">
        <f t="shared" si="48"/>
        <v>0</v>
      </c>
      <c r="L226" s="947">
        <f t="shared" si="43"/>
        <v>0</v>
      </c>
      <c r="M226" s="947">
        <f t="shared" si="49"/>
        <v>0</v>
      </c>
      <c r="N226" s="946"/>
      <c r="P226" s="733"/>
      <c r="Q226" s="733"/>
      <c r="R226" s="733"/>
      <c r="S226" s="785">
        <f t="shared" si="50"/>
        <v>5</v>
      </c>
      <c r="T226" s="786">
        <f t="shared" si="55"/>
        <v>0</v>
      </c>
      <c r="W226" s="790">
        <f t="shared" si="56"/>
        <v>0</v>
      </c>
      <c r="X226" s="818">
        <f t="shared" ca="1" si="51"/>
        <v>0</v>
      </c>
      <c r="Z226" s="843">
        <f t="shared" si="57"/>
        <v>0</v>
      </c>
      <c r="AA226" s="792">
        <f t="shared" si="58"/>
        <v>0</v>
      </c>
      <c r="AB226" s="792">
        <f t="shared" si="59"/>
        <v>0</v>
      </c>
      <c r="AC226" s="789">
        <f t="shared" si="52"/>
        <v>0</v>
      </c>
      <c r="AD226" s="789">
        <f t="shared" si="44"/>
        <v>0</v>
      </c>
      <c r="AE226" s="828" t="e">
        <f>HLOOKUP($AE$39,anticipado,186,0)</f>
        <v>#N/A</v>
      </c>
      <c r="AF226" s="827"/>
      <c r="AG226" s="618"/>
      <c r="AH226" s="618"/>
      <c r="AI226" s="618"/>
      <c r="AJ226" s="618"/>
      <c r="AK226" s="618"/>
      <c r="AL226" s="618"/>
      <c r="AM226" s="618"/>
      <c r="AN226" s="618"/>
      <c r="AO226" s="618"/>
      <c r="AP226" s="618"/>
      <c r="AQ226" s="618"/>
      <c r="AR226" s="618"/>
      <c r="AS226" s="618">
        <v>1.3440016668068537E-2</v>
      </c>
      <c r="AT226" s="618">
        <v>1.3385913878992853E-2</v>
      </c>
      <c r="AU226" s="618">
        <v>1.3037634559903855E-2</v>
      </c>
      <c r="AV226" s="618">
        <v>1.3754653449052729E-2</v>
      </c>
      <c r="AW226" s="618">
        <v>1.3440016668068537E-2</v>
      </c>
      <c r="AX226" s="618">
        <v>1.3169686419120748E-2</v>
      </c>
      <c r="AY226" s="618">
        <v>1.3798520174465133E-2</v>
      </c>
      <c r="AZ226" s="618">
        <v>1.3835161041661607E-2</v>
      </c>
      <c r="BA226" s="618">
        <v>1.3593763129197097E-2</v>
      </c>
      <c r="BB226" s="618">
        <v>1.3989655957513815E-2</v>
      </c>
      <c r="BC226" s="618">
        <v>1.3833278684523611E-2</v>
      </c>
      <c r="BD226" s="618">
        <v>1.3750001158992844E-2</v>
      </c>
      <c r="BE226" s="618"/>
      <c r="BF226" s="618"/>
      <c r="BG226" s="618">
        <v>1.4138164977965332E-2</v>
      </c>
      <c r="BH226" s="618">
        <v>1.386786538817136E-2</v>
      </c>
      <c r="BI226" s="618"/>
      <c r="BJ226" s="618"/>
      <c r="BK226" s="618"/>
      <c r="BL226" s="618"/>
      <c r="BM226" s="618"/>
      <c r="BN226" s="618"/>
      <c r="BO226" s="618"/>
      <c r="BP226" s="618"/>
      <c r="BQ226" s="618"/>
      <c r="BR226" s="618"/>
      <c r="BS226" s="618"/>
      <c r="BT226" s="618"/>
      <c r="BU226" s="618"/>
      <c r="BV226" s="618"/>
      <c r="BW226" s="618"/>
      <c r="BX226" s="618"/>
      <c r="BY226" s="618"/>
      <c r="BZ226" s="618"/>
      <c r="CA226" s="618"/>
      <c r="CB226" s="618"/>
      <c r="CC226" s="618"/>
      <c r="CD226" s="618"/>
      <c r="CE226" s="618"/>
      <c r="CF226" s="618"/>
      <c r="CG226" s="618"/>
      <c r="CH226" s="618"/>
      <c r="CI226" s="618"/>
      <c r="CJ226" s="618"/>
    </row>
    <row r="227" spans="1:88">
      <c r="A227" s="151">
        <f t="shared" ca="1" si="45"/>
        <v>5</v>
      </c>
      <c r="B227" s="784">
        <f t="shared" si="46"/>
        <v>0</v>
      </c>
      <c r="C227" s="944">
        <f t="shared" si="53"/>
        <v>0</v>
      </c>
      <c r="D227" s="947">
        <f t="shared" si="47"/>
        <v>0</v>
      </c>
      <c r="E227" s="947">
        <f t="shared" si="60"/>
        <v>0</v>
      </c>
      <c r="F227" s="947">
        <f t="shared" si="61"/>
        <v>0</v>
      </c>
      <c r="G227" s="947">
        <f>IF(M226&lt;0.01,0,IF($F$19=$U$4,$G$19,IF(AND($F$21=1,$F$19=$U$2),M226*Adm!$U$4,IF(AND($F$21=2,$F$19=$U$2),M226*Adm!$U$5,IF(AND($F$21=1,$F$19=$U$3),M226*Adm!$V$4,IF(AND($F$21=2,$F$19=$U$3),M226*Adm!$V$5,0))))))</f>
        <v>0</v>
      </c>
      <c r="H227" s="947">
        <f>IF(M226&lt;0.01,0,IF($F$20=$V$3,0,IF(OR($F$10=$T$16,$F$10=$T$17),0,IF($F$10=$T$13,0,$F$11*Adm!$AA$3))))</f>
        <v>0</v>
      </c>
      <c r="I227" s="947">
        <f t="shared" si="54"/>
        <v>0</v>
      </c>
      <c r="J227" s="947">
        <f t="shared" si="42"/>
        <v>0</v>
      </c>
      <c r="K227" s="947">
        <f t="shared" si="48"/>
        <v>0</v>
      </c>
      <c r="L227" s="947">
        <f t="shared" si="43"/>
        <v>0</v>
      </c>
      <c r="M227" s="947">
        <f t="shared" si="49"/>
        <v>0</v>
      </c>
      <c r="N227" s="946"/>
      <c r="P227" s="733"/>
      <c r="Q227" s="733"/>
      <c r="R227" s="733"/>
      <c r="S227" s="785">
        <f t="shared" si="50"/>
        <v>6</v>
      </c>
      <c r="T227" s="786">
        <f t="shared" si="55"/>
        <v>0</v>
      </c>
      <c r="W227" s="790">
        <f t="shared" si="56"/>
        <v>0</v>
      </c>
      <c r="X227" s="818">
        <f t="shared" ca="1" si="51"/>
        <v>0</v>
      </c>
      <c r="Z227" s="843">
        <f t="shared" si="57"/>
        <v>0</v>
      </c>
      <c r="AA227" s="792">
        <f t="shared" si="58"/>
        <v>0</v>
      </c>
      <c r="AB227" s="792">
        <f t="shared" si="59"/>
        <v>0</v>
      </c>
      <c r="AC227" s="789">
        <f t="shared" si="52"/>
        <v>0</v>
      </c>
      <c r="AD227" s="789">
        <f t="shared" si="44"/>
        <v>0</v>
      </c>
      <c r="AE227" s="828" t="e">
        <f>HLOOKUP($AE$39,anticipado,187,0)</f>
        <v>#N/A</v>
      </c>
      <c r="AF227" s="827"/>
      <c r="AG227" s="618"/>
      <c r="AH227" s="618"/>
      <c r="AI227" s="618"/>
      <c r="AJ227" s="618"/>
      <c r="AK227" s="618"/>
      <c r="AL227" s="618"/>
      <c r="AM227" s="618"/>
      <c r="AN227" s="618"/>
      <c r="AO227" s="618"/>
      <c r="AP227" s="618"/>
      <c r="AQ227" s="618"/>
      <c r="AR227" s="618"/>
      <c r="AS227" s="618">
        <v>1.374674125087464E-2</v>
      </c>
      <c r="AT227" s="618">
        <v>1.3695175457975869E-2</v>
      </c>
      <c r="AU227" s="618">
        <v>1.3340747580714853E-2</v>
      </c>
      <c r="AV227" s="618">
        <v>1.4066770893842843E-2</v>
      </c>
      <c r="AW227" s="618">
        <v>1.374674125087464E-2</v>
      </c>
      <c r="AX227" s="618">
        <v>1.347211218560318E-2</v>
      </c>
      <c r="AY227" s="618">
        <v>1.4107480267661142E-2</v>
      </c>
      <c r="AZ227" s="618">
        <v>1.4149675885161056E-2</v>
      </c>
      <c r="BA227" s="618">
        <v>1.3906737836440019E-2</v>
      </c>
      <c r="BB227" s="618">
        <v>1.4300465999881261E-2</v>
      </c>
      <c r="BC227" s="618">
        <v>1.4141177647842958E-2</v>
      </c>
      <c r="BD227" s="618">
        <v>1.4060203990002493E-2</v>
      </c>
      <c r="BE227" s="618"/>
      <c r="BF227" s="618"/>
      <c r="BG227" s="618">
        <v>1.4450268769765198E-2</v>
      </c>
      <c r="BH227" s="618">
        <v>1.4178789252804009E-2</v>
      </c>
      <c r="BI227" s="618"/>
      <c r="BJ227" s="618"/>
      <c r="BK227" s="618"/>
      <c r="BL227" s="618"/>
      <c r="BM227" s="618"/>
      <c r="BN227" s="618"/>
      <c r="BO227" s="618"/>
      <c r="BP227" s="618"/>
      <c r="BQ227" s="618"/>
      <c r="BR227" s="618"/>
      <c r="BS227" s="618"/>
      <c r="BT227" s="618"/>
      <c r="BU227" s="618"/>
      <c r="BV227" s="618"/>
      <c r="BW227" s="618"/>
      <c r="BX227" s="618"/>
      <c r="BY227" s="618"/>
      <c r="BZ227" s="618"/>
      <c r="CA227" s="618"/>
      <c r="CB227" s="618"/>
      <c r="CC227" s="618"/>
      <c r="CD227" s="618"/>
      <c r="CE227" s="618"/>
      <c r="CF227" s="618"/>
      <c r="CG227" s="618"/>
      <c r="CH227" s="618"/>
      <c r="CI227" s="618"/>
      <c r="CJ227" s="618"/>
    </row>
    <row r="228" spans="1:88">
      <c r="A228" s="151">
        <f t="shared" ca="1" si="45"/>
        <v>6</v>
      </c>
      <c r="B228" s="784">
        <f t="shared" si="46"/>
        <v>0</v>
      </c>
      <c r="C228" s="944">
        <f t="shared" si="53"/>
        <v>0</v>
      </c>
      <c r="D228" s="947">
        <f t="shared" si="47"/>
        <v>0</v>
      </c>
      <c r="E228" s="947">
        <f t="shared" si="60"/>
        <v>0</v>
      </c>
      <c r="F228" s="947">
        <f t="shared" si="61"/>
        <v>0</v>
      </c>
      <c r="G228" s="947">
        <f>IF(M227&lt;0.01,0,IF($F$19=$U$4,$G$19,IF(AND($F$21=1,$F$19=$U$2),M227*Adm!$U$4,IF(AND($F$21=2,$F$19=$U$2),M227*Adm!$U$5,IF(AND($F$21=1,$F$19=$U$3),M227*Adm!$V$4,IF(AND($F$21=2,$F$19=$U$3),M227*Adm!$V$5,0))))))</f>
        <v>0</v>
      </c>
      <c r="H228" s="947">
        <f>IF(M227&lt;0.01,0,IF($F$20=$V$3,0,IF(OR($F$10=$T$16,$F$10=$T$17),0,IF($F$10=$T$13,0,$F$11*Adm!$AA$3))))</f>
        <v>0</v>
      </c>
      <c r="I228" s="947">
        <f t="shared" si="54"/>
        <v>0</v>
      </c>
      <c r="J228" s="947">
        <f t="shared" si="42"/>
        <v>0</v>
      </c>
      <c r="K228" s="947">
        <f t="shared" si="48"/>
        <v>0</v>
      </c>
      <c r="L228" s="947">
        <f t="shared" si="43"/>
        <v>0</v>
      </c>
      <c r="M228" s="947">
        <f t="shared" si="49"/>
        <v>0</v>
      </c>
      <c r="N228" s="946"/>
      <c r="P228" s="733"/>
      <c r="Q228" s="733"/>
      <c r="R228" s="733"/>
      <c r="S228" s="785">
        <f t="shared" si="50"/>
        <v>7</v>
      </c>
      <c r="T228" s="786">
        <f t="shared" si="55"/>
        <v>0</v>
      </c>
      <c r="W228" s="790">
        <f t="shared" si="56"/>
        <v>0</v>
      </c>
      <c r="X228" s="818">
        <f t="shared" ca="1" si="51"/>
        <v>0</v>
      </c>
      <c r="Z228" s="843">
        <f t="shared" si="57"/>
        <v>0</v>
      </c>
      <c r="AA228" s="792">
        <f t="shared" si="58"/>
        <v>0</v>
      </c>
      <c r="AB228" s="792">
        <f t="shared" si="59"/>
        <v>0</v>
      </c>
      <c r="AC228" s="789">
        <f t="shared" si="52"/>
        <v>0</v>
      </c>
      <c r="AD228" s="789">
        <f t="shared" si="44"/>
        <v>0</v>
      </c>
      <c r="AE228" s="828" t="e">
        <f>HLOOKUP($AE$39,anticipado,188,0)</f>
        <v>#N/A</v>
      </c>
      <c r="AF228" s="827"/>
      <c r="AG228" s="618"/>
      <c r="AH228" s="618"/>
      <c r="AI228" s="618"/>
      <c r="AJ228" s="618"/>
      <c r="AK228" s="618"/>
      <c r="AL228" s="618"/>
      <c r="AM228" s="618"/>
      <c r="AN228" s="618"/>
      <c r="AO228" s="618"/>
      <c r="AP228" s="618"/>
      <c r="AQ228" s="618"/>
      <c r="AR228" s="618"/>
      <c r="AS228" s="618">
        <v>1.4064838625040061E-2</v>
      </c>
      <c r="AT228" s="618">
        <v>1.4015975477116797E-2</v>
      </c>
      <c r="AU228" s="618">
        <v>1.3655101415838193E-2</v>
      </c>
      <c r="AV228" s="618">
        <v>1.4390525011176571E-2</v>
      </c>
      <c r="AW228" s="618">
        <v>1.4064838625040061E-2</v>
      </c>
      <c r="AX228" s="618">
        <v>1.3785707582879335E-2</v>
      </c>
      <c r="AY228" s="618">
        <v>1.4427878236740637E-2</v>
      </c>
      <c r="AZ228" s="618">
        <v>1.4475957374823175E-2</v>
      </c>
      <c r="BA228" s="618">
        <v>1.4231433747884051E-2</v>
      </c>
      <c r="BB228" s="618">
        <v>1.4622790744241727E-2</v>
      </c>
      <c r="BC228" s="618">
        <v>1.44604445888828E-2</v>
      </c>
      <c r="BD228" s="618">
        <v>1.4381928573429579E-2</v>
      </c>
      <c r="BE228" s="618"/>
      <c r="BF228" s="618"/>
      <c r="BG228" s="618">
        <v>1.4773939465194966E-2</v>
      </c>
      <c r="BH228" s="618">
        <v>1.4501256365469409E-2</v>
      </c>
      <c r="BI228" s="618"/>
      <c r="BJ228" s="618"/>
      <c r="BK228" s="618"/>
      <c r="BL228" s="618"/>
      <c r="BM228" s="618"/>
      <c r="BN228" s="618"/>
      <c r="BO228" s="618"/>
      <c r="BP228" s="618"/>
      <c r="BQ228" s="618"/>
      <c r="BR228" s="618"/>
      <c r="BS228" s="618"/>
      <c r="BT228" s="618"/>
      <c r="BU228" s="618"/>
      <c r="BV228" s="618"/>
      <c r="BW228" s="618"/>
      <c r="BX228" s="618"/>
      <c r="BY228" s="618"/>
      <c r="BZ228" s="618"/>
      <c r="CA228" s="618"/>
      <c r="CB228" s="618"/>
      <c r="CC228" s="618"/>
      <c r="CD228" s="618"/>
      <c r="CE228" s="618"/>
      <c r="CF228" s="618"/>
      <c r="CG228" s="618"/>
      <c r="CH228" s="618"/>
      <c r="CI228" s="618"/>
      <c r="CJ228" s="618"/>
    </row>
    <row r="229" spans="1:88">
      <c r="A229" s="151">
        <f t="shared" ca="1" si="45"/>
        <v>7</v>
      </c>
      <c r="B229" s="784">
        <f t="shared" si="46"/>
        <v>0</v>
      </c>
      <c r="C229" s="944">
        <f t="shared" si="53"/>
        <v>0</v>
      </c>
      <c r="D229" s="947">
        <f t="shared" si="47"/>
        <v>0</v>
      </c>
      <c r="E229" s="947">
        <f t="shared" si="60"/>
        <v>0</v>
      </c>
      <c r="F229" s="947">
        <f t="shared" si="61"/>
        <v>0</v>
      </c>
      <c r="G229" s="947">
        <f>IF(M228&lt;0.01,0,IF($F$19=$U$4,$G$19,IF(AND($F$21=1,$F$19=$U$2),M228*Adm!$U$4,IF(AND($F$21=2,$F$19=$U$2),M228*Adm!$U$5,IF(AND($F$21=1,$F$19=$U$3),M228*Adm!$V$4,IF(AND($F$21=2,$F$19=$U$3),M228*Adm!$V$5,0))))))</f>
        <v>0</v>
      </c>
      <c r="H229" s="947">
        <f>IF(M228&lt;0.01,0,IF($F$20=$V$3,0,IF(OR($F$10=$T$16,$F$10=$T$17),0,IF($F$10=$T$13,0,$F$11*Adm!$AA$3))))</f>
        <v>0</v>
      </c>
      <c r="I229" s="947">
        <f t="shared" si="54"/>
        <v>0</v>
      </c>
      <c r="J229" s="947">
        <f t="shared" si="42"/>
        <v>0</v>
      </c>
      <c r="K229" s="947">
        <f t="shared" si="48"/>
        <v>0</v>
      </c>
      <c r="L229" s="947">
        <f t="shared" si="43"/>
        <v>0</v>
      </c>
      <c r="M229" s="947">
        <f t="shared" si="49"/>
        <v>0</v>
      </c>
      <c r="N229" s="946"/>
      <c r="P229" s="733"/>
      <c r="Q229" s="733"/>
      <c r="R229" s="733"/>
      <c r="S229" s="785">
        <f t="shared" si="50"/>
        <v>8</v>
      </c>
      <c r="T229" s="786">
        <f t="shared" si="55"/>
        <v>0</v>
      </c>
      <c r="W229" s="790">
        <f t="shared" si="56"/>
        <v>0</v>
      </c>
      <c r="X229" s="818">
        <f t="shared" ca="1" si="51"/>
        <v>0</v>
      </c>
      <c r="Z229" s="843">
        <f t="shared" si="57"/>
        <v>0</v>
      </c>
      <c r="AA229" s="792">
        <f t="shared" si="58"/>
        <v>0</v>
      </c>
      <c r="AB229" s="792">
        <f t="shared" si="59"/>
        <v>0</v>
      </c>
      <c r="AC229" s="789">
        <f t="shared" si="52"/>
        <v>0</v>
      </c>
      <c r="AD229" s="789">
        <f t="shared" si="44"/>
        <v>0</v>
      </c>
      <c r="AE229" s="828" t="e">
        <f>HLOOKUP($AE$39,anticipado,189,0)</f>
        <v>#N/A</v>
      </c>
      <c r="AF229" s="827"/>
      <c r="AG229" s="618"/>
      <c r="AH229" s="618"/>
      <c r="AI229" s="618"/>
      <c r="AJ229" s="618"/>
      <c r="AK229" s="618"/>
      <c r="AL229" s="618"/>
      <c r="AM229" s="618"/>
      <c r="AN229" s="618"/>
      <c r="AO229" s="618"/>
      <c r="AP229" s="618"/>
      <c r="AQ229" s="618"/>
      <c r="AR229" s="618"/>
      <c r="AS229" s="618">
        <v>1.4394939537169801E-2</v>
      </c>
      <c r="AT229" s="618">
        <v>1.4348957076909502E-2</v>
      </c>
      <c r="AU229" s="618">
        <v>1.3981317014121607E-2</v>
      </c>
      <c r="AV229" s="618">
        <v>1.4726566310213853E-2</v>
      </c>
      <c r="AW229" s="618">
        <v>1.4394939537169801E-2</v>
      </c>
      <c r="AX229" s="618">
        <v>1.4111088260454997E-2</v>
      </c>
      <c r="AY229" s="618">
        <v>1.4760349689520419E-2</v>
      </c>
      <c r="AZ229" s="618">
        <v>1.4814665813123436E-2</v>
      </c>
      <c r="BA229" s="618">
        <v>1.4568507738234482E-2</v>
      </c>
      <c r="BB229" s="618">
        <v>1.4957271556373964E-2</v>
      </c>
      <c r="BC229" s="618">
        <v>1.4791709898829417E-2</v>
      </c>
      <c r="BD229" s="618">
        <v>1.4715816792310411E-2</v>
      </c>
      <c r="BE229" s="618"/>
      <c r="BF229" s="618"/>
      <c r="BG229" s="618">
        <v>1.5109822354410994E-2</v>
      </c>
      <c r="BH229" s="618">
        <v>1.4835910224258547E-2</v>
      </c>
      <c r="BI229" s="618"/>
      <c r="BJ229" s="618"/>
      <c r="BK229" s="618"/>
      <c r="BL229" s="618"/>
      <c r="BM229" s="618"/>
      <c r="BN229" s="618"/>
      <c r="BO229" s="618"/>
      <c r="BP229" s="618"/>
      <c r="BQ229" s="618"/>
      <c r="BR229" s="618"/>
      <c r="BS229" s="618"/>
      <c r="BT229" s="618"/>
      <c r="BU229" s="618"/>
      <c r="BV229" s="618"/>
      <c r="BW229" s="618"/>
      <c r="BX229" s="618"/>
      <c r="BY229" s="618"/>
      <c r="BZ229" s="618"/>
      <c r="CA229" s="618"/>
      <c r="CB229" s="618"/>
      <c r="CC229" s="618"/>
      <c r="CD229" s="618"/>
      <c r="CE229" s="618"/>
      <c r="CF229" s="618"/>
      <c r="CG229" s="618"/>
      <c r="CH229" s="618"/>
      <c r="CI229" s="618"/>
      <c r="CJ229" s="618"/>
    </row>
    <row r="230" spans="1:88">
      <c r="A230" s="151">
        <f t="shared" ca="1" si="45"/>
        <v>8</v>
      </c>
      <c r="B230" s="784">
        <f t="shared" si="46"/>
        <v>0</v>
      </c>
      <c r="C230" s="944">
        <f t="shared" si="53"/>
        <v>0</v>
      </c>
      <c r="D230" s="947">
        <f t="shared" si="47"/>
        <v>0</v>
      </c>
      <c r="E230" s="947">
        <f t="shared" si="60"/>
        <v>0</v>
      </c>
      <c r="F230" s="947">
        <f t="shared" si="61"/>
        <v>0</v>
      </c>
      <c r="G230" s="947">
        <f>IF(M229&lt;0.01,0,IF($F$19=$U$4,$G$19,IF(AND($F$21=1,$F$19=$U$2),M229*Adm!$U$4,IF(AND($F$21=2,$F$19=$U$2),M229*Adm!$U$5,IF(AND($F$21=1,$F$19=$U$3),M229*Adm!$V$4,IF(AND($F$21=2,$F$19=$U$3),M229*Adm!$V$5,0))))))</f>
        <v>0</v>
      </c>
      <c r="H230" s="947">
        <f>IF(M229&lt;0.01,0,IF($F$20=$V$3,0,IF(OR($F$10=$T$16,$F$10=$T$17),0,IF($F$10=$T$13,0,$F$11*Adm!$AA$3))))</f>
        <v>0</v>
      </c>
      <c r="I230" s="947">
        <f t="shared" si="54"/>
        <v>0</v>
      </c>
      <c r="J230" s="947">
        <f t="shared" si="42"/>
        <v>0</v>
      </c>
      <c r="K230" s="947">
        <f t="shared" si="48"/>
        <v>0</v>
      </c>
      <c r="L230" s="947">
        <f t="shared" si="43"/>
        <v>0</v>
      </c>
      <c r="M230" s="947">
        <f t="shared" si="49"/>
        <v>0</v>
      </c>
      <c r="N230" s="946"/>
      <c r="P230" s="733"/>
      <c r="Q230" s="733"/>
      <c r="R230" s="733"/>
      <c r="S230" s="785">
        <f t="shared" si="50"/>
        <v>9</v>
      </c>
      <c r="T230" s="786">
        <f t="shared" si="55"/>
        <v>0</v>
      </c>
      <c r="W230" s="790">
        <f t="shared" si="56"/>
        <v>0</v>
      </c>
      <c r="X230" s="818">
        <f t="shared" ca="1" si="51"/>
        <v>0</v>
      </c>
      <c r="Z230" s="843">
        <f t="shared" si="57"/>
        <v>0</v>
      </c>
      <c r="AA230" s="792">
        <f t="shared" si="58"/>
        <v>0</v>
      </c>
      <c r="AB230" s="792">
        <f t="shared" si="59"/>
        <v>0</v>
      </c>
      <c r="AC230" s="789">
        <f t="shared" si="52"/>
        <v>0</v>
      </c>
      <c r="AD230" s="789">
        <f t="shared" si="44"/>
        <v>0</v>
      </c>
      <c r="AE230" s="828" t="e">
        <f>HLOOKUP($AE$39,anticipado,190,0)</f>
        <v>#N/A</v>
      </c>
      <c r="AF230" s="827"/>
      <c r="AG230" s="618"/>
      <c r="AH230" s="618"/>
      <c r="AI230" s="618"/>
      <c r="AJ230" s="618"/>
      <c r="AK230" s="618"/>
      <c r="AL230" s="618"/>
      <c r="AM230" s="618"/>
      <c r="AN230" s="618"/>
      <c r="AO230" s="618"/>
      <c r="AP230" s="618"/>
      <c r="AQ230" s="618"/>
      <c r="AR230" s="618"/>
      <c r="AS230" s="618">
        <v>1.4737722233942827E-2</v>
      </c>
      <c r="AT230" s="618">
        <v>1.4694812075803717E-2</v>
      </c>
      <c r="AU230" s="618">
        <v>1.432006188846094E-2</v>
      </c>
      <c r="AV230" s="618">
        <v>1.5075594689500281E-2</v>
      </c>
      <c r="AW230" s="618">
        <v>1.4737722233942827E-2</v>
      </c>
      <c r="AX230" s="618">
        <v>1.4448915934547443E-2</v>
      </c>
      <c r="AY230" s="618">
        <v>1.5105578202648778E-2</v>
      </c>
      <c r="AZ230" s="618">
        <v>1.5166511832366706E-2</v>
      </c>
      <c r="BA230" s="618">
        <v>1.4918666678058152E-2</v>
      </c>
      <c r="BB230" s="618">
        <v>1.5304598322702473E-2</v>
      </c>
      <c r="BC230" s="618">
        <v>1.5135651442779646E-2</v>
      </c>
      <c r="BD230" s="618">
        <v>1.5062559095112071E-2</v>
      </c>
      <c r="BE230" s="618"/>
      <c r="BF230" s="618"/>
      <c r="BG230" s="618">
        <v>1.5458611625368528E-2</v>
      </c>
      <c r="BH230" s="618">
        <v>1.5183443048993491E-2</v>
      </c>
      <c r="BI230" s="618"/>
      <c r="BJ230" s="618"/>
      <c r="BK230" s="618"/>
      <c r="BL230" s="618"/>
      <c r="BM230" s="618"/>
      <c r="BN230" s="618"/>
      <c r="BO230" s="618"/>
      <c r="BP230" s="618"/>
      <c r="BQ230" s="618"/>
      <c r="BR230" s="618"/>
      <c r="BS230" s="618"/>
      <c r="BT230" s="618"/>
      <c r="BU230" s="618"/>
      <c r="BV230" s="618"/>
      <c r="BW230" s="618"/>
      <c r="BX230" s="618"/>
      <c r="BY230" s="618"/>
      <c r="BZ230" s="618"/>
      <c r="CA230" s="618"/>
      <c r="CB230" s="618"/>
      <c r="CC230" s="618"/>
      <c r="CD230" s="618"/>
      <c r="CE230" s="618"/>
      <c r="CF230" s="618"/>
      <c r="CG230" s="618"/>
      <c r="CH230" s="618"/>
      <c r="CI230" s="618"/>
      <c r="CJ230" s="618"/>
    </row>
    <row r="231" spans="1:88">
      <c r="A231" s="151">
        <f t="shared" ca="1" si="45"/>
        <v>9</v>
      </c>
      <c r="B231" s="784">
        <f t="shared" si="46"/>
        <v>0</v>
      </c>
      <c r="C231" s="944">
        <f t="shared" si="53"/>
        <v>0</v>
      </c>
      <c r="D231" s="947">
        <f t="shared" si="47"/>
        <v>0</v>
      </c>
      <c r="E231" s="947">
        <f t="shared" si="60"/>
        <v>0</v>
      </c>
      <c r="F231" s="947">
        <f t="shared" si="61"/>
        <v>0</v>
      </c>
      <c r="G231" s="947">
        <f>IF(M230&lt;0.01,0,IF($F$19=$U$4,$G$19,IF(AND($F$21=1,$F$19=$U$2),M230*Adm!$U$4,IF(AND($F$21=2,$F$19=$U$2),M230*Adm!$U$5,IF(AND($F$21=1,$F$19=$U$3),M230*Adm!$V$4,IF(AND($F$21=2,$F$19=$U$3),M230*Adm!$V$5,0))))))</f>
        <v>0</v>
      </c>
      <c r="H231" s="947">
        <f>IF(M230&lt;0.01,0,IF($F$20=$V$3,0,IF(OR($F$10=$T$16,$F$10=$T$17),0,IF($F$10=$T$13,0,$F$11*Adm!$AA$3))))</f>
        <v>0</v>
      </c>
      <c r="I231" s="947">
        <f t="shared" si="54"/>
        <v>0</v>
      </c>
      <c r="J231" s="947">
        <f t="shared" si="42"/>
        <v>0</v>
      </c>
      <c r="K231" s="947">
        <f t="shared" si="48"/>
        <v>0</v>
      </c>
      <c r="L231" s="947">
        <f t="shared" si="43"/>
        <v>0</v>
      </c>
      <c r="M231" s="947">
        <f t="shared" si="49"/>
        <v>0</v>
      </c>
      <c r="N231" s="946"/>
      <c r="P231" s="733"/>
      <c r="Q231" s="733"/>
      <c r="R231" s="733"/>
      <c r="S231" s="785">
        <f t="shared" si="50"/>
        <v>10</v>
      </c>
      <c r="T231" s="786">
        <f t="shared" si="55"/>
        <v>0</v>
      </c>
      <c r="W231" s="790">
        <f t="shared" si="56"/>
        <v>0</v>
      </c>
      <c r="X231" s="818">
        <f t="shared" ca="1" si="51"/>
        <v>0</v>
      </c>
      <c r="Z231" s="843">
        <f t="shared" si="57"/>
        <v>0</v>
      </c>
      <c r="AA231" s="792">
        <f t="shared" si="58"/>
        <v>0</v>
      </c>
      <c r="AB231" s="792">
        <f t="shared" si="59"/>
        <v>0</v>
      </c>
      <c r="AC231" s="789">
        <f t="shared" si="52"/>
        <v>0</v>
      </c>
      <c r="AD231" s="789">
        <f t="shared" si="44"/>
        <v>0</v>
      </c>
      <c r="AE231" s="828" t="e">
        <f>HLOOKUP($AE$39,anticipado,191,0)</f>
        <v>#N/A</v>
      </c>
      <c r="AF231" s="827"/>
      <c r="AG231" s="618"/>
      <c r="AH231" s="618"/>
      <c r="AI231" s="618"/>
      <c r="AJ231" s="618"/>
      <c r="AK231" s="618"/>
      <c r="AL231" s="618"/>
      <c r="AM231" s="618"/>
      <c r="AN231" s="618"/>
      <c r="AO231" s="618"/>
      <c r="AP231" s="618"/>
      <c r="AQ231" s="618"/>
      <c r="AR231" s="618"/>
      <c r="AS231" s="618">
        <v>1.5093917019673995E-2</v>
      </c>
      <c r="AT231" s="618">
        <v>1.5054285664864216E-2</v>
      </c>
      <c r="AU231" s="618">
        <v>1.4672054564398842E-2</v>
      </c>
      <c r="AV231" s="618">
        <v>1.5438364215275602E-2</v>
      </c>
      <c r="AW231" s="618">
        <v>1.5093917019673995E-2</v>
      </c>
      <c r="AX231" s="618">
        <v>1.4799902779391763E-2</v>
      </c>
      <c r="AY231" s="618">
        <v>1.5464299934097779E-2</v>
      </c>
      <c r="AZ231" s="618">
        <v>1.5532261283466967E-2</v>
      </c>
      <c r="BA231" s="618">
        <v>1.5282672283013388E-2</v>
      </c>
      <c r="BB231" s="618">
        <v>1.5665514127327911E-2</v>
      </c>
      <c r="BC231" s="618">
        <v>1.5492999114727348E-2</v>
      </c>
      <c r="BD231" s="618">
        <v>1.5422899177702624E-2</v>
      </c>
      <c r="BE231" s="618"/>
      <c r="BF231" s="618"/>
      <c r="BG231" s="618">
        <v>1.5821055085075711E-2</v>
      </c>
      <c r="BH231" s="618">
        <v>1.5544600481587146E-2</v>
      </c>
      <c r="BI231" s="618"/>
      <c r="BJ231" s="618"/>
      <c r="BK231" s="618"/>
      <c r="BL231" s="618"/>
      <c r="BM231" s="618"/>
      <c r="BN231" s="618"/>
      <c r="BO231" s="618"/>
      <c r="BP231" s="618"/>
      <c r="BQ231" s="618"/>
      <c r="BR231" s="618"/>
      <c r="BS231" s="618"/>
      <c r="BT231" s="618"/>
      <c r="BU231" s="618"/>
      <c r="BV231" s="618"/>
      <c r="BW231" s="618"/>
      <c r="BX231" s="618"/>
      <c r="BY231" s="618"/>
      <c r="BZ231" s="618"/>
      <c r="CA231" s="618"/>
      <c r="CB231" s="618"/>
      <c r="CC231" s="618"/>
      <c r="CD231" s="618"/>
      <c r="CE231" s="618"/>
      <c r="CF231" s="618"/>
      <c r="CG231" s="618"/>
      <c r="CH231" s="618"/>
      <c r="CI231" s="618"/>
      <c r="CJ231" s="618"/>
    </row>
    <row r="232" spans="1:88">
      <c r="A232" s="151">
        <f t="shared" ca="1" si="45"/>
        <v>10</v>
      </c>
      <c r="B232" s="784">
        <f t="shared" si="46"/>
        <v>0</v>
      </c>
      <c r="C232" s="944">
        <f t="shared" si="53"/>
        <v>0</v>
      </c>
      <c r="D232" s="947">
        <f t="shared" si="47"/>
        <v>0</v>
      </c>
      <c r="E232" s="947">
        <f t="shared" si="60"/>
        <v>0</v>
      </c>
      <c r="F232" s="947">
        <f t="shared" si="61"/>
        <v>0</v>
      </c>
      <c r="G232" s="947">
        <f>IF(M231&lt;0.01,0,IF($F$19=$U$4,$G$19,IF(AND($F$21=1,$F$19=$U$2),M231*Adm!$U$4,IF(AND($F$21=2,$F$19=$U$2),M231*Adm!$U$5,IF(AND($F$21=1,$F$19=$U$3),M231*Adm!$V$4,IF(AND($F$21=2,$F$19=$U$3),M231*Adm!$V$5,0))))))</f>
        <v>0</v>
      </c>
      <c r="H232" s="947">
        <f>IF(M231&lt;0.01,0,IF($F$20=$V$3,0,IF(OR($F$10=$T$16,$F$10=$T$17),0,IF($F$10=$T$13,0,$F$11*Adm!$AA$3))))</f>
        <v>0</v>
      </c>
      <c r="I232" s="947">
        <f t="shared" si="54"/>
        <v>0</v>
      </c>
      <c r="J232" s="947">
        <f t="shared" si="42"/>
        <v>0</v>
      </c>
      <c r="K232" s="947">
        <f t="shared" si="48"/>
        <v>0</v>
      </c>
      <c r="L232" s="947">
        <f t="shared" si="43"/>
        <v>0</v>
      </c>
      <c r="M232" s="947">
        <f t="shared" si="49"/>
        <v>0</v>
      </c>
      <c r="N232" s="946"/>
      <c r="P232" s="733"/>
      <c r="Q232" s="733"/>
      <c r="R232" s="733"/>
      <c r="S232" s="785">
        <f t="shared" si="50"/>
        <v>11</v>
      </c>
      <c r="T232" s="786">
        <f t="shared" si="55"/>
        <v>0</v>
      </c>
      <c r="W232" s="790">
        <f t="shared" si="56"/>
        <v>0</v>
      </c>
      <c r="X232" s="818">
        <f t="shared" ca="1" si="51"/>
        <v>0</v>
      </c>
      <c r="Z232" s="843">
        <f t="shared" si="57"/>
        <v>0</v>
      </c>
      <c r="AA232" s="792">
        <f t="shared" si="58"/>
        <v>0</v>
      </c>
      <c r="AB232" s="792">
        <f t="shared" si="59"/>
        <v>0</v>
      </c>
      <c r="AC232" s="789">
        <f t="shared" si="52"/>
        <v>0</v>
      </c>
      <c r="AD232" s="789">
        <f t="shared" si="44"/>
        <v>0</v>
      </c>
      <c r="AE232" s="828" t="e">
        <f>HLOOKUP($AE$39,anticipado,192,0)</f>
        <v>#N/A</v>
      </c>
      <c r="AF232" s="827"/>
      <c r="AG232" s="618"/>
      <c r="AH232" s="618"/>
      <c r="AI232" s="618"/>
      <c r="AJ232" s="618"/>
      <c r="AK232" s="618"/>
      <c r="AL232" s="618"/>
      <c r="AM232" s="618"/>
      <c r="AN232" s="618"/>
      <c r="AO232" s="618"/>
      <c r="AP232" s="618"/>
      <c r="AQ232" s="618"/>
      <c r="AR232" s="618"/>
      <c r="AS232" s="618">
        <v>1.5464311348894146E-2</v>
      </c>
      <c r="AT232" s="618">
        <v>1.5428181656439943E-2</v>
      </c>
      <c r="AU232" s="618">
        <v>1.5038069548669057E-2</v>
      </c>
      <c r="AV232" s="618">
        <v>1.5815688465477731E-2</v>
      </c>
      <c r="AW232" s="618">
        <v>1.5464311348894146E-2</v>
      </c>
      <c r="AX232" s="618">
        <v>1.5164816330633532E-2</v>
      </c>
      <c r="AY232" s="618">
        <v>1.5837308778315344E-2</v>
      </c>
      <c r="AZ232" s="618">
        <v>1.5912740705862915E-2</v>
      </c>
      <c r="BA232" s="618">
        <v>1.5661346538654489E-2</v>
      </c>
      <c r="BB232" s="618">
        <v>1.6040820480690103E-2</v>
      </c>
      <c r="BC232" s="618">
        <v>1.5864539927257101E-2</v>
      </c>
      <c r="BD232" s="618">
        <v>1.5797639217612049E-2</v>
      </c>
      <c r="BE232" s="618"/>
      <c r="BF232" s="618"/>
      <c r="BG232" s="618">
        <v>1.6197959438644022E-2</v>
      </c>
      <c r="BH232" s="618">
        <v>1.5920186841262542E-2</v>
      </c>
      <c r="BI232" s="618"/>
      <c r="BJ232" s="618"/>
      <c r="BK232" s="618"/>
      <c r="BL232" s="618"/>
      <c r="BM232" s="618"/>
      <c r="BN232" s="618"/>
      <c r="BO232" s="618"/>
      <c r="BP232" s="618"/>
      <c r="BQ232" s="618"/>
      <c r="BR232" s="618"/>
      <c r="BS232" s="618"/>
      <c r="BT232" s="618"/>
      <c r="BU232" s="618"/>
      <c r="BV232" s="618"/>
      <c r="BW232" s="618"/>
      <c r="BX232" s="618"/>
      <c r="BY232" s="618"/>
      <c r="BZ232" s="618"/>
      <c r="CA232" s="618"/>
      <c r="CB232" s="618"/>
      <c r="CC232" s="618"/>
      <c r="CD232" s="618"/>
      <c r="CE232" s="618"/>
      <c r="CF232" s="618"/>
      <c r="CG232" s="618"/>
      <c r="CH232" s="618"/>
      <c r="CI232" s="618"/>
      <c r="CJ232" s="618"/>
    </row>
    <row r="233" spans="1:88">
      <c r="A233" s="151">
        <f t="shared" ca="1" si="45"/>
        <v>11</v>
      </c>
      <c r="B233" s="784">
        <f t="shared" si="46"/>
        <v>0</v>
      </c>
      <c r="C233" s="944">
        <f t="shared" si="53"/>
        <v>0</v>
      </c>
      <c r="D233" s="947">
        <f t="shared" si="47"/>
        <v>0</v>
      </c>
      <c r="E233" s="947">
        <f t="shared" si="60"/>
        <v>0</v>
      </c>
      <c r="F233" s="947">
        <f t="shared" si="61"/>
        <v>0</v>
      </c>
      <c r="G233" s="947">
        <f>IF(M232&lt;0.01,0,IF($F$19=$U$4,$G$19,IF(AND($F$21=1,$F$19=$U$2),M232*Adm!$U$4,IF(AND($F$21=2,$F$19=$U$2),M232*Adm!$U$5,IF(AND($F$21=1,$F$19=$U$3),M232*Adm!$V$4,IF(AND($F$21=2,$F$19=$U$3),M232*Adm!$V$5,0))))))</f>
        <v>0</v>
      </c>
      <c r="H233" s="947">
        <f>IF(M232&lt;0.01,0,IF($F$20=$V$3,0,IF(OR($F$10=$T$16,$F$10=$T$17),0,IF($F$10=$T$13,0,$F$11*Adm!$AA$3))))</f>
        <v>0</v>
      </c>
      <c r="I233" s="947">
        <f t="shared" si="54"/>
        <v>0</v>
      </c>
      <c r="J233" s="947">
        <f t="shared" si="42"/>
        <v>0</v>
      </c>
      <c r="K233" s="947">
        <f t="shared" si="48"/>
        <v>0</v>
      </c>
      <c r="L233" s="947">
        <f t="shared" si="43"/>
        <v>0</v>
      </c>
      <c r="M233" s="947">
        <f t="shared" si="49"/>
        <v>0</v>
      </c>
      <c r="N233" s="946"/>
      <c r="P233" s="733"/>
      <c r="Q233" s="733"/>
      <c r="R233" s="733"/>
      <c r="S233" s="785">
        <f t="shared" si="50"/>
        <v>12</v>
      </c>
      <c r="T233" s="786">
        <f t="shared" si="55"/>
        <v>0</v>
      </c>
      <c r="W233" s="790">
        <f t="shared" si="56"/>
        <v>0</v>
      </c>
      <c r="X233" s="818">
        <f t="shared" ca="1" si="51"/>
        <v>0</v>
      </c>
      <c r="Z233" s="843">
        <f t="shared" si="57"/>
        <v>0</v>
      </c>
      <c r="AA233" s="792">
        <f t="shared" si="58"/>
        <v>0</v>
      </c>
      <c r="AB233" s="792">
        <f t="shared" si="59"/>
        <v>0</v>
      </c>
      <c r="AC233" s="789">
        <f t="shared" si="52"/>
        <v>0</v>
      </c>
      <c r="AD233" s="789">
        <f t="shared" si="44"/>
        <v>0</v>
      </c>
      <c r="AE233" s="828" t="e">
        <f>HLOOKUP($AE$39,anticipado,193,0)</f>
        <v>#N/A</v>
      </c>
      <c r="AF233" s="827"/>
      <c r="AG233" s="618"/>
      <c r="AH233" s="618"/>
      <c r="AI233" s="618"/>
      <c r="AJ233" s="618"/>
      <c r="AK233" s="618"/>
      <c r="AL233" s="618"/>
      <c r="AM233" s="618"/>
      <c r="AN233" s="618"/>
      <c r="AO233" s="618"/>
      <c r="AP233" s="618"/>
      <c r="AQ233" s="618"/>
      <c r="AR233" s="618"/>
      <c r="AS233" s="618">
        <v>1.5849755528684801E-2</v>
      </c>
      <c r="AT233" s="618">
        <v>1.581736836464756E-2</v>
      </c>
      <c r="AU233" s="618">
        <v>1.5418942889993802E-2</v>
      </c>
      <c r="AV233" s="618">
        <v>1.6208446519148687E-2</v>
      </c>
      <c r="AW233" s="618">
        <v>1.5849755528684801E-2</v>
      </c>
      <c r="AX233" s="618">
        <v>1.5544484971857642E-2</v>
      </c>
      <c r="AY233" s="618">
        <v>1.6225462140011283E-2</v>
      </c>
      <c r="AZ233" s="618">
        <v>1.6308843460792335E-2</v>
      </c>
      <c r="BA233" s="618">
        <v>1.6055577782122701E-2</v>
      </c>
      <c r="BB233" s="618">
        <v>1.6431383177291939E-2</v>
      </c>
      <c r="BC233" s="618">
        <v>1.6251123710636865E-2</v>
      </c>
      <c r="BD233" s="618">
        <v>1.6187645738115011E-2</v>
      </c>
      <c r="BE233" s="618"/>
      <c r="BF233" s="618"/>
      <c r="BG233" s="618">
        <v>1.659019620456436E-2</v>
      </c>
      <c r="BH233" s="618">
        <v>1.6311071012580666E-2</v>
      </c>
      <c r="BI233" s="618"/>
      <c r="BJ233" s="618"/>
      <c r="BK233" s="618"/>
      <c r="BL233" s="618"/>
      <c r="BM233" s="618"/>
      <c r="BN233" s="618"/>
      <c r="BO233" s="618"/>
      <c r="BP233" s="618"/>
      <c r="BQ233" s="618"/>
      <c r="BR233" s="618"/>
      <c r="BS233" s="618"/>
      <c r="BT233" s="618"/>
      <c r="BU233" s="618"/>
      <c r="BV233" s="618"/>
      <c r="BW233" s="618"/>
      <c r="BX233" s="618"/>
      <c r="BY233" s="618"/>
      <c r="BZ233" s="618"/>
      <c r="CA233" s="618"/>
      <c r="CB233" s="618"/>
      <c r="CC233" s="618"/>
      <c r="CD233" s="618"/>
      <c r="CE233" s="618"/>
      <c r="CF233" s="618"/>
      <c r="CG233" s="618"/>
      <c r="CH233" s="618"/>
      <c r="CI233" s="618"/>
      <c r="CJ233" s="618"/>
    </row>
    <row r="234" spans="1:88">
      <c r="A234" s="151">
        <f t="shared" ca="1" si="45"/>
        <v>12</v>
      </c>
      <c r="B234" s="784">
        <f t="shared" si="46"/>
        <v>0</v>
      </c>
      <c r="C234" s="944">
        <f t="shared" si="53"/>
        <v>0</v>
      </c>
      <c r="D234" s="947">
        <f t="shared" si="47"/>
        <v>0</v>
      </c>
      <c r="E234" s="947">
        <f t="shared" si="60"/>
        <v>0</v>
      </c>
      <c r="F234" s="947">
        <f t="shared" si="61"/>
        <v>0</v>
      </c>
      <c r="G234" s="947">
        <f>IF(M233&lt;0.01,0,IF($F$19=$U$4,$G$19,IF(AND($F$21=1,$F$19=$U$2),M233*Adm!$U$4,IF(AND($F$21=2,$F$19=$U$2),M233*Adm!$U$5,IF(AND($F$21=1,$F$19=$U$3),M233*Adm!$V$4,IF(AND($F$21=2,$F$19=$U$3),M233*Adm!$V$5,0))))))</f>
        <v>0</v>
      </c>
      <c r="H234" s="947">
        <f>IF(M233&lt;0.01,0,IF($F$20=$V$3,0,IF(OR($F$10=$T$16,$F$10=$T$17),0,IF($F$10=$T$13,0,$F$11*Adm!$AA$3))))</f>
        <v>0</v>
      </c>
      <c r="I234" s="947">
        <f t="shared" si="54"/>
        <v>0</v>
      </c>
      <c r="J234" s="947">
        <f t="shared" ref="J234:J281" si="62">IF(M233&lt;0.01,0,IF($X$2&gt;0,D234*$X$3,0))</f>
        <v>0</v>
      </c>
      <c r="K234" s="947">
        <f t="shared" si="48"/>
        <v>0</v>
      </c>
      <c r="L234" s="947">
        <f t="shared" ref="L234:L281" si="63">IF($F$10=$T$2,MIN(M233+D234+G234+H234+I234-K234,X234),0)</f>
        <v>0</v>
      </c>
      <c r="M234" s="947">
        <f t="shared" si="49"/>
        <v>0</v>
      </c>
      <c r="N234" s="946"/>
      <c r="P234" s="733"/>
      <c r="Q234" s="733"/>
      <c r="R234" s="733"/>
      <c r="S234" s="785">
        <f t="shared" si="50"/>
        <v>1</v>
      </c>
      <c r="T234" s="786">
        <f t="shared" si="55"/>
        <v>0</v>
      </c>
      <c r="W234" s="790">
        <f t="shared" si="56"/>
        <v>0</v>
      </c>
      <c r="X234" s="818">
        <f t="shared" ca="1" si="51"/>
        <v>0</v>
      </c>
      <c r="Z234" s="843">
        <f t="shared" si="57"/>
        <v>0</v>
      </c>
      <c r="AA234" s="792">
        <f t="shared" si="58"/>
        <v>0</v>
      </c>
      <c r="AB234" s="792">
        <f t="shared" si="59"/>
        <v>0</v>
      </c>
      <c r="AC234" s="789">
        <f t="shared" si="52"/>
        <v>0</v>
      </c>
      <c r="AD234" s="789">
        <f t="shared" ref="AD234:AD281" si="64">IF(AND($Z$38=2,N233&lt;0.01),0,IF($Z$38=2,(M233*AE234)+D234,0))</f>
        <v>0</v>
      </c>
      <c r="AE234" s="828" t="e">
        <f>HLOOKUP($AE$39,anticipado,194,0)</f>
        <v>#N/A</v>
      </c>
      <c r="AF234" s="827"/>
      <c r="AG234" s="618"/>
      <c r="AH234" s="618"/>
      <c r="AI234" s="618"/>
      <c r="AJ234" s="618"/>
      <c r="AK234" s="618"/>
      <c r="AL234" s="618"/>
      <c r="AM234" s="618"/>
      <c r="AN234" s="618"/>
      <c r="AO234" s="618"/>
      <c r="AP234" s="618"/>
      <c r="AQ234" s="618"/>
      <c r="AR234" s="618"/>
      <c r="AS234" s="618">
        <v>1.6504430808854904E-2</v>
      </c>
      <c r="AT234" s="618">
        <v>1.6479096393632719E-2</v>
      </c>
      <c r="AU234" s="618">
        <v>1.6072817533661583E-2</v>
      </c>
      <c r="AV234" s="618">
        <v>1.6870015580887857E-2</v>
      </c>
      <c r="AW234" s="618">
        <v>1.6504430808854904E-2</v>
      </c>
      <c r="AX234" s="618">
        <v>1.6194118794331729E-2</v>
      </c>
      <c r="AY234" s="618">
        <v>1.6878817622438855E-2</v>
      </c>
      <c r="AZ234" s="618">
        <v>1.6974585323288095E-2</v>
      </c>
      <c r="BA234" s="618">
        <v>1.6722157477455132E-2</v>
      </c>
      <c r="BB234" s="618">
        <v>1.7085686927979297E-2</v>
      </c>
      <c r="BC234" s="618">
        <v>1.6901372869916519E-2</v>
      </c>
      <c r="BD234" s="618">
        <v>1.6844794754283743E-2</v>
      </c>
      <c r="BE234" s="618"/>
      <c r="BF234" s="618"/>
      <c r="BG234" s="618">
        <v>1.7244945441074237E-2</v>
      </c>
      <c r="BH234" s="618">
        <v>1.6967791654234045E-2</v>
      </c>
      <c r="BI234" s="618"/>
      <c r="BJ234" s="618"/>
      <c r="BK234" s="618"/>
      <c r="BL234" s="618"/>
      <c r="BM234" s="618"/>
      <c r="BN234" s="618"/>
      <c r="BO234" s="618"/>
      <c r="BP234" s="618"/>
      <c r="BQ234" s="618"/>
      <c r="BR234" s="618"/>
      <c r="BS234" s="618"/>
      <c r="BT234" s="618"/>
      <c r="BU234" s="618"/>
      <c r="BV234" s="618"/>
      <c r="BW234" s="618"/>
      <c r="BX234" s="618"/>
      <c r="BY234" s="618"/>
      <c r="BZ234" s="618"/>
      <c r="CA234" s="618"/>
      <c r="CB234" s="618"/>
      <c r="CC234" s="618"/>
      <c r="CD234" s="618"/>
      <c r="CE234" s="618"/>
      <c r="CF234" s="618"/>
      <c r="CG234" s="618"/>
      <c r="CH234" s="618"/>
      <c r="CI234" s="618"/>
      <c r="CJ234" s="618"/>
    </row>
    <row r="235" spans="1:88">
      <c r="A235" s="151">
        <f t="shared" ref="A235:A281" ca="1" si="65">IF(A234=12,1,A234+1)</f>
        <v>1</v>
      </c>
      <c r="B235" s="784">
        <f t="shared" ref="B235:B281" si="66">IF(M234&gt;0,B234-1,0)</f>
        <v>0</v>
      </c>
      <c r="C235" s="944">
        <f t="shared" si="53"/>
        <v>0</v>
      </c>
      <c r="D235" s="947">
        <f t="shared" ref="D235:D281" si="67">IF(M234&lt;0.01,0,M234*$F$14/12)</f>
        <v>0</v>
      </c>
      <c r="E235" s="947">
        <f t="shared" si="60"/>
        <v>0</v>
      </c>
      <c r="F235" s="947">
        <f t="shared" si="61"/>
        <v>0</v>
      </c>
      <c r="G235" s="947">
        <f>IF(M234&lt;0.01,0,IF($F$19=$U$4,$G$19,IF(AND($F$21=1,$F$19=$U$2),M234*Adm!$U$4,IF(AND($F$21=2,$F$19=$U$2),M234*Adm!$U$5,IF(AND($F$21=1,$F$19=$U$3),M234*Adm!$V$4,IF(AND($F$21=2,$F$19=$U$3),M234*Adm!$V$5,0))))))</f>
        <v>0</v>
      </c>
      <c r="H235" s="947">
        <f>IF(M234&lt;0.01,0,IF($F$20=$V$3,0,IF(OR($F$10=$T$16,$F$10=$T$17),0,IF($F$10=$T$13,0,$F$11*Adm!$AA$3))))</f>
        <v>0</v>
      </c>
      <c r="I235" s="947">
        <f t="shared" si="54"/>
        <v>0</v>
      </c>
      <c r="J235" s="947">
        <f t="shared" si="62"/>
        <v>0</v>
      </c>
      <c r="K235" s="947">
        <f t="shared" ref="K235:K281" si="68">IF(M234&lt;0.01,0,F235+G235+H235+I235+J235)</f>
        <v>0</v>
      </c>
      <c r="L235" s="947">
        <f t="shared" si="63"/>
        <v>0</v>
      </c>
      <c r="M235" s="947">
        <f t="shared" ref="M235:M281" si="69">IF(M234&lt;0.001,0,+M234-E235-L235-N235)</f>
        <v>0</v>
      </c>
      <c r="N235" s="946"/>
      <c r="P235" s="733"/>
      <c r="Q235" s="733"/>
      <c r="R235" s="733"/>
      <c r="S235" s="785">
        <f t="shared" ref="S235:S281" si="70">IF(S234=12,1,S234+1)</f>
        <v>2</v>
      </c>
      <c r="T235" s="786">
        <f t="shared" si="55"/>
        <v>0</v>
      </c>
      <c r="W235" s="790">
        <f t="shared" si="56"/>
        <v>0</v>
      </c>
      <c r="X235" s="818">
        <f t="shared" ref="X235:X281" ca="1" si="71">IF(MOD(A235,2)=0,W235*0.05*2,0)</f>
        <v>0</v>
      </c>
      <c r="Z235" s="843">
        <f t="shared" si="57"/>
        <v>0</v>
      </c>
      <c r="AA235" s="792">
        <f t="shared" si="58"/>
        <v>0</v>
      </c>
      <c r="AB235" s="792">
        <f t="shared" si="59"/>
        <v>0</v>
      </c>
      <c r="AC235" s="789">
        <f t="shared" ref="AC235:AC281" si="72">IF(AND(AD235&gt;0.01,$Z$38=2),AD235,0)</f>
        <v>0</v>
      </c>
      <c r="AD235" s="789">
        <f t="shared" si="64"/>
        <v>0</v>
      </c>
      <c r="AE235" s="828" t="e">
        <f>HLOOKUP($AE$39,anticipado,195,0)</f>
        <v>#N/A</v>
      </c>
      <c r="AF235" s="827"/>
      <c r="AG235" s="618"/>
      <c r="AH235" s="618"/>
      <c r="AI235" s="618"/>
      <c r="AJ235" s="618"/>
      <c r="AK235" s="618"/>
      <c r="AL235" s="618"/>
      <c r="AM235" s="618"/>
      <c r="AN235" s="618"/>
      <c r="AO235" s="618"/>
      <c r="AP235" s="618"/>
      <c r="AQ235" s="618"/>
      <c r="AR235" s="618"/>
      <c r="AS235" s="618">
        <v>1.6933689423880332E-2</v>
      </c>
      <c r="AT235" s="618">
        <v>1.691284563911373E-2</v>
      </c>
      <c r="AU235" s="618">
        <v>1.6497229324128636E-2</v>
      </c>
      <c r="AV235" s="618">
        <v>1.7307497212921168E-2</v>
      </c>
      <c r="AW235" s="618">
        <v>1.6933689423880332E-2</v>
      </c>
      <c r="AX235" s="618">
        <v>1.6616924419940886E-2</v>
      </c>
      <c r="AY235" s="618">
        <v>1.7310816611560063E-2</v>
      </c>
      <c r="AZ235" s="618">
        <v>1.7415911726904175E-2</v>
      </c>
      <c r="BA235" s="618">
        <v>1.7161586566248384E-2</v>
      </c>
      <c r="BB235" s="618">
        <v>1.7520294889527475E-2</v>
      </c>
      <c r="BC235" s="618">
        <v>1.7331481511118144E-2</v>
      </c>
      <c r="BD235" s="618">
        <v>1.7279037347363087E-2</v>
      </c>
      <c r="BE235" s="618"/>
      <c r="BF235" s="618"/>
      <c r="BG235" s="618">
        <v>1.7681352102392613E-2</v>
      </c>
      <c r="BH235" s="618">
        <v>1.7402923720989973E-2</v>
      </c>
      <c r="BI235" s="618"/>
      <c r="BJ235" s="618"/>
      <c r="BK235" s="618"/>
      <c r="BL235" s="618"/>
      <c r="BM235" s="618"/>
      <c r="BN235" s="618"/>
      <c r="BO235" s="618"/>
      <c r="BP235" s="618"/>
      <c r="BQ235" s="618"/>
      <c r="BR235" s="618"/>
      <c r="BS235" s="618"/>
      <c r="BT235" s="618"/>
      <c r="BU235" s="618"/>
      <c r="BV235" s="618"/>
      <c r="BW235" s="618"/>
      <c r="BX235" s="618"/>
      <c r="BY235" s="618"/>
      <c r="BZ235" s="618"/>
      <c r="CA235" s="618"/>
      <c r="CB235" s="618"/>
      <c r="CC235" s="618"/>
      <c r="CD235" s="618"/>
      <c r="CE235" s="618"/>
      <c r="CF235" s="618"/>
      <c r="CG235" s="618"/>
      <c r="CH235" s="618"/>
      <c r="CI235" s="618"/>
      <c r="CJ235" s="618"/>
    </row>
    <row r="236" spans="1:88">
      <c r="A236" s="151">
        <f t="shared" ca="1" si="65"/>
        <v>2</v>
      </c>
      <c r="B236" s="784">
        <f t="shared" si="66"/>
        <v>0</v>
      </c>
      <c r="C236" s="944">
        <f t="shared" ref="C236:C281" si="73">IF(M235&lt;0.01,0,C235+1)</f>
        <v>0</v>
      </c>
      <c r="D236" s="947">
        <f t="shared" si="67"/>
        <v>0</v>
      </c>
      <c r="E236" s="947">
        <f t="shared" si="60"/>
        <v>0</v>
      </c>
      <c r="F236" s="947">
        <f t="shared" si="61"/>
        <v>0</v>
      </c>
      <c r="G236" s="947">
        <f>IF(M235&lt;0.01,0,IF($F$19=$U$4,$G$19,IF(AND($F$21=1,$F$19=$U$2),M235*Adm!$U$4,IF(AND($F$21=2,$F$19=$U$2),M235*Adm!$U$5,IF(AND($F$21=1,$F$19=$U$3),M235*Adm!$V$4,IF(AND($F$21=2,$F$19=$U$3),M235*Adm!$V$5,0))))))</f>
        <v>0</v>
      </c>
      <c r="H236" s="947">
        <f>IF(M235&lt;0.01,0,IF($F$20=$V$3,0,IF(OR($F$10=$T$16,$F$10=$T$17),0,IF($F$10=$T$13,0,$F$11*Adm!$AA$3))))</f>
        <v>0</v>
      </c>
      <c r="I236" s="947">
        <f t="shared" ref="I236:I281" si="74">IF(M235&lt;0.01,0,I235)</f>
        <v>0</v>
      </c>
      <c r="J236" s="947">
        <f t="shared" si="62"/>
        <v>0</v>
      </c>
      <c r="K236" s="947">
        <f t="shared" si="68"/>
        <v>0</v>
      </c>
      <c r="L236" s="947">
        <f t="shared" si="63"/>
        <v>0</v>
      </c>
      <c r="M236" s="947">
        <f t="shared" si="69"/>
        <v>0</v>
      </c>
      <c r="N236" s="946"/>
      <c r="P236" s="733"/>
      <c r="Q236" s="733"/>
      <c r="R236" s="733"/>
      <c r="S236" s="785">
        <f t="shared" si="70"/>
        <v>3</v>
      </c>
      <c r="T236" s="786">
        <f t="shared" ref="T236:T281" si="75">IF(S236=1,$F$17,0)</f>
        <v>0</v>
      </c>
      <c r="W236" s="790">
        <f t="shared" ref="W236:W281" si="76">W235</f>
        <v>0</v>
      </c>
      <c r="X236" s="818">
        <f t="shared" ca="1" si="71"/>
        <v>0</v>
      </c>
      <c r="Z236" s="843">
        <f t="shared" ref="Z236:Z281" si="77">IF(AA236&gt;1,AA236,IF(AC236&gt;1,AC236,0))</f>
        <v>0</v>
      </c>
      <c r="AA236" s="792">
        <f t="shared" ref="AA236:AA281" si="78">IF(AND(OR($AB$38=1,$AB$38=3),N235&gt;0.1),AB236,0)</f>
        <v>0</v>
      </c>
      <c r="AB236" s="792">
        <f t="shared" ref="AB236:AB281" si="79">IF(AND($AB$38=1,$Z$38=2),PMT($F$14/12,B235,-M235),0)</f>
        <v>0</v>
      </c>
      <c r="AC236" s="789">
        <f t="shared" si="72"/>
        <v>0</v>
      </c>
      <c r="AD236" s="789">
        <f t="shared" si="64"/>
        <v>0</v>
      </c>
      <c r="AE236" s="828" t="e">
        <f>HLOOKUP($AE$39,anticipado,196,0)</f>
        <v>#N/A</v>
      </c>
      <c r="AF236" s="827"/>
      <c r="AG236" s="618"/>
      <c r="AH236" s="618"/>
      <c r="AI236" s="618"/>
      <c r="AJ236" s="618"/>
      <c r="AK236" s="618"/>
      <c r="AL236" s="618"/>
      <c r="AM236" s="618"/>
      <c r="AN236" s="618"/>
      <c r="AO236" s="618"/>
      <c r="AP236" s="618"/>
      <c r="AQ236" s="618"/>
      <c r="AR236" s="618"/>
      <c r="AS236" s="618">
        <v>1.7381698947030452E-2</v>
      </c>
      <c r="AT236" s="618">
        <v>1.7365670228496031E-2</v>
      </c>
      <c r="AU236" s="618">
        <v>1.6940154993055258E-2</v>
      </c>
      <c r="AV236" s="618">
        <v>1.7764228715363459E-2</v>
      </c>
      <c r="AW236" s="618">
        <v>1.7381698947030452E-2</v>
      </c>
      <c r="AX236" s="618">
        <v>1.7058099884081745E-2</v>
      </c>
      <c r="AY236" s="618">
        <v>1.7761677009246656E-2</v>
      </c>
      <c r="AZ236" s="618">
        <v>1.7876737993418476E-2</v>
      </c>
      <c r="BA236" s="618">
        <v>1.762043769732179E-2</v>
      </c>
      <c r="BB236" s="618">
        <v>1.7973905346048796E-2</v>
      </c>
      <c r="BC236" s="618">
        <v>1.778031456248496E-2</v>
      </c>
      <c r="BD236" s="618">
        <v>1.7732306348465697E-2</v>
      </c>
      <c r="BE236" s="618"/>
      <c r="BF236" s="618"/>
      <c r="BG236" s="618">
        <v>1.8136856559024046E-2</v>
      </c>
      <c r="BH236" s="618">
        <v>1.7857118895335977E-2</v>
      </c>
      <c r="BI236" s="618"/>
      <c r="BJ236" s="618"/>
      <c r="BK236" s="618"/>
      <c r="BL236" s="618"/>
      <c r="BM236" s="618"/>
      <c r="BN236" s="618"/>
      <c r="BO236" s="618"/>
      <c r="BP236" s="618"/>
      <c r="BQ236" s="618"/>
      <c r="BR236" s="618"/>
      <c r="BS236" s="618"/>
      <c r="BT236" s="618"/>
      <c r="BU236" s="618"/>
      <c r="BV236" s="618"/>
      <c r="BW236" s="618"/>
      <c r="BX236" s="618"/>
      <c r="BY236" s="618"/>
      <c r="BZ236" s="618"/>
      <c r="CA236" s="618"/>
      <c r="CB236" s="618"/>
      <c r="CC236" s="618"/>
      <c r="CD236" s="618"/>
      <c r="CE236" s="618"/>
      <c r="CF236" s="618"/>
      <c r="CG236" s="618"/>
      <c r="CH236" s="618"/>
      <c r="CI236" s="618"/>
      <c r="CJ236" s="618"/>
    </row>
    <row r="237" spans="1:88">
      <c r="A237" s="151">
        <f t="shared" ca="1" si="65"/>
        <v>3</v>
      </c>
      <c r="B237" s="784">
        <f t="shared" si="66"/>
        <v>0</v>
      </c>
      <c r="C237" s="944">
        <f t="shared" si="73"/>
        <v>0</v>
      </c>
      <c r="D237" s="947">
        <f t="shared" si="67"/>
        <v>0</v>
      </c>
      <c r="E237" s="947">
        <f t="shared" si="60"/>
        <v>0</v>
      </c>
      <c r="F237" s="947">
        <f t="shared" si="61"/>
        <v>0</v>
      </c>
      <c r="G237" s="947">
        <f>IF(M236&lt;0.01,0,IF($F$19=$U$4,$G$19,IF(AND($F$21=1,$F$19=$U$2),M236*Adm!$U$4,IF(AND($F$21=2,$F$19=$U$2),M236*Adm!$U$5,IF(AND($F$21=1,$F$19=$U$3),M236*Adm!$V$4,IF(AND($F$21=2,$F$19=$U$3),M236*Adm!$V$5,0))))))</f>
        <v>0</v>
      </c>
      <c r="H237" s="947">
        <f>IF(M236&lt;0.01,0,IF($F$20=$V$3,0,IF(OR($F$10=$T$16,$F$10=$T$17),0,IF($F$10=$T$13,0,$F$11*Adm!$AA$3))))</f>
        <v>0</v>
      </c>
      <c r="I237" s="947">
        <f t="shared" si="74"/>
        <v>0</v>
      </c>
      <c r="J237" s="947">
        <f t="shared" si="62"/>
        <v>0</v>
      </c>
      <c r="K237" s="947">
        <f t="shared" si="68"/>
        <v>0</v>
      </c>
      <c r="L237" s="947">
        <f t="shared" si="63"/>
        <v>0</v>
      </c>
      <c r="M237" s="947">
        <f t="shared" si="69"/>
        <v>0</v>
      </c>
      <c r="N237" s="946"/>
      <c r="P237" s="733"/>
      <c r="Q237" s="733"/>
      <c r="R237" s="733"/>
      <c r="S237" s="785">
        <f t="shared" si="70"/>
        <v>4</v>
      </c>
      <c r="T237" s="786">
        <f t="shared" si="75"/>
        <v>0</v>
      </c>
      <c r="W237" s="790">
        <f t="shared" si="76"/>
        <v>0</v>
      </c>
      <c r="X237" s="818">
        <f t="shared" ca="1" si="71"/>
        <v>0</v>
      </c>
      <c r="Z237" s="843">
        <f t="shared" si="77"/>
        <v>0</v>
      </c>
      <c r="AA237" s="792">
        <f t="shared" si="78"/>
        <v>0</v>
      </c>
      <c r="AB237" s="792">
        <f t="shared" si="79"/>
        <v>0</v>
      </c>
      <c r="AC237" s="789">
        <f t="shared" si="72"/>
        <v>0</v>
      </c>
      <c r="AD237" s="789">
        <f t="shared" si="64"/>
        <v>0</v>
      </c>
      <c r="AE237" s="828" t="e">
        <f>HLOOKUP($AE$39,anticipado,197,0)</f>
        <v>#N/A</v>
      </c>
      <c r="AF237" s="827"/>
      <c r="AG237" s="618"/>
      <c r="AH237" s="618"/>
      <c r="AI237" s="618"/>
      <c r="AJ237" s="618"/>
      <c r="AK237" s="618"/>
      <c r="AL237" s="618"/>
      <c r="AM237" s="618"/>
      <c r="AN237" s="618"/>
      <c r="AO237" s="618"/>
      <c r="AP237" s="618"/>
      <c r="AQ237" s="618"/>
      <c r="AR237" s="618"/>
      <c r="AS237" s="618">
        <v>1.7849695905500194E-2</v>
      </c>
      <c r="AT237" s="618">
        <v>1.7838835578478686E-2</v>
      </c>
      <c r="AU237" s="618">
        <v>1.740280999405883E-2</v>
      </c>
      <c r="AV237" s="618">
        <v>1.8241491209997154E-2</v>
      </c>
      <c r="AW237" s="618">
        <v>1.7849695905500194E-2</v>
      </c>
      <c r="AX237" s="618">
        <v>1.751884794016554E-2</v>
      </c>
      <c r="AY237" s="618">
        <v>1.8232645256544153E-2</v>
      </c>
      <c r="AZ237" s="618">
        <v>1.8358367724323206E-2</v>
      </c>
      <c r="BA237" s="618">
        <v>1.8100007407168106E-2</v>
      </c>
      <c r="BB237" s="618">
        <v>1.8447777367622306E-2</v>
      </c>
      <c r="BC237" s="618">
        <v>1.824910629950658E-2</v>
      </c>
      <c r="BD237" s="618">
        <v>1.8205862890540887E-2</v>
      </c>
      <c r="BE237" s="618"/>
      <c r="BF237" s="618"/>
      <c r="BG237" s="618">
        <v>1.8612726439899415E-2</v>
      </c>
      <c r="BH237" s="618">
        <v>1.8331641620868915E-2</v>
      </c>
      <c r="BI237" s="618"/>
      <c r="BJ237" s="618"/>
      <c r="BK237" s="618"/>
      <c r="BL237" s="618"/>
      <c r="BM237" s="618"/>
      <c r="BN237" s="618"/>
      <c r="BO237" s="618"/>
      <c r="BP237" s="618"/>
      <c r="BQ237" s="618"/>
      <c r="BR237" s="618"/>
      <c r="BS237" s="618"/>
      <c r="BT237" s="618"/>
      <c r="BU237" s="618"/>
      <c r="BV237" s="618"/>
      <c r="BW237" s="618"/>
      <c r="BX237" s="618"/>
      <c r="BY237" s="618"/>
      <c r="BZ237" s="618"/>
      <c r="CA237" s="618"/>
      <c r="CB237" s="618"/>
      <c r="CC237" s="618"/>
      <c r="CD237" s="618"/>
      <c r="CE237" s="618"/>
      <c r="CF237" s="618"/>
      <c r="CG237" s="618"/>
      <c r="CH237" s="618"/>
      <c r="CI237" s="618"/>
      <c r="CJ237" s="618"/>
    </row>
    <row r="238" spans="1:88">
      <c r="A238" s="151">
        <f t="shared" ca="1" si="65"/>
        <v>4</v>
      </c>
      <c r="B238" s="784">
        <f t="shared" si="66"/>
        <v>0</v>
      </c>
      <c r="C238" s="944">
        <f t="shared" si="73"/>
        <v>0</v>
      </c>
      <c r="D238" s="947">
        <f t="shared" si="67"/>
        <v>0</v>
      </c>
      <c r="E238" s="947">
        <f t="shared" si="60"/>
        <v>0</v>
      </c>
      <c r="F238" s="947">
        <f t="shared" si="61"/>
        <v>0</v>
      </c>
      <c r="G238" s="947">
        <f>IF(M237&lt;0.01,0,IF($F$19=$U$4,$G$19,IF(AND($F$21=1,$F$19=$U$2),M237*Adm!$U$4,IF(AND($F$21=2,$F$19=$U$2),M237*Adm!$U$5,IF(AND($F$21=1,$F$19=$U$3),M237*Adm!$V$4,IF(AND($F$21=2,$F$19=$U$3),M237*Adm!$V$5,0))))))</f>
        <v>0</v>
      </c>
      <c r="H238" s="947">
        <f>IF(M237&lt;0.01,0,IF($F$20=$V$3,0,IF(OR($F$10=$T$16,$F$10=$T$17),0,IF($F$10=$T$13,0,$F$11*Adm!$AA$3))))</f>
        <v>0</v>
      </c>
      <c r="I238" s="947">
        <f t="shared" si="74"/>
        <v>0</v>
      </c>
      <c r="J238" s="947">
        <f t="shared" si="62"/>
        <v>0</v>
      </c>
      <c r="K238" s="947">
        <f t="shared" si="68"/>
        <v>0</v>
      </c>
      <c r="L238" s="947">
        <f t="shared" si="63"/>
        <v>0</v>
      </c>
      <c r="M238" s="947">
        <f t="shared" si="69"/>
        <v>0</v>
      </c>
      <c r="N238" s="946"/>
      <c r="P238" s="733"/>
      <c r="Q238" s="733"/>
      <c r="R238" s="733"/>
      <c r="S238" s="785">
        <f t="shared" si="70"/>
        <v>5</v>
      </c>
      <c r="T238" s="786">
        <f t="shared" si="75"/>
        <v>0</v>
      </c>
      <c r="W238" s="790">
        <f t="shared" si="76"/>
        <v>0</v>
      </c>
      <c r="X238" s="818">
        <f t="shared" ca="1" si="71"/>
        <v>0</v>
      </c>
      <c r="Z238" s="843">
        <f t="shared" si="77"/>
        <v>0</v>
      </c>
      <c r="AA238" s="792">
        <f t="shared" si="78"/>
        <v>0</v>
      </c>
      <c r="AB238" s="792">
        <f t="shared" si="79"/>
        <v>0</v>
      </c>
      <c r="AC238" s="789">
        <f t="shared" si="72"/>
        <v>0</v>
      </c>
      <c r="AD238" s="789">
        <f t="shared" si="64"/>
        <v>0</v>
      </c>
      <c r="AE238" s="828" t="e">
        <f>HLOOKUP($AE$39,anticipado,198,0)</f>
        <v>#N/A</v>
      </c>
      <c r="AF238" s="827"/>
      <c r="AG238" s="618"/>
      <c r="AH238" s="618"/>
      <c r="AI238" s="618"/>
      <c r="AJ238" s="618"/>
      <c r="AK238" s="618"/>
      <c r="AL238" s="618"/>
      <c r="AM238" s="618"/>
      <c r="AN238" s="618"/>
      <c r="AO238" s="618"/>
      <c r="AP238" s="618"/>
      <c r="AQ238" s="618"/>
      <c r="AR238" s="618"/>
      <c r="AS238" s="618">
        <v>1.8339027968278854E-2</v>
      </c>
      <c r="AT238" s="618">
        <v>1.8333721533863749E-2</v>
      </c>
      <c r="AU238" s="618">
        <v>1.7886518519669655E-2</v>
      </c>
      <c r="AV238" s="618">
        <v>1.8740682058727001E-2</v>
      </c>
      <c r="AW238" s="618">
        <v>1.8339027968278854E-2</v>
      </c>
      <c r="AX238" s="618">
        <v>1.8000478653579871E-2</v>
      </c>
      <c r="AY238" s="618">
        <v>1.8725080077200508E-2</v>
      </c>
      <c r="AZ238" s="618">
        <v>1.8862223346245672E-2</v>
      </c>
      <c r="BA238" s="618">
        <v>1.8601710234391944E-2</v>
      </c>
      <c r="BB238" s="618">
        <v>1.8943283753071003E-2</v>
      </c>
      <c r="BC238" s="618">
        <v>1.8739201899740526E-2</v>
      </c>
      <c r="BD238" s="618">
        <v>1.8701082061018139E-2</v>
      </c>
      <c r="BE238" s="618"/>
      <c r="BF238" s="618"/>
      <c r="BG238" s="618">
        <v>1.9110344085642057E-2</v>
      </c>
      <c r="BH238" s="618">
        <v>1.8827870678319938E-2</v>
      </c>
      <c r="BI238" s="618"/>
      <c r="BJ238" s="618"/>
      <c r="BK238" s="618"/>
      <c r="BL238" s="618"/>
      <c r="BM238" s="618"/>
      <c r="BN238" s="618"/>
      <c r="BO238" s="618"/>
      <c r="BP238" s="618"/>
      <c r="BQ238" s="618"/>
      <c r="BR238" s="618"/>
      <c r="BS238" s="618"/>
      <c r="BT238" s="618"/>
      <c r="BU238" s="618"/>
      <c r="BV238" s="618"/>
      <c r="BW238" s="618"/>
      <c r="BX238" s="618"/>
      <c r="BY238" s="618"/>
      <c r="BZ238" s="618"/>
      <c r="CA238" s="618"/>
      <c r="CB238" s="618"/>
      <c r="CC238" s="618"/>
      <c r="CD238" s="618"/>
      <c r="CE238" s="618"/>
      <c r="CF238" s="618"/>
      <c r="CG238" s="618"/>
      <c r="CH238" s="618"/>
      <c r="CI238" s="618"/>
      <c r="CJ238" s="618"/>
    </row>
    <row r="239" spans="1:88">
      <c r="A239" s="151">
        <f t="shared" ca="1" si="65"/>
        <v>5</v>
      </c>
      <c r="B239" s="784">
        <f t="shared" si="66"/>
        <v>0</v>
      </c>
      <c r="C239" s="944">
        <f t="shared" si="73"/>
        <v>0</v>
      </c>
      <c r="D239" s="947">
        <f t="shared" si="67"/>
        <v>0</v>
      </c>
      <c r="E239" s="947">
        <f t="shared" si="60"/>
        <v>0</v>
      </c>
      <c r="F239" s="947">
        <f t="shared" si="61"/>
        <v>0</v>
      </c>
      <c r="G239" s="947">
        <f>IF(M238&lt;0.01,0,IF($F$19=$U$4,$G$19,IF(AND($F$21=1,$F$19=$U$2),M238*Adm!$U$4,IF(AND($F$21=2,$F$19=$U$2),M238*Adm!$U$5,IF(AND($F$21=1,$F$19=$U$3),M238*Adm!$V$4,IF(AND($F$21=2,$F$19=$U$3),M238*Adm!$V$5,0))))))</f>
        <v>0</v>
      </c>
      <c r="H239" s="947">
        <f>IF(M238&lt;0.01,0,IF($F$20=$V$3,0,IF(OR($F$10=$T$16,$F$10=$T$17),0,IF($F$10=$T$13,0,$F$11*Adm!$AA$3))))</f>
        <v>0</v>
      </c>
      <c r="I239" s="947">
        <f t="shared" si="74"/>
        <v>0</v>
      </c>
      <c r="J239" s="947">
        <f t="shared" si="62"/>
        <v>0</v>
      </c>
      <c r="K239" s="947">
        <f t="shared" si="68"/>
        <v>0</v>
      </c>
      <c r="L239" s="947">
        <f t="shared" si="63"/>
        <v>0</v>
      </c>
      <c r="M239" s="947">
        <f t="shared" si="69"/>
        <v>0</v>
      </c>
      <c r="N239" s="946"/>
      <c r="P239" s="733"/>
      <c r="Q239" s="733"/>
      <c r="R239" s="733"/>
      <c r="S239" s="785">
        <f t="shared" si="70"/>
        <v>6</v>
      </c>
      <c r="T239" s="786">
        <f t="shared" si="75"/>
        <v>0</v>
      </c>
      <c r="W239" s="790">
        <f t="shared" si="76"/>
        <v>0</v>
      </c>
      <c r="X239" s="818">
        <f t="shared" ca="1" si="71"/>
        <v>0</v>
      </c>
      <c r="Z239" s="843">
        <f t="shared" si="77"/>
        <v>0</v>
      </c>
      <c r="AA239" s="792">
        <f t="shared" si="78"/>
        <v>0</v>
      </c>
      <c r="AB239" s="792">
        <f t="shared" si="79"/>
        <v>0</v>
      </c>
      <c r="AC239" s="789">
        <f t="shared" si="72"/>
        <v>0</v>
      </c>
      <c r="AD239" s="789">
        <f t="shared" si="64"/>
        <v>0</v>
      </c>
      <c r="AE239" s="828" t="e">
        <f>HLOOKUP($AE$39,anticipado,199,0)</f>
        <v>#N/A</v>
      </c>
      <c r="AF239" s="827"/>
      <c r="AG239" s="618"/>
      <c r="AH239" s="618"/>
      <c r="AI239" s="618"/>
      <c r="AJ239" s="618"/>
      <c r="AK239" s="618"/>
      <c r="AL239" s="618"/>
      <c r="AM239" s="618"/>
      <c r="AN239" s="618"/>
      <c r="AO239" s="618"/>
      <c r="AP239" s="618"/>
      <c r="AQ239" s="618"/>
      <c r="AR239" s="618"/>
      <c r="AS239" s="618">
        <v>1.8851166720818768E-2</v>
      </c>
      <c r="AT239" s="618">
        <v>1.885183560161708E-2</v>
      </c>
      <c r="AU239" s="618">
        <v>1.8392725940497297E-2</v>
      </c>
      <c r="AV239" s="618">
        <v>1.9263328353550269E-2</v>
      </c>
      <c r="AW239" s="618">
        <v>1.8851166720818768E-2</v>
      </c>
      <c r="AX239" s="618">
        <v>1.8504421643592429E-2</v>
      </c>
      <c r="AY239" s="618">
        <v>1.9240465412749659E-2</v>
      </c>
      <c r="AZ239" s="618">
        <v>1.9389859965964734E-2</v>
      </c>
      <c r="BA239" s="618">
        <v>1.91270924575506E-2</v>
      </c>
      <c r="BB239" s="618">
        <v>1.9461924168011544E-2</v>
      </c>
      <c r="BC239" s="618">
        <v>1.9252070185351359E-2</v>
      </c>
      <c r="BD239" s="618">
        <v>1.9219466070693789E-2</v>
      </c>
      <c r="BE239" s="618"/>
      <c r="BF239" s="618"/>
      <c r="BG239" s="618">
        <v>1.9631219824971156E-2</v>
      </c>
      <c r="BH239" s="618">
        <v>1.9347312408493935E-2</v>
      </c>
      <c r="BI239" s="618"/>
      <c r="BJ239" s="618"/>
      <c r="BK239" s="618"/>
      <c r="BL239" s="618"/>
      <c r="BM239" s="618"/>
      <c r="BN239" s="618"/>
      <c r="BO239" s="618"/>
      <c r="BP239" s="618"/>
      <c r="BQ239" s="618"/>
      <c r="BR239" s="618"/>
      <c r="BS239" s="618"/>
      <c r="BT239" s="618"/>
      <c r="BU239" s="618"/>
      <c r="BV239" s="618"/>
      <c r="BW239" s="618"/>
      <c r="BX239" s="618"/>
      <c r="BY239" s="618"/>
      <c r="BZ239" s="618"/>
      <c r="CA239" s="618"/>
      <c r="CB239" s="618"/>
      <c r="CC239" s="618"/>
      <c r="CD239" s="618"/>
      <c r="CE239" s="618"/>
      <c r="CF239" s="618"/>
      <c r="CG239" s="618"/>
      <c r="CH239" s="618"/>
      <c r="CI239" s="618"/>
      <c r="CJ239" s="618"/>
    </row>
    <row r="240" spans="1:88">
      <c r="A240" s="151">
        <f t="shared" ca="1" si="65"/>
        <v>6</v>
      </c>
      <c r="B240" s="784">
        <f t="shared" si="66"/>
        <v>0</v>
      </c>
      <c r="C240" s="944">
        <f t="shared" si="73"/>
        <v>0</v>
      </c>
      <c r="D240" s="947">
        <f t="shared" si="67"/>
        <v>0</v>
      </c>
      <c r="E240" s="947">
        <f t="shared" si="60"/>
        <v>0</v>
      </c>
      <c r="F240" s="947">
        <f t="shared" si="61"/>
        <v>0</v>
      </c>
      <c r="G240" s="947">
        <f>IF(M239&lt;0.01,0,IF($F$19=$U$4,$G$19,IF(AND($F$21=1,$F$19=$U$2),M239*Adm!$U$4,IF(AND($F$21=2,$F$19=$U$2),M239*Adm!$U$5,IF(AND($F$21=1,$F$19=$U$3),M239*Adm!$V$4,IF(AND($F$21=2,$F$19=$U$3),M239*Adm!$V$5,0))))))</f>
        <v>0</v>
      </c>
      <c r="H240" s="947">
        <f>IF(M239&lt;0.01,0,IF($F$20=$V$3,0,IF(OR($F$10=$T$16,$F$10=$T$17),0,IF($F$10=$T$13,0,$F$11*Adm!$AA$3))))</f>
        <v>0</v>
      </c>
      <c r="I240" s="947">
        <f t="shared" si="74"/>
        <v>0</v>
      </c>
      <c r="J240" s="947">
        <f t="shared" si="62"/>
        <v>0</v>
      </c>
      <c r="K240" s="947">
        <f t="shared" si="68"/>
        <v>0</v>
      </c>
      <c r="L240" s="947">
        <f t="shared" si="63"/>
        <v>0</v>
      </c>
      <c r="M240" s="947">
        <f t="shared" si="69"/>
        <v>0</v>
      </c>
      <c r="N240" s="946"/>
      <c r="P240" s="733"/>
      <c r="Q240" s="733"/>
      <c r="R240" s="733"/>
      <c r="S240" s="785">
        <f t="shared" si="70"/>
        <v>7</v>
      </c>
      <c r="T240" s="786">
        <f t="shared" si="75"/>
        <v>0</v>
      </c>
      <c r="W240" s="790">
        <f t="shared" si="76"/>
        <v>0</v>
      </c>
      <c r="X240" s="818">
        <f t="shared" ca="1" si="71"/>
        <v>0</v>
      </c>
      <c r="Z240" s="843">
        <f t="shared" si="77"/>
        <v>0</v>
      </c>
      <c r="AA240" s="792">
        <f t="shared" si="78"/>
        <v>0</v>
      </c>
      <c r="AB240" s="792">
        <f t="shared" si="79"/>
        <v>0</v>
      </c>
      <c r="AC240" s="789">
        <f t="shared" si="72"/>
        <v>0</v>
      </c>
      <c r="AD240" s="789">
        <f t="shared" si="64"/>
        <v>0</v>
      </c>
      <c r="AE240" s="828" t="e">
        <f>HLOOKUP($AE$39,anticipado,200,0)</f>
        <v>#N/A</v>
      </c>
      <c r="AF240" s="827"/>
      <c r="AG240" s="618"/>
      <c r="AH240" s="618"/>
      <c r="AI240" s="618"/>
      <c r="AJ240" s="618"/>
      <c r="AK240" s="618"/>
      <c r="AL240" s="618"/>
      <c r="AM240" s="618"/>
      <c r="AN240" s="618"/>
      <c r="AO240" s="618"/>
      <c r="AP240" s="618"/>
      <c r="AQ240" s="618"/>
      <c r="AR240" s="618"/>
      <c r="AS240" s="618">
        <v>1.9387722243152796E-2</v>
      </c>
      <c r="AT240" s="618">
        <v>1.9394828065107322E-2</v>
      </c>
      <c r="AU240" s="618">
        <v>1.8923012991953873E-2</v>
      </c>
      <c r="AV240" s="618">
        <v>1.9811102329824842E-2</v>
      </c>
      <c r="AW240" s="618">
        <v>1.9387722243152796E-2</v>
      </c>
      <c r="AX240" s="618">
        <v>1.9032240040219136E-2</v>
      </c>
      <c r="AY240" s="618">
        <v>1.9780425187929784E-2</v>
      </c>
      <c r="AZ240" s="618">
        <v>1.9942981210311062E-2</v>
      </c>
      <c r="BA240" s="618">
        <v>1.9677847797986293E-2</v>
      </c>
      <c r="BB240" s="618">
        <v>2.0005340147242544E-2</v>
      </c>
      <c r="BC240" s="618">
        <v>1.9789318163900792E-2</v>
      </c>
      <c r="BD240" s="618">
        <v>1.9762659292024431E-2</v>
      </c>
      <c r="BE240" s="618"/>
      <c r="BF240" s="618"/>
      <c r="BG240" s="618">
        <v>2.0177007138686118E-2</v>
      </c>
      <c r="BH240" s="618">
        <v>1.9891615813718354E-2</v>
      </c>
      <c r="BI240" s="618"/>
      <c r="BJ240" s="618"/>
      <c r="BK240" s="618"/>
      <c r="BL240" s="618"/>
      <c r="BM240" s="618"/>
      <c r="BN240" s="618"/>
      <c r="BO240" s="618"/>
      <c r="BP240" s="618"/>
      <c r="BQ240" s="618"/>
      <c r="BR240" s="618"/>
      <c r="BS240" s="618"/>
      <c r="BT240" s="618"/>
      <c r="BU240" s="618"/>
      <c r="BV240" s="618"/>
      <c r="BW240" s="618"/>
      <c r="BX240" s="618"/>
      <c r="BY240" s="618"/>
      <c r="BZ240" s="618"/>
      <c r="CA240" s="618"/>
      <c r="CB240" s="618"/>
      <c r="CC240" s="618"/>
      <c r="CD240" s="618"/>
      <c r="CE240" s="618"/>
      <c r="CF240" s="618"/>
      <c r="CG240" s="618"/>
      <c r="CH240" s="618"/>
      <c r="CI240" s="618"/>
      <c r="CJ240" s="618"/>
    </row>
    <row r="241" spans="1:88">
      <c r="A241" s="151">
        <f t="shared" ca="1" si="65"/>
        <v>7</v>
      </c>
      <c r="B241" s="784">
        <f t="shared" si="66"/>
        <v>0</v>
      </c>
      <c r="C241" s="944">
        <f t="shared" si="73"/>
        <v>0</v>
      </c>
      <c r="D241" s="947">
        <f t="shared" si="67"/>
        <v>0</v>
      </c>
      <c r="E241" s="947">
        <f t="shared" si="60"/>
        <v>0</v>
      </c>
      <c r="F241" s="947">
        <f t="shared" si="61"/>
        <v>0</v>
      </c>
      <c r="G241" s="947">
        <f>IF(M240&lt;0.01,0,IF($F$19=$U$4,$G$19,IF(AND($F$21=1,$F$19=$U$2),M240*Adm!$U$4,IF(AND($F$21=2,$F$19=$U$2),M240*Adm!$U$5,IF(AND($F$21=1,$F$19=$U$3),M240*Adm!$V$4,IF(AND($F$21=2,$F$19=$U$3),M240*Adm!$V$5,0))))))</f>
        <v>0</v>
      </c>
      <c r="H241" s="947">
        <f>IF(M240&lt;0.01,0,IF($F$20=$V$3,0,IF(OR($F$10=$T$16,$F$10=$T$17),0,IF($F$10=$T$13,0,$F$11*Adm!$AA$3))))</f>
        <v>0</v>
      </c>
      <c r="I241" s="947">
        <f t="shared" si="74"/>
        <v>0</v>
      </c>
      <c r="J241" s="947">
        <f t="shared" si="62"/>
        <v>0</v>
      </c>
      <c r="K241" s="947">
        <f t="shared" si="68"/>
        <v>0</v>
      </c>
      <c r="L241" s="947">
        <f t="shared" si="63"/>
        <v>0</v>
      </c>
      <c r="M241" s="947">
        <f t="shared" si="69"/>
        <v>0</v>
      </c>
      <c r="N241" s="946"/>
      <c r="P241" s="733"/>
      <c r="Q241" s="733"/>
      <c r="R241" s="733"/>
      <c r="S241" s="785">
        <f t="shared" si="70"/>
        <v>8</v>
      </c>
      <c r="T241" s="786">
        <f t="shared" si="75"/>
        <v>0</v>
      </c>
      <c r="W241" s="790">
        <f t="shared" si="76"/>
        <v>0</v>
      </c>
      <c r="X241" s="818">
        <f t="shared" ca="1" si="71"/>
        <v>0</v>
      </c>
      <c r="Z241" s="843">
        <f t="shared" si="77"/>
        <v>0</v>
      </c>
      <c r="AA241" s="792">
        <f t="shared" si="78"/>
        <v>0</v>
      </c>
      <c r="AB241" s="792">
        <f t="shared" si="79"/>
        <v>0</v>
      </c>
      <c r="AC241" s="789">
        <f t="shared" si="72"/>
        <v>0</v>
      </c>
      <c r="AD241" s="789">
        <f t="shared" si="64"/>
        <v>0</v>
      </c>
      <c r="AE241" s="828" t="e">
        <f>HLOOKUP($AE$39,anticipado,201,0)</f>
        <v>#N/A</v>
      </c>
      <c r="AF241" s="827"/>
      <c r="AG241" s="618"/>
      <c r="AH241" s="618"/>
      <c r="AI241" s="618"/>
      <c r="AJ241" s="618"/>
      <c r="AK241" s="618"/>
      <c r="AL241" s="618"/>
      <c r="AM241" s="618"/>
      <c r="AN241" s="618"/>
      <c r="AO241" s="618"/>
      <c r="AP241" s="618"/>
      <c r="AQ241" s="618"/>
      <c r="AR241" s="618"/>
      <c r="AS241" s="618">
        <v>1.9950459795650671E-2</v>
      </c>
      <c r="AT241" s="618">
        <v>1.9964509297720055E-2</v>
      </c>
      <c r="AU241" s="618">
        <v>1.9479112001831528E-2</v>
      </c>
      <c r="AV241" s="618">
        <v>2.0385839030532798E-2</v>
      </c>
      <c r="AW241" s="618">
        <v>1.9950459795650671E-2</v>
      </c>
      <c r="AX241" s="618">
        <v>1.9585646443047833E-2</v>
      </c>
      <c r="AY241" s="618">
        <v>2.0346740215895224E-2</v>
      </c>
      <c r="AZ241" s="618">
        <v>2.0523457390815212E-2</v>
      </c>
      <c r="BA241" s="618">
        <v>2.0255835423563885E-2</v>
      </c>
      <c r="BB241" s="618">
        <v>2.0575332277597426E-2</v>
      </c>
      <c r="BC241" s="618">
        <v>2.035270767058792E-2</v>
      </c>
      <c r="BD241" s="618">
        <v>2.033246548393244E-2</v>
      </c>
      <c r="BE241" s="618"/>
      <c r="BF241" s="618"/>
      <c r="BG241" s="618">
        <v>2.0749520031927104E-2</v>
      </c>
      <c r="BH241" s="618">
        <v>2.0462589856699576E-2</v>
      </c>
      <c r="BI241" s="618"/>
      <c r="BJ241" s="618"/>
      <c r="BK241" s="618"/>
      <c r="BL241" s="618"/>
      <c r="BM241" s="618"/>
      <c r="BN241" s="618"/>
      <c r="BO241" s="618"/>
      <c r="BP241" s="618"/>
      <c r="BQ241" s="618"/>
      <c r="BR241" s="618"/>
      <c r="BS241" s="618"/>
      <c r="BT241" s="618"/>
      <c r="BU241" s="618"/>
      <c r="BV241" s="618"/>
      <c r="BW241" s="618"/>
      <c r="BX241" s="618"/>
      <c r="BY241" s="618"/>
      <c r="BZ241" s="618"/>
      <c r="CA241" s="618"/>
      <c r="CB241" s="618"/>
      <c r="CC241" s="618"/>
      <c r="CD241" s="618"/>
      <c r="CE241" s="618"/>
      <c r="CF241" s="618"/>
      <c r="CG241" s="618"/>
      <c r="CH241" s="618"/>
      <c r="CI241" s="618"/>
      <c r="CJ241" s="618"/>
    </row>
    <row r="242" spans="1:88">
      <c r="A242" s="151">
        <f t="shared" ca="1" si="65"/>
        <v>8</v>
      </c>
      <c r="B242" s="784">
        <f t="shared" si="66"/>
        <v>0</v>
      </c>
      <c r="C242" s="944">
        <f t="shared" si="73"/>
        <v>0</v>
      </c>
      <c r="D242" s="947">
        <f t="shared" si="67"/>
        <v>0</v>
      </c>
      <c r="E242" s="947">
        <f t="shared" si="60"/>
        <v>0</v>
      </c>
      <c r="F242" s="947">
        <f t="shared" si="61"/>
        <v>0</v>
      </c>
      <c r="G242" s="947">
        <f>IF(M241&lt;0.01,0,IF($F$19=$U$4,$G$19,IF(AND($F$21=1,$F$19=$U$2),M241*Adm!$U$4,IF(AND($F$21=2,$F$19=$U$2),M241*Adm!$U$5,IF(AND($F$21=1,$F$19=$U$3),M241*Adm!$V$4,IF(AND($F$21=2,$F$19=$U$3),M241*Adm!$V$5,0))))))</f>
        <v>0</v>
      </c>
      <c r="H242" s="947">
        <f>IF(M241&lt;0.01,0,IF($F$20=$V$3,0,IF(OR($F$10=$T$16,$F$10=$T$17),0,IF($F$10=$T$13,0,$F$11*Adm!$AA$3))))</f>
        <v>0</v>
      </c>
      <c r="I242" s="947">
        <f t="shared" si="74"/>
        <v>0</v>
      </c>
      <c r="J242" s="947">
        <f t="shared" si="62"/>
        <v>0</v>
      </c>
      <c r="K242" s="947">
        <f t="shared" si="68"/>
        <v>0</v>
      </c>
      <c r="L242" s="947">
        <f t="shared" si="63"/>
        <v>0</v>
      </c>
      <c r="M242" s="947">
        <f t="shared" si="69"/>
        <v>0</v>
      </c>
      <c r="N242" s="946"/>
      <c r="P242" s="733"/>
      <c r="Q242" s="733"/>
      <c r="R242" s="733"/>
      <c r="S242" s="785">
        <f t="shared" si="70"/>
        <v>9</v>
      </c>
      <c r="T242" s="786">
        <f t="shared" si="75"/>
        <v>0</v>
      </c>
      <c r="W242" s="790">
        <f t="shared" si="76"/>
        <v>0</v>
      </c>
      <c r="X242" s="818">
        <f t="shared" ca="1" si="71"/>
        <v>0</v>
      </c>
      <c r="Z242" s="843">
        <f t="shared" si="77"/>
        <v>0</v>
      </c>
      <c r="AA242" s="792">
        <f t="shared" si="78"/>
        <v>0</v>
      </c>
      <c r="AB242" s="792">
        <f t="shared" si="79"/>
        <v>0</v>
      </c>
      <c r="AC242" s="789">
        <f t="shared" si="72"/>
        <v>0</v>
      </c>
      <c r="AD242" s="789">
        <f t="shared" si="64"/>
        <v>0</v>
      </c>
      <c r="AE242" s="828" t="e">
        <f>HLOOKUP($AE$39,anticipado,202,0)</f>
        <v>#N/A</v>
      </c>
      <c r="AF242" s="827"/>
      <c r="AG242" s="618"/>
      <c r="AH242" s="618"/>
      <c r="AI242" s="618"/>
      <c r="AJ242" s="618"/>
      <c r="AK242" s="618"/>
      <c r="AL242" s="618"/>
      <c r="AM242" s="618"/>
      <c r="AN242" s="618"/>
      <c r="AO242" s="618"/>
      <c r="AP242" s="618"/>
      <c r="AQ242" s="618"/>
      <c r="AR242" s="618"/>
      <c r="AS242" s="618">
        <v>2.0541318976690294E-2</v>
      </c>
      <c r="AT242" s="618">
        <v>2.056286965851466E-2</v>
      </c>
      <c r="AU242" s="618">
        <v>2.006292550967028E-2</v>
      </c>
      <c r="AV242" s="618">
        <v>2.098955661463944E-2</v>
      </c>
      <c r="AW242" s="618">
        <v>2.0541318976690294E-2</v>
      </c>
      <c r="AX242" s="618">
        <v>2.0166521225240205E-2</v>
      </c>
      <c r="AY242" s="618">
        <v>2.0941367613956968E-2</v>
      </c>
      <c r="AZ242" s="618">
        <v>2.1133346401142221E-2</v>
      </c>
      <c r="BA242" s="618">
        <v>2.086310065649866E-2</v>
      </c>
      <c r="BB242" s="618">
        <v>2.1173879940170028E-2</v>
      </c>
      <c r="BC242" s="618">
        <v>2.0944174475005774E-2</v>
      </c>
      <c r="BD242" s="618">
        <v>2.0930867583230667E-2</v>
      </c>
      <c r="BE242" s="618"/>
      <c r="BF242" s="618"/>
      <c r="BG242" s="618">
        <v>2.1350752999224686E-2</v>
      </c>
      <c r="BH242" s="618">
        <v>2.1062223339093279E-2</v>
      </c>
      <c r="BI242" s="618"/>
      <c r="BJ242" s="618"/>
      <c r="BK242" s="618"/>
      <c r="BL242" s="618"/>
      <c r="BM242" s="618"/>
      <c r="BN242" s="618"/>
      <c r="BO242" s="618"/>
      <c r="BP242" s="618"/>
      <c r="BQ242" s="618"/>
      <c r="BR242" s="618"/>
      <c r="BS242" s="618"/>
      <c r="BT242" s="618"/>
      <c r="BU242" s="618"/>
      <c r="BV242" s="618"/>
      <c r="BW242" s="618"/>
      <c r="BX242" s="618"/>
      <c r="BY242" s="618"/>
      <c r="BZ242" s="618"/>
      <c r="CA242" s="618"/>
      <c r="CB242" s="618"/>
      <c r="CC242" s="618"/>
      <c r="CD242" s="618"/>
      <c r="CE242" s="618"/>
      <c r="CF242" s="618"/>
      <c r="CG242" s="618"/>
      <c r="CH242" s="618"/>
      <c r="CI242" s="618"/>
      <c r="CJ242" s="618"/>
    </row>
    <row r="243" spans="1:88">
      <c r="A243" s="151">
        <f t="shared" ca="1" si="65"/>
        <v>9</v>
      </c>
      <c r="B243" s="784">
        <f t="shared" si="66"/>
        <v>0</v>
      </c>
      <c r="C243" s="944">
        <f t="shared" si="73"/>
        <v>0</v>
      </c>
      <c r="D243" s="947">
        <f t="shared" si="67"/>
        <v>0</v>
      </c>
      <c r="E243" s="947">
        <f t="shared" si="60"/>
        <v>0</v>
      </c>
      <c r="F243" s="947">
        <f t="shared" si="61"/>
        <v>0</v>
      </c>
      <c r="G243" s="947">
        <f>IF(M242&lt;0.01,0,IF($F$19=$U$4,$G$19,IF(AND($F$21=1,$F$19=$U$2),M242*Adm!$U$4,IF(AND($F$21=2,$F$19=$U$2),M242*Adm!$U$5,IF(AND($F$21=1,$F$19=$U$3),M242*Adm!$V$4,IF(AND($F$21=2,$F$19=$U$3),M242*Adm!$V$5,0))))))</f>
        <v>0</v>
      </c>
      <c r="H243" s="947">
        <f>IF(M242&lt;0.01,0,IF($F$20=$V$3,0,IF(OR($F$10=$T$16,$F$10=$T$17),0,IF($F$10=$T$13,0,$F$11*Adm!$AA$3))))</f>
        <v>0</v>
      </c>
      <c r="I243" s="947">
        <f t="shared" si="74"/>
        <v>0</v>
      </c>
      <c r="J243" s="947">
        <f t="shared" si="62"/>
        <v>0</v>
      </c>
      <c r="K243" s="947">
        <f t="shared" si="68"/>
        <v>0</v>
      </c>
      <c r="L243" s="947">
        <f t="shared" si="63"/>
        <v>0</v>
      </c>
      <c r="M243" s="947">
        <f t="shared" si="69"/>
        <v>0</v>
      </c>
      <c r="N243" s="946"/>
      <c r="P243" s="733"/>
      <c r="Q243" s="733"/>
      <c r="R243" s="733"/>
      <c r="S243" s="785">
        <f t="shared" si="70"/>
        <v>10</v>
      </c>
      <c r="T243" s="786">
        <f t="shared" si="75"/>
        <v>0</v>
      </c>
      <c r="W243" s="790">
        <f t="shared" si="76"/>
        <v>0</v>
      </c>
      <c r="X243" s="818">
        <f t="shared" ca="1" si="71"/>
        <v>0</v>
      </c>
      <c r="Z243" s="843">
        <f t="shared" si="77"/>
        <v>0</v>
      </c>
      <c r="AA243" s="792">
        <f t="shared" si="78"/>
        <v>0</v>
      </c>
      <c r="AB243" s="792">
        <f t="shared" si="79"/>
        <v>0</v>
      </c>
      <c r="AC243" s="789">
        <f t="shared" si="72"/>
        <v>0</v>
      </c>
      <c r="AD243" s="789">
        <f t="shared" si="64"/>
        <v>0</v>
      </c>
      <c r="AE243" s="828" t="e">
        <f>HLOOKUP($AE$39,anticipado,203,0)</f>
        <v>#N/A</v>
      </c>
      <c r="AF243" s="827"/>
      <c r="AG243" s="618"/>
      <c r="AH243" s="618"/>
      <c r="AI243" s="618"/>
      <c r="AJ243" s="618"/>
      <c r="AK243" s="618"/>
      <c r="AL243" s="618"/>
      <c r="AM243" s="618"/>
      <c r="AN243" s="618"/>
      <c r="AO243" s="618"/>
      <c r="AP243" s="618"/>
      <c r="AQ243" s="618"/>
      <c r="AR243" s="618"/>
      <c r="AS243" s="618">
        <v>2.1162435790295954E-2</v>
      </c>
      <c r="AT243" s="618">
        <v>2.1192102430622639E-2</v>
      </c>
      <c r="AU243" s="618">
        <v>2.0676547699555251E-2</v>
      </c>
      <c r="AV243" s="618">
        <v>2.1624479783110426E-2</v>
      </c>
      <c r="AW243" s="618">
        <v>2.1162435790295954E-2</v>
      </c>
      <c r="AX243" s="618">
        <v>2.077693359487285E-2</v>
      </c>
      <c r="AY243" s="618">
        <v>2.1566463175857746E-2</v>
      </c>
      <c r="AZ243" s="618">
        <v>2.1774917839306501E-2</v>
      </c>
      <c r="BA243" s="618">
        <v>2.1501898871274322E-2</v>
      </c>
      <c r="BB243" s="618">
        <v>2.1803164067987775E-2</v>
      </c>
      <c r="BC243" s="618">
        <v>2.15658502889822E-2</v>
      </c>
      <c r="BD243" s="618">
        <v>2.1560050520214504E-2</v>
      </c>
      <c r="BE243" s="618"/>
      <c r="BF243" s="618"/>
      <c r="BG243" s="618">
        <v>2.1982904045321081E-2</v>
      </c>
      <c r="BH243" s="618">
        <v>2.1692707820048528E-2</v>
      </c>
      <c r="BI243" s="618"/>
      <c r="BJ243" s="618"/>
      <c r="BK243" s="618"/>
      <c r="BL243" s="618"/>
      <c r="BM243" s="618"/>
      <c r="BN243" s="618"/>
      <c r="BO243" s="618"/>
      <c r="BP243" s="618"/>
      <c r="BQ243" s="618"/>
      <c r="BR243" s="618"/>
      <c r="BS243" s="618"/>
      <c r="BT243" s="618"/>
      <c r="BU243" s="618"/>
      <c r="BV243" s="618"/>
      <c r="BW243" s="618"/>
      <c r="BX243" s="618"/>
      <c r="BY243" s="618"/>
      <c r="BZ243" s="618"/>
      <c r="CA243" s="618"/>
      <c r="CB243" s="618"/>
      <c r="CC243" s="618"/>
      <c r="CD243" s="618"/>
      <c r="CE243" s="618"/>
      <c r="CF243" s="618"/>
      <c r="CG243" s="618"/>
      <c r="CH243" s="618"/>
      <c r="CI243" s="618"/>
      <c r="CJ243" s="618"/>
    </row>
    <row r="244" spans="1:88">
      <c r="A244" s="151">
        <f t="shared" ca="1" si="65"/>
        <v>10</v>
      </c>
      <c r="B244" s="784">
        <f t="shared" si="66"/>
        <v>0</v>
      </c>
      <c r="C244" s="944">
        <f t="shared" si="73"/>
        <v>0</v>
      </c>
      <c r="D244" s="947">
        <f t="shared" si="67"/>
        <v>0</v>
      </c>
      <c r="E244" s="947">
        <f t="shared" si="60"/>
        <v>0</v>
      </c>
      <c r="F244" s="947">
        <f t="shared" si="61"/>
        <v>0</v>
      </c>
      <c r="G244" s="947">
        <f>IF(M243&lt;0.01,0,IF($F$19=$U$4,$G$19,IF(AND($F$21=1,$F$19=$U$2),M243*Adm!$U$4,IF(AND($F$21=2,$F$19=$U$2),M243*Adm!$U$5,IF(AND($F$21=1,$F$19=$U$3),M243*Adm!$V$4,IF(AND($F$21=2,$F$19=$U$3),M243*Adm!$V$5,0))))))</f>
        <v>0</v>
      </c>
      <c r="H244" s="947">
        <f>IF(M243&lt;0.01,0,IF($F$20=$V$3,0,IF(OR($F$10=$T$16,$F$10=$T$17),0,IF($F$10=$T$13,0,$F$11*Adm!$AA$3))))</f>
        <v>0</v>
      </c>
      <c r="I244" s="947">
        <f t="shared" si="74"/>
        <v>0</v>
      </c>
      <c r="J244" s="947">
        <f t="shared" si="62"/>
        <v>0</v>
      </c>
      <c r="K244" s="947">
        <f t="shared" si="68"/>
        <v>0</v>
      </c>
      <c r="L244" s="947">
        <f t="shared" si="63"/>
        <v>0</v>
      </c>
      <c r="M244" s="947">
        <f t="shared" si="69"/>
        <v>0</v>
      </c>
      <c r="N244" s="946"/>
      <c r="P244" s="733"/>
      <c r="Q244" s="733"/>
      <c r="R244" s="733"/>
      <c r="S244" s="785">
        <f t="shared" si="70"/>
        <v>11</v>
      </c>
      <c r="T244" s="786">
        <f t="shared" si="75"/>
        <v>0</v>
      </c>
      <c r="W244" s="790">
        <f t="shared" si="76"/>
        <v>0</v>
      </c>
      <c r="X244" s="818">
        <f t="shared" ca="1" si="71"/>
        <v>0</v>
      </c>
      <c r="Z244" s="843">
        <f t="shared" si="77"/>
        <v>0</v>
      </c>
      <c r="AA244" s="792">
        <f t="shared" si="78"/>
        <v>0</v>
      </c>
      <c r="AB244" s="792">
        <f t="shared" si="79"/>
        <v>0</v>
      </c>
      <c r="AC244" s="789">
        <f t="shared" si="72"/>
        <v>0</v>
      </c>
      <c r="AD244" s="789">
        <f t="shared" si="64"/>
        <v>0</v>
      </c>
      <c r="AE244" s="828" t="e">
        <f>HLOOKUP($AE$39,anticipado,204,0)</f>
        <v>#N/A</v>
      </c>
      <c r="AF244" s="827"/>
      <c r="AG244" s="618"/>
      <c r="AH244" s="618"/>
      <c r="AI244" s="618"/>
      <c r="AJ244" s="618"/>
      <c r="AK244" s="618"/>
      <c r="AL244" s="618"/>
      <c r="AM244" s="618"/>
      <c r="AN244" s="618"/>
      <c r="AO244" s="618"/>
      <c r="AP244" s="618"/>
      <c r="AQ244" s="618"/>
      <c r="AR244" s="618"/>
      <c r="AS244" s="618">
        <v>2.1816168152817186E-2</v>
      </c>
      <c r="AT244" s="618">
        <v>2.1854630359485695E-2</v>
      </c>
      <c r="AU244" s="618">
        <v>2.1322289155124654E-2</v>
      </c>
      <c r="AV244" s="618">
        <v>2.2293066895627787E-2</v>
      </c>
      <c r="AW244" s="618">
        <v>2.1816168152817186E-2</v>
      </c>
      <c r="AX244" s="618">
        <v>2.1419165910694923E-2</v>
      </c>
      <c r="AY244" s="618">
        <v>2.222440723950039E-2</v>
      </c>
      <c r="AZ244" s="618">
        <v>2.2450680950562189E-2</v>
      </c>
      <c r="BA244" s="618">
        <v>2.2174723171107767E-2</v>
      </c>
      <c r="BB244" s="618">
        <v>2.2465593470515032E-2</v>
      </c>
      <c r="BC244" s="618">
        <v>2.2220088202749583E-2</v>
      </c>
      <c r="BD244" s="618">
        <v>2.2222427611624764E-2</v>
      </c>
      <c r="BE244" s="618"/>
      <c r="BF244" s="618"/>
      <c r="BG244" s="618">
        <v>2.2648401321701542E-2</v>
      </c>
      <c r="BH244" s="618">
        <v>2.2356464131288192E-2</v>
      </c>
      <c r="BI244" s="618"/>
      <c r="BJ244" s="618"/>
      <c r="BK244" s="618"/>
      <c r="BL244" s="618"/>
      <c r="BM244" s="618"/>
      <c r="BN244" s="618"/>
      <c r="BO244" s="618"/>
      <c r="BP244" s="618"/>
      <c r="BQ244" s="618"/>
      <c r="BR244" s="618"/>
      <c r="BS244" s="618"/>
      <c r="BT244" s="618"/>
      <c r="BU244" s="618"/>
      <c r="BV244" s="618"/>
      <c r="BW244" s="618"/>
      <c r="BX244" s="618"/>
      <c r="BY244" s="618"/>
      <c r="BZ244" s="618"/>
      <c r="CA244" s="618"/>
      <c r="CB244" s="618"/>
      <c r="CC244" s="618"/>
      <c r="CD244" s="618"/>
      <c r="CE244" s="618"/>
      <c r="CF244" s="618"/>
      <c r="CG244" s="618"/>
      <c r="CH244" s="618"/>
      <c r="CI244" s="618"/>
      <c r="CJ244" s="618"/>
    </row>
    <row r="245" spans="1:88">
      <c r="A245" s="151">
        <f t="shared" ca="1" si="65"/>
        <v>11</v>
      </c>
      <c r="B245" s="784">
        <f t="shared" si="66"/>
        <v>0</v>
      </c>
      <c r="C245" s="944">
        <f t="shared" si="73"/>
        <v>0</v>
      </c>
      <c r="D245" s="947">
        <f t="shared" si="67"/>
        <v>0</v>
      </c>
      <c r="E245" s="947">
        <f t="shared" si="60"/>
        <v>0</v>
      </c>
      <c r="F245" s="947">
        <f t="shared" si="61"/>
        <v>0</v>
      </c>
      <c r="G245" s="947">
        <f>IF(M244&lt;0.01,0,IF($F$19=$U$4,$G$19,IF(AND($F$21=1,$F$19=$U$2),M244*Adm!$U$4,IF(AND($F$21=2,$F$19=$U$2),M244*Adm!$U$5,IF(AND($F$21=1,$F$19=$U$3),M244*Adm!$V$4,IF(AND($F$21=2,$F$19=$U$3),M244*Adm!$V$5,0))))))</f>
        <v>0</v>
      </c>
      <c r="H245" s="947">
        <f>IF(M244&lt;0.01,0,IF($F$20=$V$3,0,IF(OR($F$10=$T$16,$F$10=$T$17),0,IF($F$10=$T$13,0,$F$11*Adm!$AA$3))))</f>
        <v>0</v>
      </c>
      <c r="I245" s="947">
        <f t="shared" si="74"/>
        <v>0</v>
      </c>
      <c r="J245" s="947">
        <f t="shared" si="62"/>
        <v>0</v>
      </c>
      <c r="K245" s="947">
        <f t="shared" si="68"/>
        <v>0</v>
      </c>
      <c r="L245" s="947">
        <f t="shared" si="63"/>
        <v>0</v>
      </c>
      <c r="M245" s="947">
        <f t="shared" si="69"/>
        <v>0</v>
      </c>
      <c r="N245" s="946"/>
      <c r="P245" s="733"/>
      <c r="Q245" s="733"/>
      <c r="R245" s="733"/>
      <c r="S245" s="785">
        <f t="shared" si="70"/>
        <v>12</v>
      </c>
      <c r="T245" s="786">
        <f t="shared" si="75"/>
        <v>0</v>
      </c>
      <c r="W245" s="790">
        <f t="shared" si="76"/>
        <v>0</v>
      </c>
      <c r="X245" s="818">
        <f t="shared" ca="1" si="71"/>
        <v>0</v>
      </c>
      <c r="Z245" s="843">
        <f t="shared" si="77"/>
        <v>0</v>
      </c>
      <c r="AA245" s="792">
        <f t="shared" si="78"/>
        <v>0</v>
      </c>
      <c r="AB245" s="792">
        <f t="shared" si="79"/>
        <v>0</v>
      </c>
      <c r="AC245" s="789">
        <f t="shared" si="72"/>
        <v>0</v>
      </c>
      <c r="AD245" s="789">
        <f t="shared" si="64"/>
        <v>0</v>
      </c>
      <c r="AE245" s="828" t="e">
        <f>HLOOKUP($AE$39,anticipado,205,0)</f>
        <v>#N/A</v>
      </c>
      <c r="AF245" s="827"/>
      <c r="AG245" s="618"/>
      <c r="AH245" s="618"/>
      <c r="AI245" s="618"/>
      <c r="AJ245" s="618"/>
      <c r="AK245" s="618"/>
      <c r="AL245" s="618"/>
      <c r="AM245" s="618"/>
      <c r="AN245" s="618"/>
      <c r="AO245" s="618"/>
      <c r="AP245" s="618"/>
      <c r="AQ245" s="618"/>
      <c r="AR245" s="618"/>
      <c r="AS245" s="618">
        <v>2.2505125480588781E-2</v>
      </c>
      <c r="AT245" s="618">
        <v>2.2553136467733884E-2</v>
      </c>
      <c r="AU245" s="618">
        <v>2.2002705553510367E-2</v>
      </c>
      <c r="AV245" s="618">
        <v>2.299804147466572E-2</v>
      </c>
      <c r="AW245" s="618">
        <v>2.2505125480588781E-2</v>
      </c>
      <c r="AX245" s="618">
        <v>2.2095741854498668E-2</v>
      </c>
      <c r="AY245" s="618">
        <v>2.2917834704317214E-2</v>
      </c>
      <c r="AZ245" s="618">
        <v>2.3163417116119987E-2</v>
      </c>
      <c r="BA245" s="618">
        <v>2.2884336558830903E-2</v>
      </c>
      <c r="BB245" s="618">
        <v>2.3163835394684858E-2</v>
      </c>
      <c r="BC245" s="618">
        <v>2.2909492189117628E-2</v>
      </c>
      <c r="BD245" s="618">
        <v>2.2920671202940775E-2</v>
      </c>
      <c r="BE245" s="618"/>
      <c r="BF245" s="618"/>
      <c r="BG245" s="618">
        <v>2.3349934059187255E-2</v>
      </c>
      <c r="BH245" s="618">
        <v>2.3056173164868719E-2</v>
      </c>
      <c r="BI245" s="618"/>
      <c r="BJ245" s="618"/>
      <c r="BK245" s="618"/>
      <c r="BL245" s="618"/>
      <c r="BM245" s="618"/>
      <c r="BN245" s="618"/>
      <c r="BO245" s="618"/>
      <c r="BP245" s="618"/>
      <c r="BQ245" s="618"/>
      <c r="BR245" s="618"/>
      <c r="BS245" s="618"/>
      <c r="BT245" s="618"/>
      <c r="BU245" s="618"/>
      <c r="BV245" s="618"/>
      <c r="BW245" s="618"/>
      <c r="BX245" s="618"/>
      <c r="BY245" s="618"/>
      <c r="BZ245" s="618"/>
      <c r="CA245" s="618"/>
      <c r="CB245" s="618"/>
      <c r="CC245" s="618"/>
      <c r="CD245" s="618"/>
      <c r="CE245" s="618"/>
      <c r="CF245" s="618"/>
      <c r="CG245" s="618"/>
      <c r="CH245" s="618"/>
      <c r="CI245" s="618"/>
      <c r="CJ245" s="618"/>
    </row>
    <row r="246" spans="1:88">
      <c r="A246" s="151">
        <f t="shared" ca="1" si="65"/>
        <v>12</v>
      </c>
      <c r="B246" s="784">
        <f t="shared" si="66"/>
        <v>0</v>
      </c>
      <c r="C246" s="944">
        <f t="shared" si="73"/>
        <v>0</v>
      </c>
      <c r="D246" s="947">
        <f t="shared" si="67"/>
        <v>0</v>
      </c>
      <c r="E246" s="947">
        <f t="shared" si="60"/>
        <v>0</v>
      </c>
      <c r="F246" s="947">
        <f t="shared" si="61"/>
        <v>0</v>
      </c>
      <c r="G246" s="947">
        <f>IF(M245&lt;0.01,0,IF($F$19=$U$4,$G$19,IF(AND($F$21=1,$F$19=$U$2),M245*Adm!$U$4,IF(AND($F$21=2,$F$19=$U$2),M245*Adm!$U$5,IF(AND($F$21=1,$F$19=$U$3),M245*Adm!$V$4,IF(AND($F$21=2,$F$19=$U$3),M245*Adm!$V$5,0))))))</f>
        <v>0</v>
      </c>
      <c r="H246" s="947">
        <f>IF(M245&lt;0.01,0,IF($F$20=$V$3,0,IF(OR($F$10=$T$16,$F$10=$T$17),0,IF($F$10=$T$13,0,$F$11*Adm!$AA$3))))</f>
        <v>0</v>
      </c>
      <c r="I246" s="947">
        <f t="shared" si="74"/>
        <v>0</v>
      </c>
      <c r="J246" s="947">
        <f t="shared" si="62"/>
        <v>0</v>
      </c>
      <c r="K246" s="947">
        <f t="shared" si="68"/>
        <v>0</v>
      </c>
      <c r="L246" s="947">
        <f t="shared" si="63"/>
        <v>0</v>
      </c>
      <c r="M246" s="947">
        <f t="shared" si="69"/>
        <v>0</v>
      </c>
      <c r="N246" s="946"/>
      <c r="P246" s="733"/>
      <c r="Q246" s="733"/>
      <c r="R246" s="733"/>
      <c r="S246" s="785">
        <f t="shared" si="70"/>
        <v>1</v>
      </c>
      <c r="T246" s="786">
        <f t="shared" si="75"/>
        <v>0</v>
      </c>
      <c r="W246" s="790">
        <f t="shared" si="76"/>
        <v>0</v>
      </c>
      <c r="X246" s="818">
        <f t="shared" ca="1" si="71"/>
        <v>0</v>
      </c>
      <c r="Z246" s="843">
        <f t="shared" si="77"/>
        <v>0</v>
      </c>
      <c r="AA246" s="792">
        <f t="shared" si="78"/>
        <v>0</v>
      </c>
      <c r="AB246" s="792">
        <f t="shared" si="79"/>
        <v>0</v>
      </c>
      <c r="AC246" s="789">
        <f t="shared" si="72"/>
        <v>0</v>
      </c>
      <c r="AD246" s="789">
        <f t="shared" si="64"/>
        <v>0</v>
      </c>
      <c r="AE246" s="828" t="e">
        <f>HLOOKUP($AE$39,anticipado,206,0)</f>
        <v>#N/A</v>
      </c>
      <c r="AF246" s="827"/>
      <c r="AG246" s="618"/>
      <c r="AH246" s="618"/>
      <c r="AI246" s="618"/>
      <c r="AJ246" s="618"/>
      <c r="AK246" s="618"/>
      <c r="AL246" s="618"/>
      <c r="AM246" s="618"/>
      <c r="AN246" s="618"/>
      <c r="AO246" s="618"/>
      <c r="AP246" s="618"/>
      <c r="AQ246" s="618"/>
      <c r="AR246" s="618"/>
      <c r="AS246" s="618">
        <v>2.3555275172620634E-2</v>
      </c>
      <c r="AT246" s="618">
        <v>2.3617589306002315E-2</v>
      </c>
      <c r="AU246" s="618">
        <v>2.3046920693164982E-2</v>
      </c>
      <c r="AV246" s="618">
        <v>2.4066103237521477E-2</v>
      </c>
      <c r="AW246" s="618">
        <v>2.3555275172620634E-2</v>
      </c>
      <c r="AX246" s="618">
        <v>2.3132470451703604E-2</v>
      </c>
      <c r="AY246" s="618">
        <v>2.3969000029532412E-2</v>
      </c>
      <c r="AZ246" s="618">
        <v>2.4241213285596315E-2</v>
      </c>
      <c r="BA246" s="618">
        <v>2.396131423881347E-2</v>
      </c>
      <c r="BB246" s="618">
        <v>2.4219026317886701E-2</v>
      </c>
      <c r="BC246" s="618">
        <v>2.3954487636684074E-2</v>
      </c>
      <c r="BD246" s="618">
        <v>2.3979325863991912E-2</v>
      </c>
      <c r="BE246" s="618"/>
      <c r="BF246" s="618"/>
      <c r="BG246" s="618">
        <v>2.4407643513562265E-2</v>
      </c>
      <c r="BH246" s="618">
        <v>2.4115176543301604E-2</v>
      </c>
      <c r="BI246" s="618"/>
      <c r="BJ246" s="618"/>
      <c r="BK246" s="618"/>
      <c r="BL246" s="618"/>
      <c r="BM246" s="618"/>
      <c r="BN246" s="618"/>
      <c r="BO246" s="618"/>
      <c r="BP246" s="618"/>
      <c r="BQ246" s="618"/>
      <c r="BR246" s="618"/>
      <c r="BS246" s="618"/>
      <c r="BT246" s="618"/>
      <c r="BU246" s="618"/>
      <c r="BV246" s="618"/>
      <c r="BW246" s="618"/>
      <c r="BX246" s="618"/>
      <c r="BY246" s="618"/>
      <c r="BZ246" s="618"/>
      <c r="CA246" s="618"/>
      <c r="CB246" s="618"/>
      <c r="CC246" s="618"/>
      <c r="CD246" s="618"/>
      <c r="CE246" s="618"/>
      <c r="CF246" s="618"/>
      <c r="CG246" s="618"/>
      <c r="CH246" s="618"/>
      <c r="CI246" s="618"/>
      <c r="CJ246" s="618"/>
    </row>
    <row r="247" spans="1:88">
      <c r="A247" s="151">
        <f t="shared" ca="1" si="65"/>
        <v>1</v>
      </c>
      <c r="B247" s="784">
        <f t="shared" si="66"/>
        <v>0</v>
      </c>
      <c r="C247" s="944">
        <f t="shared" si="73"/>
        <v>0</v>
      </c>
      <c r="D247" s="947">
        <f t="shared" si="67"/>
        <v>0</v>
      </c>
      <c r="E247" s="947">
        <f t="shared" ref="E247:E281" si="80">IF(M246&lt;0.01,0,MIN(M246,F247-D247))</f>
        <v>0</v>
      </c>
      <c r="F247" s="947">
        <f t="shared" ref="F247:F281" si="81">IF(M246&lt;0.01,0,MIN(M246+D247,IF(Z247&gt;0,Z247,F246*(1+T247))))</f>
        <v>0</v>
      </c>
      <c r="G247" s="947">
        <f>IF(M246&lt;0.01,0,IF($F$19=$U$4,$G$19,IF(AND($F$21=1,$F$19=$U$2),M246*Adm!$U$4,IF(AND($F$21=2,$F$19=$U$2),M246*Adm!$U$5,IF(AND($F$21=1,$F$19=$U$3),M246*Adm!$V$4,IF(AND($F$21=2,$F$19=$U$3),M246*Adm!$V$5,0))))))</f>
        <v>0</v>
      </c>
      <c r="H247" s="947">
        <f>IF(M246&lt;0.01,0,IF($F$20=$V$3,0,IF(OR($F$10=$T$16,$F$10=$T$17),0,IF($F$10=$T$13,0,$F$11*Adm!$AA$3))))</f>
        <v>0</v>
      </c>
      <c r="I247" s="947">
        <f t="shared" si="74"/>
        <v>0</v>
      </c>
      <c r="J247" s="947">
        <f t="shared" si="62"/>
        <v>0</v>
      </c>
      <c r="K247" s="947">
        <f t="shared" si="68"/>
        <v>0</v>
      </c>
      <c r="L247" s="947">
        <f t="shared" si="63"/>
        <v>0</v>
      </c>
      <c r="M247" s="947">
        <f t="shared" si="69"/>
        <v>0</v>
      </c>
      <c r="N247" s="946"/>
      <c r="P247" s="733"/>
      <c r="Q247" s="733"/>
      <c r="R247" s="733"/>
      <c r="S247" s="785">
        <f t="shared" si="70"/>
        <v>2</v>
      </c>
      <c r="T247" s="786">
        <f t="shared" si="75"/>
        <v>0</v>
      </c>
      <c r="W247" s="790">
        <f t="shared" si="76"/>
        <v>0</v>
      </c>
      <c r="X247" s="818">
        <f t="shared" ca="1" si="71"/>
        <v>0</v>
      </c>
      <c r="Z247" s="843">
        <f t="shared" si="77"/>
        <v>0</v>
      </c>
      <c r="AA247" s="792">
        <f t="shared" si="78"/>
        <v>0</v>
      </c>
      <c r="AB247" s="792">
        <f t="shared" si="79"/>
        <v>0</v>
      </c>
      <c r="AC247" s="789">
        <f t="shared" si="72"/>
        <v>0</v>
      </c>
      <c r="AD247" s="789">
        <f t="shared" si="64"/>
        <v>0</v>
      </c>
      <c r="AE247" s="828" t="e">
        <f>HLOOKUP($AE$39,anticipado,207,0)</f>
        <v>#N/A</v>
      </c>
      <c r="AF247" s="827"/>
      <c r="AG247" s="618"/>
      <c r="AH247" s="618"/>
      <c r="AI247" s="618"/>
      <c r="AJ247" s="618"/>
      <c r="AK247" s="618"/>
      <c r="AL247" s="618"/>
      <c r="AM247" s="618"/>
      <c r="AN247" s="618"/>
      <c r="AO247" s="618"/>
      <c r="AP247" s="618"/>
      <c r="AQ247" s="618"/>
      <c r="AR247" s="618"/>
      <c r="AS247" s="618">
        <v>2.4342431978435004E-2</v>
      </c>
      <c r="AT247" s="618">
        <v>2.4416449126503613E-2</v>
      </c>
      <c r="AU247" s="618">
        <v>2.3824355292696314E-2</v>
      </c>
      <c r="AV247" s="618">
        <v>2.4872251551533914E-2</v>
      </c>
      <c r="AW247" s="618">
        <v>2.4342431978435004E-2</v>
      </c>
      <c r="AX247" s="618">
        <v>2.3905018279403421E-2</v>
      </c>
      <c r="AY247" s="618">
        <v>2.4761040630036299E-2</v>
      </c>
      <c r="AZ247" s="618">
        <v>2.5056688223077325E-2</v>
      </c>
      <c r="BA247" s="618">
        <v>2.4773363911049114E-2</v>
      </c>
      <c r="BB247" s="618">
        <v>2.501663891244214E-2</v>
      </c>
      <c r="BC247" s="618">
        <v>2.474159034810746E-2</v>
      </c>
      <c r="BD247" s="618">
        <v>2.4777292914664153E-2</v>
      </c>
      <c r="BE247" s="618"/>
      <c r="BF247" s="618"/>
      <c r="BG247" s="618">
        <v>2.5209045183509558E-2</v>
      </c>
      <c r="BH247" s="618">
        <v>2.4914749369558325E-2</v>
      </c>
      <c r="BI247" s="618"/>
      <c r="BJ247" s="618"/>
      <c r="BK247" s="618"/>
      <c r="BL247" s="618"/>
      <c r="BM247" s="618"/>
      <c r="BN247" s="618"/>
      <c r="BO247" s="618"/>
      <c r="BP247" s="618"/>
      <c r="BQ247" s="618"/>
      <c r="BR247" s="618"/>
      <c r="BS247" s="618"/>
      <c r="BT247" s="618"/>
      <c r="BU247" s="618"/>
      <c r="BV247" s="618"/>
      <c r="BW247" s="618"/>
      <c r="BX247" s="618"/>
      <c r="BY247" s="618"/>
      <c r="BZ247" s="618"/>
      <c r="CA247" s="618"/>
      <c r="CB247" s="618"/>
      <c r="CC247" s="618"/>
      <c r="CD247" s="618"/>
      <c r="CE247" s="618"/>
      <c r="CF247" s="618"/>
      <c r="CG247" s="618"/>
      <c r="CH247" s="618"/>
      <c r="CI247" s="618"/>
      <c r="CJ247" s="618"/>
    </row>
    <row r="248" spans="1:88">
      <c r="A248" s="151">
        <f t="shared" ca="1" si="65"/>
        <v>2</v>
      </c>
      <c r="B248" s="784">
        <f t="shared" si="66"/>
        <v>0</v>
      </c>
      <c r="C248" s="944">
        <f t="shared" si="73"/>
        <v>0</v>
      </c>
      <c r="D248" s="947">
        <f t="shared" si="67"/>
        <v>0</v>
      </c>
      <c r="E248" s="947">
        <f t="shared" si="80"/>
        <v>0</v>
      </c>
      <c r="F248" s="947">
        <f t="shared" si="81"/>
        <v>0</v>
      </c>
      <c r="G248" s="947">
        <f>IF(M247&lt;0.01,0,IF($F$19=$U$4,$G$19,IF(AND($F$21=1,$F$19=$U$2),M247*Adm!$U$4,IF(AND($F$21=2,$F$19=$U$2),M247*Adm!$U$5,IF(AND($F$21=1,$F$19=$U$3),M247*Adm!$V$4,IF(AND($F$21=2,$F$19=$U$3),M247*Adm!$V$5,0))))))</f>
        <v>0</v>
      </c>
      <c r="H248" s="947">
        <f>IF(M247&lt;0.01,0,IF($F$20=$V$3,0,IF(OR($F$10=$T$16,$F$10=$T$17),0,IF($F$10=$T$13,0,$F$11*Adm!$AA$3))))</f>
        <v>0</v>
      </c>
      <c r="I248" s="947">
        <f t="shared" si="74"/>
        <v>0</v>
      </c>
      <c r="J248" s="947">
        <f t="shared" si="62"/>
        <v>0</v>
      </c>
      <c r="K248" s="947">
        <f t="shared" si="68"/>
        <v>0</v>
      </c>
      <c r="L248" s="947">
        <f t="shared" si="63"/>
        <v>0</v>
      </c>
      <c r="M248" s="947">
        <f t="shared" si="69"/>
        <v>0</v>
      </c>
      <c r="N248" s="946"/>
      <c r="P248" s="733"/>
      <c r="Q248" s="733"/>
      <c r="R248" s="733"/>
      <c r="S248" s="785">
        <f t="shared" si="70"/>
        <v>3</v>
      </c>
      <c r="T248" s="786">
        <f t="shared" si="75"/>
        <v>0</v>
      </c>
      <c r="W248" s="790">
        <f t="shared" si="76"/>
        <v>0</v>
      </c>
      <c r="X248" s="818">
        <f t="shared" ca="1" si="71"/>
        <v>0</v>
      </c>
      <c r="Z248" s="843">
        <f t="shared" si="77"/>
        <v>0</v>
      </c>
      <c r="AA248" s="792">
        <f t="shared" si="78"/>
        <v>0</v>
      </c>
      <c r="AB248" s="792">
        <f t="shared" si="79"/>
        <v>0</v>
      </c>
      <c r="AC248" s="789">
        <f t="shared" si="72"/>
        <v>0</v>
      </c>
      <c r="AD248" s="789">
        <f t="shared" si="64"/>
        <v>0</v>
      </c>
      <c r="AE248" s="828" t="e">
        <f>HLOOKUP($AE$39,anticipado,208,0)</f>
        <v>#N/A</v>
      </c>
      <c r="AF248" s="827"/>
      <c r="AG248" s="618"/>
      <c r="AH248" s="618"/>
      <c r="AI248" s="618"/>
      <c r="AJ248" s="618"/>
      <c r="AK248" s="618"/>
      <c r="AL248" s="618"/>
      <c r="AM248" s="618"/>
      <c r="AN248" s="618"/>
      <c r="AO248" s="618"/>
      <c r="AP248" s="618"/>
      <c r="AQ248" s="618"/>
      <c r="AR248" s="618"/>
      <c r="AS248" s="618">
        <v>2.5176189222258335E-2</v>
      </c>
      <c r="AT248" s="618">
        <v>2.5262999972308881E-2</v>
      </c>
      <c r="AU248" s="618">
        <v>2.4647628812335697E-2</v>
      </c>
      <c r="AV248" s="618">
        <v>2.5726654544578058E-2</v>
      </c>
      <c r="AW248" s="618">
        <v>2.5176189222258335E-2</v>
      </c>
      <c r="AX248" s="618">
        <v>2.4722918564783446E-2</v>
      </c>
      <c r="AY248" s="618">
        <v>2.5600027914578029E-2</v>
      </c>
      <c r="AZ248" s="618">
        <v>2.5921259036348822E-2</v>
      </c>
      <c r="BA248" s="618">
        <v>2.5634261295707672E-2</v>
      </c>
      <c r="BB248" s="618">
        <v>2.5861659090988233E-2</v>
      </c>
      <c r="BC248" s="618">
        <v>2.5575180221895425E-2</v>
      </c>
      <c r="BD248" s="618">
        <v>2.5622762598627901E-2</v>
      </c>
      <c r="BE248" s="618"/>
      <c r="BF248" s="618"/>
      <c r="BG248" s="618">
        <v>2.6058165627742966E-2</v>
      </c>
      <c r="BH248" s="618">
        <v>2.576194072539234E-2</v>
      </c>
      <c r="BI248" s="618"/>
      <c r="BJ248" s="618"/>
      <c r="BK248" s="618"/>
      <c r="BL248" s="618"/>
      <c r="BM248" s="618"/>
      <c r="BN248" s="618"/>
      <c r="BO248" s="618"/>
      <c r="BP248" s="618"/>
      <c r="BQ248" s="618"/>
      <c r="BR248" s="618"/>
      <c r="BS248" s="618"/>
      <c r="BT248" s="618"/>
      <c r="BU248" s="618"/>
      <c r="BV248" s="618"/>
      <c r="BW248" s="618"/>
      <c r="BX248" s="618"/>
      <c r="BY248" s="618"/>
      <c r="BZ248" s="618"/>
      <c r="CA248" s="618"/>
      <c r="CB248" s="618"/>
      <c r="CC248" s="618"/>
      <c r="CD248" s="618"/>
      <c r="CE248" s="618"/>
      <c r="CF248" s="618"/>
      <c r="CG248" s="618"/>
      <c r="CH248" s="618"/>
      <c r="CI248" s="618"/>
      <c r="CJ248" s="618"/>
    </row>
    <row r="249" spans="1:88">
      <c r="A249" s="151">
        <f t="shared" ca="1" si="65"/>
        <v>3</v>
      </c>
      <c r="B249" s="784">
        <f t="shared" si="66"/>
        <v>0</v>
      </c>
      <c r="C249" s="944">
        <f t="shared" si="73"/>
        <v>0</v>
      </c>
      <c r="D249" s="947">
        <f t="shared" si="67"/>
        <v>0</v>
      </c>
      <c r="E249" s="947">
        <f t="shared" si="80"/>
        <v>0</v>
      </c>
      <c r="F249" s="947">
        <f t="shared" si="81"/>
        <v>0</v>
      </c>
      <c r="G249" s="947">
        <f>IF(M248&lt;0.01,0,IF($F$19=$U$4,$G$19,IF(AND($F$21=1,$F$19=$U$2),M248*Adm!$U$4,IF(AND($F$21=2,$F$19=$U$2),M248*Adm!$U$5,IF(AND($F$21=1,$F$19=$U$3),M248*Adm!$V$4,IF(AND($F$21=2,$F$19=$U$3),M248*Adm!$V$5,0))))))</f>
        <v>0</v>
      </c>
      <c r="H249" s="947">
        <f>IF(M248&lt;0.01,0,IF($F$20=$V$3,0,IF(OR($F$10=$T$16,$F$10=$T$17),0,IF($F$10=$T$13,0,$F$11*Adm!$AA$3))))</f>
        <v>0</v>
      </c>
      <c r="I249" s="947">
        <f t="shared" si="74"/>
        <v>0</v>
      </c>
      <c r="J249" s="947">
        <f t="shared" si="62"/>
        <v>0</v>
      </c>
      <c r="K249" s="947">
        <f t="shared" si="68"/>
        <v>0</v>
      </c>
      <c r="L249" s="947">
        <f t="shared" si="63"/>
        <v>0</v>
      </c>
      <c r="M249" s="947">
        <f t="shared" si="69"/>
        <v>0</v>
      </c>
      <c r="N249" s="946"/>
      <c r="P249" s="733"/>
      <c r="Q249" s="733"/>
      <c r="R249" s="733"/>
      <c r="S249" s="785">
        <f t="shared" si="70"/>
        <v>4</v>
      </c>
      <c r="T249" s="786">
        <f t="shared" si="75"/>
        <v>0</v>
      </c>
      <c r="W249" s="790">
        <f t="shared" si="76"/>
        <v>0</v>
      </c>
      <c r="X249" s="818">
        <f t="shared" ca="1" si="71"/>
        <v>0</v>
      </c>
      <c r="Z249" s="843">
        <f t="shared" si="77"/>
        <v>0</v>
      </c>
      <c r="AA249" s="792">
        <f t="shared" si="78"/>
        <v>0</v>
      </c>
      <c r="AB249" s="792">
        <f t="shared" si="79"/>
        <v>0</v>
      </c>
      <c r="AC249" s="789">
        <f t="shared" si="72"/>
        <v>0</v>
      </c>
      <c r="AD249" s="789">
        <f t="shared" si="64"/>
        <v>0</v>
      </c>
      <c r="AE249" s="828" t="e">
        <f>HLOOKUP($AE$39,anticipado,209,0)</f>
        <v>#N/A</v>
      </c>
      <c r="AF249" s="827"/>
      <c r="AG249" s="618"/>
      <c r="AH249" s="618"/>
      <c r="AI249" s="618"/>
      <c r="AJ249" s="618"/>
      <c r="AK249" s="618"/>
      <c r="AL249" s="618"/>
      <c r="AM249" s="618"/>
      <c r="AN249" s="618"/>
      <c r="AO249" s="618"/>
      <c r="AP249" s="618"/>
      <c r="AQ249" s="618"/>
      <c r="AR249" s="618"/>
      <c r="AS249" s="618">
        <v>2.6060774119973314E-2</v>
      </c>
      <c r="AT249" s="618">
        <v>2.6161603279986203E-2</v>
      </c>
      <c r="AU249" s="618">
        <v>2.5520874783104656E-2</v>
      </c>
      <c r="AV249" s="618">
        <v>2.6633744073020337E-2</v>
      </c>
      <c r="AW249" s="618">
        <v>2.6060774119973314E-2</v>
      </c>
      <c r="AX249" s="618">
        <v>2.5590245830548967E-2</v>
      </c>
      <c r="AY249" s="618">
        <v>2.6490232161946601E-2</v>
      </c>
      <c r="AZ249" s="618">
        <v>2.6839462503014493E-2</v>
      </c>
      <c r="BA249" s="618">
        <v>2.6548511799671836E-2</v>
      </c>
      <c r="BB249" s="618">
        <v>2.6758414211614793E-2</v>
      </c>
      <c r="BC249" s="618">
        <v>2.645947117866693E-2</v>
      </c>
      <c r="BD249" s="618">
        <v>2.6520073631473611E-2</v>
      </c>
      <c r="BE249" s="618"/>
      <c r="BF249" s="618"/>
      <c r="BG249" s="618">
        <v>2.6959370892593464E-2</v>
      </c>
      <c r="BH249" s="618">
        <v>2.666110383008154E-2</v>
      </c>
      <c r="BI249" s="618"/>
      <c r="BJ249" s="618"/>
      <c r="BK249" s="618"/>
      <c r="BL249" s="618"/>
      <c r="BM249" s="618"/>
      <c r="BN249" s="618"/>
      <c r="BO249" s="618"/>
      <c r="BP249" s="618"/>
      <c r="BQ249" s="618"/>
      <c r="BR249" s="618"/>
      <c r="BS249" s="618"/>
      <c r="BT249" s="618"/>
      <c r="BU249" s="618"/>
      <c r="BV249" s="618"/>
      <c r="BW249" s="618"/>
      <c r="BX249" s="618"/>
      <c r="BY249" s="618"/>
      <c r="BZ249" s="618"/>
      <c r="CA249" s="618"/>
      <c r="CB249" s="618"/>
      <c r="CC249" s="618"/>
      <c r="CD249" s="618"/>
      <c r="CE249" s="618"/>
      <c r="CF249" s="618"/>
      <c r="CG249" s="618"/>
      <c r="CH249" s="618"/>
      <c r="CI249" s="618"/>
      <c r="CJ249" s="618"/>
    </row>
    <row r="250" spans="1:88">
      <c r="A250" s="151">
        <f t="shared" ca="1" si="65"/>
        <v>4</v>
      </c>
      <c r="B250" s="784">
        <f t="shared" si="66"/>
        <v>0</v>
      </c>
      <c r="C250" s="944">
        <f t="shared" si="73"/>
        <v>0</v>
      </c>
      <c r="D250" s="947">
        <f t="shared" si="67"/>
        <v>0</v>
      </c>
      <c r="E250" s="947">
        <f t="shared" si="80"/>
        <v>0</v>
      </c>
      <c r="F250" s="947">
        <f t="shared" si="81"/>
        <v>0</v>
      </c>
      <c r="G250" s="947">
        <f>IF(M249&lt;0.01,0,IF($F$19=$U$4,$G$19,IF(AND($F$21=1,$F$19=$U$2),M249*Adm!$U$4,IF(AND($F$21=2,$F$19=$U$2),M249*Adm!$U$5,IF(AND($F$21=1,$F$19=$U$3),M249*Adm!$V$4,IF(AND($F$21=2,$F$19=$U$3),M249*Adm!$V$5,0))))))</f>
        <v>0</v>
      </c>
      <c r="H250" s="947">
        <f>IF(M249&lt;0.01,0,IF($F$20=$V$3,0,IF(OR($F$10=$T$16,$F$10=$T$17),0,IF($F$10=$T$13,0,$F$11*Adm!$AA$3))))</f>
        <v>0</v>
      </c>
      <c r="I250" s="947">
        <f t="shared" si="74"/>
        <v>0</v>
      </c>
      <c r="J250" s="947">
        <f t="shared" si="62"/>
        <v>0</v>
      </c>
      <c r="K250" s="947">
        <f t="shared" si="68"/>
        <v>0</v>
      </c>
      <c r="L250" s="947">
        <f t="shared" si="63"/>
        <v>0</v>
      </c>
      <c r="M250" s="947">
        <f t="shared" si="69"/>
        <v>0</v>
      </c>
      <c r="N250" s="946"/>
      <c r="P250" s="733"/>
      <c r="Q250" s="733"/>
      <c r="R250" s="733"/>
      <c r="S250" s="785">
        <f t="shared" si="70"/>
        <v>5</v>
      </c>
      <c r="T250" s="786">
        <f t="shared" si="75"/>
        <v>0</v>
      </c>
      <c r="W250" s="790">
        <f t="shared" si="76"/>
        <v>0</v>
      </c>
      <c r="X250" s="818">
        <f t="shared" ca="1" si="71"/>
        <v>0</v>
      </c>
      <c r="Z250" s="843">
        <f t="shared" si="77"/>
        <v>0</v>
      </c>
      <c r="AA250" s="792">
        <f t="shared" si="78"/>
        <v>0</v>
      </c>
      <c r="AB250" s="792">
        <f t="shared" si="79"/>
        <v>0</v>
      </c>
      <c r="AC250" s="789">
        <f t="shared" si="72"/>
        <v>0</v>
      </c>
      <c r="AD250" s="789">
        <f t="shared" si="64"/>
        <v>0</v>
      </c>
      <c r="AE250" s="828" t="e">
        <f>HLOOKUP($AE$39,anticipado,210,0)</f>
        <v>#N/A</v>
      </c>
      <c r="AF250" s="827"/>
      <c r="AG250" s="618"/>
      <c r="AH250" s="618"/>
      <c r="AI250" s="618"/>
      <c r="AJ250" s="618"/>
      <c r="AK250" s="618"/>
      <c r="AL250" s="618"/>
      <c r="AM250" s="618"/>
      <c r="AN250" s="618"/>
      <c r="AO250" s="618"/>
      <c r="AP250" s="618"/>
      <c r="AQ250" s="618"/>
      <c r="AR250" s="618"/>
      <c r="AS250" s="618">
        <v>2.7000941071400549E-2</v>
      </c>
      <c r="AT250" s="618">
        <v>2.7117168981139667E-2</v>
      </c>
      <c r="AU250" s="618">
        <v>2.6448739075531563E-2</v>
      </c>
      <c r="AV250" s="618">
        <v>2.7598511816157918E-2</v>
      </c>
      <c r="AW250" s="618">
        <v>2.7000941071400549E-2</v>
      </c>
      <c r="AX250" s="618">
        <v>2.6511577704709816E-2</v>
      </c>
      <c r="AY250" s="618">
        <v>2.7436457719718157E-2</v>
      </c>
      <c r="AZ250" s="618">
        <v>2.7816412105848697E-2</v>
      </c>
      <c r="BA250" s="618">
        <v>2.752119243432935E-2</v>
      </c>
      <c r="BB250" s="618">
        <v>2.7711774806261691E-2</v>
      </c>
      <c r="BC250" s="618">
        <v>2.7399202289703311E-2</v>
      </c>
      <c r="BD250" s="618">
        <v>2.7474109668714636E-2</v>
      </c>
      <c r="BE250" s="618"/>
      <c r="BF250" s="618"/>
      <c r="BG250" s="618">
        <v>2.7917576392024381E-2</v>
      </c>
      <c r="BH250" s="618">
        <v>2.7617139175872198E-2</v>
      </c>
      <c r="BI250" s="618"/>
      <c r="BJ250" s="618"/>
      <c r="BK250" s="618"/>
      <c r="BL250" s="618"/>
      <c r="BM250" s="618"/>
      <c r="BN250" s="618"/>
      <c r="BO250" s="618"/>
      <c r="BP250" s="618"/>
      <c r="BQ250" s="618"/>
      <c r="BR250" s="618"/>
      <c r="BS250" s="618"/>
      <c r="BT250" s="618"/>
      <c r="BU250" s="618"/>
      <c r="BV250" s="618"/>
      <c r="BW250" s="618"/>
      <c r="BX250" s="618"/>
      <c r="BY250" s="618"/>
      <c r="BZ250" s="618"/>
      <c r="CA250" s="618"/>
      <c r="CB250" s="618"/>
      <c r="CC250" s="618"/>
      <c r="CD250" s="618"/>
      <c r="CE250" s="618"/>
      <c r="CF250" s="618"/>
      <c r="CG250" s="618"/>
      <c r="CH250" s="618"/>
      <c r="CI250" s="618"/>
      <c r="CJ250" s="618"/>
    </row>
    <row r="251" spans="1:88">
      <c r="A251" s="151">
        <f t="shared" ca="1" si="65"/>
        <v>5</v>
      </c>
      <c r="B251" s="784">
        <f t="shared" si="66"/>
        <v>0</v>
      </c>
      <c r="C251" s="944">
        <f t="shared" si="73"/>
        <v>0</v>
      </c>
      <c r="D251" s="947">
        <f t="shared" si="67"/>
        <v>0</v>
      </c>
      <c r="E251" s="947">
        <f t="shared" si="80"/>
        <v>0</v>
      </c>
      <c r="F251" s="947">
        <f t="shared" si="81"/>
        <v>0</v>
      </c>
      <c r="G251" s="947">
        <f>IF(M250&lt;0.01,0,IF($F$19=$U$4,$G$19,IF(AND($F$21=1,$F$19=$U$2),M250*Adm!$U$4,IF(AND($F$21=2,$F$19=$U$2),M250*Adm!$U$5,IF(AND($F$21=1,$F$19=$U$3),M250*Adm!$V$4,IF(AND($F$21=2,$F$19=$U$3),M250*Adm!$V$5,0))))))</f>
        <v>0</v>
      </c>
      <c r="H251" s="947">
        <f>IF(M250&lt;0.01,0,IF($F$20=$V$3,0,IF(OR($F$10=$T$16,$F$10=$T$17),0,IF($F$10=$T$13,0,$F$11*Adm!$AA$3))))</f>
        <v>0</v>
      </c>
      <c r="I251" s="947">
        <f t="shared" si="74"/>
        <v>0</v>
      </c>
      <c r="J251" s="947">
        <f t="shared" si="62"/>
        <v>0</v>
      </c>
      <c r="K251" s="947">
        <f t="shared" si="68"/>
        <v>0</v>
      </c>
      <c r="L251" s="947">
        <f t="shared" si="63"/>
        <v>0</v>
      </c>
      <c r="M251" s="947">
        <f t="shared" si="69"/>
        <v>0</v>
      </c>
      <c r="N251" s="946"/>
      <c r="P251" s="733"/>
      <c r="Q251" s="733"/>
      <c r="R251" s="733"/>
      <c r="S251" s="785">
        <f t="shared" si="70"/>
        <v>6</v>
      </c>
      <c r="T251" s="786">
        <f t="shared" si="75"/>
        <v>0</v>
      </c>
      <c r="W251" s="790">
        <f t="shared" si="76"/>
        <v>0</v>
      </c>
      <c r="X251" s="818">
        <f t="shared" ca="1" si="71"/>
        <v>0</v>
      </c>
      <c r="Z251" s="843">
        <f t="shared" si="77"/>
        <v>0</v>
      </c>
      <c r="AA251" s="792">
        <f t="shared" si="78"/>
        <v>0</v>
      </c>
      <c r="AB251" s="792">
        <f t="shared" si="79"/>
        <v>0</v>
      </c>
      <c r="AC251" s="789">
        <f t="shared" si="72"/>
        <v>0</v>
      </c>
      <c r="AD251" s="789">
        <f t="shared" si="64"/>
        <v>0</v>
      </c>
      <c r="AE251" s="828" t="e">
        <f>HLOOKUP($AE$39,anticipado,211,0)</f>
        <v>#N/A</v>
      </c>
      <c r="AF251" s="827"/>
      <c r="AG251" s="618"/>
      <c r="AH251" s="618"/>
      <c r="AI251" s="618"/>
      <c r="AJ251" s="618"/>
      <c r="AK251" s="618"/>
      <c r="AL251" s="618"/>
      <c r="AM251" s="618"/>
      <c r="AN251" s="618"/>
      <c r="AO251" s="618"/>
      <c r="AP251" s="618"/>
      <c r="AQ251" s="618"/>
      <c r="AR251" s="618"/>
      <c r="AS251" s="618">
        <v>2.8002056488754395E-2</v>
      </c>
      <c r="AT251" s="618">
        <v>2.8135244526110784E-2</v>
      </c>
      <c r="AU251" s="618">
        <v>2.7436461818327002E-2</v>
      </c>
      <c r="AV251" s="618">
        <v>2.8626600554224477E-2</v>
      </c>
      <c r="AW251" s="618">
        <v>2.8002056488754395E-2</v>
      </c>
      <c r="AX251" s="618">
        <v>2.7492075046961592E-2</v>
      </c>
      <c r="AY251" s="618">
        <v>2.8444129192459613E-2</v>
      </c>
      <c r="AZ251" s="618">
        <v>2.8857892678337552E-2</v>
      </c>
      <c r="BA251" s="618">
        <v>2.8558045436015211E-2</v>
      </c>
      <c r="BB251" s="618">
        <v>2.8727242566965187E-2</v>
      </c>
      <c r="BC251" s="618">
        <v>2.8399722215577392E-2</v>
      </c>
      <c r="BD251" s="618">
        <v>2.8490387635294993E-2</v>
      </c>
      <c r="BE251" s="618"/>
      <c r="BF251" s="618"/>
      <c r="BG251" s="618">
        <v>2.8938336121339132E-2</v>
      </c>
      <c r="BH251" s="618">
        <v>2.8635583321210838E-2</v>
      </c>
      <c r="BI251" s="618"/>
      <c r="BJ251" s="618"/>
      <c r="BK251" s="618"/>
      <c r="BL251" s="618"/>
      <c r="BM251" s="618"/>
      <c r="BN251" s="618"/>
      <c r="BO251" s="618"/>
      <c r="BP251" s="618"/>
      <c r="BQ251" s="618"/>
      <c r="BR251" s="618"/>
      <c r="BS251" s="618"/>
      <c r="BT251" s="618"/>
      <c r="BU251" s="618"/>
      <c r="BV251" s="618"/>
      <c r="BW251" s="618"/>
      <c r="BX251" s="618"/>
      <c r="BY251" s="618"/>
      <c r="BZ251" s="618"/>
      <c r="CA251" s="618"/>
      <c r="CB251" s="618"/>
      <c r="CC251" s="618"/>
      <c r="CD251" s="618"/>
      <c r="CE251" s="618"/>
      <c r="CF251" s="618"/>
      <c r="CG251" s="618"/>
      <c r="CH251" s="618"/>
      <c r="CI251" s="618"/>
      <c r="CJ251" s="618"/>
    </row>
    <row r="252" spans="1:88">
      <c r="A252" s="151">
        <f t="shared" ca="1" si="65"/>
        <v>6</v>
      </c>
      <c r="B252" s="784">
        <f t="shared" si="66"/>
        <v>0</v>
      </c>
      <c r="C252" s="944">
        <f t="shared" si="73"/>
        <v>0</v>
      </c>
      <c r="D252" s="947">
        <f t="shared" si="67"/>
        <v>0</v>
      </c>
      <c r="E252" s="947">
        <f t="shared" si="80"/>
        <v>0</v>
      </c>
      <c r="F252" s="947">
        <f t="shared" si="81"/>
        <v>0</v>
      </c>
      <c r="G252" s="947">
        <f>IF(M251&lt;0.01,0,IF($F$19=$U$4,$G$19,IF(AND($F$21=1,$F$19=$U$2),M251*Adm!$U$4,IF(AND($F$21=2,$F$19=$U$2),M251*Adm!$U$5,IF(AND($F$21=1,$F$19=$U$3),M251*Adm!$V$4,IF(AND($F$21=2,$F$19=$U$3),M251*Adm!$V$5,0))))))</f>
        <v>0</v>
      </c>
      <c r="H252" s="947">
        <f>IF(M251&lt;0.01,0,IF($F$20=$V$3,0,IF(OR($F$10=$T$16,$F$10=$T$17),0,IF($F$10=$T$13,0,$F$11*Adm!$AA$3))))</f>
        <v>0</v>
      </c>
      <c r="I252" s="947">
        <f t="shared" si="74"/>
        <v>0</v>
      </c>
      <c r="J252" s="947">
        <f t="shared" si="62"/>
        <v>0</v>
      </c>
      <c r="K252" s="947">
        <f t="shared" si="68"/>
        <v>0</v>
      </c>
      <c r="L252" s="947">
        <f t="shared" si="63"/>
        <v>0</v>
      </c>
      <c r="M252" s="947">
        <f t="shared" si="69"/>
        <v>0</v>
      </c>
      <c r="N252" s="946"/>
      <c r="P252" s="733"/>
      <c r="Q252" s="733"/>
      <c r="R252" s="733"/>
      <c r="S252" s="785">
        <f t="shared" si="70"/>
        <v>7</v>
      </c>
      <c r="T252" s="786">
        <f t="shared" si="75"/>
        <v>0</v>
      </c>
      <c r="W252" s="790">
        <f t="shared" si="76"/>
        <v>0</v>
      </c>
      <c r="X252" s="818">
        <f t="shared" ca="1" si="71"/>
        <v>0</v>
      </c>
      <c r="Z252" s="843">
        <f t="shared" si="77"/>
        <v>0</v>
      </c>
      <c r="AA252" s="792">
        <f t="shared" si="78"/>
        <v>0</v>
      </c>
      <c r="AB252" s="792">
        <f t="shared" si="79"/>
        <v>0</v>
      </c>
      <c r="AC252" s="789">
        <f t="shared" si="72"/>
        <v>0</v>
      </c>
      <c r="AD252" s="789">
        <f t="shared" si="64"/>
        <v>0</v>
      </c>
      <c r="AE252" s="828" t="e">
        <f>HLOOKUP($AE$39,anticipado,212,0)</f>
        <v>#N/A</v>
      </c>
      <c r="AF252" s="827"/>
      <c r="AG252" s="618"/>
      <c r="AH252" s="618"/>
      <c r="AI252" s="618"/>
      <c r="AJ252" s="618"/>
      <c r="AK252" s="618"/>
      <c r="AL252" s="618"/>
      <c r="AM252" s="618"/>
      <c r="AN252" s="618"/>
      <c r="AO252" s="618"/>
      <c r="AP252" s="618"/>
      <c r="AQ252" s="618"/>
      <c r="AR252" s="618"/>
      <c r="AS252" s="618">
        <v>2.907020054931107E-2</v>
      </c>
      <c r="AT252" s="618">
        <v>2.9222121828236514E-2</v>
      </c>
      <c r="AU252" s="618">
        <v>2.8489975554002726E-2</v>
      </c>
      <c r="AV252" s="618">
        <v>2.9724413907647317E-2</v>
      </c>
      <c r="AW252" s="618">
        <v>2.907020054931107E-2</v>
      </c>
      <c r="AX252" s="618">
        <v>2.8537577892357537E-2</v>
      </c>
      <c r="AY252" s="618">
        <v>2.9519394877516463E-2</v>
      </c>
      <c r="AZ252" s="618">
        <v>2.9970474321996329E-2</v>
      </c>
      <c r="BA252" s="618">
        <v>2.9665590910000927E-2</v>
      </c>
      <c r="BB252" s="618">
        <v>2.9811056007731828E-2</v>
      </c>
      <c r="BC252" s="618">
        <v>2.9467090478312519E-2</v>
      </c>
      <c r="BD252" s="618">
        <v>2.95751638115638E-2</v>
      </c>
      <c r="BE252" s="618"/>
      <c r="BF252" s="618"/>
      <c r="BG252" s="618">
        <v>3.0027949839762091E-2</v>
      </c>
      <c r="BH252" s="618">
        <v>2.9722715551456197E-2</v>
      </c>
      <c r="BI252" s="618"/>
      <c r="BJ252" s="618"/>
      <c r="BK252" s="618"/>
      <c r="BL252" s="618"/>
      <c r="BM252" s="618"/>
      <c r="BN252" s="618"/>
      <c r="BO252" s="618"/>
      <c r="BP252" s="618"/>
      <c r="BQ252" s="618"/>
      <c r="BR252" s="618"/>
      <c r="BS252" s="618"/>
      <c r="BT252" s="618"/>
      <c r="BU252" s="618"/>
      <c r="BV252" s="618"/>
      <c r="BW252" s="618"/>
      <c r="BX252" s="618"/>
      <c r="BY252" s="618"/>
      <c r="BZ252" s="618"/>
      <c r="CA252" s="618"/>
      <c r="CB252" s="618"/>
      <c r="CC252" s="618"/>
      <c r="CD252" s="618"/>
      <c r="CE252" s="618"/>
      <c r="CF252" s="618"/>
      <c r="CG252" s="618"/>
      <c r="CH252" s="618"/>
      <c r="CI252" s="618"/>
      <c r="CJ252" s="618"/>
    </row>
    <row r="253" spans="1:88">
      <c r="A253" s="151">
        <f t="shared" ca="1" si="65"/>
        <v>7</v>
      </c>
      <c r="B253" s="784">
        <f t="shared" si="66"/>
        <v>0</v>
      </c>
      <c r="C253" s="944">
        <f t="shared" si="73"/>
        <v>0</v>
      </c>
      <c r="D253" s="947">
        <f t="shared" si="67"/>
        <v>0</v>
      </c>
      <c r="E253" s="947">
        <f t="shared" si="80"/>
        <v>0</v>
      </c>
      <c r="F253" s="947">
        <f t="shared" si="81"/>
        <v>0</v>
      </c>
      <c r="G253" s="947">
        <f>IF(M252&lt;0.01,0,IF($F$19=$U$4,$G$19,IF(AND($F$21=1,$F$19=$U$2),M252*Adm!$U$4,IF(AND($F$21=2,$F$19=$U$2),M252*Adm!$U$5,IF(AND($F$21=1,$F$19=$U$3),M252*Adm!$V$4,IF(AND($F$21=2,$F$19=$U$3),M252*Adm!$V$5,0))))))</f>
        <v>0</v>
      </c>
      <c r="H253" s="947">
        <f>IF(M252&lt;0.01,0,IF($F$20=$V$3,0,IF(OR($F$10=$T$16,$F$10=$T$17),0,IF($F$10=$T$13,0,$F$11*Adm!$AA$3))))</f>
        <v>0</v>
      </c>
      <c r="I253" s="947">
        <f t="shared" si="74"/>
        <v>0</v>
      </c>
      <c r="J253" s="947">
        <f t="shared" si="62"/>
        <v>0</v>
      </c>
      <c r="K253" s="947">
        <f t="shared" si="68"/>
        <v>0</v>
      </c>
      <c r="L253" s="947">
        <f t="shared" si="63"/>
        <v>0</v>
      </c>
      <c r="M253" s="947">
        <f t="shared" si="69"/>
        <v>0</v>
      </c>
      <c r="N253" s="946"/>
      <c r="P253" s="733"/>
      <c r="Q253" s="733"/>
      <c r="R253" s="733"/>
      <c r="S253" s="785">
        <f t="shared" si="70"/>
        <v>8</v>
      </c>
      <c r="T253" s="786">
        <f t="shared" si="75"/>
        <v>0</v>
      </c>
      <c r="W253" s="790">
        <f t="shared" si="76"/>
        <v>0</v>
      </c>
      <c r="X253" s="818">
        <f t="shared" ca="1" si="71"/>
        <v>0</v>
      </c>
      <c r="Z253" s="843">
        <f t="shared" si="77"/>
        <v>0</v>
      </c>
      <c r="AA253" s="792">
        <f t="shared" si="78"/>
        <v>0</v>
      </c>
      <c r="AB253" s="792">
        <f t="shared" si="79"/>
        <v>0</v>
      </c>
      <c r="AC253" s="789">
        <f t="shared" si="72"/>
        <v>0</v>
      </c>
      <c r="AD253" s="789">
        <f t="shared" si="64"/>
        <v>0</v>
      </c>
      <c r="AE253" s="828" t="e">
        <f>HLOOKUP($AE$39,anticipado,213,0)</f>
        <v>#N/A</v>
      </c>
      <c r="AF253" s="827"/>
      <c r="AG253" s="618"/>
      <c r="AH253" s="618"/>
      <c r="AI253" s="618"/>
      <c r="AJ253" s="618"/>
      <c r="AK253" s="618"/>
      <c r="AL253" s="618"/>
      <c r="AM253" s="618"/>
      <c r="AN253" s="618"/>
      <c r="AO253" s="618"/>
      <c r="AP253" s="618"/>
      <c r="AQ253" s="618"/>
      <c r="AR253" s="618"/>
      <c r="AS253" s="618">
        <v>3.0212289947112569E-2</v>
      </c>
      <c r="AT253" s="618">
        <v>3.0384966483429501E-2</v>
      </c>
      <c r="AU253" s="618">
        <v>2.961602351438181E-2</v>
      </c>
      <c r="AV253" s="618">
        <v>3.0899249045669742E-2</v>
      </c>
      <c r="AW253" s="618">
        <v>3.0212289947112569E-2</v>
      </c>
      <c r="AX253" s="618">
        <v>2.9654720979000179E-2</v>
      </c>
      <c r="AY253" s="618">
        <v>3.066925161407914E-2</v>
      </c>
      <c r="AZ253" s="618">
        <v>3.1161650334439475E-2</v>
      </c>
      <c r="BA253" s="618">
        <v>3.0851263165934492E-2</v>
      </c>
      <c r="BB253" s="618">
        <v>3.0970318088231922E-2</v>
      </c>
      <c r="BC253" s="618">
        <v>3.0608199616849442E-2</v>
      </c>
      <c r="BD253" s="618">
        <v>3.0735561984493977E-2</v>
      </c>
      <c r="BE253" s="618"/>
      <c r="BF253" s="618"/>
      <c r="BG253" s="618">
        <v>3.1193592590932778E-2</v>
      </c>
      <c r="BH253" s="618">
        <v>3.0885686747259628E-2</v>
      </c>
      <c r="BI253" s="618"/>
      <c r="BJ253" s="618"/>
      <c r="BK253" s="618"/>
      <c r="BL253" s="618"/>
      <c r="BM253" s="618"/>
      <c r="BN253" s="618"/>
      <c r="BO253" s="618"/>
      <c r="BP253" s="618"/>
      <c r="BQ253" s="618"/>
      <c r="BR253" s="618"/>
      <c r="BS253" s="618"/>
      <c r="BT253" s="618"/>
      <c r="BU253" s="618"/>
      <c r="BV253" s="618"/>
      <c r="BW253" s="618"/>
      <c r="BX253" s="618"/>
      <c r="BY253" s="618"/>
      <c r="BZ253" s="618"/>
      <c r="CA253" s="618"/>
      <c r="CB253" s="618"/>
      <c r="CC253" s="618"/>
      <c r="CD253" s="618"/>
      <c r="CE253" s="618"/>
      <c r="CF253" s="618"/>
      <c r="CG253" s="618"/>
      <c r="CH253" s="618"/>
      <c r="CI253" s="618"/>
      <c r="CJ253" s="618"/>
    </row>
    <row r="254" spans="1:88">
      <c r="A254" s="151">
        <f t="shared" ca="1" si="65"/>
        <v>8</v>
      </c>
      <c r="B254" s="784">
        <f t="shared" si="66"/>
        <v>0</v>
      </c>
      <c r="C254" s="944">
        <f t="shared" si="73"/>
        <v>0</v>
      </c>
      <c r="D254" s="947">
        <f t="shared" si="67"/>
        <v>0</v>
      </c>
      <c r="E254" s="947">
        <f t="shared" si="80"/>
        <v>0</v>
      </c>
      <c r="F254" s="947">
        <f t="shared" si="81"/>
        <v>0</v>
      </c>
      <c r="G254" s="947">
        <f>IF(M253&lt;0.01,0,IF($F$19=$U$4,$G$19,IF(AND($F$21=1,$F$19=$U$2),M253*Adm!$U$4,IF(AND($F$21=2,$F$19=$U$2),M253*Adm!$U$5,IF(AND($F$21=1,$F$19=$U$3),M253*Adm!$V$4,IF(AND($F$21=2,$F$19=$U$3),M253*Adm!$V$5,0))))))</f>
        <v>0</v>
      </c>
      <c r="H254" s="947">
        <f>IF(M253&lt;0.01,0,IF($F$20=$V$3,0,IF(OR($F$10=$T$16,$F$10=$T$17),0,IF($F$10=$T$13,0,$F$11*Adm!$AA$3))))</f>
        <v>0</v>
      </c>
      <c r="I254" s="947">
        <f t="shared" si="74"/>
        <v>0</v>
      </c>
      <c r="J254" s="947">
        <f t="shared" si="62"/>
        <v>0</v>
      </c>
      <c r="K254" s="947">
        <f t="shared" si="68"/>
        <v>0</v>
      </c>
      <c r="L254" s="947">
        <f t="shared" si="63"/>
        <v>0</v>
      </c>
      <c r="M254" s="947">
        <f t="shared" si="69"/>
        <v>0</v>
      </c>
      <c r="N254" s="946"/>
      <c r="P254" s="733"/>
      <c r="Q254" s="733"/>
      <c r="R254" s="733"/>
      <c r="S254" s="785">
        <f t="shared" si="70"/>
        <v>9</v>
      </c>
      <c r="T254" s="786">
        <f t="shared" si="75"/>
        <v>0</v>
      </c>
      <c r="W254" s="790">
        <f t="shared" si="76"/>
        <v>0</v>
      </c>
      <c r="X254" s="818">
        <f t="shared" ca="1" si="71"/>
        <v>0</v>
      </c>
      <c r="Z254" s="843">
        <f t="shared" si="77"/>
        <v>0</v>
      </c>
      <c r="AA254" s="792">
        <f t="shared" si="78"/>
        <v>0</v>
      </c>
      <c r="AB254" s="792">
        <f t="shared" si="79"/>
        <v>0</v>
      </c>
      <c r="AC254" s="789">
        <f t="shared" si="72"/>
        <v>0</v>
      </c>
      <c r="AD254" s="789">
        <f t="shared" si="64"/>
        <v>0</v>
      </c>
      <c r="AE254" s="828" t="e">
        <f>HLOOKUP($AE$39,anticipado,214,0)</f>
        <v>#N/A</v>
      </c>
      <c r="AF254" s="827"/>
      <c r="AG254" s="618"/>
      <c r="AH254" s="618"/>
      <c r="AI254" s="618"/>
      <c r="AJ254" s="618"/>
      <c r="AK254" s="618"/>
      <c r="AL254" s="618"/>
      <c r="AM254" s="618"/>
      <c r="AN254" s="618"/>
      <c r="AO254" s="618"/>
      <c r="AP254" s="618"/>
      <c r="AQ254" s="618"/>
      <c r="AR254" s="618"/>
      <c r="AS254" s="618">
        <v>3.1436226879715805E-2</v>
      </c>
      <c r="AT254" s="618">
        <v>3.1631974872740679E-2</v>
      </c>
      <c r="AU254" s="618">
        <v>3.0822302997717963E-2</v>
      </c>
      <c r="AV254" s="618">
        <v>3.2159458176044028E-2</v>
      </c>
      <c r="AW254" s="618">
        <v>3.1436226879715805E-2</v>
      </c>
      <c r="AX254" s="618">
        <v>3.085107368773831E-2</v>
      </c>
      <c r="AY254" s="618">
        <v>3.1901696402156114E-2</v>
      </c>
      <c r="AZ254" s="618">
        <v>3.2440005267468992E-2</v>
      </c>
      <c r="BA254" s="618">
        <v>3.2123576769201669E-2</v>
      </c>
      <c r="BB254" s="618">
        <v>3.2213151315977254E-2</v>
      </c>
      <c r="BC254" s="618">
        <v>3.1830923428700517E-2</v>
      </c>
      <c r="BD254" s="618">
        <v>3.1979729210767034E-2</v>
      </c>
      <c r="BE254" s="618"/>
      <c r="BF254" s="618"/>
      <c r="BG254" s="618">
        <v>3.24434721881098E-2</v>
      </c>
      <c r="BH254" s="618">
        <v>3.2132676049002287E-2</v>
      </c>
      <c r="BI254" s="618"/>
      <c r="BJ254" s="618"/>
      <c r="BK254" s="618"/>
      <c r="BL254" s="618"/>
      <c r="BM254" s="618"/>
      <c r="BN254" s="618"/>
      <c r="BO254" s="618"/>
      <c r="BP254" s="618"/>
      <c r="BQ254" s="618"/>
      <c r="BR254" s="618"/>
      <c r="BS254" s="618"/>
      <c r="BT254" s="618"/>
      <c r="BU254" s="618"/>
      <c r="BV254" s="618"/>
      <c r="BW254" s="618"/>
      <c r="BX254" s="618"/>
      <c r="BY254" s="618"/>
      <c r="BZ254" s="618"/>
      <c r="CA254" s="618"/>
      <c r="CB254" s="618"/>
      <c r="CC254" s="618"/>
      <c r="CD254" s="618"/>
      <c r="CE254" s="618"/>
      <c r="CF254" s="618"/>
      <c r="CG254" s="618"/>
      <c r="CH254" s="618"/>
      <c r="CI254" s="618"/>
      <c r="CJ254" s="618"/>
    </row>
    <row r="255" spans="1:88">
      <c r="A255" s="151">
        <f t="shared" ca="1" si="65"/>
        <v>9</v>
      </c>
      <c r="B255" s="784">
        <f t="shared" si="66"/>
        <v>0</v>
      </c>
      <c r="C255" s="944">
        <f t="shared" si="73"/>
        <v>0</v>
      </c>
      <c r="D255" s="947">
        <f t="shared" si="67"/>
        <v>0</v>
      </c>
      <c r="E255" s="947">
        <f t="shared" si="80"/>
        <v>0</v>
      </c>
      <c r="F255" s="947">
        <f t="shared" si="81"/>
        <v>0</v>
      </c>
      <c r="G255" s="947">
        <f>IF(M254&lt;0.01,0,IF($F$19=$U$4,$G$19,IF(AND($F$21=1,$F$19=$U$2),M254*Adm!$U$4,IF(AND($F$21=2,$F$19=$U$2),M254*Adm!$U$5,IF(AND($F$21=1,$F$19=$U$3),M254*Adm!$V$4,IF(AND($F$21=2,$F$19=$U$3),M254*Adm!$V$5,0))))))</f>
        <v>0</v>
      </c>
      <c r="H255" s="947">
        <f>IF(M254&lt;0.01,0,IF($F$20=$V$3,0,IF(OR($F$10=$T$16,$F$10=$T$17),0,IF($F$10=$T$13,0,$F$11*Adm!$AA$3))))</f>
        <v>0</v>
      </c>
      <c r="I255" s="947">
        <f t="shared" si="74"/>
        <v>0</v>
      </c>
      <c r="J255" s="947">
        <f t="shared" si="62"/>
        <v>0</v>
      </c>
      <c r="K255" s="947">
        <f t="shared" si="68"/>
        <v>0</v>
      </c>
      <c r="L255" s="947">
        <f t="shared" si="63"/>
        <v>0</v>
      </c>
      <c r="M255" s="947">
        <f t="shared" si="69"/>
        <v>0</v>
      </c>
      <c r="N255" s="946"/>
      <c r="P255" s="733"/>
      <c r="Q255" s="733"/>
      <c r="R255" s="733"/>
      <c r="S255" s="785">
        <f t="shared" si="70"/>
        <v>10</v>
      </c>
      <c r="T255" s="786">
        <f t="shared" si="75"/>
        <v>0</v>
      </c>
      <c r="W255" s="790">
        <f t="shared" si="76"/>
        <v>0</v>
      </c>
      <c r="X255" s="818">
        <f t="shared" ca="1" si="71"/>
        <v>0</v>
      </c>
      <c r="Z255" s="843">
        <f t="shared" si="77"/>
        <v>0</v>
      </c>
      <c r="AA255" s="792">
        <f t="shared" si="78"/>
        <v>0</v>
      </c>
      <c r="AB255" s="792">
        <f t="shared" si="79"/>
        <v>0</v>
      </c>
      <c r="AC255" s="789">
        <f t="shared" si="72"/>
        <v>0</v>
      </c>
      <c r="AD255" s="789">
        <f t="shared" si="64"/>
        <v>0</v>
      </c>
      <c r="AE255" s="828" t="e">
        <f>HLOOKUP($AE$39,anticipado,215,0)</f>
        <v>#N/A</v>
      </c>
      <c r="AF255" s="827"/>
      <c r="AG255" s="618"/>
      <c r="AH255" s="618"/>
      <c r="AI255" s="618"/>
      <c r="AJ255" s="618"/>
      <c r="AK255" s="618"/>
      <c r="AL255" s="618"/>
      <c r="AM255" s="618"/>
      <c r="AN255" s="618"/>
      <c r="AO255" s="618"/>
      <c r="AP255" s="618"/>
      <c r="AQ255" s="618"/>
      <c r="AR255" s="618"/>
      <c r="AS255" s="618">
        <v>3.2751081053193382E-2</v>
      </c>
      <c r="AT255" s="618">
        <v>3.2972566429110436E-2</v>
      </c>
      <c r="AU255" s="618">
        <v>3.2117640290526675E-2</v>
      </c>
      <c r="AV255" s="618">
        <v>3.3514646371067665E-2</v>
      </c>
      <c r="AW255" s="618">
        <v>3.2751081053193382E-2</v>
      </c>
      <c r="AX255" s="618">
        <v>3.2135310631770199E-2</v>
      </c>
      <c r="AY255" s="618">
        <v>3.3225911736248614E-2</v>
      </c>
      <c r="AZ255" s="618">
        <v>3.3815421084104819E-2</v>
      </c>
      <c r="BA255" s="618">
        <v>3.3492330149483954E-2</v>
      </c>
      <c r="BB255" s="618">
        <v>3.3548887486307868E-2</v>
      </c>
      <c r="BC255" s="618">
        <v>3.3144298036769923E-2</v>
      </c>
      <c r="BD255" s="618">
        <v>3.3317026391155698E-2</v>
      </c>
      <c r="BE255" s="618"/>
      <c r="BF255" s="618"/>
      <c r="BG255" s="618">
        <v>3.3787021971185341E-2</v>
      </c>
      <c r="BH255" s="618">
        <v>3.3473082572778742E-2</v>
      </c>
      <c r="BI255" s="618"/>
      <c r="BJ255" s="618"/>
      <c r="BK255" s="618"/>
      <c r="BL255" s="618"/>
      <c r="BM255" s="618"/>
      <c r="BN255" s="618"/>
      <c r="BO255" s="618"/>
      <c r="BP255" s="618"/>
      <c r="BQ255" s="618"/>
      <c r="BR255" s="618"/>
      <c r="BS255" s="618"/>
      <c r="BT255" s="618"/>
      <c r="BU255" s="618"/>
      <c r="BV255" s="618"/>
      <c r="BW255" s="618"/>
      <c r="BX255" s="618"/>
      <c r="BY255" s="618"/>
      <c r="BZ255" s="618"/>
      <c r="CA255" s="618"/>
      <c r="CB255" s="618"/>
      <c r="CC255" s="618"/>
      <c r="CD255" s="618"/>
      <c r="CE255" s="618"/>
      <c r="CF255" s="618"/>
      <c r="CG255" s="618"/>
      <c r="CH255" s="618"/>
      <c r="CI255" s="618"/>
      <c r="CJ255" s="618"/>
    </row>
    <row r="256" spans="1:88">
      <c r="A256" s="151">
        <f t="shared" ca="1" si="65"/>
        <v>10</v>
      </c>
      <c r="B256" s="784">
        <f t="shared" si="66"/>
        <v>0</v>
      </c>
      <c r="C256" s="944">
        <f t="shared" si="73"/>
        <v>0</v>
      </c>
      <c r="D256" s="947">
        <f t="shared" si="67"/>
        <v>0</v>
      </c>
      <c r="E256" s="947">
        <f t="shared" si="80"/>
        <v>0</v>
      </c>
      <c r="F256" s="947">
        <f t="shared" si="81"/>
        <v>0</v>
      </c>
      <c r="G256" s="947">
        <f>IF(M255&lt;0.01,0,IF($F$19=$U$4,$G$19,IF(AND($F$21=1,$F$19=$U$2),M255*Adm!$U$4,IF(AND($F$21=2,$F$19=$U$2),M255*Adm!$U$5,IF(AND($F$21=1,$F$19=$U$3),M255*Adm!$V$4,IF(AND($F$21=2,$F$19=$U$3),M255*Adm!$V$5,0))))))</f>
        <v>0</v>
      </c>
      <c r="H256" s="947">
        <f>IF(M255&lt;0.01,0,IF($F$20=$V$3,0,IF(OR($F$10=$T$16,$F$10=$T$17),0,IF($F$10=$T$13,0,$F$11*Adm!$AA$3))))</f>
        <v>0</v>
      </c>
      <c r="I256" s="947">
        <f t="shared" si="74"/>
        <v>0</v>
      </c>
      <c r="J256" s="947">
        <f t="shared" si="62"/>
        <v>0</v>
      </c>
      <c r="K256" s="947">
        <f t="shared" si="68"/>
        <v>0</v>
      </c>
      <c r="L256" s="947">
        <f t="shared" si="63"/>
        <v>0</v>
      </c>
      <c r="M256" s="947">
        <f t="shared" si="69"/>
        <v>0</v>
      </c>
      <c r="N256" s="946"/>
      <c r="P256" s="733"/>
      <c r="Q256" s="733"/>
      <c r="R256" s="733"/>
      <c r="S256" s="785">
        <f t="shared" si="70"/>
        <v>11</v>
      </c>
      <c r="T256" s="786">
        <f t="shared" si="75"/>
        <v>0</v>
      </c>
      <c r="W256" s="790">
        <f t="shared" si="76"/>
        <v>0</v>
      </c>
      <c r="X256" s="818">
        <f t="shared" ca="1" si="71"/>
        <v>0</v>
      </c>
      <c r="Z256" s="843">
        <f t="shared" si="77"/>
        <v>0</v>
      </c>
      <c r="AA256" s="792">
        <f t="shared" si="78"/>
        <v>0</v>
      </c>
      <c r="AB256" s="792">
        <f t="shared" si="79"/>
        <v>0</v>
      </c>
      <c r="AC256" s="789">
        <f t="shared" si="72"/>
        <v>0</v>
      </c>
      <c r="AD256" s="789">
        <f t="shared" si="64"/>
        <v>0</v>
      </c>
      <c r="AE256" s="828" t="e">
        <f>HLOOKUP($AE$39,anticipado,216,0)</f>
        <v>#N/A</v>
      </c>
      <c r="AF256" s="827"/>
      <c r="AG256" s="618"/>
      <c r="AH256" s="618"/>
      <c r="AI256" s="618"/>
      <c r="AJ256" s="618"/>
      <c r="AK256" s="618"/>
      <c r="AL256" s="618"/>
      <c r="AM256" s="618"/>
      <c r="AN256" s="618"/>
      <c r="AO256" s="618"/>
      <c r="AP256" s="618"/>
      <c r="AQ256" s="618"/>
      <c r="AR256" s="618"/>
      <c r="AS256" s="618">
        <v>3.4167313569847049E-2</v>
      </c>
      <c r="AT256" s="618">
        <v>3.4417620606717908E-2</v>
      </c>
      <c r="AU256" s="618">
        <v>3.3512205539257371E-2</v>
      </c>
      <c r="AV256" s="618">
        <v>3.4975915640203852E-2</v>
      </c>
      <c r="AW256" s="618">
        <v>3.4167313569847049E-2</v>
      </c>
      <c r="AX256" s="618">
        <v>3.3517421024722015E-2</v>
      </c>
      <c r="AY256" s="618">
        <v>3.4652493736803826E-2</v>
      </c>
      <c r="AZ256" s="618">
        <v>3.5299331886817005E-2</v>
      </c>
      <c r="BA256" s="618">
        <v>3.4968857065121928E-2</v>
      </c>
      <c r="BB256" s="618">
        <v>3.4988301433711073E-2</v>
      </c>
      <c r="BC256" s="618">
        <v>3.455874458617586E-2</v>
      </c>
      <c r="BD256" s="618">
        <v>3.4758263083959531E-2</v>
      </c>
      <c r="BE256" s="618"/>
      <c r="BF256" s="618"/>
      <c r="BG256" s="618">
        <v>3.5235138409308697E-2</v>
      </c>
      <c r="BH256" s="618">
        <v>3.4917761681676776E-2</v>
      </c>
      <c r="BI256" s="618"/>
      <c r="BJ256" s="618"/>
      <c r="BK256" s="618"/>
      <c r="BL256" s="618"/>
      <c r="BM256" s="618"/>
      <c r="BN256" s="618"/>
      <c r="BO256" s="618"/>
      <c r="BP256" s="618"/>
      <c r="BQ256" s="618"/>
      <c r="BR256" s="618"/>
      <c r="BS256" s="618"/>
      <c r="BT256" s="618"/>
      <c r="BU256" s="618"/>
      <c r="BV256" s="618"/>
      <c r="BW256" s="618"/>
      <c r="BX256" s="618"/>
      <c r="BY256" s="618"/>
      <c r="BZ256" s="618"/>
      <c r="CA256" s="618"/>
      <c r="CB256" s="618"/>
      <c r="CC256" s="618"/>
      <c r="CD256" s="618"/>
      <c r="CE256" s="618"/>
      <c r="CF256" s="618"/>
      <c r="CG256" s="618"/>
      <c r="CH256" s="618"/>
      <c r="CI256" s="618"/>
      <c r="CJ256" s="618"/>
    </row>
    <row r="257" spans="1:88">
      <c r="A257" s="151">
        <f t="shared" ca="1" si="65"/>
        <v>11</v>
      </c>
      <c r="B257" s="784">
        <f t="shared" si="66"/>
        <v>0</v>
      </c>
      <c r="C257" s="944">
        <f t="shared" si="73"/>
        <v>0</v>
      </c>
      <c r="D257" s="947">
        <f t="shared" si="67"/>
        <v>0</v>
      </c>
      <c r="E257" s="947">
        <f t="shared" si="80"/>
        <v>0</v>
      </c>
      <c r="F257" s="947">
        <f t="shared" si="81"/>
        <v>0</v>
      </c>
      <c r="G257" s="947">
        <f>IF(M256&lt;0.01,0,IF($F$19=$U$4,$G$19,IF(AND($F$21=1,$F$19=$U$2),M256*Adm!$U$4,IF(AND($F$21=2,$F$19=$U$2),M256*Adm!$U$5,IF(AND($F$21=1,$F$19=$U$3),M256*Adm!$V$4,IF(AND($F$21=2,$F$19=$U$3),M256*Adm!$V$5,0))))))</f>
        <v>0</v>
      </c>
      <c r="H257" s="947">
        <f>IF(M256&lt;0.01,0,IF($F$20=$V$3,0,IF(OR($F$10=$T$16,$F$10=$T$17),0,IF($F$10=$T$13,0,$F$11*Adm!$AA$3))))</f>
        <v>0</v>
      </c>
      <c r="I257" s="947">
        <f t="shared" si="74"/>
        <v>0</v>
      </c>
      <c r="J257" s="947">
        <f t="shared" si="62"/>
        <v>0</v>
      </c>
      <c r="K257" s="947">
        <f t="shared" si="68"/>
        <v>0</v>
      </c>
      <c r="L257" s="947">
        <f t="shared" si="63"/>
        <v>0</v>
      </c>
      <c r="M257" s="947">
        <f t="shared" si="69"/>
        <v>0</v>
      </c>
      <c r="N257" s="946"/>
      <c r="P257" s="733"/>
      <c r="Q257" s="733"/>
      <c r="R257" s="733"/>
      <c r="S257" s="785">
        <f t="shared" si="70"/>
        <v>12</v>
      </c>
      <c r="T257" s="786">
        <f t="shared" si="75"/>
        <v>0</v>
      </c>
      <c r="W257" s="790">
        <f t="shared" si="76"/>
        <v>0</v>
      </c>
      <c r="X257" s="818">
        <f t="shared" ca="1" si="71"/>
        <v>0</v>
      </c>
      <c r="Z257" s="843">
        <f t="shared" si="77"/>
        <v>0</v>
      </c>
      <c r="AA257" s="792">
        <f t="shared" si="78"/>
        <v>0</v>
      </c>
      <c r="AB257" s="792">
        <f t="shared" si="79"/>
        <v>0</v>
      </c>
      <c r="AC257" s="789">
        <f t="shared" si="72"/>
        <v>0</v>
      </c>
      <c r="AD257" s="789">
        <f t="shared" si="64"/>
        <v>0</v>
      </c>
      <c r="AE257" s="828" t="e">
        <f>HLOOKUP($AE$39,anticipado,217,0)</f>
        <v>#N/A</v>
      </c>
      <c r="AF257" s="827"/>
      <c r="AG257" s="618"/>
      <c r="AH257" s="618"/>
      <c r="AI257" s="618"/>
      <c r="AJ257" s="618"/>
      <c r="AK257" s="618"/>
      <c r="AL257" s="618"/>
      <c r="AM257" s="618"/>
      <c r="AN257" s="618"/>
      <c r="AO257" s="618"/>
      <c r="AP257" s="618"/>
      <c r="AQ257" s="618"/>
      <c r="AR257" s="618"/>
      <c r="AS257" s="618">
        <v>3.5697054391404408E-2</v>
      </c>
      <c r="AT257" s="618">
        <v>3.5979771167485138E-2</v>
      </c>
      <c r="AU257" s="618">
        <v>3.5017778637710696E-2</v>
      </c>
      <c r="AV257" s="618">
        <v>3.6556168373770695E-2</v>
      </c>
      <c r="AW257" s="618">
        <v>3.5697054391404408E-2</v>
      </c>
      <c r="AX257" s="618">
        <v>3.5008967516506569E-2</v>
      </c>
      <c r="AY257" s="618">
        <v>3.6193735071120559E-2</v>
      </c>
      <c r="AZ257" s="618">
        <v>3.6905041113404202E-2</v>
      </c>
      <c r="BA257" s="618">
        <v>3.656633958089809E-2</v>
      </c>
      <c r="BB257" s="618">
        <v>3.654390118356908E-2</v>
      </c>
      <c r="BC257" s="618">
        <v>3.6086345182614887E-2</v>
      </c>
      <c r="BD257" s="618">
        <v>3.6315989020709177E-2</v>
      </c>
      <c r="BE257" s="618"/>
      <c r="BF257" s="618"/>
      <c r="BG257" s="618">
        <v>3.6800476212557616E-2</v>
      </c>
      <c r="BH257" s="618">
        <v>3.6479318379695473E-2</v>
      </c>
      <c r="BI257" s="618"/>
      <c r="BJ257" s="618"/>
      <c r="BK257" s="618"/>
      <c r="BL257" s="618"/>
      <c r="BM257" s="618"/>
      <c r="BN257" s="618"/>
      <c r="BO257" s="618"/>
      <c r="BP257" s="618"/>
      <c r="BQ257" s="618"/>
      <c r="BR257" s="618"/>
      <c r="BS257" s="618"/>
      <c r="BT257" s="618"/>
      <c r="BU257" s="618"/>
      <c r="BV257" s="618"/>
      <c r="BW257" s="618"/>
      <c r="BX257" s="618"/>
      <c r="BY257" s="618"/>
      <c r="BZ257" s="618"/>
      <c r="CA257" s="618"/>
      <c r="CB257" s="618"/>
      <c r="CC257" s="618"/>
      <c r="CD257" s="618"/>
      <c r="CE257" s="618"/>
      <c r="CF257" s="618"/>
      <c r="CG257" s="618"/>
      <c r="CH257" s="618"/>
      <c r="CI257" s="618"/>
      <c r="CJ257" s="618"/>
    </row>
    <row r="258" spans="1:88">
      <c r="A258" s="151">
        <f t="shared" ca="1" si="65"/>
        <v>12</v>
      </c>
      <c r="B258" s="784">
        <f t="shared" si="66"/>
        <v>0</v>
      </c>
      <c r="C258" s="944">
        <f t="shared" si="73"/>
        <v>0</v>
      </c>
      <c r="D258" s="947">
        <f t="shared" si="67"/>
        <v>0</v>
      </c>
      <c r="E258" s="947">
        <f t="shared" si="80"/>
        <v>0</v>
      </c>
      <c r="F258" s="947">
        <f t="shared" si="81"/>
        <v>0</v>
      </c>
      <c r="G258" s="947">
        <f>IF(M257&lt;0.01,0,IF($F$19=$U$4,$G$19,IF(AND($F$21=1,$F$19=$U$2),M257*Adm!$U$4,IF(AND($F$21=2,$F$19=$U$2),M257*Adm!$U$5,IF(AND($F$21=1,$F$19=$U$3),M257*Adm!$V$4,IF(AND($F$21=2,$F$19=$U$3),M257*Adm!$V$5,0))))))</f>
        <v>0</v>
      </c>
      <c r="H258" s="947">
        <f>IF(M257&lt;0.01,0,IF($F$20=$V$3,0,IF(OR($F$10=$T$16,$F$10=$T$17),0,IF($F$10=$T$13,0,$F$11*Adm!$AA$3))))</f>
        <v>0</v>
      </c>
      <c r="I258" s="947">
        <f t="shared" si="74"/>
        <v>0</v>
      </c>
      <c r="J258" s="947">
        <f t="shared" si="62"/>
        <v>0</v>
      </c>
      <c r="K258" s="947">
        <f t="shared" si="68"/>
        <v>0</v>
      </c>
      <c r="L258" s="947">
        <f t="shared" si="63"/>
        <v>0</v>
      </c>
      <c r="M258" s="947">
        <f t="shared" si="69"/>
        <v>0</v>
      </c>
      <c r="N258" s="946"/>
      <c r="P258" s="733"/>
      <c r="Q258" s="733"/>
      <c r="R258" s="733"/>
      <c r="S258" s="785">
        <f t="shared" si="70"/>
        <v>1</v>
      </c>
      <c r="T258" s="786">
        <f t="shared" si="75"/>
        <v>0</v>
      </c>
      <c r="W258" s="790">
        <f t="shared" si="76"/>
        <v>0</v>
      </c>
      <c r="X258" s="818">
        <f t="shared" ca="1" si="71"/>
        <v>0</v>
      </c>
      <c r="Z258" s="843">
        <f t="shared" si="77"/>
        <v>0</v>
      </c>
      <c r="AA258" s="792">
        <f t="shared" si="78"/>
        <v>0</v>
      </c>
      <c r="AB258" s="792">
        <f t="shared" si="79"/>
        <v>0</v>
      </c>
      <c r="AC258" s="789">
        <f t="shared" si="72"/>
        <v>0</v>
      </c>
      <c r="AD258" s="789">
        <f t="shared" si="64"/>
        <v>0</v>
      </c>
      <c r="AE258" s="828" t="e">
        <f>HLOOKUP($AE$39,anticipado,218,0)</f>
        <v>#N/A</v>
      </c>
      <c r="AF258" s="827"/>
      <c r="AG258" s="618"/>
      <c r="AH258" s="618"/>
      <c r="AI258" s="618"/>
      <c r="AJ258" s="618"/>
      <c r="AK258" s="618"/>
      <c r="AL258" s="618"/>
      <c r="AM258" s="618"/>
      <c r="AN258" s="618"/>
      <c r="AO258" s="618"/>
      <c r="AP258" s="618"/>
      <c r="AQ258" s="618"/>
      <c r="AR258" s="618"/>
      <c r="AS258" s="618">
        <v>3.7818743445716764E-2</v>
      </c>
      <c r="AT258" s="618">
        <v>3.8144595718107847E-2</v>
      </c>
      <c r="AU258" s="618">
        <v>3.7113644985289913E-2</v>
      </c>
      <c r="AV258" s="618">
        <v>3.8739442595976732E-2</v>
      </c>
      <c r="AW258" s="618">
        <v>3.7818743445716764E-2</v>
      </c>
      <c r="AX258" s="618">
        <v>3.7084559445334828E-2</v>
      </c>
      <c r="AY258" s="618">
        <v>3.832545177537653E-2</v>
      </c>
      <c r="AZ258" s="618">
        <v>3.9120434366082805E-2</v>
      </c>
      <c r="BA258" s="618">
        <v>3.8774369536043109E-2</v>
      </c>
      <c r="BB258" s="618">
        <v>3.86917606232767E-2</v>
      </c>
      <c r="BC258" s="618">
        <v>3.819976608086241E-2</v>
      </c>
      <c r="BD258" s="618">
        <v>3.846990755809996E-2</v>
      </c>
      <c r="BE258" s="618"/>
      <c r="BF258" s="618"/>
      <c r="BG258" s="618">
        <v>3.8959046053354353E-2</v>
      </c>
      <c r="BH258" s="618">
        <v>3.8636616029734477E-2</v>
      </c>
      <c r="BI258" s="618"/>
      <c r="BJ258" s="618"/>
      <c r="BK258" s="618"/>
      <c r="BL258" s="618"/>
      <c r="BM258" s="618"/>
      <c r="BN258" s="618"/>
      <c r="BO258" s="618"/>
      <c r="BP258" s="618"/>
      <c r="BQ258" s="618"/>
      <c r="BR258" s="618"/>
      <c r="BS258" s="618"/>
      <c r="BT258" s="618"/>
      <c r="BU258" s="618"/>
      <c r="BV258" s="618"/>
      <c r="BW258" s="618"/>
      <c r="BX258" s="618"/>
      <c r="BY258" s="618"/>
      <c r="BZ258" s="618"/>
      <c r="CA258" s="618"/>
      <c r="CB258" s="618"/>
      <c r="CC258" s="618"/>
      <c r="CD258" s="618"/>
      <c r="CE258" s="618"/>
      <c r="CF258" s="618"/>
      <c r="CG258" s="618"/>
      <c r="CH258" s="618"/>
      <c r="CI258" s="618"/>
      <c r="CJ258" s="618"/>
    </row>
    <row r="259" spans="1:88">
      <c r="A259" s="151">
        <f t="shared" ca="1" si="65"/>
        <v>1</v>
      </c>
      <c r="B259" s="784">
        <f t="shared" si="66"/>
        <v>0</v>
      </c>
      <c r="C259" s="944">
        <f t="shared" si="73"/>
        <v>0</v>
      </c>
      <c r="D259" s="947">
        <f t="shared" si="67"/>
        <v>0</v>
      </c>
      <c r="E259" s="947">
        <f t="shared" si="80"/>
        <v>0</v>
      </c>
      <c r="F259" s="947">
        <f t="shared" si="81"/>
        <v>0</v>
      </c>
      <c r="G259" s="947">
        <f>IF(M258&lt;0.01,0,IF($F$19=$U$4,$G$19,IF(AND($F$21=1,$F$19=$U$2),M258*Adm!$U$4,IF(AND($F$21=2,$F$19=$U$2),M258*Adm!$U$5,IF(AND($F$21=1,$F$19=$U$3),M258*Adm!$V$4,IF(AND($F$21=2,$F$19=$U$3),M258*Adm!$V$5,0))))))</f>
        <v>0</v>
      </c>
      <c r="H259" s="947">
        <f>IF(M258&lt;0.01,0,IF($F$20=$V$3,0,IF(OR($F$10=$T$16,$F$10=$T$17),0,IF($F$10=$T$13,0,$F$11*Adm!$AA$3))))</f>
        <v>0</v>
      </c>
      <c r="I259" s="947">
        <f t="shared" si="74"/>
        <v>0</v>
      </c>
      <c r="J259" s="947">
        <f t="shared" si="62"/>
        <v>0</v>
      </c>
      <c r="K259" s="947">
        <f t="shared" si="68"/>
        <v>0</v>
      </c>
      <c r="L259" s="947">
        <f t="shared" si="63"/>
        <v>0</v>
      </c>
      <c r="M259" s="947">
        <f t="shared" si="69"/>
        <v>0</v>
      </c>
      <c r="N259" s="946"/>
      <c r="P259" s="733"/>
      <c r="Q259" s="733"/>
      <c r="R259" s="733"/>
      <c r="S259" s="785">
        <f t="shared" si="70"/>
        <v>2</v>
      </c>
      <c r="T259" s="786">
        <f t="shared" si="75"/>
        <v>0</v>
      </c>
      <c r="W259" s="790">
        <f t="shared" si="76"/>
        <v>0</v>
      </c>
      <c r="X259" s="818">
        <f t="shared" ca="1" si="71"/>
        <v>0</v>
      </c>
      <c r="Z259" s="843">
        <f t="shared" si="77"/>
        <v>0</v>
      </c>
      <c r="AA259" s="792">
        <f t="shared" si="78"/>
        <v>0</v>
      </c>
      <c r="AB259" s="792">
        <f t="shared" si="79"/>
        <v>0</v>
      </c>
      <c r="AC259" s="789">
        <f t="shared" si="72"/>
        <v>0</v>
      </c>
      <c r="AD259" s="789">
        <f t="shared" si="64"/>
        <v>0</v>
      </c>
      <c r="AE259" s="828" t="e">
        <f>HLOOKUP($AE$39,anticipado,219,0)</f>
        <v>#N/A</v>
      </c>
      <c r="AF259" s="827"/>
      <c r="AG259" s="618"/>
      <c r="AH259" s="618"/>
      <c r="AI259" s="618"/>
      <c r="AJ259" s="618"/>
      <c r="AK259" s="618"/>
      <c r="AL259" s="618"/>
      <c r="AM259" s="618"/>
      <c r="AN259" s="618"/>
      <c r="AO259" s="618"/>
      <c r="AP259" s="618"/>
      <c r="AQ259" s="618"/>
      <c r="AR259" s="618"/>
      <c r="AS259" s="618">
        <v>3.9661912225509736E-2</v>
      </c>
      <c r="AT259" s="618">
        <v>4.0030416856923726E-2</v>
      </c>
      <c r="AU259" s="618">
        <v>3.8926067604776217E-2</v>
      </c>
      <c r="AV259" s="618">
        <v>4.0648261272561693E-2</v>
      </c>
      <c r="AW259" s="618">
        <v>3.9661912225509736E-2</v>
      </c>
      <c r="AX259" s="618">
        <v>3.8878339826501962E-2</v>
      </c>
      <c r="AY259" s="618">
        <v>4.0182943740085894E-2</v>
      </c>
      <c r="AZ259" s="618">
        <v>4.1062605039749588E-2</v>
      </c>
      <c r="BA259" s="618">
        <v>4.0706220577397041E-2</v>
      </c>
      <c r="BB259" s="618">
        <v>4.056770637913449E-2</v>
      </c>
      <c r="BC259" s="618">
        <v>4.0039313249036992E-2</v>
      </c>
      <c r="BD259" s="618">
        <v>4.0349129036424923E-2</v>
      </c>
      <c r="BE259" s="618"/>
      <c r="BF259" s="618"/>
      <c r="BG259" s="618">
        <v>4.0847487943464447E-2</v>
      </c>
      <c r="BH259" s="618">
        <v>4.0520626008556618E-2</v>
      </c>
      <c r="BI259" s="618"/>
      <c r="BJ259" s="618"/>
      <c r="BK259" s="618"/>
      <c r="BL259" s="618"/>
      <c r="BM259" s="618"/>
      <c r="BN259" s="618"/>
      <c r="BO259" s="618"/>
      <c r="BP259" s="618"/>
      <c r="BQ259" s="618"/>
      <c r="BR259" s="618"/>
      <c r="BS259" s="618"/>
      <c r="BT259" s="618"/>
      <c r="BU259" s="618"/>
      <c r="BV259" s="618"/>
      <c r="BW259" s="618"/>
      <c r="BX259" s="618"/>
      <c r="BY259" s="618"/>
      <c r="BZ259" s="618"/>
      <c r="CA259" s="618"/>
      <c r="CB259" s="618"/>
      <c r="CC259" s="618"/>
      <c r="CD259" s="618"/>
      <c r="CE259" s="618"/>
      <c r="CF259" s="618"/>
      <c r="CG259" s="618"/>
      <c r="CH259" s="618"/>
      <c r="CI259" s="618"/>
      <c r="CJ259" s="618"/>
    </row>
    <row r="260" spans="1:88">
      <c r="A260" s="151">
        <f t="shared" ca="1" si="65"/>
        <v>2</v>
      </c>
      <c r="B260" s="784">
        <f t="shared" si="66"/>
        <v>0</v>
      </c>
      <c r="C260" s="944">
        <f t="shared" si="73"/>
        <v>0</v>
      </c>
      <c r="D260" s="947">
        <f t="shared" si="67"/>
        <v>0</v>
      </c>
      <c r="E260" s="947">
        <f t="shared" si="80"/>
        <v>0</v>
      </c>
      <c r="F260" s="947">
        <f t="shared" si="81"/>
        <v>0</v>
      </c>
      <c r="G260" s="947">
        <f>IF(M259&lt;0.01,0,IF($F$19=$U$4,$G$19,IF(AND($F$21=1,$F$19=$U$2),M259*Adm!$U$4,IF(AND($F$21=2,$F$19=$U$2),M259*Adm!$U$5,IF(AND($F$21=1,$F$19=$U$3),M259*Adm!$V$4,IF(AND($F$21=2,$F$19=$U$3),M259*Adm!$V$5,0))))))</f>
        <v>0</v>
      </c>
      <c r="H260" s="947">
        <f>IF(M259&lt;0.01,0,IF($F$20=$V$3,0,IF(OR($F$10=$T$16,$F$10=$T$17),0,IF($F$10=$T$13,0,$F$11*Adm!$AA$3))))</f>
        <v>0</v>
      </c>
      <c r="I260" s="947">
        <f t="shared" si="74"/>
        <v>0</v>
      </c>
      <c r="J260" s="947">
        <f t="shared" si="62"/>
        <v>0</v>
      </c>
      <c r="K260" s="947">
        <f t="shared" si="68"/>
        <v>0</v>
      </c>
      <c r="L260" s="947">
        <f t="shared" si="63"/>
        <v>0</v>
      </c>
      <c r="M260" s="947">
        <f t="shared" si="69"/>
        <v>0</v>
      </c>
      <c r="N260" s="946"/>
      <c r="P260" s="733"/>
      <c r="Q260" s="733"/>
      <c r="R260" s="733"/>
      <c r="S260" s="785">
        <f t="shared" si="70"/>
        <v>3</v>
      </c>
      <c r="T260" s="786">
        <f t="shared" si="75"/>
        <v>0</v>
      </c>
      <c r="W260" s="790">
        <f t="shared" si="76"/>
        <v>0</v>
      </c>
      <c r="X260" s="818">
        <f t="shared" ca="1" si="71"/>
        <v>0</v>
      </c>
      <c r="Z260" s="843">
        <f t="shared" si="77"/>
        <v>0</v>
      </c>
      <c r="AA260" s="792">
        <f t="shared" si="78"/>
        <v>0</v>
      </c>
      <c r="AB260" s="792">
        <f t="shared" si="79"/>
        <v>0</v>
      </c>
      <c r="AC260" s="789">
        <f t="shared" si="72"/>
        <v>0</v>
      </c>
      <c r="AD260" s="789">
        <f t="shared" si="64"/>
        <v>0</v>
      </c>
      <c r="AE260" s="828" t="e">
        <f>HLOOKUP($AE$39,anticipado,220,0)</f>
        <v>#N/A</v>
      </c>
      <c r="AF260" s="827"/>
      <c r="AG260" s="618"/>
      <c r="AH260" s="618"/>
      <c r="AI260" s="618"/>
      <c r="AJ260" s="618"/>
      <c r="AK260" s="618"/>
      <c r="AL260" s="618"/>
      <c r="AM260" s="618"/>
      <c r="AN260" s="618"/>
      <c r="AO260" s="618"/>
      <c r="AP260" s="618"/>
      <c r="AQ260" s="618"/>
      <c r="AR260" s="618"/>
      <c r="AS260" s="618">
        <v>4.1674744122357769E-2</v>
      </c>
      <c r="AT260" s="618">
        <v>4.2091996529606275E-2</v>
      </c>
      <c r="AU260" s="618">
        <v>4.0903991600298624E-2</v>
      </c>
      <c r="AV260" s="618">
        <v>4.2735996476560026E-2</v>
      </c>
      <c r="AW260" s="618">
        <v>4.1674744122357769E-2</v>
      </c>
      <c r="AX260" s="618">
        <v>4.0834955339164591E-2</v>
      </c>
      <c r="AY260" s="618">
        <v>4.2211994664145776E-2</v>
      </c>
      <c r="AZ260" s="618">
        <v>4.3188491015159022E-2</v>
      </c>
      <c r="BA260" s="618">
        <v>4.2820381516896051E-2</v>
      </c>
      <c r="BB260" s="618">
        <v>4.2617772676439812E-2</v>
      </c>
      <c r="BC260" s="618">
        <v>4.2047866715101377E-2</v>
      </c>
      <c r="BD260" s="618">
        <v>4.2403021624287218E-2</v>
      </c>
      <c r="BE260" s="618"/>
      <c r="BF260" s="618"/>
      <c r="BG260" s="618">
        <v>4.2911788815298779E-2</v>
      </c>
      <c r="BH260" s="618">
        <v>4.2579949719281973E-2</v>
      </c>
      <c r="BI260" s="618"/>
      <c r="BJ260" s="618"/>
      <c r="BK260" s="618"/>
      <c r="BL260" s="618"/>
      <c r="BM260" s="618"/>
      <c r="BN260" s="618"/>
      <c r="BO260" s="618"/>
      <c r="BP260" s="618"/>
      <c r="BQ260" s="618"/>
      <c r="BR260" s="618"/>
      <c r="BS260" s="618"/>
      <c r="BT260" s="618"/>
      <c r="BU260" s="618"/>
      <c r="BV260" s="618"/>
      <c r="BW260" s="618"/>
      <c r="BX260" s="618"/>
      <c r="BY260" s="618"/>
      <c r="BZ260" s="618"/>
      <c r="CA260" s="618"/>
      <c r="CB260" s="618"/>
      <c r="CC260" s="618"/>
      <c r="CD260" s="618"/>
      <c r="CE260" s="618"/>
      <c r="CF260" s="618"/>
      <c r="CG260" s="618"/>
      <c r="CH260" s="618"/>
      <c r="CI260" s="618"/>
      <c r="CJ260" s="618"/>
    </row>
    <row r="261" spans="1:88">
      <c r="A261" s="151">
        <f t="shared" ca="1" si="65"/>
        <v>3</v>
      </c>
      <c r="B261" s="784">
        <f t="shared" si="66"/>
        <v>0</v>
      </c>
      <c r="C261" s="944">
        <f t="shared" si="73"/>
        <v>0</v>
      </c>
      <c r="D261" s="947">
        <f t="shared" si="67"/>
        <v>0</v>
      </c>
      <c r="E261" s="947">
        <f t="shared" si="80"/>
        <v>0</v>
      </c>
      <c r="F261" s="947">
        <f t="shared" si="81"/>
        <v>0</v>
      </c>
      <c r="G261" s="947">
        <f>IF(M260&lt;0.01,0,IF($F$19=$U$4,$G$19,IF(AND($F$21=1,$F$19=$U$2),M260*Adm!$U$4,IF(AND($F$21=2,$F$19=$U$2),M260*Adm!$U$5,IF(AND($F$21=1,$F$19=$U$3),M260*Adm!$V$4,IF(AND($F$21=2,$F$19=$U$3),M260*Adm!$V$5,0))))))</f>
        <v>0</v>
      </c>
      <c r="H261" s="947">
        <f>IF(M260&lt;0.01,0,IF($F$20=$V$3,0,IF(OR($F$10=$T$16,$F$10=$T$17),0,IF($F$10=$T$13,0,$F$11*Adm!$AA$3))))</f>
        <v>0</v>
      </c>
      <c r="I261" s="947">
        <f t="shared" si="74"/>
        <v>0</v>
      </c>
      <c r="J261" s="947">
        <f t="shared" si="62"/>
        <v>0</v>
      </c>
      <c r="K261" s="947">
        <f t="shared" si="68"/>
        <v>0</v>
      </c>
      <c r="L261" s="947">
        <f t="shared" si="63"/>
        <v>0</v>
      </c>
      <c r="M261" s="947">
        <f t="shared" si="69"/>
        <v>0</v>
      </c>
      <c r="N261" s="946"/>
      <c r="P261" s="733"/>
      <c r="Q261" s="733"/>
      <c r="R261" s="733"/>
      <c r="S261" s="785">
        <f t="shared" si="70"/>
        <v>4</v>
      </c>
      <c r="T261" s="786">
        <f t="shared" si="75"/>
        <v>0</v>
      </c>
      <c r="W261" s="790">
        <f t="shared" si="76"/>
        <v>0</v>
      </c>
      <c r="X261" s="818">
        <f t="shared" ca="1" si="71"/>
        <v>0</v>
      </c>
      <c r="Z261" s="843">
        <f t="shared" si="77"/>
        <v>0</v>
      </c>
      <c r="AA261" s="792">
        <f t="shared" si="78"/>
        <v>0</v>
      </c>
      <c r="AB261" s="792">
        <f t="shared" si="79"/>
        <v>0</v>
      </c>
      <c r="AC261" s="789">
        <f t="shared" si="72"/>
        <v>0</v>
      </c>
      <c r="AD261" s="789">
        <f t="shared" si="64"/>
        <v>0</v>
      </c>
      <c r="AE261" s="828" t="e">
        <f>HLOOKUP($AE$39,anticipado,221,0)</f>
        <v>#N/A</v>
      </c>
      <c r="AF261" s="827"/>
      <c r="AG261" s="618"/>
      <c r="AH261" s="618"/>
      <c r="AI261" s="618"/>
      <c r="AJ261" s="618"/>
      <c r="AK261" s="618"/>
      <c r="AL261" s="618"/>
      <c r="AM261" s="618"/>
      <c r="AN261" s="618"/>
      <c r="AO261" s="618"/>
      <c r="AP261" s="618"/>
      <c r="AQ261" s="618"/>
      <c r="AR261" s="618"/>
      <c r="AS261" s="618">
        <v>4.3881701089841081E-2</v>
      </c>
      <c r="AT261" s="618">
        <v>4.435500268260939E-2</v>
      </c>
      <c r="AU261" s="618">
        <v>4.3071060271291095E-2</v>
      </c>
      <c r="AV261" s="618">
        <v>4.5028951561443389E-2</v>
      </c>
      <c r="AW261" s="618">
        <v>4.3881701089841081E-2</v>
      </c>
      <c r="AX261" s="618">
        <v>4.2977532754197287E-2</v>
      </c>
      <c r="AY261" s="618">
        <v>4.4437443828385895E-2</v>
      </c>
      <c r="AZ261" s="618">
        <v>4.5525364003952337E-2</v>
      </c>
      <c r="BA261" s="618">
        <v>4.5143836984539637E-2</v>
      </c>
      <c r="BB261" s="618">
        <v>4.4867308114627961E-2</v>
      </c>
      <c r="BC261" s="618">
        <v>4.4249763386314825E-2</v>
      </c>
      <c r="BD261" s="618">
        <v>4.4657040773697435E-2</v>
      </c>
      <c r="BE261" s="618"/>
      <c r="BF261" s="618"/>
      <c r="BG261" s="618">
        <v>4.5177644755955593E-2</v>
      </c>
      <c r="BH261" s="618">
        <v>4.4840171729184357E-2</v>
      </c>
      <c r="BI261" s="618"/>
      <c r="BJ261" s="618"/>
      <c r="BK261" s="618"/>
      <c r="BL261" s="618"/>
      <c r="BM261" s="618"/>
      <c r="BN261" s="618"/>
      <c r="BO261" s="618"/>
      <c r="BP261" s="618"/>
      <c r="BQ261" s="618"/>
      <c r="BR261" s="618"/>
      <c r="BS261" s="618"/>
      <c r="BT261" s="618"/>
      <c r="BU261" s="618"/>
      <c r="BV261" s="618"/>
      <c r="BW261" s="618"/>
      <c r="BX261" s="618"/>
      <c r="BY261" s="618"/>
      <c r="BZ261" s="618"/>
      <c r="CA261" s="618"/>
      <c r="CB261" s="618"/>
      <c r="CC261" s="618"/>
      <c r="CD261" s="618"/>
      <c r="CE261" s="618"/>
      <c r="CF261" s="618"/>
      <c r="CG261" s="618"/>
      <c r="CH261" s="618"/>
      <c r="CI261" s="618"/>
      <c r="CJ261" s="618"/>
    </row>
    <row r="262" spans="1:88">
      <c r="A262" s="151">
        <f t="shared" ca="1" si="65"/>
        <v>4</v>
      </c>
      <c r="B262" s="784">
        <f t="shared" si="66"/>
        <v>0</v>
      </c>
      <c r="C262" s="944">
        <f t="shared" si="73"/>
        <v>0</v>
      </c>
      <c r="D262" s="947">
        <f t="shared" si="67"/>
        <v>0</v>
      </c>
      <c r="E262" s="947">
        <f t="shared" si="80"/>
        <v>0</v>
      </c>
      <c r="F262" s="947">
        <f t="shared" si="81"/>
        <v>0</v>
      </c>
      <c r="G262" s="947">
        <f>IF(M261&lt;0.01,0,IF($F$19=$U$4,$G$19,IF(AND($F$21=1,$F$19=$U$2),M261*Adm!$U$4,IF(AND($F$21=2,$F$19=$U$2),M261*Adm!$U$5,IF(AND($F$21=1,$F$19=$U$3),M261*Adm!$V$4,IF(AND($F$21=2,$F$19=$U$3),M261*Adm!$V$5,0))))))</f>
        <v>0</v>
      </c>
      <c r="H262" s="947">
        <f>IF(M261&lt;0.01,0,IF($F$20=$V$3,0,IF(OR($F$10=$T$16,$F$10=$T$17),0,IF($F$10=$T$13,0,$F$11*Adm!$AA$3))))</f>
        <v>0</v>
      </c>
      <c r="I262" s="947">
        <f t="shared" si="74"/>
        <v>0</v>
      </c>
      <c r="J262" s="947">
        <f t="shared" si="62"/>
        <v>0</v>
      </c>
      <c r="K262" s="947">
        <f t="shared" si="68"/>
        <v>0</v>
      </c>
      <c r="L262" s="947">
        <f t="shared" si="63"/>
        <v>0</v>
      </c>
      <c r="M262" s="947">
        <f t="shared" si="69"/>
        <v>0</v>
      </c>
      <c r="N262" s="946"/>
      <c r="P262" s="733"/>
      <c r="Q262" s="733"/>
      <c r="R262" s="733"/>
      <c r="S262" s="785">
        <f t="shared" si="70"/>
        <v>5</v>
      </c>
      <c r="T262" s="786">
        <f t="shared" si="75"/>
        <v>0</v>
      </c>
      <c r="W262" s="790">
        <f t="shared" si="76"/>
        <v>0</v>
      </c>
      <c r="X262" s="818">
        <f t="shared" ca="1" si="71"/>
        <v>0</v>
      </c>
      <c r="Z262" s="843">
        <f t="shared" si="77"/>
        <v>0</v>
      </c>
      <c r="AA262" s="792">
        <f t="shared" si="78"/>
        <v>0</v>
      </c>
      <c r="AB262" s="792">
        <f t="shared" si="79"/>
        <v>0</v>
      </c>
      <c r="AC262" s="789">
        <f t="shared" si="72"/>
        <v>0</v>
      </c>
      <c r="AD262" s="789">
        <f t="shared" si="64"/>
        <v>0</v>
      </c>
      <c r="AE262" s="828" t="e">
        <f>HLOOKUP($AE$39,anticipado,222,0)</f>
        <v>#N/A</v>
      </c>
      <c r="AF262" s="827"/>
      <c r="AG262" s="618"/>
      <c r="AH262" s="618"/>
      <c r="AI262" s="618"/>
      <c r="AJ262" s="618"/>
      <c r="AK262" s="618"/>
      <c r="AL262" s="618"/>
      <c r="AM262" s="618"/>
      <c r="AN262" s="618"/>
      <c r="AO262" s="618"/>
      <c r="AP262" s="618"/>
      <c r="AQ262" s="618"/>
      <c r="AR262" s="618"/>
      <c r="AS262" s="618">
        <v>4.6312184985586313E-2</v>
      </c>
      <c r="AT262" s="618">
        <v>4.6850357045272545E-2</v>
      </c>
      <c r="AU262" s="618">
        <v>4.5455645542302074E-2</v>
      </c>
      <c r="AV262" s="618">
        <v>4.7558851488661659E-2</v>
      </c>
      <c r="AW262" s="618">
        <v>4.6312184985586313E-2</v>
      </c>
      <c r="AX262" s="618">
        <v>4.5333795865957149E-2</v>
      </c>
      <c r="AY262" s="618">
        <v>4.6889168792472909E-2</v>
      </c>
      <c r="AZ262" s="618">
        <v>4.8106174482471772E-2</v>
      </c>
      <c r="BA262" s="618">
        <v>4.770917344714716E-2</v>
      </c>
      <c r="BB262" s="618">
        <v>4.7346832562013656E-2</v>
      </c>
      <c r="BC262" s="618">
        <v>4.667424841437038E-2</v>
      </c>
      <c r="BD262" s="618">
        <v>4.7141840723615512E-2</v>
      </c>
      <c r="BE262" s="618"/>
      <c r="BF262" s="618"/>
      <c r="BG262" s="618">
        <v>4.7676014336284239E-2</v>
      </c>
      <c r="BH262" s="618">
        <v>4.7332109391261076E-2</v>
      </c>
      <c r="BI262" s="618"/>
      <c r="BJ262" s="618"/>
      <c r="BK262" s="618"/>
      <c r="BL262" s="618"/>
      <c r="BM262" s="618"/>
      <c r="BN262" s="618"/>
      <c r="BO262" s="618"/>
      <c r="BP262" s="618"/>
      <c r="BQ262" s="618"/>
      <c r="BR262" s="618"/>
      <c r="BS262" s="618"/>
      <c r="BT262" s="618"/>
      <c r="BU262" s="618"/>
      <c r="BV262" s="618"/>
      <c r="BW262" s="618"/>
      <c r="BX262" s="618"/>
      <c r="BY262" s="618"/>
      <c r="BZ262" s="618"/>
      <c r="CA262" s="618"/>
      <c r="CB262" s="618"/>
      <c r="CC262" s="618"/>
      <c r="CD262" s="618"/>
      <c r="CE262" s="618"/>
      <c r="CF262" s="618"/>
      <c r="CG262" s="618"/>
      <c r="CH262" s="618"/>
      <c r="CI262" s="618"/>
      <c r="CJ262" s="618"/>
    </row>
    <row r="263" spans="1:88">
      <c r="A263" s="151">
        <f t="shared" ca="1" si="65"/>
        <v>5</v>
      </c>
      <c r="B263" s="784">
        <f t="shared" si="66"/>
        <v>0</v>
      </c>
      <c r="C263" s="944">
        <f t="shared" si="73"/>
        <v>0</v>
      </c>
      <c r="D263" s="947">
        <f t="shared" si="67"/>
        <v>0</v>
      </c>
      <c r="E263" s="947">
        <f t="shared" si="80"/>
        <v>0</v>
      </c>
      <c r="F263" s="947">
        <f t="shared" si="81"/>
        <v>0</v>
      </c>
      <c r="G263" s="947">
        <f>IF(M262&lt;0.01,0,IF($F$19=$U$4,$G$19,IF(AND($F$21=1,$F$19=$U$2),M262*Adm!$U$4,IF(AND($F$21=2,$F$19=$U$2),M262*Adm!$U$5,IF(AND($F$21=1,$F$19=$U$3),M262*Adm!$V$4,IF(AND($F$21=2,$F$19=$U$3),M262*Adm!$V$5,0))))))</f>
        <v>0</v>
      </c>
      <c r="H263" s="947">
        <f>IF(M262&lt;0.01,0,IF($F$20=$V$3,0,IF(OR($F$10=$T$16,$F$10=$T$17),0,IF($F$10=$T$13,0,$F$11*Adm!$AA$3))))</f>
        <v>0</v>
      </c>
      <c r="I263" s="947">
        <f t="shared" si="74"/>
        <v>0</v>
      </c>
      <c r="J263" s="947">
        <f t="shared" si="62"/>
        <v>0</v>
      </c>
      <c r="K263" s="947">
        <f t="shared" si="68"/>
        <v>0</v>
      </c>
      <c r="L263" s="947">
        <f t="shared" si="63"/>
        <v>0</v>
      </c>
      <c r="M263" s="947">
        <f t="shared" si="69"/>
        <v>0</v>
      </c>
      <c r="N263" s="946"/>
      <c r="P263" s="733"/>
      <c r="Q263" s="733"/>
      <c r="R263" s="733"/>
      <c r="S263" s="785">
        <f t="shared" si="70"/>
        <v>6</v>
      </c>
      <c r="T263" s="786">
        <f t="shared" si="75"/>
        <v>0</v>
      </c>
      <c r="W263" s="790">
        <f t="shared" si="76"/>
        <v>0</v>
      </c>
      <c r="X263" s="818">
        <f t="shared" ca="1" si="71"/>
        <v>0</v>
      </c>
      <c r="Z263" s="843">
        <f t="shared" si="77"/>
        <v>0</v>
      </c>
      <c r="AA263" s="792">
        <f t="shared" si="78"/>
        <v>0</v>
      </c>
      <c r="AB263" s="792">
        <f t="shared" si="79"/>
        <v>0</v>
      </c>
      <c r="AC263" s="789">
        <f t="shared" si="72"/>
        <v>0</v>
      </c>
      <c r="AD263" s="789">
        <f t="shared" si="64"/>
        <v>0</v>
      </c>
      <c r="AE263" s="828" t="e">
        <f>HLOOKUP($AE$39,anticipado,223,0)</f>
        <v>#N/A</v>
      </c>
      <c r="AF263" s="827"/>
      <c r="AG263" s="618"/>
      <c r="AH263" s="618"/>
      <c r="AI263" s="618"/>
      <c r="AJ263" s="618"/>
      <c r="AK263" s="618"/>
      <c r="AL263" s="618"/>
      <c r="AM263" s="618"/>
      <c r="AN263" s="618"/>
      <c r="AO263" s="618"/>
      <c r="AP263" s="618"/>
      <c r="AQ263" s="618"/>
      <c r="AR263" s="618"/>
      <c r="AS263" s="618">
        <v>4.9001850845314839E-2</v>
      </c>
      <c r="AT263" s="618">
        <v>4.9615651824134792E-2</v>
      </c>
      <c r="AU263" s="618">
        <v>4.8092092332678978E-2</v>
      </c>
      <c r="AV263" s="618">
        <v>5.0364315588135596E-2</v>
      </c>
      <c r="AW263" s="618">
        <v>4.9001850845314839E-2</v>
      </c>
      <c r="AX263" s="618">
        <v>4.7937267441621793E-2</v>
      </c>
      <c r="AY263" s="618">
        <v>4.960343105891097E-2</v>
      </c>
      <c r="AZ263" s="618">
        <v>5.0971110971402014E-2</v>
      </c>
      <c r="BA263" s="618">
        <v>5.0556112414399015E-2</v>
      </c>
      <c r="BB263" s="618">
        <v>5.0093426741517739E-2</v>
      </c>
      <c r="BC263" s="618">
        <v>4.9356778260112505E-2</v>
      </c>
      <c r="BD263" s="618">
        <v>4.9894673102102417E-2</v>
      </c>
      <c r="BE263" s="618"/>
      <c r="BF263" s="618"/>
      <c r="BG263" s="618">
        <v>5.0444538485626376E-2</v>
      </c>
      <c r="BH263" s="618">
        <v>5.0093222758878078E-2</v>
      </c>
      <c r="BI263" s="618"/>
      <c r="BJ263" s="618"/>
      <c r="BK263" s="618"/>
      <c r="BL263" s="618"/>
      <c r="BM263" s="618"/>
      <c r="BN263" s="618"/>
      <c r="BO263" s="618"/>
      <c r="BP263" s="618"/>
      <c r="BQ263" s="618"/>
      <c r="BR263" s="618"/>
      <c r="BS263" s="618"/>
      <c r="BT263" s="618"/>
      <c r="BU263" s="618"/>
      <c r="BV263" s="618"/>
      <c r="BW263" s="618"/>
      <c r="BX263" s="618"/>
      <c r="BY263" s="618"/>
      <c r="BZ263" s="618"/>
      <c r="CA263" s="618"/>
      <c r="CB263" s="618"/>
      <c r="CC263" s="618"/>
      <c r="CD263" s="618"/>
      <c r="CE263" s="618"/>
      <c r="CF263" s="618"/>
      <c r="CG263" s="618"/>
      <c r="CH263" s="618"/>
      <c r="CI263" s="618"/>
      <c r="CJ263" s="618"/>
    </row>
    <row r="264" spans="1:88">
      <c r="A264" s="151">
        <f t="shared" ca="1" si="65"/>
        <v>6</v>
      </c>
      <c r="B264" s="784">
        <f t="shared" si="66"/>
        <v>0</v>
      </c>
      <c r="C264" s="944">
        <f t="shared" si="73"/>
        <v>0</v>
      </c>
      <c r="D264" s="947">
        <f t="shared" si="67"/>
        <v>0</v>
      </c>
      <c r="E264" s="947">
        <f t="shared" si="80"/>
        <v>0</v>
      </c>
      <c r="F264" s="947">
        <f t="shared" si="81"/>
        <v>0</v>
      </c>
      <c r="G264" s="947">
        <f>IF(M263&lt;0.01,0,IF($F$19=$U$4,$G$19,IF(AND($F$21=1,$F$19=$U$2),M263*Adm!$U$4,IF(AND($F$21=2,$F$19=$U$2),M263*Adm!$U$5,IF(AND($F$21=1,$F$19=$U$3),M263*Adm!$V$4,IF(AND($F$21=2,$F$19=$U$3),M263*Adm!$V$5,0))))))</f>
        <v>0</v>
      </c>
      <c r="H264" s="947">
        <f>IF(M263&lt;0.01,0,IF($F$20=$V$3,0,IF(OR($F$10=$T$16,$F$10=$T$17),0,IF($F$10=$T$13,0,$F$11*Adm!$AA$3))))</f>
        <v>0</v>
      </c>
      <c r="I264" s="947">
        <f t="shared" si="74"/>
        <v>0</v>
      </c>
      <c r="J264" s="947">
        <f t="shared" si="62"/>
        <v>0</v>
      </c>
      <c r="K264" s="947">
        <f t="shared" si="68"/>
        <v>0</v>
      </c>
      <c r="L264" s="947">
        <f t="shared" si="63"/>
        <v>0</v>
      </c>
      <c r="M264" s="947">
        <f t="shared" si="69"/>
        <v>0</v>
      </c>
      <c r="N264" s="946"/>
      <c r="P264" s="733"/>
      <c r="Q264" s="733"/>
      <c r="R264" s="733"/>
      <c r="S264" s="785">
        <f t="shared" si="70"/>
        <v>7</v>
      </c>
      <c r="T264" s="786">
        <f t="shared" si="75"/>
        <v>0</v>
      </c>
      <c r="W264" s="790">
        <f t="shared" si="76"/>
        <v>0</v>
      </c>
      <c r="X264" s="818">
        <f t="shared" ca="1" si="71"/>
        <v>0</v>
      </c>
      <c r="Z264" s="843">
        <f t="shared" si="77"/>
        <v>0</v>
      </c>
      <c r="AA264" s="792">
        <f t="shared" si="78"/>
        <v>0</v>
      </c>
      <c r="AB264" s="792">
        <f t="shared" si="79"/>
        <v>0</v>
      </c>
      <c r="AC264" s="789">
        <f t="shared" si="72"/>
        <v>0</v>
      </c>
      <c r="AD264" s="789">
        <f t="shared" si="64"/>
        <v>0</v>
      </c>
      <c r="AE264" s="828" t="e">
        <f>HLOOKUP($AE$39,anticipado,224,0)</f>
        <v>#N/A</v>
      </c>
      <c r="AF264" s="827"/>
      <c r="AG264" s="618"/>
      <c r="AH264" s="618"/>
      <c r="AI264" s="618"/>
      <c r="AJ264" s="618"/>
      <c r="AK264" s="618"/>
      <c r="AL264" s="618"/>
      <c r="AM264" s="618"/>
      <c r="AN264" s="618"/>
      <c r="AO264" s="618"/>
      <c r="AP264" s="618"/>
      <c r="AQ264" s="618"/>
      <c r="AR264" s="618"/>
      <c r="AS264" s="618">
        <v>5.1994362644856545E-2</v>
      </c>
      <c r="AT264" s="618">
        <v>5.2697050946991494E-2</v>
      </c>
      <c r="AU264" s="618">
        <v>5.102237771427641E-2</v>
      </c>
      <c r="AV264" s="618">
        <v>5.3492837984015211E-2</v>
      </c>
      <c r="AW264" s="618">
        <v>5.1994362644856545E-2</v>
      </c>
      <c r="AX264" s="618">
        <v>5.0828869096733842E-2</v>
      </c>
      <c r="AY264" s="618">
        <v>5.2624677368704929E-2</v>
      </c>
      <c r="AZ264" s="618">
        <v>5.4169702947462886E-2</v>
      </c>
      <c r="BA264" s="618">
        <v>5.3733576366453754E-2</v>
      </c>
      <c r="BB264" s="618">
        <v>5.315259534421856E-2</v>
      </c>
      <c r="BC264" s="618">
        <v>5.2340762169348229E-2</v>
      </c>
      <c r="BD264" s="618">
        <v>5.2961262713642022E-2</v>
      </c>
      <c r="BE264" s="618"/>
      <c r="BF264" s="618"/>
      <c r="BG264" s="618">
        <v>5.3529446305870018E-2</v>
      </c>
      <c r="BH264" s="618">
        <v>5.3169506327561969E-2</v>
      </c>
      <c r="BI264" s="618"/>
      <c r="BJ264" s="618"/>
      <c r="BK264" s="618"/>
      <c r="BL264" s="618"/>
      <c r="BM264" s="618"/>
      <c r="BN264" s="618"/>
      <c r="BO264" s="618"/>
      <c r="BP264" s="618"/>
      <c r="BQ264" s="618"/>
      <c r="BR264" s="618"/>
      <c r="BS264" s="618"/>
      <c r="BT264" s="618"/>
      <c r="BU264" s="618"/>
      <c r="BV264" s="618"/>
      <c r="BW264" s="618"/>
      <c r="BX264" s="618"/>
      <c r="BY264" s="618"/>
      <c r="BZ264" s="618"/>
      <c r="CA264" s="618"/>
      <c r="CB264" s="618"/>
      <c r="CC264" s="618"/>
      <c r="CD264" s="618"/>
      <c r="CE264" s="618"/>
      <c r="CF264" s="618"/>
      <c r="CG264" s="618"/>
      <c r="CH264" s="618"/>
      <c r="CI264" s="618"/>
      <c r="CJ264" s="618"/>
    </row>
    <row r="265" spans="1:88">
      <c r="A265" s="151">
        <f t="shared" ca="1" si="65"/>
        <v>7</v>
      </c>
      <c r="B265" s="784">
        <f t="shared" si="66"/>
        <v>0</v>
      </c>
      <c r="C265" s="944">
        <f t="shared" si="73"/>
        <v>0</v>
      </c>
      <c r="D265" s="947">
        <f t="shared" si="67"/>
        <v>0</v>
      </c>
      <c r="E265" s="947">
        <f t="shared" si="80"/>
        <v>0</v>
      </c>
      <c r="F265" s="947">
        <f t="shared" si="81"/>
        <v>0</v>
      </c>
      <c r="G265" s="947">
        <f>IF(M264&lt;0.01,0,IF($F$19=$U$4,$G$19,IF(AND($F$21=1,$F$19=$U$2),M264*Adm!$U$4,IF(AND($F$21=2,$F$19=$U$2),M264*Adm!$U$5,IF(AND($F$21=1,$F$19=$U$3),M264*Adm!$V$4,IF(AND($F$21=2,$F$19=$U$3),M264*Adm!$V$5,0))))))</f>
        <v>0</v>
      </c>
      <c r="H265" s="947">
        <f>IF(M264&lt;0.01,0,IF($F$20=$V$3,0,IF(OR($F$10=$T$16,$F$10=$T$17),0,IF($F$10=$T$13,0,$F$11*Adm!$AA$3))))</f>
        <v>0</v>
      </c>
      <c r="I265" s="947">
        <f t="shared" si="74"/>
        <v>0</v>
      </c>
      <c r="J265" s="947">
        <f t="shared" si="62"/>
        <v>0</v>
      </c>
      <c r="K265" s="947">
        <f t="shared" si="68"/>
        <v>0</v>
      </c>
      <c r="L265" s="947">
        <f t="shared" si="63"/>
        <v>0</v>
      </c>
      <c r="M265" s="947">
        <f t="shared" si="69"/>
        <v>0</v>
      </c>
      <c r="N265" s="946"/>
      <c r="P265" s="733"/>
      <c r="Q265" s="733"/>
      <c r="R265" s="733"/>
      <c r="S265" s="785">
        <f t="shared" si="70"/>
        <v>8</v>
      </c>
      <c r="T265" s="786">
        <f t="shared" si="75"/>
        <v>0</v>
      </c>
      <c r="W265" s="790">
        <f t="shared" si="76"/>
        <v>0</v>
      </c>
      <c r="X265" s="818">
        <f t="shared" ca="1" si="71"/>
        <v>0</v>
      </c>
      <c r="Z265" s="843">
        <f t="shared" si="77"/>
        <v>0</v>
      </c>
      <c r="AA265" s="792">
        <f t="shared" si="78"/>
        <v>0</v>
      </c>
      <c r="AB265" s="792">
        <f t="shared" si="79"/>
        <v>0</v>
      </c>
      <c r="AC265" s="789">
        <f t="shared" si="72"/>
        <v>0</v>
      </c>
      <c r="AD265" s="789">
        <f t="shared" si="64"/>
        <v>0</v>
      </c>
      <c r="AE265" s="828" t="e">
        <f>HLOOKUP($AE$39,anticipado,225,0)</f>
        <v>#N/A</v>
      </c>
      <c r="AF265" s="827"/>
      <c r="AG265" s="618"/>
      <c r="AH265" s="618"/>
      <c r="AI265" s="618"/>
      <c r="AJ265" s="618"/>
      <c r="AK265" s="618"/>
      <c r="AL265" s="618"/>
      <c r="AM265" s="618"/>
      <c r="AN265" s="618"/>
      <c r="AO265" s="618"/>
      <c r="AP265" s="618"/>
      <c r="AQ265" s="618"/>
      <c r="AR265" s="618"/>
      <c r="AS265" s="618">
        <v>5.5343775836855749E-2</v>
      </c>
      <c r="AT265" s="618">
        <v>5.6151880896348719E-2</v>
      </c>
      <c r="AU265" s="618">
        <v>5.4298355651440616E-2</v>
      </c>
      <c r="AV265" s="618">
        <v>5.7003492289175242E-2</v>
      </c>
      <c r="AW265" s="618">
        <v>5.5343775836855749E-2</v>
      </c>
      <c r="AX265" s="618">
        <v>5.4059081770021743E-2</v>
      </c>
      <c r="AY265" s="618">
        <v>5.6007987378788267E-2</v>
      </c>
      <c r="AZ265" s="618">
        <v>5.7763702151099397E-2</v>
      </c>
      <c r="BA265" s="618">
        <v>5.7302516624000294E-2</v>
      </c>
      <c r="BB265" s="618">
        <v>5.6580803264178699E-2</v>
      </c>
      <c r="BC265" s="618">
        <v>5.5679924367903852E-2</v>
      </c>
      <c r="BD265" s="618">
        <v>5.6398361908355454E-2</v>
      </c>
      <c r="BE265" s="618"/>
      <c r="BF265" s="618"/>
      <c r="BG265" s="618">
        <v>5.6988152587981351E-2</v>
      </c>
      <c r="BH265" s="618">
        <v>5.6618066310495159E-2</v>
      </c>
      <c r="BI265" s="618"/>
      <c r="BJ265" s="618"/>
      <c r="BK265" s="618"/>
      <c r="BL265" s="618"/>
      <c r="BM265" s="618"/>
      <c r="BN265" s="618"/>
      <c r="BO265" s="618"/>
      <c r="BP265" s="618"/>
      <c r="BQ265" s="618"/>
      <c r="BR265" s="618"/>
      <c r="BS265" s="618"/>
      <c r="BT265" s="618"/>
      <c r="BU265" s="618"/>
      <c r="BV265" s="618"/>
      <c r="BW265" s="618"/>
      <c r="BX265" s="618"/>
      <c r="BY265" s="618"/>
      <c r="BZ265" s="618"/>
      <c r="CA265" s="618"/>
      <c r="CB265" s="618"/>
      <c r="CC265" s="618"/>
      <c r="CD265" s="618"/>
      <c r="CE265" s="618"/>
      <c r="CF265" s="618"/>
      <c r="CG265" s="618"/>
      <c r="CH265" s="618"/>
      <c r="CI265" s="618"/>
      <c r="CJ265" s="618"/>
    </row>
    <row r="266" spans="1:88">
      <c r="A266" s="151">
        <f t="shared" ca="1" si="65"/>
        <v>8</v>
      </c>
      <c r="B266" s="784">
        <f t="shared" si="66"/>
        <v>0</v>
      </c>
      <c r="C266" s="944">
        <f t="shared" si="73"/>
        <v>0</v>
      </c>
      <c r="D266" s="947">
        <f t="shared" si="67"/>
        <v>0</v>
      </c>
      <c r="E266" s="947">
        <f t="shared" si="80"/>
        <v>0</v>
      </c>
      <c r="F266" s="947">
        <f t="shared" si="81"/>
        <v>0</v>
      </c>
      <c r="G266" s="947">
        <f>IF(M265&lt;0.01,0,IF($F$19=$U$4,$G$19,IF(AND($F$21=1,$F$19=$U$2),M265*Adm!$U$4,IF(AND($F$21=2,$F$19=$U$2),M265*Adm!$U$5,IF(AND($F$21=1,$F$19=$U$3),M265*Adm!$V$4,IF(AND($F$21=2,$F$19=$U$3),M265*Adm!$V$5,0))))))</f>
        <v>0</v>
      </c>
      <c r="H266" s="947">
        <f>IF(M265&lt;0.01,0,IF($F$20=$V$3,0,IF(OR($F$10=$T$16,$F$10=$T$17),0,IF($F$10=$T$13,0,$F$11*Adm!$AA$3))))</f>
        <v>0</v>
      </c>
      <c r="I266" s="947">
        <f t="shared" si="74"/>
        <v>0</v>
      </c>
      <c r="J266" s="947">
        <f t="shared" si="62"/>
        <v>0</v>
      </c>
      <c r="K266" s="947">
        <f t="shared" si="68"/>
        <v>0</v>
      </c>
      <c r="L266" s="947">
        <f t="shared" si="63"/>
        <v>0</v>
      </c>
      <c r="M266" s="947">
        <f t="shared" si="69"/>
        <v>0</v>
      </c>
      <c r="N266" s="946"/>
      <c r="P266" s="733"/>
      <c r="Q266" s="733"/>
      <c r="R266" s="733"/>
      <c r="S266" s="785">
        <f t="shared" si="70"/>
        <v>9</v>
      </c>
      <c r="T266" s="786">
        <f t="shared" si="75"/>
        <v>0</v>
      </c>
      <c r="W266" s="790">
        <f t="shared" si="76"/>
        <v>0</v>
      </c>
      <c r="X266" s="818">
        <f t="shared" ca="1" si="71"/>
        <v>0</v>
      </c>
      <c r="Z266" s="843">
        <f t="shared" si="77"/>
        <v>0</v>
      </c>
      <c r="AA266" s="792">
        <f t="shared" si="78"/>
        <v>0</v>
      </c>
      <c r="AB266" s="792">
        <f t="shared" si="79"/>
        <v>0</v>
      </c>
      <c r="AC266" s="789">
        <f t="shared" si="72"/>
        <v>0</v>
      </c>
      <c r="AD266" s="789">
        <f t="shared" si="64"/>
        <v>0</v>
      </c>
      <c r="AE266" s="828" t="e">
        <f>HLOOKUP($AE$39,anticipado,226,0)</f>
        <v>#N/A</v>
      </c>
      <c r="AF266" s="827"/>
      <c r="AG266" s="618"/>
      <c r="AH266" s="618"/>
      <c r="AI266" s="618"/>
      <c r="AJ266" s="618"/>
      <c r="AK266" s="618"/>
      <c r="AL266" s="618"/>
      <c r="AM266" s="618"/>
      <c r="AN266" s="618"/>
      <c r="AO266" s="618"/>
      <c r="AP266" s="618"/>
      <c r="AQ266" s="618"/>
      <c r="AR266" s="618"/>
      <c r="AS266" s="618">
        <v>5.9117824213827948E-2</v>
      </c>
      <c r="AT266" s="618">
        <v>6.0052221710144363E-2</v>
      </c>
      <c r="AU266" s="618">
        <v>5.7984843514214936E-2</v>
      </c>
      <c r="AV266" s="618">
        <v>6.097068964734767E-2</v>
      </c>
      <c r="AW266" s="618">
        <v>5.9117824213827948E-2</v>
      </c>
      <c r="AX266" s="618">
        <v>5.7690910185599145E-2</v>
      </c>
      <c r="AY266" s="618">
        <v>5.9822455542572414E-2</v>
      </c>
      <c r="AZ266" s="618">
        <v>6.1831100536282158E-2</v>
      </c>
      <c r="BA266" s="618">
        <v>6.1339852483894508E-2</v>
      </c>
      <c r="BB266" s="618">
        <v>6.044898685618199E-2</v>
      </c>
      <c r="BC266" s="618">
        <v>5.9441561396913603E-2</v>
      </c>
      <c r="BD266" s="618">
        <v>6.0277288305271445E-2</v>
      </c>
      <c r="BE266" s="618"/>
      <c r="BF266" s="618"/>
      <c r="BG266" s="618">
        <v>6.0892858779085637E-2</v>
      </c>
      <c r="BH266" s="618">
        <v>6.0510691907235271E-2</v>
      </c>
      <c r="BI266" s="618"/>
      <c r="BJ266" s="618"/>
      <c r="BK266" s="618"/>
      <c r="BL266" s="618"/>
      <c r="BM266" s="618"/>
      <c r="BN266" s="618"/>
      <c r="BO266" s="618"/>
      <c r="BP266" s="618"/>
      <c r="BQ266" s="618"/>
      <c r="BR266" s="618"/>
      <c r="BS266" s="618"/>
      <c r="BT266" s="618"/>
      <c r="BU266" s="618"/>
      <c r="BV266" s="618"/>
      <c r="BW266" s="618"/>
      <c r="BX266" s="618"/>
      <c r="BY266" s="618"/>
      <c r="BZ266" s="618"/>
      <c r="CA266" s="618"/>
      <c r="CB266" s="618"/>
      <c r="CC266" s="618"/>
      <c r="CD266" s="618"/>
      <c r="CE266" s="618"/>
      <c r="CF266" s="618"/>
      <c r="CG266" s="618"/>
      <c r="CH266" s="618"/>
      <c r="CI266" s="618"/>
      <c r="CJ266" s="618"/>
    </row>
    <row r="267" spans="1:88">
      <c r="A267" s="151">
        <f t="shared" ca="1" si="65"/>
        <v>9</v>
      </c>
      <c r="B267" s="784">
        <f t="shared" si="66"/>
        <v>0</v>
      </c>
      <c r="C267" s="944">
        <f t="shared" si="73"/>
        <v>0</v>
      </c>
      <c r="D267" s="947">
        <f t="shared" si="67"/>
        <v>0</v>
      </c>
      <c r="E267" s="947">
        <f t="shared" si="80"/>
        <v>0</v>
      </c>
      <c r="F267" s="947">
        <f t="shared" si="81"/>
        <v>0</v>
      </c>
      <c r="G267" s="947">
        <f>IF(M266&lt;0.01,0,IF($F$19=$U$4,$G$19,IF(AND($F$21=1,$F$19=$U$2),M266*Adm!$U$4,IF(AND($F$21=2,$F$19=$U$2),M266*Adm!$U$5,IF(AND($F$21=1,$F$19=$U$3),M266*Adm!$V$4,IF(AND($F$21=2,$F$19=$U$3),M266*Adm!$V$5,0))))))</f>
        <v>0</v>
      </c>
      <c r="H267" s="947">
        <f>IF(M266&lt;0.01,0,IF($F$20=$V$3,0,IF(OR($F$10=$T$16,$F$10=$T$17),0,IF($F$10=$T$13,0,$F$11*Adm!$AA$3))))</f>
        <v>0</v>
      </c>
      <c r="I267" s="947">
        <f t="shared" si="74"/>
        <v>0</v>
      </c>
      <c r="J267" s="947">
        <f t="shared" si="62"/>
        <v>0</v>
      </c>
      <c r="K267" s="947">
        <f t="shared" si="68"/>
        <v>0</v>
      </c>
      <c r="L267" s="947">
        <f t="shared" si="63"/>
        <v>0</v>
      </c>
      <c r="M267" s="947">
        <f t="shared" si="69"/>
        <v>0</v>
      </c>
      <c r="N267" s="946"/>
      <c r="P267" s="733"/>
      <c r="Q267" s="733"/>
      <c r="R267" s="733"/>
      <c r="S267" s="785">
        <f t="shared" si="70"/>
        <v>10</v>
      </c>
      <c r="T267" s="786">
        <f t="shared" si="75"/>
        <v>0</v>
      </c>
      <c r="W267" s="790">
        <f t="shared" si="76"/>
        <v>0</v>
      </c>
      <c r="X267" s="818">
        <f t="shared" ca="1" si="71"/>
        <v>0</v>
      </c>
      <c r="Z267" s="843">
        <f t="shared" si="77"/>
        <v>0</v>
      </c>
      <c r="AA267" s="792">
        <f t="shared" si="78"/>
        <v>0</v>
      </c>
      <c r="AB267" s="792">
        <f t="shared" si="79"/>
        <v>0</v>
      </c>
      <c r="AC267" s="789">
        <f t="shared" si="72"/>
        <v>0</v>
      </c>
      <c r="AD267" s="789">
        <f t="shared" si="64"/>
        <v>0</v>
      </c>
      <c r="AE267" s="828" t="e">
        <f>HLOOKUP($AE$39,anticipado,227,0)</f>
        <v>#N/A</v>
      </c>
      <c r="AF267" s="827"/>
      <c r="AG267" s="618"/>
      <c r="AH267" s="618"/>
      <c r="AI267" s="618"/>
      <c r="AJ267" s="618"/>
      <c r="AK267" s="618"/>
      <c r="AL267" s="618"/>
      <c r="AM267" s="618"/>
      <c r="AN267" s="618"/>
      <c r="AO267" s="618"/>
      <c r="AP267" s="618"/>
      <c r="AQ267" s="618"/>
      <c r="AR267" s="618"/>
      <c r="AS267" s="618">
        <v>6.3402538600248373E-2</v>
      </c>
      <c r="AT267" s="618">
        <v>6.4489979581299497E-2</v>
      </c>
      <c r="AU267" s="618">
        <v>6.2163943190141881E-2</v>
      </c>
      <c r="AV267" s="618">
        <v>6.5489501943726353E-2</v>
      </c>
      <c r="AW267" s="618">
        <v>6.3402538600248373E-2</v>
      </c>
      <c r="AX267" s="618">
        <v>6.1804023440173148E-2</v>
      </c>
      <c r="AY267" s="618">
        <v>6.4155951435172082E-2</v>
      </c>
      <c r="AZ267" s="618">
        <v>6.6471844801292784E-2</v>
      </c>
      <c r="BA267" s="618">
        <v>6.5944066802208212E-2</v>
      </c>
      <c r="BB267" s="618">
        <v>6.4847507461666551E-2</v>
      </c>
      <c r="BC267" s="618">
        <v>6.3711117010355547E-2</v>
      </c>
      <c r="BD267" s="618">
        <v>6.4688917804525653E-2</v>
      </c>
      <c r="BE267" s="618"/>
      <c r="BF267" s="618"/>
      <c r="BG267" s="618">
        <v>6.5335640774179332E-2</v>
      </c>
      <c r="BH267" s="618">
        <v>6.4938898542185472E-2</v>
      </c>
      <c r="BI267" s="618"/>
      <c r="BJ267" s="618"/>
      <c r="BK267" s="618"/>
      <c r="BL267" s="618"/>
      <c r="BM267" s="618"/>
      <c r="BN267" s="618"/>
      <c r="BO267" s="618"/>
      <c r="BP267" s="618"/>
      <c r="BQ267" s="618"/>
      <c r="BR267" s="618"/>
      <c r="BS267" s="618"/>
      <c r="BT267" s="618"/>
      <c r="BU267" s="618"/>
      <c r="BV267" s="618"/>
      <c r="BW267" s="618"/>
      <c r="BX267" s="618"/>
      <c r="BY267" s="618"/>
      <c r="BZ267" s="618"/>
      <c r="CA267" s="618"/>
      <c r="CB267" s="618"/>
      <c r="CC267" s="618"/>
      <c r="CD267" s="618"/>
      <c r="CE267" s="618"/>
      <c r="CF267" s="618"/>
      <c r="CG267" s="618"/>
      <c r="CH267" s="618"/>
      <c r="CI267" s="618"/>
      <c r="CJ267" s="618"/>
    </row>
    <row r="268" spans="1:88">
      <c r="A268" s="151">
        <f t="shared" ca="1" si="65"/>
        <v>10</v>
      </c>
      <c r="B268" s="784">
        <f t="shared" si="66"/>
        <v>0</v>
      </c>
      <c r="C268" s="944">
        <f t="shared" si="73"/>
        <v>0</v>
      </c>
      <c r="D268" s="947">
        <f t="shared" si="67"/>
        <v>0</v>
      </c>
      <c r="E268" s="947">
        <f t="shared" si="80"/>
        <v>0</v>
      </c>
      <c r="F268" s="947">
        <f t="shared" si="81"/>
        <v>0</v>
      </c>
      <c r="G268" s="947">
        <f>IF(M267&lt;0.01,0,IF($F$19=$U$4,$G$19,IF(AND($F$21=1,$F$19=$U$2),M267*Adm!$U$4,IF(AND($F$21=2,$F$19=$U$2),M267*Adm!$U$5,IF(AND($F$21=1,$F$19=$U$3),M267*Adm!$V$4,IF(AND($F$21=2,$F$19=$U$3),M267*Adm!$V$5,0))))))</f>
        <v>0</v>
      </c>
      <c r="H268" s="947">
        <f>IF(M267&lt;0.01,0,IF($F$20=$V$3,0,IF(OR($F$10=$T$16,$F$10=$T$17),0,IF($F$10=$T$13,0,$F$11*Adm!$AA$3))))</f>
        <v>0</v>
      </c>
      <c r="I268" s="947">
        <f t="shared" si="74"/>
        <v>0</v>
      </c>
      <c r="J268" s="947">
        <f t="shared" si="62"/>
        <v>0</v>
      </c>
      <c r="K268" s="947">
        <f t="shared" si="68"/>
        <v>0</v>
      </c>
      <c r="L268" s="947">
        <f t="shared" si="63"/>
        <v>0</v>
      </c>
      <c r="M268" s="947">
        <f t="shared" si="69"/>
        <v>0</v>
      </c>
      <c r="N268" s="946"/>
      <c r="P268" s="733"/>
      <c r="Q268" s="733"/>
      <c r="R268" s="733"/>
      <c r="S268" s="785">
        <f t="shared" si="70"/>
        <v>11</v>
      </c>
      <c r="T268" s="786">
        <f t="shared" si="75"/>
        <v>0</v>
      </c>
      <c r="W268" s="790">
        <f t="shared" si="76"/>
        <v>0</v>
      </c>
      <c r="X268" s="818">
        <f t="shared" ca="1" si="71"/>
        <v>0</v>
      </c>
      <c r="Z268" s="843">
        <f t="shared" si="77"/>
        <v>0</v>
      </c>
      <c r="AA268" s="792">
        <f t="shared" si="78"/>
        <v>0</v>
      </c>
      <c r="AB268" s="792">
        <f t="shared" si="79"/>
        <v>0</v>
      </c>
      <c r="AC268" s="789">
        <f t="shared" si="72"/>
        <v>0</v>
      </c>
      <c r="AD268" s="789">
        <f t="shared" si="64"/>
        <v>0</v>
      </c>
      <c r="AE268" s="828" t="e">
        <f>HLOOKUP($AE$39,anticipado,228,0)</f>
        <v>#N/A</v>
      </c>
      <c r="AF268" s="827"/>
      <c r="AG268" s="618"/>
      <c r="AH268" s="618"/>
      <c r="AI268" s="618"/>
      <c r="AJ268" s="618"/>
      <c r="AK268" s="618"/>
      <c r="AL268" s="618"/>
      <c r="AM268" s="618"/>
      <c r="AN268" s="618"/>
      <c r="AO268" s="618"/>
      <c r="AP268" s="618"/>
      <c r="AQ268" s="618"/>
      <c r="AR268" s="618"/>
      <c r="AS268" s="618">
        <v>6.8308872567762635E-2</v>
      </c>
      <c r="AT268" s="618">
        <v>6.9584206887196451E-2</v>
      </c>
      <c r="AU268" s="618">
        <v>6.6941214090377565E-2</v>
      </c>
      <c r="AV268" s="618">
        <v>7.0683367426454938E-2</v>
      </c>
      <c r="AW268" s="618">
        <v>6.8308872567762635E-2</v>
      </c>
      <c r="AX268" s="618">
        <v>6.6500654647976526E-2</v>
      </c>
      <c r="AY268" s="618">
        <v>6.9121961789924982E-2</v>
      </c>
      <c r="AZ268" s="618">
        <v>7.1816146550216772E-2</v>
      </c>
      <c r="BA268" s="618">
        <v>7.1243331917037356E-2</v>
      </c>
      <c r="BB268" s="618">
        <v>6.9893289152223995E-2</v>
      </c>
      <c r="BC268" s="618">
        <v>6.8598741346798595E-2</v>
      </c>
      <c r="BD268" s="618">
        <v>6.975088272527237E-2</v>
      </c>
      <c r="BE268" s="618"/>
      <c r="BF268" s="618"/>
      <c r="BG268" s="618">
        <v>7.043579268349591E-2</v>
      </c>
      <c r="BH268" s="618">
        <v>7.0021203101693269E-2</v>
      </c>
      <c r="BI268" s="618"/>
      <c r="BJ268" s="618"/>
      <c r="BK268" s="618"/>
      <c r="BL268" s="618"/>
      <c r="BM268" s="618"/>
      <c r="BN268" s="618"/>
      <c r="BO268" s="618"/>
      <c r="BP268" s="618"/>
      <c r="BQ268" s="618"/>
      <c r="BR268" s="618"/>
      <c r="BS268" s="618"/>
      <c r="BT268" s="618"/>
      <c r="BU268" s="618"/>
      <c r="BV268" s="618"/>
      <c r="BW268" s="618"/>
      <c r="BX268" s="618"/>
      <c r="BY268" s="618"/>
      <c r="BZ268" s="618"/>
      <c r="CA268" s="618"/>
      <c r="CB268" s="618"/>
      <c r="CC268" s="618"/>
      <c r="CD268" s="618"/>
      <c r="CE268" s="618"/>
      <c r="CF268" s="618"/>
      <c r="CG268" s="618"/>
      <c r="CH268" s="618"/>
      <c r="CI268" s="618"/>
      <c r="CJ268" s="618"/>
    </row>
    <row r="269" spans="1:88">
      <c r="A269" s="151">
        <f t="shared" ca="1" si="65"/>
        <v>11</v>
      </c>
      <c r="B269" s="784">
        <f t="shared" si="66"/>
        <v>0</v>
      </c>
      <c r="C269" s="944">
        <f t="shared" si="73"/>
        <v>0</v>
      </c>
      <c r="D269" s="947">
        <f t="shared" si="67"/>
        <v>0</v>
      </c>
      <c r="E269" s="947">
        <f t="shared" si="80"/>
        <v>0</v>
      </c>
      <c r="F269" s="947">
        <f t="shared" si="81"/>
        <v>0</v>
      </c>
      <c r="G269" s="947">
        <f>IF(M268&lt;0.01,0,IF($F$19=$U$4,$G$19,IF(AND($F$21=1,$F$19=$U$2),M268*Adm!$U$4,IF(AND($F$21=2,$F$19=$U$2),M268*Adm!$U$5,IF(AND($F$21=1,$F$19=$U$3),M268*Adm!$V$4,IF(AND($F$21=2,$F$19=$U$3),M268*Adm!$V$5,0))))))</f>
        <v>0</v>
      </c>
      <c r="H269" s="947">
        <f>IF(M268&lt;0.01,0,IF($F$20=$V$3,0,IF(OR($F$10=$T$16,$F$10=$T$17),0,IF($F$10=$T$13,0,$F$11*Adm!$AA$3))))</f>
        <v>0</v>
      </c>
      <c r="I269" s="947">
        <f t="shared" si="74"/>
        <v>0</v>
      </c>
      <c r="J269" s="947">
        <f t="shared" si="62"/>
        <v>0</v>
      </c>
      <c r="K269" s="947">
        <f t="shared" si="68"/>
        <v>0</v>
      </c>
      <c r="L269" s="947">
        <f t="shared" si="63"/>
        <v>0</v>
      </c>
      <c r="M269" s="947">
        <f t="shared" si="69"/>
        <v>0</v>
      </c>
      <c r="N269" s="946"/>
      <c r="P269" s="733"/>
      <c r="Q269" s="733"/>
      <c r="R269" s="733"/>
      <c r="S269" s="785">
        <f t="shared" si="70"/>
        <v>12</v>
      </c>
      <c r="T269" s="786">
        <f t="shared" si="75"/>
        <v>0</v>
      </c>
      <c r="W269" s="790">
        <f t="shared" si="76"/>
        <v>0</v>
      </c>
      <c r="X269" s="818">
        <f t="shared" ca="1" si="71"/>
        <v>0</v>
      </c>
      <c r="Z269" s="843">
        <f t="shared" si="77"/>
        <v>0</v>
      </c>
      <c r="AA269" s="792">
        <f t="shared" si="78"/>
        <v>0</v>
      </c>
      <c r="AB269" s="792">
        <f t="shared" si="79"/>
        <v>0</v>
      </c>
      <c r="AC269" s="789">
        <f t="shared" si="72"/>
        <v>0</v>
      </c>
      <c r="AD269" s="789">
        <f t="shared" si="64"/>
        <v>0</v>
      </c>
      <c r="AE269" s="828" t="e">
        <f>HLOOKUP($AE$39,anticipado,229,0)</f>
        <v>#N/A</v>
      </c>
      <c r="AF269" s="827"/>
      <c r="AG269" s="618"/>
      <c r="AH269" s="618"/>
      <c r="AI269" s="618"/>
      <c r="AJ269" s="618"/>
      <c r="AK269" s="618"/>
      <c r="AL269" s="618"/>
      <c r="AM269" s="618"/>
      <c r="AN269" s="618"/>
      <c r="AO269" s="618"/>
      <c r="AP269" s="618"/>
      <c r="AQ269" s="618"/>
      <c r="AR269" s="618"/>
      <c r="AS269" s="618">
        <v>7.3982432113831972E-2</v>
      </c>
      <c r="AT269" s="618">
        <v>7.5491923955133336E-2</v>
      </c>
      <c r="AU269" s="618">
        <v>7.245469521774732E-2</v>
      </c>
      <c r="AV269" s="618">
        <v>7.6715522967750249E-2</v>
      </c>
      <c r="AW269" s="618">
        <v>7.3982432113831972E-2</v>
      </c>
      <c r="AX269" s="618">
        <v>7.1914197936255378E-2</v>
      </c>
      <c r="AY269" s="618">
        <v>7.4869659804302546E-2</v>
      </c>
      <c r="AZ269" s="618">
        <v>7.8036876213222736E-2</v>
      </c>
      <c r="BA269" s="618">
        <v>7.7407609653819182E-2</v>
      </c>
      <c r="BB269" s="618">
        <v>7.5740353448765313E-2</v>
      </c>
      <c r="BC269" s="618">
        <v>7.4248916695755576E-2</v>
      </c>
      <c r="BD269" s="618">
        <v>7.5618201535646037E-2</v>
      </c>
      <c r="BE269" s="618"/>
      <c r="BF269" s="618"/>
      <c r="BG269" s="618">
        <v>7.6350686745560392E-2</v>
      </c>
      <c r="BH269" s="618">
        <v>7.591387540524358E-2</v>
      </c>
      <c r="BI269" s="618"/>
      <c r="BJ269" s="618"/>
      <c r="BK269" s="618"/>
      <c r="BL269" s="618"/>
      <c r="BM269" s="618"/>
      <c r="BN269" s="618"/>
      <c r="BO269" s="618"/>
      <c r="BP269" s="618"/>
      <c r="BQ269" s="618"/>
      <c r="BR269" s="618"/>
      <c r="BS269" s="618"/>
      <c r="BT269" s="618"/>
      <c r="BU269" s="618"/>
      <c r="BV269" s="618"/>
      <c r="BW269" s="618"/>
      <c r="BX269" s="618"/>
      <c r="BY269" s="618"/>
      <c r="BZ269" s="618"/>
      <c r="CA269" s="618"/>
      <c r="CB269" s="618"/>
      <c r="CC269" s="618"/>
      <c r="CD269" s="618"/>
      <c r="CE269" s="618"/>
      <c r="CF269" s="618"/>
      <c r="CG269" s="618"/>
      <c r="CH269" s="618"/>
      <c r="CI269" s="618"/>
      <c r="CJ269" s="618"/>
    </row>
    <row r="270" spans="1:88">
      <c r="A270" s="151">
        <f t="shared" ca="1" si="65"/>
        <v>12</v>
      </c>
      <c r="B270" s="784">
        <f t="shared" si="66"/>
        <v>0</v>
      </c>
      <c r="C270" s="944">
        <f t="shared" si="73"/>
        <v>0</v>
      </c>
      <c r="D270" s="947">
        <f t="shared" si="67"/>
        <v>0</v>
      </c>
      <c r="E270" s="947">
        <f t="shared" si="80"/>
        <v>0</v>
      </c>
      <c r="F270" s="947">
        <f t="shared" si="81"/>
        <v>0</v>
      </c>
      <c r="G270" s="947">
        <f>IF(M269&lt;0.01,0,IF($F$19=$U$4,$G$19,IF(AND($F$21=1,$F$19=$U$2),M269*Adm!$U$4,IF(AND($F$21=2,$F$19=$U$2),M269*Adm!$U$5,IF(AND($F$21=1,$F$19=$U$3),M269*Adm!$V$4,IF(AND($F$21=2,$F$19=$U$3),M269*Adm!$V$5,0))))))</f>
        <v>0</v>
      </c>
      <c r="H270" s="947">
        <f>IF(M269&lt;0.01,0,IF($F$20=$V$3,0,IF(OR($F$10=$T$16,$F$10=$T$17),0,IF($F$10=$T$13,0,$F$11*Adm!$AA$3))))</f>
        <v>0</v>
      </c>
      <c r="I270" s="947">
        <f t="shared" si="74"/>
        <v>0</v>
      </c>
      <c r="J270" s="947">
        <f t="shared" si="62"/>
        <v>0</v>
      </c>
      <c r="K270" s="947">
        <f t="shared" si="68"/>
        <v>0</v>
      </c>
      <c r="L270" s="947">
        <f t="shared" si="63"/>
        <v>0</v>
      </c>
      <c r="M270" s="947">
        <f t="shared" si="69"/>
        <v>0</v>
      </c>
      <c r="N270" s="946"/>
      <c r="P270" s="733"/>
      <c r="Q270" s="733"/>
      <c r="R270" s="733"/>
      <c r="S270" s="785">
        <f t="shared" si="70"/>
        <v>1</v>
      </c>
      <c r="T270" s="786">
        <f t="shared" si="75"/>
        <v>0</v>
      </c>
      <c r="W270" s="790">
        <f t="shared" si="76"/>
        <v>0</v>
      </c>
      <c r="X270" s="818">
        <f t="shared" ca="1" si="71"/>
        <v>0</v>
      </c>
      <c r="Z270" s="843">
        <f t="shared" si="77"/>
        <v>0</v>
      </c>
      <c r="AA270" s="792">
        <f t="shared" si="78"/>
        <v>0</v>
      </c>
      <c r="AB270" s="792">
        <f t="shared" si="79"/>
        <v>0</v>
      </c>
      <c r="AC270" s="789">
        <f t="shared" si="72"/>
        <v>0</v>
      </c>
      <c r="AD270" s="789">
        <f t="shared" si="64"/>
        <v>0</v>
      </c>
      <c r="AE270" s="828" t="e">
        <f>HLOOKUP($AE$39,anticipado,230,0)</f>
        <v>#N/A</v>
      </c>
      <c r="AF270" s="827"/>
      <c r="AG270" s="618"/>
      <c r="AH270" s="618"/>
      <c r="AI270" s="618"/>
      <c r="AJ270" s="618"/>
      <c r="AK270" s="618"/>
      <c r="AL270" s="618"/>
      <c r="AM270" s="618"/>
      <c r="AN270" s="618"/>
      <c r="AO270" s="618"/>
      <c r="AP270" s="618"/>
      <c r="AQ270" s="618"/>
      <c r="AR270" s="618"/>
      <c r="AS270" s="618">
        <v>8.1515080948963523E-2</v>
      </c>
      <c r="AT270" s="618">
        <v>8.3342895220769528E-2</v>
      </c>
      <c r="AU270" s="618">
        <v>7.9776405954005397E-2</v>
      </c>
      <c r="AV270" s="618">
        <v>8.473076449252602E-2</v>
      </c>
      <c r="AW270" s="618">
        <v>8.1515080948963523E-2</v>
      </c>
      <c r="AX270" s="618">
        <v>7.9099197525116405E-2</v>
      </c>
      <c r="AY270" s="618">
        <v>8.2497953821562664E-2</v>
      </c>
      <c r="AZ270" s="618">
        <v>8.6308110136432414E-2</v>
      </c>
      <c r="BA270" s="618">
        <v>8.5605032751317769E-2</v>
      </c>
      <c r="BB270" s="618">
        <v>8.3500924301265461E-2</v>
      </c>
      <c r="BC270" s="618">
        <v>8.1744680186012789E-2</v>
      </c>
      <c r="BD270" s="618">
        <v>8.3409407662659321E-2</v>
      </c>
      <c r="BE270" s="618"/>
      <c r="BF270" s="618"/>
      <c r="BG270" s="618">
        <v>8.4201456638799785E-2</v>
      </c>
      <c r="BH270" s="618">
        <v>8.3737960805722336E-2</v>
      </c>
      <c r="BI270" s="618"/>
      <c r="BJ270" s="618"/>
      <c r="BK270" s="618"/>
      <c r="BL270" s="618"/>
      <c r="BM270" s="618"/>
      <c r="BN270" s="618"/>
      <c r="BO270" s="618"/>
      <c r="BP270" s="618"/>
      <c r="BQ270" s="618"/>
      <c r="BR270" s="618"/>
      <c r="BS270" s="618"/>
      <c r="BT270" s="618"/>
      <c r="BU270" s="618"/>
      <c r="BV270" s="618"/>
      <c r="BW270" s="618"/>
      <c r="BX270" s="618"/>
      <c r="BY270" s="618"/>
      <c r="BZ270" s="618"/>
      <c r="CA270" s="618"/>
      <c r="CB270" s="618"/>
      <c r="CC270" s="618"/>
      <c r="CD270" s="618"/>
      <c r="CE270" s="618"/>
      <c r="CF270" s="618"/>
      <c r="CG270" s="618"/>
      <c r="CH270" s="618"/>
      <c r="CI270" s="618"/>
      <c r="CJ270" s="618"/>
    </row>
    <row r="271" spans="1:88">
      <c r="A271" s="151">
        <f t="shared" ca="1" si="65"/>
        <v>1</v>
      </c>
      <c r="B271" s="784">
        <f t="shared" si="66"/>
        <v>0</v>
      </c>
      <c r="C271" s="944">
        <f t="shared" si="73"/>
        <v>0</v>
      </c>
      <c r="D271" s="947">
        <f t="shared" si="67"/>
        <v>0</v>
      </c>
      <c r="E271" s="947">
        <f t="shared" si="80"/>
        <v>0</v>
      </c>
      <c r="F271" s="947">
        <f t="shared" si="81"/>
        <v>0</v>
      </c>
      <c r="G271" s="947">
        <f>IF(M270&lt;0.01,0,IF($F$19=$U$4,$G$19,IF(AND($F$21=1,$F$19=$U$2),M270*Adm!$U$4,IF(AND($F$21=2,$F$19=$U$2),M270*Adm!$U$5,IF(AND($F$21=1,$F$19=$U$3),M270*Adm!$V$4,IF(AND($F$21=2,$F$19=$U$3),M270*Adm!$V$5,0))))))</f>
        <v>0</v>
      </c>
      <c r="H271" s="947">
        <f>IF(M270&lt;0.01,0,IF($F$20=$V$3,0,IF(OR($F$10=$T$16,$F$10=$T$17),0,IF($F$10=$T$13,0,$F$11*Adm!$AA$3))))</f>
        <v>0</v>
      </c>
      <c r="I271" s="947">
        <f t="shared" si="74"/>
        <v>0</v>
      </c>
      <c r="J271" s="947">
        <f t="shared" si="62"/>
        <v>0</v>
      </c>
      <c r="K271" s="947">
        <f t="shared" si="68"/>
        <v>0</v>
      </c>
      <c r="L271" s="947">
        <f t="shared" si="63"/>
        <v>0</v>
      </c>
      <c r="M271" s="947">
        <f t="shared" si="69"/>
        <v>0</v>
      </c>
      <c r="N271" s="946"/>
      <c r="P271" s="733"/>
      <c r="Q271" s="733"/>
      <c r="R271" s="733"/>
      <c r="S271" s="785">
        <f t="shared" si="70"/>
        <v>2</v>
      </c>
      <c r="T271" s="786">
        <f t="shared" si="75"/>
        <v>0</v>
      </c>
      <c r="W271" s="790">
        <f t="shared" si="76"/>
        <v>0</v>
      </c>
      <c r="X271" s="818">
        <f t="shared" ca="1" si="71"/>
        <v>0</v>
      </c>
      <c r="Z271" s="843">
        <f t="shared" si="77"/>
        <v>0</v>
      </c>
      <c r="AA271" s="792">
        <f t="shared" si="78"/>
        <v>0</v>
      </c>
      <c r="AB271" s="792">
        <f t="shared" si="79"/>
        <v>0</v>
      </c>
      <c r="AC271" s="789">
        <f t="shared" si="72"/>
        <v>0</v>
      </c>
      <c r="AD271" s="789">
        <f t="shared" si="64"/>
        <v>0</v>
      </c>
      <c r="AE271" s="828" t="e">
        <f>HLOOKUP($AE$39,anticipado,231,0)</f>
        <v>#N/A</v>
      </c>
      <c r="AF271" s="827"/>
      <c r="AG271" s="618"/>
      <c r="AH271" s="618"/>
      <c r="AI271" s="618"/>
      <c r="AJ271" s="618"/>
      <c r="AK271" s="618"/>
      <c r="AL271" s="618"/>
      <c r="AM271" s="618"/>
      <c r="AN271" s="618"/>
      <c r="AO271" s="618"/>
      <c r="AP271" s="618"/>
      <c r="AQ271" s="618"/>
      <c r="AR271" s="618"/>
      <c r="AS271" s="618">
        <v>8.9554905695740469E-2</v>
      </c>
      <c r="AT271" s="618">
        <v>9.177588055703001E-2</v>
      </c>
      <c r="AU271" s="618">
        <v>8.7551392615462673E-2</v>
      </c>
      <c r="AV271" s="618">
        <v>9.3373145322523179E-2</v>
      </c>
      <c r="AW271" s="618">
        <v>8.9554905695740469E-2</v>
      </c>
      <c r="AX271" s="618">
        <v>8.6708558106401948E-2</v>
      </c>
      <c r="AY271" s="618">
        <v>9.0660628190258427E-2</v>
      </c>
      <c r="AZ271" s="618">
        <v>9.5271636293172743E-2</v>
      </c>
      <c r="BA271" s="618">
        <v>9.4472813602447248E-2</v>
      </c>
      <c r="BB271" s="618">
        <v>9.1829850696960563E-2</v>
      </c>
      <c r="BC271" s="618">
        <v>8.9744293039924358E-2</v>
      </c>
      <c r="BD271" s="618">
        <v>9.1773130044120202E-2</v>
      </c>
      <c r="BE271" s="618"/>
      <c r="BF271" s="618"/>
      <c r="BG271" s="618">
        <v>9.2644275709671556E-2</v>
      </c>
      <c r="BH271" s="618">
        <v>9.2144056562980636E-2</v>
      </c>
      <c r="BI271" s="618"/>
      <c r="BJ271" s="618"/>
      <c r="BK271" s="618"/>
      <c r="BL271" s="618"/>
      <c r="BM271" s="618"/>
      <c r="BN271" s="618"/>
      <c r="BO271" s="618"/>
      <c r="BP271" s="618"/>
      <c r="BQ271" s="618"/>
      <c r="BR271" s="618"/>
      <c r="BS271" s="618"/>
      <c r="BT271" s="618"/>
      <c r="BU271" s="618"/>
      <c r="BV271" s="618"/>
      <c r="BW271" s="618"/>
      <c r="BX271" s="618"/>
      <c r="BY271" s="618"/>
      <c r="BZ271" s="618"/>
      <c r="CA271" s="618"/>
      <c r="CB271" s="618"/>
      <c r="CC271" s="618"/>
      <c r="CD271" s="618"/>
      <c r="CE271" s="618"/>
      <c r="CF271" s="618"/>
      <c r="CG271" s="618"/>
      <c r="CH271" s="618"/>
      <c r="CI271" s="618"/>
      <c r="CJ271" s="618"/>
    </row>
    <row r="272" spans="1:88">
      <c r="A272" s="151">
        <f t="shared" ca="1" si="65"/>
        <v>2</v>
      </c>
      <c r="B272" s="784">
        <f t="shared" si="66"/>
        <v>0</v>
      </c>
      <c r="C272" s="944">
        <f t="shared" si="73"/>
        <v>0</v>
      </c>
      <c r="D272" s="947">
        <f t="shared" si="67"/>
        <v>0</v>
      </c>
      <c r="E272" s="947">
        <f t="shared" si="80"/>
        <v>0</v>
      </c>
      <c r="F272" s="947">
        <f t="shared" si="81"/>
        <v>0</v>
      </c>
      <c r="G272" s="947">
        <f>IF(M271&lt;0.01,0,IF($F$19=$U$4,$G$19,IF(AND($F$21=1,$F$19=$U$2),M271*Adm!$U$4,IF(AND($F$21=2,$F$19=$U$2),M271*Adm!$U$5,IF(AND($F$21=1,$F$19=$U$3),M271*Adm!$V$4,IF(AND($F$21=2,$F$19=$U$3),M271*Adm!$V$5,0))))))</f>
        <v>0</v>
      </c>
      <c r="H272" s="947">
        <f>IF(M271&lt;0.01,0,IF($F$20=$V$3,0,IF(OR($F$10=$T$16,$F$10=$T$17),0,IF($F$10=$T$13,0,$F$11*Adm!$AA$3))))</f>
        <v>0</v>
      </c>
      <c r="I272" s="947">
        <f t="shared" si="74"/>
        <v>0</v>
      </c>
      <c r="J272" s="947">
        <f t="shared" si="62"/>
        <v>0</v>
      </c>
      <c r="K272" s="947">
        <f t="shared" si="68"/>
        <v>0</v>
      </c>
      <c r="L272" s="947">
        <f t="shared" si="63"/>
        <v>0</v>
      </c>
      <c r="M272" s="947">
        <f t="shared" si="69"/>
        <v>0</v>
      </c>
      <c r="N272" s="946"/>
      <c r="P272" s="733"/>
      <c r="Q272" s="733"/>
      <c r="R272" s="733"/>
      <c r="S272" s="785">
        <f t="shared" si="70"/>
        <v>3</v>
      </c>
      <c r="T272" s="786">
        <f t="shared" si="75"/>
        <v>0</v>
      </c>
      <c r="W272" s="790">
        <f t="shared" si="76"/>
        <v>0</v>
      </c>
      <c r="X272" s="818">
        <f t="shared" ca="1" si="71"/>
        <v>0</v>
      </c>
      <c r="Z272" s="843">
        <f t="shared" si="77"/>
        <v>0</v>
      </c>
      <c r="AA272" s="792">
        <f t="shared" si="78"/>
        <v>0</v>
      </c>
      <c r="AB272" s="792">
        <f t="shared" si="79"/>
        <v>0</v>
      </c>
      <c r="AC272" s="789">
        <f t="shared" si="72"/>
        <v>0</v>
      </c>
      <c r="AD272" s="789">
        <f t="shared" si="64"/>
        <v>0</v>
      </c>
      <c r="AE272" s="828" t="e">
        <f>HLOOKUP($AE$39,anticipado,232,0)</f>
        <v>#N/A</v>
      </c>
      <c r="AF272" s="827"/>
      <c r="AG272" s="618"/>
      <c r="AH272" s="618"/>
      <c r="AI272" s="618"/>
      <c r="AJ272" s="618"/>
      <c r="AK272" s="618"/>
      <c r="AL272" s="618"/>
      <c r="AM272" s="618"/>
      <c r="AN272" s="618"/>
      <c r="AO272" s="618"/>
      <c r="AP272" s="618"/>
      <c r="AQ272" s="618"/>
      <c r="AR272" s="618"/>
      <c r="AS272" s="618">
        <v>9.9256525220761491E-2</v>
      </c>
      <c r="AT272" s="618">
        <v>0.10200052679738134</v>
      </c>
      <c r="AU272" s="618">
        <v>9.6902861467168033E-2</v>
      </c>
      <c r="AV272" s="618">
        <v>0.10387789443368406</v>
      </c>
      <c r="AW272" s="618">
        <v>9.9256525220761491E-2</v>
      </c>
      <c r="AX272" s="618">
        <v>9.5841877873736797E-2</v>
      </c>
      <c r="AY272" s="618">
        <v>0.10052528596869498</v>
      </c>
      <c r="AZ272" s="618">
        <v>0.10620799386789916</v>
      </c>
      <c r="BA272" s="618">
        <v>0.10528020824243753</v>
      </c>
      <c r="BB272" s="618">
        <v>0.10191574462782048</v>
      </c>
      <c r="BC272" s="618">
        <v>9.9392639738465557E-2</v>
      </c>
      <c r="BD272" s="618">
        <v>0.10190537707169058</v>
      </c>
      <c r="BE272" s="618"/>
      <c r="BF272" s="618"/>
      <c r="BG272" s="618">
        <v>0.1028821285995306</v>
      </c>
      <c r="BH272" s="618">
        <v>0.10233284017590637</v>
      </c>
      <c r="BI272" s="618"/>
      <c r="BJ272" s="618"/>
      <c r="BK272" s="618"/>
      <c r="BL272" s="618"/>
      <c r="BM272" s="618"/>
      <c r="BN272" s="618"/>
      <c r="BO272" s="618"/>
      <c r="BP272" s="618"/>
      <c r="BQ272" s="618"/>
      <c r="BR272" s="618"/>
      <c r="BS272" s="618"/>
      <c r="BT272" s="618"/>
      <c r="BU272" s="618"/>
      <c r="BV272" s="618"/>
      <c r="BW272" s="618"/>
      <c r="BX272" s="618"/>
      <c r="BY272" s="618"/>
      <c r="BZ272" s="618"/>
      <c r="CA272" s="618"/>
      <c r="CB272" s="618"/>
      <c r="CC272" s="618"/>
      <c r="CD272" s="618"/>
      <c r="CE272" s="618"/>
      <c r="CF272" s="618"/>
      <c r="CG272" s="618"/>
      <c r="CH272" s="618"/>
      <c r="CI272" s="618"/>
      <c r="CJ272" s="618"/>
    </row>
    <row r="273" spans="1:96">
      <c r="A273" s="151">
        <f t="shared" ca="1" si="65"/>
        <v>3</v>
      </c>
      <c r="B273" s="784">
        <f t="shared" si="66"/>
        <v>0</v>
      </c>
      <c r="C273" s="944">
        <f t="shared" si="73"/>
        <v>0</v>
      </c>
      <c r="D273" s="947">
        <f t="shared" si="67"/>
        <v>0</v>
      </c>
      <c r="E273" s="947">
        <f t="shared" si="80"/>
        <v>0</v>
      </c>
      <c r="F273" s="947">
        <f t="shared" si="81"/>
        <v>0</v>
      </c>
      <c r="G273" s="947">
        <f>IF(M272&lt;0.01,0,IF($F$19=$U$4,$G$19,IF(AND($F$21=1,$F$19=$U$2),M272*Adm!$U$4,IF(AND($F$21=2,$F$19=$U$2),M272*Adm!$U$5,IF(AND($F$21=1,$F$19=$U$3),M272*Adm!$V$4,IF(AND($F$21=2,$F$19=$U$3),M272*Adm!$V$5,0))))))</f>
        <v>0</v>
      </c>
      <c r="H273" s="947">
        <f>IF(M272&lt;0.01,0,IF($F$20=$V$3,0,IF(OR($F$10=$T$16,$F$10=$T$17),0,IF($F$10=$T$13,0,$F$11*Adm!$AA$3))))</f>
        <v>0</v>
      </c>
      <c r="I273" s="947">
        <f t="shared" si="74"/>
        <v>0</v>
      </c>
      <c r="J273" s="947">
        <f t="shared" si="62"/>
        <v>0</v>
      </c>
      <c r="K273" s="947">
        <f t="shared" si="68"/>
        <v>0</v>
      </c>
      <c r="L273" s="947">
        <f t="shared" si="63"/>
        <v>0</v>
      </c>
      <c r="M273" s="947">
        <f t="shared" si="69"/>
        <v>0</v>
      </c>
      <c r="N273" s="946"/>
      <c r="P273" s="733"/>
      <c r="Q273" s="733"/>
      <c r="R273" s="733"/>
      <c r="S273" s="785">
        <f t="shared" si="70"/>
        <v>4</v>
      </c>
      <c r="T273" s="786">
        <f t="shared" si="75"/>
        <v>0</v>
      </c>
      <c r="W273" s="790">
        <f t="shared" si="76"/>
        <v>0</v>
      </c>
      <c r="X273" s="818">
        <f t="shared" ca="1" si="71"/>
        <v>0</v>
      </c>
      <c r="Z273" s="843">
        <f t="shared" si="77"/>
        <v>0</v>
      </c>
      <c r="AA273" s="792">
        <f t="shared" si="78"/>
        <v>0</v>
      </c>
      <c r="AB273" s="792">
        <f t="shared" si="79"/>
        <v>0</v>
      </c>
      <c r="AC273" s="789">
        <f t="shared" si="72"/>
        <v>0</v>
      </c>
      <c r="AD273" s="789">
        <f t="shared" si="64"/>
        <v>0</v>
      </c>
      <c r="AE273" s="828" t="e">
        <f>HLOOKUP($AE$39,anticipado,233,0)</f>
        <v>#N/A</v>
      </c>
      <c r="AF273" s="827"/>
      <c r="AG273" s="618"/>
      <c r="AH273" s="618"/>
      <c r="AI273" s="618"/>
      <c r="AJ273" s="618"/>
      <c r="AK273" s="618"/>
      <c r="AL273" s="618"/>
      <c r="AM273" s="618"/>
      <c r="AN273" s="618"/>
      <c r="AO273" s="618"/>
      <c r="AP273" s="618"/>
      <c r="AQ273" s="618"/>
      <c r="AR273" s="618"/>
      <c r="AS273" s="618">
        <v>0.11119400916191732</v>
      </c>
      <c r="AT273" s="618">
        <v>0.11465505807756242</v>
      </c>
      <c r="AU273" s="618">
        <v>0.10836376635909446</v>
      </c>
      <c r="AV273" s="618">
        <v>0.11691915713535646</v>
      </c>
      <c r="AW273" s="618">
        <v>0.11119400916191732</v>
      </c>
      <c r="AX273" s="618">
        <v>0.1070073637160897</v>
      </c>
      <c r="AY273" s="618">
        <v>0.11268573628549465</v>
      </c>
      <c r="AZ273" s="618">
        <v>0.11984847900519248</v>
      </c>
      <c r="BA273" s="618">
        <v>0.11874110060635427</v>
      </c>
      <c r="BB273" s="618">
        <v>0.11437966648636357</v>
      </c>
      <c r="BC273" s="618">
        <v>0.11125755916012622</v>
      </c>
      <c r="BD273" s="618">
        <v>0.11443290066886827</v>
      </c>
      <c r="BE273" s="618"/>
      <c r="BF273" s="618"/>
      <c r="BG273" s="618">
        <v>0.11555516631083332</v>
      </c>
      <c r="BH273" s="618">
        <v>0.11493818416383622</v>
      </c>
      <c r="BI273" s="618"/>
      <c r="BJ273" s="618"/>
      <c r="BK273" s="618"/>
      <c r="BL273" s="618"/>
      <c r="BM273" s="618"/>
      <c r="BN273" s="618"/>
      <c r="BO273" s="618"/>
      <c r="BP273" s="618"/>
      <c r="BQ273" s="618"/>
      <c r="BR273" s="618"/>
      <c r="BS273" s="618"/>
      <c r="BT273" s="618"/>
      <c r="BU273" s="618"/>
      <c r="BV273" s="618"/>
      <c r="BW273" s="618"/>
      <c r="BX273" s="618"/>
      <c r="BY273" s="618"/>
      <c r="BZ273" s="618"/>
      <c r="CA273" s="618"/>
      <c r="CB273" s="618"/>
      <c r="CC273" s="618"/>
      <c r="CD273" s="618"/>
      <c r="CE273" s="618"/>
      <c r="CF273" s="618"/>
      <c r="CG273" s="618"/>
      <c r="CH273" s="618"/>
      <c r="CI273" s="618"/>
      <c r="CJ273" s="618"/>
    </row>
    <row r="274" spans="1:96">
      <c r="A274" s="151">
        <f t="shared" ca="1" si="65"/>
        <v>4</v>
      </c>
      <c r="B274" s="784">
        <f t="shared" si="66"/>
        <v>0</v>
      </c>
      <c r="C274" s="944">
        <f t="shared" si="73"/>
        <v>0</v>
      </c>
      <c r="D274" s="947">
        <f t="shared" si="67"/>
        <v>0</v>
      </c>
      <c r="E274" s="947">
        <f t="shared" si="80"/>
        <v>0</v>
      </c>
      <c r="F274" s="947">
        <f t="shared" si="81"/>
        <v>0</v>
      </c>
      <c r="G274" s="947">
        <f>IF(M273&lt;0.01,0,IF($F$19=$U$4,$G$19,IF(AND($F$21=1,$F$19=$U$2),M273*Adm!$U$4,IF(AND($F$21=2,$F$19=$U$2),M273*Adm!$U$5,IF(AND($F$21=1,$F$19=$U$3),M273*Adm!$V$4,IF(AND($F$21=2,$F$19=$U$3),M273*Adm!$V$5,0))))))</f>
        <v>0</v>
      </c>
      <c r="H274" s="947">
        <f>IF(M273&lt;0.01,0,IF($F$20=$V$3,0,IF(OR($F$10=$T$16,$F$10=$T$17),0,IF($F$10=$T$13,0,$F$11*Adm!$AA$3))))</f>
        <v>0</v>
      </c>
      <c r="I274" s="947">
        <f t="shared" si="74"/>
        <v>0</v>
      </c>
      <c r="J274" s="947">
        <f t="shared" si="62"/>
        <v>0</v>
      </c>
      <c r="K274" s="947">
        <f t="shared" si="68"/>
        <v>0</v>
      </c>
      <c r="L274" s="947">
        <f t="shared" si="63"/>
        <v>0</v>
      </c>
      <c r="M274" s="947">
        <f t="shared" si="69"/>
        <v>0</v>
      </c>
      <c r="N274" s="946"/>
      <c r="P274" s="733"/>
      <c r="Q274" s="733"/>
      <c r="R274" s="733"/>
      <c r="S274" s="785">
        <f t="shared" si="70"/>
        <v>5</v>
      </c>
      <c r="T274" s="786">
        <f t="shared" si="75"/>
        <v>0</v>
      </c>
      <c r="W274" s="790">
        <f t="shared" si="76"/>
        <v>0</v>
      </c>
      <c r="X274" s="818">
        <f t="shared" ca="1" si="71"/>
        <v>0</v>
      </c>
      <c r="Z274" s="843">
        <f t="shared" si="77"/>
        <v>0</v>
      </c>
      <c r="AA274" s="792">
        <f t="shared" si="78"/>
        <v>0</v>
      </c>
      <c r="AB274" s="792">
        <f t="shared" si="79"/>
        <v>0</v>
      </c>
      <c r="AC274" s="789">
        <f t="shared" si="72"/>
        <v>0</v>
      </c>
      <c r="AD274" s="789">
        <f t="shared" si="64"/>
        <v>0</v>
      </c>
      <c r="AE274" s="828" t="e">
        <f>HLOOKUP($AE$39,anticipado,234,0)</f>
        <v>#N/A</v>
      </c>
      <c r="AF274" s="827"/>
      <c r="AG274" s="618"/>
      <c r="AH274" s="618"/>
      <c r="AI274" s="618"/>
      <c r="AJ274" s="618"/>
      <c r="AK274" s="618"/>
      <c r="AL274" s="618"/>
      <c r="AM274" s="618"/>
      <c r="AN274" s="618"/>
      <c r="AO274" s="618"/>
      <c r="AP274" s="618"/>
      <c r="AQ274" s="618"/>
      <c r="AR274" s="618"/>
      <c r="AS274" s="618">
        <v>0.12624025484938728</v>
      </c>
      <c r="AT274" s="618">
        <v>0.13072167197454651</v>
      </c>
      <c r="AU274" s="618">
        <v>0.12273780107674524</v>
      </c>
      <c r="AV274" s="618">
        <v>0.13354109741878362</v>
      </c>
      <c r="AW274" s="618">
        <v>0.12624025484938728</v>
      </c>
      <c r="AX274" s="618">
        <v>0.12096744984694104</v>
      </c>
      <c r="AY274" s="618">
        <v>0.12804837524579296</v>
      </c>
      <c r="AZ274" s="618">
        <v>0.13733678300454832</v>
      </c>
      <c r="BA274" s="618">
        <v>0.13596869628512206</v>
      </c>
      <c r="BB274" s="618">
        <v>0.1301744865341955</v>
      </c>
      <c r="BC274" s="618">
        <v>0.12620146684565062</v>
      </c>
      <c r="BD274" s="618">
        <v>0.13031827900078879</v>
      </c>
      <c r="BE274" s="618"/>
      <c r="BF274" s="618"/>
      <c r="BG274" s="618">
        <v>0.13164899609202116</v>
      </c>
      <c r="BH274" s="618">
        <v>0.13093488419845961</v>
      </c>
      <c r="BI274" s="618"/>
      <c r="BJ274" s="618"/>
      <c r="BK274" s="618"/>
      <c r="BL274" s="618"/>
      <c r="BM274" s="618"/>
      <c r="BN274" s="618"/>
      <c r="BO274" s="618"/>
      <c r="BP274" s="618"/>
      <c r="BQ274" s="618"/>
      <c r="BR274" s="618"/>
      <c r="BS274" s="618"/>
      <c r="BT274" s="618"/>
      <c r="BU274" s="618"/>
      <c r="BV274" s="618"/>
      <c r="BW274" s="618"/>
      <c r="BX274" s="618"/>
      <c r="BY274" s="618"/>
      <c r="BZ274" s="618"/>
      <c r="CA274" s="618"/>
      <c r="CB274" s="618"/>
      <c r="CC274" s="618"/>
      <c r="CD274" s="618"/>
      <c r="CE274" s="618"/>
      <c r="CF274" s="618"/>
      <c r="CG274" s="618"/>
      <c r="CH274" s="618"/>
      <c r="CI274" s="618"/>
      <c r="CJ274" s="618"/>
    </row>
    <row r="275" spans="1:96">
      <c r="A275" s="151">
        <f t="shared" ca="1" si="65"/>
        <v>5</v>
      </c>
      <c r="B275" s="784">
        <f t="shared" si="66"/>
        <v>0</v>
      </c>
      <c r="C275" s="944">
        <f t="shared" si="73"/>
        <v>0</v>
      </c>
      <c r="D275" s="947">
        <f t="shared" si="67"/>
        <v>0</v>
      </c>
      <c r="E275" s="947">
        <f t="shared" si="80"/>
        <v>0</v>
      </c>
      <c r="F275" s="947">
        <f t="shared" si="81"/>
        <v>0</v>
      </c>
      <c r="G275" s="947">
        <f>IF(M274&lt;0.01,0,IF($F$19=$U$4,$G$19,IF(AND($F$21=1,$F$19=$U$2),M274*Adm!$U$4,IF(AND($F$21=2,$F$19=$U$2),M274*Adm!$U$5,IF(AND($F$21=1,$F$19=$U$3),M274*Adm!$V$4,IF(AND($F$21=2,$F$19=$U$3),M274*Adm!$V$5,0))))))</f>
        <v>0</v>
      </c>
      <c r="H275" s="947">
        <f>IF(M274&lt;0.01,0,IF($F$20=$V$3,0,IF(OR($F$10=$T$16,$F$10=$T$17),0,IF($F$10=$T$13,0,$F$11*Adm!$AA$3))))</f>
        <v>0</v>
      </c>
      <c r="I275" s="947">
        <f t="shared" si="74"/>
        <v>0</v>
      </c>
      <c r="J275" s="947">
        <f t="shared" si="62"/>
        <v>0</v>
      </c>
      <c r="K275" s="947">
        <f t="shared" si="68"/>
        <v>0</v>
      </c>
      <c r="L275" s="947">
        <f t="shared" si="63"/>
        <v>0</v>
      </c>
      <c r="M275" s="947">
        <f t="shared" si="69"/>
        <v>0</v>
      </c>
      <c r="N275" s="946"/>
      <c r="P275" s="733"/>
      <c r="Q275" s="733"/>
      <c r="R275" s="733"/>
      <c r="S275" s="785">
        <f t="shared" si="70"/>
        <v>6</v>
      </c>
      <c r="T275" s="786">
        <f t="shared" si="75"/>
        <v>0</v>
      </c>
      <c r="W275" s="790">
        <f t="shared" si="76"/>
        <v>0</v>
      </c>
      <c r="X275" s="818">
        <f t="shared" ca="1" si="71"/>
        <v>0</v>
      </c>
      <c r="Z275" s="843">
        <f t="shared" si="77"/>
        <v>0</v>
      </c>
      <c r="AA275" s="792">
        <f t="shared" si="78"/>
        <v>0</v>
      </c>
      <c r="AB275" s="792">
        <f t="shared" si="79"/>
        <v>0</v>
      </c>
      <c r="AC275" s="789">
        <f t="shared" si="72"/>
        <v>0</v>
      </c>
      <c r="AD275" s="789">
        <f t="shared" si="64"/>
        <v>0</v>
      </c>
      <c r="AE275" s="828" t="e">
        <f>HLOOKUP($AE$39,anticipado,235,0)</f>
        <v>#N/A</v>
      </c>
      <c r="AF275" s="827"/>
      <c r="AG275" s="618"/>
      <c r="AH275" s="618"/>
      <c r="AI275" s="618"/>
      <c r="AJ275" s="618"/>
      <c r="AK275" s="618"/>
      <c r="AL275" s="618"/>
      <c r="AM275" s="618"/>
      <c r="AN275" s="618"/>
      <c r="AO275" s="618"/>
      <c r="AP275" s="618"/>
      <c r="AQ275" s="618"/>
      <c r="AR275" s="618"/>
      <c r="AS275" s="618">
        <v>0.14579051720926736</v>
      </c>
      <c r="AT275" s="618">
        <v>0.15179435720904111</v>
      </c>
      <c r="AU275" s="618">
        <v>0.14129632882227702</v>
      </c>
      <c r="AV275" s="618">
        <v>0.15545213856394691</v>
      </c>
      <c r="AW275" s="618">
        <v>0.14579051720926736</v>
      </c>
      <c r="AX275" s="618">
        <v>0.13892048996040235</v>
      </c>
      <c r="AY275" s="618">
        <v>0.1480690430012559</v>
      </c>
      <c r="AZ275" s="618">
        <v>0.16056740065310371</v>
      </c>
      <c r="BA275" s="618">
        <v>0.15880012330147261</v>
      </c>
      <c r="BB275" s="618">
        <v>0.15084063702593298</v>
      </c>
      <c r="BC275" s="618">
        <v>0.1456008419075793</v>
      </c>
      <c r="BD275" s="618">
        <v>0.15111963514801147</v>
      </c>
      <c r="BE275" s="618"/>
      <c r="BF275" s="618"/>
      <c r="BG275" s="618">
        <v>0.15276405404061735</v>
      </c>
      <c r="BH275" s="618">
        <v>0.15190346899070406</v>
      </c>
      <c r="BI275" s="618"/>
      <c r="BJ275" s="618"/>
      <c r="BK275" s="618"/>
      <c r="BL275" s="618"/>
      <c r="BM275" s="618"/>
      <c r="BN275" s="618"/>
      <c r="BO275" s="618"/>
      <c r="BP275" s="618"/>
      <c r="BQ275" s="618"/>
      <c r="BR275" s="618"/>
      <c r="BS275" s="618"/>
      <c r="BT275" s="618"/>
      <c r="BU275" s="618"/>
      <c r="BV275" s="618"/>
      <c r="BW275" s="618"/>
      <c r="BX275" s="618"/>
      <c r="BY275" s="618"/>
      <c r="BZ275" s="618"/>
      <c r="CA275" s="618"/>
      <c r="CB275" s="618"/>
      <c r="CC275" s="618"/>
      <c r="CD275" s="618"/>
      <c r="CE275" s="618"/>
      <c r="CF275" s="618"/>
      <c r="CG275" s="618"/>
      <c r="CH275" s="618"/>
      <c r="CI275" s="618"/>
      <c r="CJ275" s="618"/>
    </row>
    <row r="276" spans="1:96">
      <c r="A276" s="151">
        <f t="shared" ca="1" si="65"/>
        <v>6</v>
      </c>
      <c r="B276" s="784">
        <f t="shared" si="66"/>
        <v>0</v>
      </c>
      <c r="C276" s="944">
        <f t="shared" si="73"/>
        <v>0</v>
      </c>
      <c r="D276" s="947">
        <f t="shared" si="67"/>
        <v>0</v>
      </c>
      <c r="E276" s="947">
        <f t="shared" si="80"/>
        <v>0</v>
      </c>
      <c r="F276" s="947">
        <f t="shared" si="81"/>
        <v>0</v>
      </c>
      <c r="G276" s="947">
        <f>IF(M275&lt;0.01,0,IF($F$19=$U$4,$G$19,IF(AND($F$21=1,$F$19=$U$2),M275*Adm!$U$4,IF(AND($F$21=2,$F$19=$U$2),M275*Adm!$U$5,IF(AND($F$21=1,$F$19=$U$3),M275*Adm!$V$4,IF(AND($F$21=2,$F$19=$U$3),M275*Adm!$V$5,0))))))</f>
        <v>0</v>
      </c>
      <c r="H276" s="947">
        <f>IF(M275&lt;0.01,0,IF($F$20=$V$3,0,IF(OR($F$10=$T$16,$F$10=$T$17),0,IF($F$10=$T$13,0,$F$11*Adm!$AA$3))))</f>
        <v>0</v>
      </c>
      <c r="I276" s="947">
        <f t="shared" si="74"/>
        <v>0</v>
      </c>
      <c r="J276" s="947">
        <f t="shared" si="62"/>
        <v>0</v>
      </c>
      <c r="K276" s="947">
        <f t="shared" si="68"/>
        <v>0</v>
      </c>
      <c r="L276" s="947">
        <f t="shared" si="63"/>
        <v>0</v>
      </c>
      <c r="M276" s="947">
        <f t="shared" si="69"/>
        <v>0</v>
      </c>
      <c r="N276" s="946"/>
      <c r="P276" s="733"/>
      <c r="Q276" s="733"/>
      <c r="R276" s="733"/>
      <c r="S276" s="785">
        <f t="shared" si="70"/>
        <v>7</v>
      </c>
      <c r="T276" s="786">
        <f t="shared" si="75"/>
        <v>0</v>
      </c>
      <c r="W276" s="790">
        <f t="shared" si="76"/>
        <v>0</v>
      </c>
      <c r="X276" s="818">
        <f t="shared" ca="1" si="71"/>
        <v>0</v>
      </c>
      <c r="Z276" s="843">
        <f t="shared" si="77"/>
        <v>0</v>
      </c>
      <c r="AA276" s="792">
        <f t="shared" si="78"/>
        <v>0</v>
      </c>
      <c r="AB276" s="792">
        <f t="shared" si="79"/>
        <v>0</v>
      </c>
      <c r="AC276" s="789">
        <f t="shared" si="72"/>
        <v>0</v>
      </c>
      <c r="AD276" s="789">
        <f t="shared" si="64"/>
        <v>0</v>
      </c>
      <c r="AE276" s="828" t="e">
        <f>HLOOKUP($AE$39,anticipado,236,0)</f>
        <v>#N/A</v>
      </c>
      <c r="AF276" s="827"/>
      <c r="AG276" s="618"/>
      <c r="AH276" s="618"/>
      <c r="AI276" s="618"/>
      <c r="AJ276" s="618"/>
      <c r="AK276" s="618"/>
      <c r="AL276" s="618"/>
      <c r="AM276" s="618"/>
      <c r="AN276" s="618"/>
      <c r="AO276" s="618"/>
      <c r="AP276" s="618"/>
      <c r="AQ276" s="618"/>
      <c r="AR276" s="618"/>
      <c r="AS276" s="618">
        <v>0.17222188364418087</v>
      </c>
      <c r="AT276" s="618">
        <v>0.18064309100280848</v>
      </c>
      <c r="AU276" s="618">
        <v>0.16617646428751676</v>
      </c>
      <c r="AV276" s="618">
        <v>0.18565308186613991</v>
      </c>
      <c r="AW276" s="618">
        <v>0.17222188364418087</v>
      </c>
      <c r="AX276" s="618">
        <v>0.1628642596986514</v>
      </c>
      <c r="AY276" s="618">
        <v>0.17524371783217527</v>
      </c>
      <c r="AZ276" s="618">
        <v>0.19292270076403362</v>
      </c>
      <c r="BA276" s="618">
        <v>0.19049913763797183</v>
      </c>
      <c r="BB276" s="618">
        <v>0.17904153059865402</v>
      </c>
      <c r="BC276" s="618">
        <v>0.17179632495828329</v>
      </c>
      <c r="BD276" s="618">
        <v>0.17953548975460504</v>
      </c>
      <c r="BE276" s="618"/>
      <c r="BF276" s="618"/>
      <c r="BG276" s="618">
        <v>0.18168360382581852</v>
      </c>
      <c r="BH276" s="618">
        <v>0.18058723405621036</v>
      </c>
      <c r="BI276" s="618"/>
      <c r="BJ276" s="618"/>
      <c r="BK276" s="618"/>
      <c r="BL276" s="618"/>
      <c r="BM276" s="618"/>
      <c r="BN276" s="618"/>
      <c r="BO276" s="618"/>
      <c r="BP276" s="618"/>
      <c r="BQ276" s="618"/>
      <c r="BR276" s="618"/>
      <c r="BS276" s="618"/>
      <c r="BT276" s="618"/>
      <c r="BU276" s="618"/>
      <c r="BV276" s="618"/>
      <c r="BW276" s="618"/>
      <c r="BX276" s="618"/>
      <c r="BY276" s="618"/>
      <c r="BZ276" s="618"/>
      <c r="CA276" s="618"/>
      <c r="CB276" s="618"/>
      <c r="CC276" s="618"/>
      <c r="CD276" s="618"/>
      <c r="CE276" s="618"/>
      <c r="CF276" s="618"/>
      <c r="CG276" s="618"/>
      <c r="CH276" s="618"/>
      <c r="CI276" s="618"/>
      <c r="CJ276" s="618"/>
    </row>
    <row r="277" spans="1:96">
      <c r="A277" s="151">
        <f t="shared" ca="1" si="65"/>
        <v>7</v>
      </c>
      <c r="B277" s="784">
        <f t="shared" si="66"/>
        <v>0</v>
      </c>
      <c r="C277" s="944">
        <f t="shared" si="73"/>
        <v>0</v>
      </c>
      <c r="D277" s="947">
        <f t="shared" si="67"/>
        <v>0</v>
      </c>
      <c r="E277" s="947">
        <f t="shared" si="80"/>
        <v>0</v>
      </c>
      <c r="F277" s="947">
        <f t="shared" si="81"/>
        <v>0</v>
      </c>
      <c r="G277" s="947">
        <f>IF(M276&lt;0.01,0,IF($F$19=$U$4,$G$19,IF(AND($F$21=1,$F$19=$U$2),M276*Adm!$U$4,IF(AND($F$21=2,$F$19=$U$2),M276*Adm!$U$5,IF(AND($F$21=1,$F$19=$U$3),M276*Adm!$V$4,IF(AND($F$21=2,$F$19=$U$3),M276*Adm!$V$5,0))))))</f>
        <v>0</v>
      </c>
      <c r="H277" s="947">
        <f>IF(M276&lt;0.01,0,IF($F$20=$V$3,0,IF(OR($F$10=$T$16,$F$10=$T$17),0,IF($F$10=$T$13,0,$F$11*Adm!$AA$3))))</f>
        <v>0</v>
      </c>
      <c r="I277" s="947">
        <f t="shared" si="74"/>
        <v>0</v>
      </c>
      <c r="J277" s="947">
        <f t="shared" si="62"/>
        <v>0</v>
      </c>
      <c r="K277" s="947">
        <f t="shared" si="68"/>
        <v>0</v>
      </c>
      <c r="L277" s="947">
        <f t="shared" si="63"/>
        <v>0</v>
      </c>
      <c r="M277" s="947">
        <f t="shared" si="69"/>
        <v>0</v>
      </c>
      <c r="N277" s="946"/>
      <c r="P277" s="733"/>
      <c r="Q277" s="733"/>
      <c r="R277" s="733"/>
      <c r="S277" s="785">
        <f t="shared" si="70"/>
        <v>8</v>
      </c>
      <c r="T277" s="786">
        <f t="shared" si="75"/>
        <v>0</v>
      </c>
      <c r="W277" s="790">
        <f t="shared" si="76"/>
        <v>0</v>
      </c>
      <c r="X277" s="818">
        <f t="shared" ca="1" si="71"/>
        <v>0</v>
      </c>
      <c r="Z277" s="843">
        <f t="shared" si="77"/>
        <v>0</v>
      </c>
      <c r="AA277" s="792">
        <f t="shared" si="78"/>
        <v>0</v>
      </c>
      <c r="AB277" s="792">
        <f t="shared" si="79"/>
        <v>0</v>
      </c>
      <c r="AC277" s="789">
        <f t="shared" si="72"/>
        <v>0</v>
      </c>
      <c r="AD277" s="789">
        <f t="shared" si="64"/>
        <v>0</v>
      </c>
      <c r="AE277" s="828" t="e">
        <f>HLOOKUP($AE$39,anticipado,237,0)</f>
        <v>#N/A</v>
      </c>
      <c r="AF277" s="827"/>
      <c r="AG277" s="618"/>
      <c r="AH277" s="618"/>
      <c r="AI277" s="618"/>
      <c r="AJ277" s="618"/>
      <c r="AK277" s="618"/>
      <c r="AL277" s="618"/>
      <c r="AM277" s="618"/>
      <c r="AN277" s="618"/>
      <c r="AO277" s="618"/>
      <c r="AP277" s="618"/>
      <c r="AQ277" s="618"/>
      <c r="AR277" s="618"/>
      <c r="AS277" s="618">
        <v>0.20994127992089937</v>
      </c>
      <c r="AT277" s="618">
        <v>0.22254360635159004</v>
      </c>
      <c r="AU277" s="618">
        <v>0.20126920013649091</v>
      </c>
      <c r="AV277" s="618">
        <v>0.22994418659598223</v>
      </c>
      <c r="AW277" s="618">
        <v>0.20994127992089937</v>
      </c>
      <c r="AX277" s="618">
        <v>0.19639600252217251</v>
      </c>
      <c r="AY277" s="618">
        <v>0.21423943506937376</v>
      </c>
      <c r="AZ277" s="618">
        <v>0.24109043928810711</v>
      </c>
      <c r="BA277" s="618">
        <v>0.23747455217673652</v>
      </c>
      <c r="BB277" s="618">
        <v>0.21981494733526102</v>
      </c>
      <c r="BC277" s="618">
        <v>0.2091161192369792</v>
      </c>
      <c r="BD277" s="618">
        <v>0.22068174693304524</v>
      </c>
      <c r="BE277" s="618"/>
      <c r="BF277" s="618"/>
      <c r="BG277" s="618">
        <v>0.2237141308189351</v>
      </c>
      <c r="BH277" s="618">
        <v>0.22220251064046395</v>
      </c>
      <c r="BI277" s="618"/>
      <c r="BJ277" s="618"/>
      <c r="BK277" s="618"/>
      <c r="BL277" s="618"/>
      <c r="BM277" s="618"/>
      <c r="BN277" s="618"/>
      <c r="BO277" s="618"/>
      <c r="BP277" s="618"/>
      <c r="BQ277" s="618"/>
      <c r="BR277" s="618"/>
      <c r="BS277" s="618"/>
      <c r="BT277" s="618"/>
      <c r="BU277" s="618"/>
      <c r="BV277" s="618"/>
      <c r="BW277" s="618"/>
      <c r="BX277" s="618"/>
      <c r="BY277" s="618"/>
      <c r="BZ277" s="618"/>
      <c r="CA277" s="618"/>
      <c r="CB277" s="618"/>
      <c r="CC277" s="618"/>
      <c r="CD277" s="618"/>
      <c r="CE277" s="618"/>
      <c r="CF277" s="618"/>
      <c r="CG277" s="618"/>
      <c r="CH277" s="618"/>
      <c r="CI277" s="618"/>
      <c r="CJ277" s="618"/>
    </row>
    <row r="278" spans="1:96">
      <c r="A278" s="151">
        <f t="shared" ca="1" si="65"/>
        <v>8</v>
      </c>
      <c r="B278" s="784">
        <f t="shared" si="66"/>
        <v>0</v>
      </c>
      <c r="C278" s="944">
        <f t="shared" si="73"/>
        <v>0</v>
      </c>
      <c r="D278" s="947">
        <f t="shared" si="67"/>
        <v>0</v>
      </c>
      <c r="E278" s="947">
        <f t="shared" si="80"/>
        <v>0</v>
      </c>
      <c r="F278" s="947">
        <f t="shared" si="81"/>
        <v>0</v>
      </c>
      <c r="G278" s="947">
        <f>IF(M277&lt;0.01,0,IF($F$19=$U$4,$G$19,IF(AND($F$21=1,$F$19=$U$2),M277*Adm!$U$4,IF(AND($F$21=2,$F$19=$U$2),M277*Adm!$U$5,IF(AND($F$21=1,$F$19=$U$3),M277*Adm!$V$4,IF(AND($F$21=2,$F$19=$U$3),M277*Adm!$V$5,0))))))</f>
        <v>0</v>
      </c>
      <c r="H278" s="947">
        <f>IF(M277&lt;0.01,0,IF($F$20=$V$3,0,IF(OR($F$10=$T$16,$F$10=$T$17),0,IF($F$10=$T$13,0,$F$11*Adm!$AA$3))))</f>
        <v>0</v>
      </c>
      <c r="I278" s="947">
        <f t="shared" si="74"/>
        <v>0</v>
      </c>
      <c r="J278" s="947">
        <f t="shared" si="62"/>
        <v>0</v>
      </c>
      <c r="K278" s="947">
        <f t="shared" si="68"/>
        <v>0</v>
      </c>
      <c r="L278" s="947">
        <f t="shared" si="63"/>
        <v>0</v>
      </c>
      <c r="M278" s="947">
        <f t="shared" si="69"/>
        <v>0</v>
      </c>
      <c r="N278" s="946"/>
      <c r="P278" s="733"/>
      <c r="Q278" s="733"/>
      <c r="R278" s="733"/>
      <c r="S278" s="785">
        <f t="shared" si="70"/>
        <v>9</v>
      </c>
      <c r="T278" s="786">
        <f t="shared" si="75"/>
        <v>0</v>
      </c>
      <c r="W278" s="790">
        <f t="shared" si="76"/>
        <v>0</v>
      </c>
      <c r="X278" s="818">
        <f t="shared" ca="1" si="71"/>
        <v>0</v>
      </c>
      <c r="Z278" s="843">
        <f t="shared" si="77"/>
        <v>0</v>
      </c>
      <c r="AA278" s="792">
        <f t="shared" si="78"/>
        <v>0</v>
      </c>
      <c r="AB278" s="792">
        <f t="shared" si="79"/>
        <v>0</v>
      </c>
      <c r="AC278" s="789">
        <f t="shared" si="72"/>
        <v>0</v>
      </c>
      <c r="AD278" s="789">
        <f t="shared" si="64"/>
        <v>0</v>
      </c>
      <c r="AE278" s="828" t="e">
        <f>HLOOKUP($AE$39,anticipado,238,0)</f>
        <v>#N/A</v>
      </c>
      <c r="AF278" s="827"/>
      <c r="AG278" s="618"/>
      <c r="AH278" s="618"/>
      <c r="AI278" s="618"/>
      <c r="AJ278" s="618"/>
      <c r="AK278" s="618"/>
      <c r="AL278" s="618"/>
      <c r="AM278" s="618"/>
      <c r="AN278" s="618"/>
      <c r="AO278" s="618"/>
      <c r="AP278" s="618"/>
      <c r="AQ278" s="618"/>
      <c r="AR278" s="618"/>
      <c r="AS278" s="618">
        <v>0.2681401921808691</v>
      </c>
      <c r="AT278" s="618">
        <v>0.28893886861895934</v>
      </c>
      <c r="AU278" s="618">
        <v>0.2544830404635845</v>
      </c>
      <c r="AV278" s="618">
        <v>0.30118265607286498</v>
      </c>
      <c r="AW278" s="618">
        <v>0.2681401921808691</v>
      </c>
      <c r="AX278" s="618">
        <v>0.24671371538100026</v>
      </c>
      <c r="AY278" s="618">
        <v>0.27491078244970213</v>
      </c>
      <c r="AZ278" s="618">
        <v>0.320406819837533</v>
      </c>
      <c r="BA278" s="618">
        <v>0.31427086032975377</v>
      </c>
      <c r="BB278" s="618">
        <v>0.28397768996591094</v>
      </c>
      <c r="BC278" s="618">
        <v>0.26655423153657692</v>
      </c>
      <c r="BD278" s="618">
        <v>0.2855797883677379</v>
      </c>
      <c r="BE278" s="618"/>
      <c r="BF278" s="618"/>
      <c r="BG278" s="618">
        <v>0.29038265414290493</v>
      </c>
      <c r="BH278" s="618">
        <v>0.28803619544996983</v>
      </c>
      <c r="BI278" s="618"/>
      <c r="BJ278" s="618"/>
      <c r="BK278" s="618"/>
      <c r="BL278" s="618"/>
      <c r="BM278" s="618"/>
      <c r="BN278" s="618"/>
      <c r="BO278" s="618"/>
      <c r="BP278" s="618"/>
      <c r="BQ278" s="618"/>
      <c r="BR278" s="618"/>
      <c r="BS278" s="618"/>
      <c r="BT278" s="618"/>
      <c r="BU278" s="618"/>
      <c r="BV278" s="618"/>
      <c r="BW278" s="618"/>
      <c r="BX278" s="618"/>
      <c r="BY278" s="618"/>
      <c r="BZ278" s="618"/>
      <c r="CA278" s="618"/>
      <c r="CB278" s="618"/>
      <c r="CC278" s="618"/>
      <c r="CD278" s="618"/>
      <c r="CE278" s="618"/>
      <c r="CF278" s="618"/>
      <c r="CG278" s="618"/>
      <c r="CH278" s="618"/>
      <c r="CI278" s="618"/>
      <c r="CJ278" s="618"/>
    </row>
    <row r="279" spans="1:96">
      <c r="A279" s="151">
        <f t="shared" ca="1" si="65"/>
        <v>9</v>
      </c>
      <c r="B279" s="784">
        <f t="shared" si="66"/>
        <v>0</v>
      </c>
      <c r="C279" s="944">
        <f t="shared" si="73"/>
        <v>0</v>
      </c>
      <c r="D279" s="947">
        <f t="shared" si="67"/>
        <v>0</v>
      </c>
      <c r="E279" s="947">
        <f t="shared" si="80"/>
        <v>0</v>
      </c>
      <c r="F279" s="947">
        <f t="shared" si="81"/>
        <v>0</v>
      </c>
      <c r="G279" s="947">
        <f>IF(M278&lt;0.01,0,IF($F$19=$U$4,$G$19,IF(AND($F$21=1,$F$19=$U$2),M278*Adm!$U$4,IF(AND($F$21=2,$F$19=$U$2),M278*Adm!$U$5,IF(AND($F$21=1,$F$19=$U$3),M278*Adm!$V$4,IF(AND($F$21=2,$F$19=$U$3),M278*Adm!$V$5,0))))))</f>
        <v>0</v>
      </c>
      <c r="H279" s="947">
        <f>IF(M278&lt;0.01,0,IF($F$20=$V$3,0,IF(OR($F$10=$T$16,$F$10=$T$17),0,IF($F$10=$T$13,0,$F$11*Adm!$AA$3))))</f>
        <v>0</v>
      </c>
      <c r="I279" s="947">
        <f t="shared" si="74"/>
        <v>0</v>
      </c>
      <c r="J279" s="947">
        <f t="shared" si="62"/>
        <v>0</v>
      </c>
      <c r="K279" s="947">
        <f t="shared" si="68"/>
        <v>0</v>
      </c>
      <c r="L279" s="947">
        <f t="shared" si="63"/>
        <v>0</v>
      </c>
      <c r="M279" s="947">
        <f t="shared" si="69"/>
        <v>0</v>
      </c>
      <c r="N279" s="946"/>
      <c r="P279" s="733"/>
      <c r="Q279" s="733"/>
      <c r="R279" s="733"/>
      <c r="S279" s="785">
        <f t="shared" si="70"/>
        <v>10</v>
      </c>
      <c r="T279" s="786">
        <f t="shared" si="75"/>
        <v>0</v>
      </c>
      <c r="W279" s="790">
        <f t="shared" si="76"/>
        <v>0</v>
      </c>
      <c r="X279" s="818">
        <f t="shared" ca="1" si="71"/>
        <v>0</v>
      </c>
      <c r="Z279" s="843">
        <f t="shared" si="77"/>
        <v>0</v>
      </c>
      <c r="AA279" s="792">
        <f t="shared" si="78"/>
        <v>0</v>
      </c>
      <c r="AB279" s="792">
        <f t="shared" si="79"/>
        <v>0</v>
      </c>
      <c r="AC279" s="789">
        <f t="shared" si="72"/>
        <v>0</v>
      </c>
      <c r="AD279" s="789">
        <f t="shared" si="64"/>
        <v>0</v>
      </c>
      <c r="AE279" s="828" t="e">
        <f>HLOOKUP($AE$39,anticipado,239,0)</f>
        <v>#N/A</v>
      </c>
      <c r="AF279" s="827"/>
      <c r="AG279" s="618"/>
      <c r="AH279" s="618"/>
      <c r="AI279" s="618"/>
      <c r="AJ279" s="618"/>
      <c r="AK279" s="618"/>
      <c r="AL279" s="618"/>
      <c r="AM279" s="618"/>
      <c r="AN279" s="618"/>
      <c r="AO279" s="618"/>
      <c r="AP279" s="618"/>
      <c r="AQ279" s="618"/>
      <c r="AR279" s="618"/>
      <c r="AS279" s="618">
        <v>0.36970682299277047</v>
      </c>
      <c r="AT279" s="618">
        <v>0.4101719091879184</v>
      </c>
      <c r="AU279" s="618">
        <v>0.3447333289587281</v>
      </c>
      <c r="AV279" s="618">
        <v>0.43470637802768719</v>
      </c>
      <c r="AW279" s="618">
        <v>0.36970682299277047</v>
      </c>
      <c r="AX279" s="618">
        <v>0.33062521489483893</v>
      </c>
      <c r="AY279" s="618">
        <v>0.38228117780338189</v>
      </c>
      <c r="AZ279" s="618">
        <v>0.47551533447880723</v>
      </c>
      <c r="BA279" s="618">
        <v>0.46247992780200536</v>
      </c>
      <c r="BB279" s="618">
        <v>0.39974431336436178</v>
      </c>
      <c r="BC279" s="618">
        <v>0.36637714052876114</v>
      </c>
      <c r="BD279" s="618">
        <v>0.4031341945251562</v>
      </c>
      <c r="BE279" s="618"/>
      <c r="BF279" s="618"/>
      <c r="BG279" s="618">
        <v>0.41233042510726431</v>
      </c>
      <c r="BH279" s="618">
        <v>0.40790008130307415</v>
      </c>
      <c r="BI279" s="618"/>
      <c r="BJ279" s="618"/>
      <c r="BK279" s="618"/>
      <c r="BL279" s="618"/>
      <c r="BM279" s="618"/>
      <c r="BN279" s="618"/>
      <c r="BO279" s="618"/>
      <c r="BP279" s="618"/>
      <c r="BQ279" s="618"/>
      <c r="BR279" s="618"/>
      <c r="BS279" s="618"/>
      <c r="BT279" s="618"/>
      <c r="BU279" s="618"/>
      <c r="BV279" s="618"/>
      <c r="BW279" s="618"/>
      <c r="BX279" s="618"/>
      <c r="BY279" s="618"/>
      <c r="BZ279" s="618"/>
      <c r="CA279" s="618"/>
      <c r="CB279" s="618"/>
      <c r="CC279" s="618"/>
      <c r="CD279" s="618"/>
      <c r="CE279" s="618"/>
      <c r="CF279" s="618"/>
      <c r="CG279" s="618"/>
      <c r="CH279" s="618"/>
      <c r="CI279" s="618"/>
      <c r="CJ279" s="618"/>
    </row>
    <row r="280" spans="1:96">
      <c r="A280" s="151">
        <f t="shared" ca="1" si="65"/>
        <v>10</v>
      </c>
      <c r="B280" s="784">
        <f t="shared" si="66"/>
        <v>0</v>
      </c>
      <c r="C280" s="944">
        <f t="shared" si="73"/>
        <v>0</v>
      </c>
      <c r="D280" s="947">
        <f t="shared" si="67"/>
        <v>0</v>
      </c>
      <c r="E280" s="947">
        <f t="shared" si="80"/>
        <v>0</v>
      </c>
      <c r="F280" s="947">
        <f t="shared" si="81"/>
        <v>0</v>
      </c>
      <c r="G280" s="947">
        <f>IF(M279&lt;0.01,0,IF($F$19=$U$4,$G$19,IF(AND($F$21=1,$F$19=$U$2),M279*Adm!$U$4,IF(AND($F$21=2,$F$19=$U$2),M279*Adm!$U$5,IF(AND($F$21=1,$F$19=$U$3),M279*Adm!$V$4,IF(AND($F$21=2,$F$19=$U$3),M279*Adm!$V$5,0))))))</f>
        <v>0</v>
      </c>
      <c r="H280" s="947">
        <f>IF(M279&lt;0.01,0,IF($F$20=$V$3,0,IF(OR($F$10=$T$16,$F$10=$T$17),0,IF($F$10=$T$13,0,$F$11*Adm!$AA$3))))</f>
        <v>0</v>
      </c>
      <c r="I280" s="947">
        <f t="shared" si="74"/>
        <v>0</v>
      </c>
      <c r="J280" s="947">
        <f t="shared" si="62"/>
        <v>0</v>
      </c>
      <c r="K280" s="947">
        <f t="shared" si="68"/>
        <v>0</v>
      </c>
      <c r="L280" s="947">
        <f t="shared" si="63"/>
        <v>0</v>
      </c>
      <c r="M280" s="947">
        <f t="shared" si="69"/>
        <v>0</v>
      </c>
      <c r="N280" s="946"/>
      <c r="P280" s="733"/>
      <c r="Q280" s="733"/>
      <c r="R280" s="733"/>
      <c r="S280" s="785">
        <f t="shared" si="70"/>
        <v>11</v>
      </c>
      <c r="T280" s="786">
        <f t="shared" si="75"/>
        <v>0</v>
      </c>
      <c r="W280" s="790">
        <f t="shared" si="76"/>
        <v>0</v>
      </c>
      <c r="X280" s="818">
        <f t="shared" ca="1" si="71"/>
        <v>0</v>
      </c>
      <c r="Z280" s="843">
        <f t="shared" si="77"/>
        <v>0</v>
      </c>
      <c r="AA280" s="792">
        <f t="shared" si="78"/>
        <v>0</v>
      </c>
      <c r="AB280" s="792">
        <f t="shared" si="79"/>
        <v>0</v>
      </c>
      <c r="AC280" s="789">
        <f t="shared" si="72"/>
        <v>0</v>
      </c>
      <c r="AD280" s="789">
        <f t="shared" si="64"/>
        <v>0</v>
      </c>
      <c r="AE280" s="828" t="e">
        <f>HLOOKUP($AE$39,anticipado,240,0)</f>
        <v>#N/A</v>
      </c>
      <c r="AF280" s="827"/>
      <c r="AG280" s="618"/>
      <c r="AH280" s="618"/>
      <c r="AI280" s="618"/>
      <c r="AJ280" s="618"/>
      <c r="AK280" s="618"/>
      <c r="AL280" s="618"/>
      <c r="AM280" s="618"/>
      <c r="AN280" s="618"/>
      <c r="AO280" s="618"/>
      <c r="AP280" s="618"/>
      <c r="AQ280" s="618"/>
      <c r="AR280" s="618"/>
      <c r="AS280" s="618">
        <v>0.59188632531738605</v>
      </c>
      <c r="AT280" s="618">
        <v>0.70195189019140447</v>
      </c>
      <c r="AU280" s="618">
        <v>0.5313089724827964</v>
      </c>
      <c r="AV280" s="618">
        <v>0.77562474348888177</v>
      </c>
      <c r="AW280" s="618">
        <v>0.59188632531738605</v>
      </c>
      <c r="AX280" s="618">
        <v>0.49861961736993182</v>
      </c>
      <c r="AY280" s="618">
        <v>0.62398574622597414</v>
      </c>
      <c r="AZ280" s="618">
        <v>0.9144153730846708</v>
      </c>
      <c r="BA280" s="618">
        <v>0.868239582636262</v>
      </c>
      <c r="BB280" s="618">
        <v>0.67122888598260477</v>
      </c>
      <c r="BC280" s="618">
        <v>0.58291915471759415</v>
      </c>
      <c r="BD280" s="618">
        <v>0.68115953611243607</v>
      </c>
      <c r="BE280" s="618"/>
      <c r="BF280" s="618"/>
      <c r="BG280" s="618">
        <v>0.70698648075245607</v>
      </c>
      <c r="BH280" s="618">
        <v>0.69458185150839402</v>
      </c>
      <c r="BI280" s="618"/>
      <c r="BJ280" s="618"/>
      <c r="BK280" s="618"/>
      <c r="BL280" s="618"/>
      <c r="BM280" s="618"/>
      <c r="BN280" s="618"/>
      <c r="BO280" s="618"/>
      <c r="BP280" s="618"/>
      <c r="BQ280" s="618"/>
      <c r="BR280" s="618"/>
      <c r="BS280" s="618"/>
      <c r="BT280" s="618"/>
      <c r="BU280" s="618"/>
      <c r="BV280" s="618"/>
      <c r="BW280" s="618"/>
      <c r="BX280" s="618"/>
      <c r="BY280" s="618"/>
      <c r="BZ280" s="618"/>
      <c r="CA280" s="618"/>
      <c r="CB280" s="618"/>
      <c r="CC280" s="618"/>
      <c r="CD280" s="618"/>
      <c r="CE280" s="618"/>
      <c r="CF280" s="618"/>
      <c r="CG280" s="618"/>
      <c r="CH280" s="618"/>
      <c r="CI280" s="618"/>
      <c r="CJ280" s="618"/>
    </row>
    <row r="281" spans="1:96">
      <c r="A281" s="151">
        <f t="shared" ca="1" si="65"/>
        <v>11</v>
      </c>
      <c r="B281" s="784">
        <f t="shared" si="66"/>
        <v>0</v>
      </c>
      <c r="C281" s="944">
        <f t="shared" si="73"/>
        <v>0</v>
      </c>
      <c r="D281" s="947">
        <f t="shared" si="67"/>
        <v>0</v>
      </c>
      <c r="E281" s="947">
        <f t="shared" si="80"/>
        <v>0</v>
      </c>
      <c r="F281" s="947">
        <f t="shared" si="81"/>
        <v>0</v>
      </c>
      <c r="G281" s="947">
        <f>IF(M280&lt;0.01,0,IF($F$19=$U$4,$G$19,IF(AND($F$21=1,$F$19=$U$2),M280*Adm!$U$4,IF(AND($F$21=2,$F$19=$U$2),M280*Adm!$U$5,IF(AND($F$21=1,$F$19=$U$3),M280*Adm!$V$4,IF(AND($F$21=2,$F$19=$U$3),M280*Adm!$V$5,0))))))</f>
        <v>0</v>
      </c>
      <c r="H281" s="947">
        <f>IF(M280&lt;0.01,0,IF($F$20=$V$3,0,IF(OR($F$10=$T$16,$F$10=$T$17),0,IF($F$10=$T$13,0,$F$11*Adm!$AA$3))))</f>
        <v>0</v>
      </c>
      <c r="I281" s="947">
        <f t="shared" si="74"/>
        <v>0</v>
      </c>
      <c r="J281" s="947">
        <f t="shared" si="62"/>
        <v>0</v>
      </c>
      <c r="K281" s="947">
        <f t="shared" si="68"/>
        <v>0</v>
      </c>
      <c r="L281" s="947">
        <f t="shared" si="63"/>
        <v>0</v>
      </c>
      <c r="M281" s="947">
        <f t="shared" si="69"/>
        <v>0</v>
      </c>
      <c r="N281" s="946"/>
      <c r="O281" s="541"/>
      <c r="P281" s="733"/>
      <c r="Q281" s="733"/>
      <c r="R281" s="733"/>
      <c r="S281" s="785">
        <f t="shared" si="70"/>
        <v>12</v>
      </c>
      <c r="T281" s="786">
        <f t="shared" si="75"/>
        <v>0</v>
      </c>
      <c r="W281" s="790">
        <f t="shared" si="76"/>
        <v>0</v>
      </c>
      <c r="X281" s="818">
        <f t="shared" ca="1" si="71"/>
        <v>0</v>
      </c>
      <c r="Z281" s="843">
        <f t="shared" si="77"/>
        <v>0</v>
      </c>
      <c r="AA281" s="792">
        <f t="shared" si="78"/>
        <v>0</v>
      </c>
      <c r="AB281" s="792">
        <f t="shared" si="79"/>
        <v>0</v>
      </c>
      <c r="AC281" s="789">
        <f t="shared" si="72"/>
        <v>0</v>
      </c>
      <c r="AD281" s="789">
        <f t="shared" si="64"/>
        <v>0</v>
      </c>
      <c r="AE281" s="829" t="e">
        <f>HLOOKUP($AE$39,anticipado,241,0)</f>
        <v>#N/A</v>
      </c>
      <c r="AF281" s="827"/>
      <c r="AG281" s="618"/>
      <c r="AH281" s="618"/>
      <c r="AI281" s="618"/>
      <c r="AJ281" s="618"/>
      <c r="AK281" s="618"/>
      <c r="AL281" s="618"/>
      <c r="AM281" s="618"/>
      <c r="AN281" s="618"/>
      <c r="AO281" s="618"/>
      <c r="AP281" s="618"/>
      <c r="AQ281" s="618"/>
      <c r="AR281" s="618"/>
      <c r="AS281" s="618">
        <v>1</v>
      </c>
      <c r="AT281" s="618">
        <v>1</v>
      </c>
      <c r="AU281" s="618">
        <v>1</v>
      </c>
      <c r="AV281" s="618">
        <v>1</v>
      </c>
      <c r="AW281" s="618">
        <v>1</v>
      </c>
      <c r="AX281" s="618">
        <v>1</v>
      </c>
      <c r="AY281" s="618">
        <v>1</v>
      </c>
      <c r="AZ281" s="618">
        <v>1</v>
      </c>
      <c r="BA281" s="618">
        <v>1</v>
      </c>
      <c r="BB281" s="618">
        <v>1</v>
      </c>
      <c r="BC281" s="618">
        <v>1</v>
      </c>
      <c r="BD281" s="618">
        <v>1</v>
      </c>
      <c r="BE281" s="618"/>
      <c r="BF281" s="618"/>
      <c r="BG281" s="618">
        <v>1</v>
      </c>
      <c r="BH281" s="618">
        <v>1</v>
      </c>
      <c r="BI281" s="618"/>
      <c r="BJ281" s="618"/>
      <c r="BK281" s="618"/>
      <c r="BL281" s="618"/>
      <c r="BM281" s="618"/>
      <c r="BN281" s="618"/>
      <c r="BO281" s="618"/>
      <c r="BP281" s="618"/>
      <c r="BQ281" s="618"/>
      <c r="BR281" s="618"/>
      <c r="BS281" s="618"/>
      <c r="BT281" s="618"/>
      <c r="BU281" s="618"/>
      <c r="BV281" s="618"/>
      <c r="BW281" s="618"/>
      <c r="BX281" s="618"/>
      <c r="BY281" s="618"/>
      <c r="BZ281" s="618"/>
      <c r="CA281" s="618"/>
      <c r="CB281" s="618"/>
      <c r="CC281" s="618"/>
      <c r="CD281" s="618"/>
      <c r="CE281" s="618"/>
      <c r="CF281" s="618"/>
      <c r="CG281" s="618"/>
      <c r="CH281" s="618"/>
      <c r="CI281" s="618"/>
      <c r="CJ281" s="618"/>
    </row>
    <row r="282" spans="1:96">
      <c r="C282" s="151"/>
      <c r="D282" s="802"/>
      <c r="E282" s="913"/>
      <c r="F282" s="802"/>
      <c r="G282" s="802"/>
      <c r="H282" s="802"/>
      <c r="I282" s="802"/>
      <c r="J282" s="802"/>
      <c r="K282" s="802"/>
      <c r="L282" s="802"/>
      <c r="M282" s="802"/>
      <c r="N282" s="802"/>
      <c r="O282" s="785"/>
      <c r="P282" s="785"/>
      <c r="Q282" s="785"/>
      <c r="R282" s="785"/>
      <c r="U282" s="785"/>
      <c r="V282" s="785"/>
      <c r="Y282" s="785"/>
      <c r="Z282" s="785"/>
      <c r="AA282" s="785"/>
      <c r="AB282" s="792"/>
      <c r="AC282" s="785"/>
      <c r="AD282" s="785"/>
      <c r="AE282" s="541"/>
      <c r="AF282" s="785"/>
      <c r="AG282" s="541"/>
      <c r="AH282" s="541"/>
      <c r="AI282" s="541"/>
      <c r="AJ282" s="541"/>
      <c r="AL282" s="916"/>
      <c r="AM282" s="916"/>
      <c r="AN282" s="916"/>
      <c r="AO282" s="916"/>
      <c r="AP282" s="916"/>
      <c r="AQ282" s="916"/>
      <c r="AR282" s="917"/>
      <c r="AS282" s="917"/>
      <c r="AT282" s="917"/>
      <c r="AU282" s="917"/>
      <c r="AV282" s="917"/>
      <c r="AW282" s="917"/>
      <c r="AX282" s="917"/>
      <c r="AY282" s="917"/>
      <c r="AZ282" s="917"/>
      <c r="BA282" s="917"/>
      <c r="BB282" s="917"/>
      <c r="BC282" s="916"/>
      <c r="BD282" s="916"/>
      <c r="BE282" s="916"/>
      <c r="BF282" s="916"/>
      <c r="BG282" s="916"/>
      <c r="BH282" s="916"/>
      <c r="BI282" s="916"/>
      <c r="BJ282" s="916"/>
      <c r="BK282" s="916"/>
      <c r="BL282" s="916"/>
      <c r="BM282" s="916"/>
      <c r="BN282" s="916"/>
      <c r="BO282" s="916"/>
      <c r="BP282" s="916"/>
      <c r="BQ282" s="916"/>
      <c r="BR282" s="916"/>
      <c r="BS282" s="916"/>
      <c r="BT282" s="916"/>
      <c r="BU282" s="916"/>
      <c r="BV282" s="916"/>
      <c r="BW282" s="916"/>
      <c r="BX282" s="916"/>
      <c r="BY282" s="916"/>
      <c r="BZ282" s="916"/>
      <c r="CA282" s="916"/>
      <c r="CB282" s="916"/>
      <c r="CC282" s="916"/>
      <c r="CD282" s="916"/>
      <c r="CE282" s="916"/>
      <c r="CF282" s="916"/>
      <c r="CG282" s="916"/>
      <c r="CH282" s="916"/>
      <c r="CI282" s="916"/>
      <c r="CJ282" s="916"/>
    </row>
    <row r="283" spans="1:96">
      <c r="C283" s="803" t="s">
        <v>296</v>
      </c>
      <c r="D283" s="804">
        <f>SUM(D42:D281)</f>
        <v>0</v>
      </c>
      <c r="E283" s="804">
        <f>SUM(E42:E281)</f>
        <v>0</v>
      </c>
      <c r="F283" s="804">
        <f t="shared" ref="F283:L283" si="82">SUM(F42:F281)</f>
        <v>0</v>
      </c>
      <c r="G283" s="804">
        <f t="shared" si="82"/>
        <v>0</v>
      </c>
      <c r="H283" s="804">
        <f t="shared" si="82"/>
        <v>0</v>
      </c>
      <c r="I283" s="804">
        <f t="shared" si="82"/>
        <v>0</v>
      </c>
      <c r="J283" s="804">
        <f t="shared" si="82"/>
        <v>0</v>
      </c>
      <c r="K283" s="804">
        <f t="shared" si="82"/>
        <v>0</v>
      </c>
      <c r="L283" s="804">
        <f t="shared" si="82"/>
        <v>0</v>
      </c>
      <c r="M283" s="804"/>
      <c r="N283" s="942">
        <v>0</v>
      </c>
      <c r="O283" s="805">
        <v>0</v>
      </c>
      <c r="P283" s="805"/>
      <c r="Q283" s="805"/>
      <c r="R283" s="805"/>
      <c r="U283" s="785"/>
      <c r="V283" s="785"/>
      <c r="W283" s="785"/>
      <c r="X283" s="785"/>
      <c r="Y283" s="785"/>
      <c r="Z283" s="785"/>
      <c r="AA283" s="785"/>
      <c r="AB283" s="785"/>
      <c r="AC283" s="785"/>
      <c r="AD283" s="785"/>
      <c r="AE283" s="785"/>
      <c r="AF283" s="785"/>
      <c r="AG283" s="541"/>
      <c r="AH283" s="541"/>
      <c r="AI283" s="541"/>
      <c r="AJ283" s="541"/>
      <c r="AL283" s="916"/>
      <c r="AM283" s="916"/>
      <c r="AN283" s="916"/>
      <c r="AO283" s="916"/>
      <c r="AP283" s="916"/>
      <c r="AQ283" s="916"/>
      <c r="AR283" s="917"/>
      <c r="AS283" s="917"/>
      <c r="AT283" s="917"/>
      <c r="AU283" s="917"/>
      <c r="AV283" s="917"/>
      <c r="AW283" s="917"/>
      <c r="AX283" s="917"/>
      <c r="AY283" s="917"/>
      <c r="AZ283" s="917"/>
      <c r="BA283" s="917"/>
      <c r="BB283" s="917"/>
      <c r="BC283" s="916"/>
      <c r="BD283" s="916"/>
      <c r="BE283" s="916"/>
      <c r="BF283" s="916"/>
      <c r="BG283" s="916"/>
      <c r="BH283" s="916"/>
      <c r="BI283" s="916"/>
      <c r="BJ283" s="916"/>
      <c r="BK283" s="916"/>
      <c r="BL283" s="916"/>
      <c r="BM283" s="916"/>
      <c r="BN283" s="916"/>
      <c r="BO283" s="916"/>
      <c r="BP283" s="916"/>
      <c r="BQ283" s="916"/>
      <c r="BR283" s="916"/>
      <c r="BS283" s="916"/>
      <c r="BT283" s="916"/>
      <c r="BU283" s="916"/>
      <c r="BV283" s="916"/>
      <c r="BW283" s="916"/>
      <c r="BX283" s="916"/>
      <c r="BY283" s="916"/>
      <c r="BZ283" s="916"/>
      <c r="CA283" s="916"/>
      <c r="CB283" s="916"/>
      <c r="CC283" s="916"/>
      <c r="CD283" s="916"/>
      <c r="CE283" s="916"/>
      <c r="CF283" s="916"/>
      <c r="CG283" s="916"/>
      <c r="CH283" s="916"/>
      <c r="CI283" s="916"/>
      <c r="CJ283" s="916"/>
    </row>
    <row r="284" spans="1:96">
      <c r="C284" s="1003" t="s">
        <v>400</v>
      </c>
      <c r="D284" s="806"/>
      <c r="E284" s="914"/>
      <c r="F284" s="807"/>
      <c r="G284" s="807"/>
      <c r="H284" s="807"/>
      <c r="I284" s="808"/>
      <c r="J284" s="807"/>
      <c r="K284" s="807"/>
      <c r="L284" s="807"/>
      <c r="M284" s="807"/>
      <c r="N284" s="807"/>
      <c r="O284" s="785"/>
      <c r="P284" s="785"/>
      <c r="Q284" s="785"/>
      <c r="R284" s="785"/>
      <c r="U284" s="785"/>
      <c r="V284" s="785"/>
      <c r="W284" s="785"/>
      <c r="X284" s="785"/>
      <c r="Y284" s="785"/>
      <c r="Z284" s="785"/>
      <c r="AA284" s="785"/>
      <c r="AB284" s="785"/>
      <c r="AC284" s="785"/>
      <c r="AD284" s="785"/>
      <c r="AE284" s="785"/>
      <c r="AF284" s="785"/>
      <c r="AG284" s="541"/>
      <c r="AH284" s="541"/>
      <c r="AI284" s="541"/>
      <c r="AJ284" s="541"/>
      <c r="AL284" s="916"/>
      <c r="AM284" s="916"/>
      <c r="AN284" s="916"/>
      <c r="AO284" s="916"/>
      <c r="AP284" s="916"/>
      <c r="AQ284" s="916"/>
      <c r="AR284" s="917"/>
      <c r="AS284" s="917"/>
      <c r="AT284" s="917"/>
      <c r="AU284" s="917"/>
      <c r="AV284" s="917"/>
      <c r="AW284" s="917"/>
      <c r="AX284" s="917"/>
      <c r="AY284" s="917"/>
      <c r="AZ284" s="917"/>
      <c r="BA284" s="917"/>
      <c r="BB284" s="917"/>
      <c r="BC284" s="916"/>
      <c r="BD284" s="916"/>
      <c r="BE284" s="916"/>
      <c r="BF284" s="916"/>
      <c r="BG284" s="916"/>
      <c r="BH284" s="916"/>
      <c r="BI284" s="916"/>
      <c r="BJ284" s="916"/>
      <c r="BK284" s="916"/>
      <c r="BL284" s="916"/>
      <c r="BM284" s="916"/>
      <c r="BN284" s="916"/>
      <c r="BO284" s="916"/>
      <c r="BP284" s="916"/>
      <c r="BQ284" s="916"/>
      <c r="BR284" s="916"/>
      <c r="BS284" s="916"/>
      <c r="BT284" s="916"/>
      <c r="BU284" s="916"/>
      <c r="BV284" s="916"/>
      <c r="BW284" s="916"/>
      <c r="BX284" s="916"/>
      <c r="BY284" s="916"/>
      <c r="BZ284" s="916"/>
      <c r="CA284" s="916"/>
      <c r="CB284" s="916"/>
      <c r="CC284" s="916"/>
      <c r="CD284" s="916"/>
      <c r="CE284" s="916"/>
      <c r="CF284" s="916"/>
      <c r="CG284" s="916"/>
      <c r="CH284" s="916"/>
      <c r="CI284" s="916"/>
      <c r="CJ284" s="916"/>
    </row>
    <row r="285" spans="1:96">
      <c r="C285" s="809" t="s">
        <v>365</v>
      </c>
      <c r="D285" s="151"/>
      <c r="F285" s="734"/>
      <c r="G285" s="734"/>
      <c r="H285" s="734"/>
      <c r="I285" s="735"/>
      <c r="J285" s="734"/>
      <c r="K285" s="734"/>
      <c r="L285" s="734"/>
      <c r="M285" s="118"/>
      <c r="N285" s="734"/>
      <c r="O285" s="785"/>
      <c r="P285" s="785"/>
      <c r="Q285" s="785"/>
      <c r="R285" s="785"/>
      <c r="U285" s="785"/>
      <c r="V285" s="785"/>
      <c r="W285" s="785"/>
      <c r="X285" s="785"/>
      <c r="Y285" s="785"/>
      <c r="Z285" s="785"/>
      <c r="AA285" s="785"/>
      <c r="AB285" s="785"/>
      <c r="AC285" s="785"/>
      <c r="AD285" s="785"/>
      <c r="AE285" s="785"/>
      <c r="AF285" s="785"/>
      <c r="AG285" s="541"/>
      <c r="AH285" s="541"/>
      <c r="AI285" s="541"/>
      <c r="AJ285" s="541"/>
      <c r="AL285" s="916"/>
      <c r="AM285" s="916"/>
      <c r="AN285" s="916"/>
      <c r="AO285" s="916"/>
      <c r="AP285" s="916"/>
      <c r="AQ285" s="916"/>
      <c r="AR285" s="917"/>
      <c r="AS285" s="917"/>
      <c r="AT285" s="917"/>
      <c r="AU285" s="917"/>
      <c r="AV285" s="917"/>
      <c r="AW285" s="917"/>
      <c r="AX285" s="917"/>
      <c r="AY285" s="917"/>
      <c r="AZ285" s="917"/>
      <c r="BA285" s="917"/>
      <c r="BB285" s="917"/>
      <c r="BC285" s="916"/>
      <c r="BD285" s="916"/>
      <c r="BE285" s="916"/>
      <c r="BF285" s="916"/>
      <c r="BG285" s="916"/>
      <c r="BH285" s="916"/>
      <c r="BI285" s="916"/>
      <c r="BJ285" s="916"/>
      <c r="BK285" s="916"/>
      <c r="BL285" s="916"/>
      <c r="BM285" s="916"/>
      <c r="BN285" s="916"/>
      <c r="BO285" s="916"/>
      <c r="BP285" s="916"/>
      <c r="BQ285" s="916"/>
      <c r="BR285" s="916"/>
      <c r="BS285" s="916"/>
      <c r="BT285" s="916"/>
      <c r="BU285" s="916"/>
      <c r="BV285" s="916"/>
      <c r="BW285" s="916"/>
      <c r="BX285" s="916"/>
      <c r="BY285" s="916"/>
      <c r="BZ285" s="916"/>
      <c r="CA285" s="916"/>
      <c r="CB285" s="916"/>
      <c r="CC285" s="916"/>
      <c r="CD285" s="916"/>
      <c r="CE285" s="916"/>
      <c r="CF285" s="916"/>
      <c r="CG285" s="916"/>
      <c r="CH285" s="916"/>
      <c r="CI285" s="916"/>
      <c r="CJ285" s="916"/>
    </row>
    <row r="286" spans="1:96">
      <c r="C286" s="85" t="s">
        <v>178</v>
      </c>
      <c r="D286" s="151"/>
      <c r="F286" s="734"/>
      <c r="G286" s="734"/>
      <c r="H286" s="734"/>
      <c r="I286" s="735"/>
      <c r="J286" s="734"/>
      <c r="K286" s="734"/>
      <c r="L286" s="734"/>
      <c r="M286" s="118"/>
      <c r="N286" s="734"/>
      <c r="O286" s="785"/>
      <c r="P286" s="785"/>
      <c r="Q286" s="785"/>
      <c r="R286" s="785"/>
      <c r="U286" s="785"/>
      <c r="V286" s="785"/>
      <c r="W286" s="785"/>
      <c r="X286" s="785"/>
      <c r="Y286" s="785"/>
      <c r="Z286" s="785"/>
      <c r="AA286" s="785"/>
      <c r="AB286" s="785"/>
      <c r="AC286" s="785"/>
      <c r="AD286" s="785"/>
      <c r="AE286" s="785"/>
      <c r="AF286" s="785"/>
      <c r="AG286" s="541"/>
      <c r="AH286" s="541"/>
      <c r="AI286" s="541"/>
      <c r="AJ286" s="541"/>
      <c r="AL286" s="916"/>
      <c r="AM286" s="916"/>
      <c r="AN286" s="916"/>
      <c r="AO286" s="916"/>
      <c r="AP286" s="916"/>
      <c r="AQ286" s="916"/>
      <c r="AR286" s="917"/>
      <c r="AS286" s="917"/>
      <c r="AT286" s="917"/>
      <c r="AU286" s="917"/>
      <c r="AV286" s="917"/>
      <c r="AW286" s="917"/>
      <c r="AX286" s="917"/>
      <c r="AY286" s="917"/>
      <c r="AZ286" s="917"/>
      <c r="BA286" s="917"/>
      <c r="BB286" s="917"/>
      <c r="BC286" s="916"/>
      <c r="BD286" s="916"/>
      <c r="BE286" s="916"/>
      <c r="BF286" s="916"/>
      <c r="BG286" s="916"/>
      <c r="BH286" s="916"/>
      <c r="BI286" s="916"/>
      <c r="BJ286" s="916"/>
      <c r="BK286" s="916"/>
      <c r="BL286" s="916"/>
      <c r="BM286" s="916"/>
      <c r="BN286" s="916"/>
      <c r="BO286" s="916"/>
      <c r="BP286" s="916"/>
      <c r="BQ286" s="916"/>
      <c r="BR286" s="916"/>
      <c r="BS286" s="916"/>
      <c r="BT286" s="916"/>
      <c r="BU286" s="916"/>
      <c r="BV286" s="916"/>
      <c r="BW286" s="916"/>
      <c r="BX286" s="916"/>
      <c r="BY286" s="916"/>
      <c r="BZ286" s="916"/>
      <c r="CA286" s="916"/>
      <c r="CB286" s="916"/>
      <c r="CC286" s="916"/>
      <c r="CD286" s="916"/>
      <c r="CE286" s="916"/>
      <c r="CF286" s="916"/>
      <c r="CG286" s="916"/>
      <c r="CH286" s="916"/>
      <c r="CI286" s="916"/>
      <c r="CJ286" s="916"/>
    </row>
    <row r="287" spans="1:96" ht="27.75" customHeight="1">
      <c r="A287" s="810"/>
      <c r="B287" s="810"/>
      <c r="C287" s="1150" t="s">
        <v>366</v>
      </c>
      <c r="D287" s="1150"/>
      <c r="E287" s="1150"/>
      <c r="F287" s="1150"/>
      <c r="G287" s="1150"/>
      <c r="H287" s="1150"/>
      <c r="I287" s="1150"/>
      <c r="J287" s="1150"/>
      <c r="K287" s="1150"/>
      <c r="L287" s="1150"/>
      <c r="M287" s="1150"/>
      <c r="N287" s="1150"/>
      <c r="O287" s="811"/>
      <c r="P287" s="811"/>
      <c r="Q287" s="811"/>
      <c r="R287" s="811"/>
      <c r="S287" s="810"/>
      <c r="T287" s="810"/>
      <c r="U287" s="811"/>
      <c r="V287" s="811"/>
      <c r="W287" s="811"/>
      <c r="X287" s="811"/>
      <c r="Y287" s="811"/>
      <c r="Z287" s="811"/>
      <c r="AA287" s="811"/>
      <c r="AB287" s="811"/>
      <c r="AC287" s="811"/>
      <c r="AD287" s="811"/>
      <c r="AE287" s="811"/>
      <c r="AF287" s="811"/>
      <c r="AG287" s="541"/>
      <c r="AH287" s="541"/>
      <c r="AI287" s="541"/>
      <c r="AJ287" s="541"/>
      <c r="AL287" s="916"/>
      <c r="AM287" s="916"/>
      <c r="AN287" s="916"/>
      <c r="AO287" s="916"/>
      <c r="AP287" s="916"/>
      <c r="AQ287" s="916"/>
      <c r="AR287" s="917"/>
      <c r="AS287" s="917"/>
      <c r="AT287" s="917"/>
      <c r="AU287" s="917"/>
      <c r="AV287" s="917"/>
      <c r="AW287" s="917"/>
      <c r="AX287" s="917"/>
      <c r="AY287" s="917"/>
      <c r="AZ287" s="917"/>
      <c r="BA287" s="917"/>
      <c r="BB287" s="917"/>
      <c r="BC287" s="916"/>
      <c r="BD287" s="916"/>
      <c r="BE287" s="916"/>
      <c r="BF287" s="916"/>
      <c r="BG287" s="916"/>
      <c r="BH287" s="916"/>
      <c r="BI287" s="916"/>
      <c r="BJ287" s="916"/>
      <c r="BK287" s="916"/>
      <c r="BL287" s="916"/>
      <c r="BM287" s="916"/>
      <c r="BN287" s="916"/>
      <c r="BO287" s="916"/>
      <c r="BP287" s="916"/>
      <c r="BQ287" s="916"/>
      <c r="BR287" s="916"/>
      <c r="BS287" s="916"/>
      <c r="BT287" s="916"/>
      <c r="BU287" s="916"/>
      <c r="BV287" s="916"/>
      <c r="BW287" s="916"/>
      <c r="BX287" s="916"/>
      <c r="BY287" s="916"/>
      <c r="BZ287" s="916"/>
      <c r="CA287" s="916"/>
      <c r="CB287" s="916"/>
      <c r="CC287" s="916"/>
      <c r="CD287" s="916"/>
      <c r="CE287" s="916"/>
      <c r="CF287" s="916"/>
      <c r="CG287" s="916"/>
      <c r="CH287" s="916"/>
      <c r="CI287" s="916"/>
      <c r="CJ287" s="916"/>
      <c r="CK287" s="810"/>
      <c r="CL287" s="810"/>
      <c r="CM287" s="810"/>
      <c r="CN287" s="810"/>
      <c r="CO287" s="810"/>
      <c r="CP287" s="810"/>
      <c r="CQ287" s="810"/>
      <c r="CR287" s="810"/>
    </row>
    <row r="288" spans="1:96">
      <c r="A288" s="810"/>
      <c r="B288" s="810"/>
      <c r="C288" s="1150" t="s">
        <v>367</v>
      </c>
      <c r="D288" s="1150"/>
      <c r="E288" s="1150"/>
      <c r="F288" s="1150"/>
      <c r="G288" s="1150"/>
      <c r="H288" s="1150"/>
      <c r="I288" s="1150"/>
      <c r="J288" s="1150"/>
      <c r="K288" s="1150"/>
      <c r="L288" s="1150"/>
      <c r="M288" s="1150"/>
      <c r="N288" s="1150"/>
      <c r="O288" s="811"/>
      <c r="P288" s="811"/>
      <c r="Q288" s="811"/>
      <c r="R288" s="811"/>
      <c r="S288" s="810"/>
      <c r="T288" s="810"/>
      <c r="U288" s="811"/>
      <c r="V288" s="811"/>
      <c r="W288" s="811"/>
      <c r="X288" s="811"/>
      <c r="Y288" s="811"/>
      <c r="Z288" s="811"/>
      <c r="AA288" s="811"/>
      <c r="AB288" s="811"/>
      <c r="AC288" s="811"/>
      <c r="AD288" s="811"/>
      <c r="AE288" s="811"/>
      <c r="AF288" s="811"/>
      <c r="AG288" s="541"/>
      <c r="AH288" s="541"/>
      <c r="AI288" s="541"/>
      <c r="AJ288" s="541"/>
      <c r="AL288" s="916"/>
      <c r="AM288" s="916"/>
      <c r="AN288" s="916"/>
      <c r="AO288" s="916"/>
      <c r="AP288" s="916"/>
      <c r="AQ288" s="916"/>
      <c r="AR288" s="917"/>
      <c r="AS288" s="917"/>
      <c r="AT288" s="917"/>
      <c r="AU288" s="917"/>
      <c r="AV288" s="917"/>
      <c r="AW288" s="917"/>
      <c r="AX288" s="917"/>
      <c r="AY288" s="917"/>
      <c r="AZ288" s="917"/>
      <c r="BA288" s="917"/>
      <c r="BB288" s="917"/>
      <c r="BC288" s="916"/>
      <c r="BD288" s="916"/>
      <c r="BE288" s="916"/>
      <c r="BF288" s="916"/>
      <c r="BG288" s="916"/>
      <c r="BH288" s="916"/>
      <c r="BI288" s="916"/>
      <c r="BJ288" s="916"/>
      <c r="BK288" s="916"/>
      <c r="BL288" s="916"/>
      <c r="BM288" s="916"/>
      <c r="BN288" s="916"/>
      <c r="BO288" s="916"/>
      <c r="BP288" s="916"/>
      <c r="BQ288" s="916"/>
      <c r="BR288" s="916"/>
      <c r="BS288" s="916"/>
      <c r="BT288" s="916"/>
      <c r="BU288" s="916"/>
      <c r="BV288" s="916"/>
      <c r="BW288" s="916"/>
      <c r="BX288" s="916"/>
      <c r="BY288" s="916"/>
      <c r="BZ288" s="916"/>
      <c r="CA288" s="916"/>
      <c r="CB288" s="916"/>
      <c r="CC288" s="916"/>
      <c r="CD288" s="916"/>
      <c r="CE288" s="916"/>
      <c r="CF288" s="916"/>
      <c r="CG288" s="916"/>
      <c r="CH288" s="916"/>
      <c r="CI288" s="916"/>
      <c r="CJ288" s="916"/>
      <c r="CK288" s="810"/>
      <c r="CL288" s="810"/>
      <c r="CM288" s="810"/>
      <c r="CN288" s="810"/>
      <c r="CO288" s="810"/>
      <c r="CP288" s="810"/>
      <c r="CQ288" s="810"/>
      <c r="CR288" s="810"/>
    </row>
    <row r="289" spans="1:96">
      <c r="A289" s="810"/>
      <c r="B289" s="810"/>
      <c r="C289" s="1150" t="s">
        <v>72</v>
      </c>
      <c r="D289" s="1150"/>
      <c r="E289" s="1150"/>
      <c r="F289" s="1150"/>
      <c r="G289" s="1150"/>
      <c r="H289" s="1150"/>
      <c r="I289" s="1150"/>
      <c r="J289" s="1150"/>
      <c r="K289" s="1150"/>
      <c r="L289" s="1150"/>
      <c r="M289" s="1150"/>
      <c r="N289" s="1150"/>
      <c r="O289" s="811"/>
      <c r="P289" s="811"/>
      <c r="Q289" s="811"/>
      <c r="R289" s="811"/>
      <c r="S289" s="810"/>
      <c r="T289" s="810"/>
      <c r="U289" s="811"/>
      <c r="V289" s="811"/>
      <c r="W289" s="811"/>
      <c r="X289" s="811"/>
      <c r="Y289" s="811"/>
      <c r="Z289" s="811"/>
      <c r="AA289" s="811"/>
      <c r="AB289" s="811"/>
      <c r="AC289" s="811"/>
      <c r="AD289" s="811"/>
      <c r="AE289" s="811"/>
      <c r="AF289" s="811"/>
      <c r="AG289" s="541"/>
      <c r="AH289" s="541"/>
      <c r="AI289" s="541"/>
      <c r="AJ289" s="541"/>
      <c r="AL289" s="916"/>
      <c r="AM289" s="916"/>
      <c r="AN289" s="916"/>
      <c r="AO289" s="916"/>
      <c r="AP289" s="916"/>
      <c r="AQ289" s="916"/>
      <c r="AR289" s="917"/>
      <c r="AS289" s="917"/>
      <c r="AT289" s="917"/>
      <c r="AU289" s="917"/>
      <c r="AV289" s="917"/>
      <c r="AW289" s="917"/>
      <c r="AX289" s="917"/>
      <c r="AY289" s="917"/>
      <c r="AZ289" s="917"/>
      <c r="BA289" s="917"/>
      <c r="BB289" s="917"/>
      <c r="BC289" s="916"/>
      <c r="BD289" s="916"/>
      <c r="BE289" s="916"/>
      <c r="BF289" s="916"/>
      <c r="BG289" s="916"/>
      <c r="BH289" s="916"/>
      <c r="BI289" s="916"/>
      <c r="BJ289" s="916"/>
      <c r="BK289" s="916"/>
      <c r="BL289" s="916"/>
      <c r="BM289" s="916"/>
      <c r="BN289" s="916"/>
      <c r="BO289" s="916"/>
      <c r="BP289" s="916"/>
      <c r="BQ289" s="916"/>
      <c r="BR289" s="916"/>
      <c r="BS289" s="916"/>
      <c r="BT289" s="916"/>
      <c r="BU289" s="916"/>
      <c r="BV289" s="916"/>
      <c r="BW289" s="916"/>
      <c r="BX289" s="916"/>
      <c r="BY289" s="916"/>
      <c r="BZ289" s="916"/>
      <c r="CA289" s="916"/>
      <c r="CB289" s="916"/>
      <c r="CC289" s="916"/>
      <c r="CD289" s="916"/>
      <c r="CE289" s="916"/>
      <c r="CF289" s="916"/>
      <c r="CG289" s="916"/>
      <c r="CH289" s="916"/>
      <c r="CI289" s="916"/>
      <c r="CJ289" s="916"/>
      <c r="CK289" s="810"/>
      <c r="CL289" s="810"/>
      <c r="CM289" s="810"/>
      <c r="CN289" s="810"/>
      <c r="CO289" s="810"/>
      <c r="CP289" s="810"/>
      <c r="CQ289" s="810"/>
      <c r="CR289" s="810"/>
    </row>
    <row r="290" spans="1:96">
      <c r="A290" s="810"/>
      <c r="B290" s="810"/>
      <c r="C290" s="1150" t="s">
        <v>368</v>
      </c>
      <c r="D290" s="1150"/>
      <c r="E290" s="1150"/>
      <c r="F290" s="1150"/>
      <c r="G290" s="1150"/>
      <c r="H290" s="1150"/>
      <c r="I290" s="1150"/>
      <c r="J290" s="1150"/>
      <c r="K290" s="1150"/>
      <c r="L290" s="1150"/>
      <c r="M290" s="1150"/>
      <c r="N290" s="1150"/>
      <c r="O290" s="811"/>
      <c r="P290" s="811"/>
      <c r="Q290" s="811"/>
      <c r="R290" s="811"/>
      <c r="S290" s="810"/>
      <c r="T290" s="810"/>
      <c r="U290" s="811"/>
      <c r="V290" s="811"/>
      <c r="W290" s="811"/>
      <c r="X290" s="811"/>
      <c r="Y290" s="811"/>
      <c r="Z290" s="811"/>
      <c r="AA290" s="811"/>
      <c r="AB290" s="811"/>
      <c r="AC290" s="811"/>
      <c r="AD290" s="811"/>
      <c r="AE290" s="811"/>
      <c r="AF290" s="811"/>
      <c r="AG290" s="541"/>
      <c r="AH290" s="541"/>
      <c r="AI290" s="541"/>
      <c r="AJ290" s="541"/>
      <c r="AL290" s="916"/>
      <c r="AM290" s="916"/>
      <c r="AN290" s="916"/>
      <c r="AO290" s="916"/>
      <c r="AP290" s="916"/>
      <c r="AQ290" s="916"/>
      <c r="AR290" s="917"/>
      <c r="AS290" s="917"/>
      <c r="AT290" s="917"/>
      <c r="AU290" s="917"/>
      <c r="AV290" s="917"/>
      <c r="AW290" s="917"/>
      <c r="AX290" s="917"/>
      <c r="AY290" s="917"/>
      <c r="AZ290" s="917"/>
      <c r="BA290" s="917"/>
      <c r="BB290" s="917"/>
      <c r="BC290" s="916"/>
      <c r="BD290" s="916"/>
      <c r="BE290" s="916"/>
      <c r="BF290" s="916"/>
      <c r="BG290" s="916"/>
      <c r="BH290" s="916"/>
      <c r="BI290" s="916"/>
      <c r="BJ290" s="916"/>
      <c r="BK290" s="916"/>
      <c r="BL290" s="916"/>
      <c r="BM290" s="916"/>
      <c r="BN290" s="916"/>
      <c r="BO290" s="916"/>
      <c r="BP290" s="916"/>
      <c r="BQ290" s="916"/>
      <c r="BR290" s="916"/>
      <c r="BS290" s="916"/>
      <c r="BT290" s="916"/>
      <c r="BU290" s="916"/>
      <c r="BV290" s="916"/>
      <c r="BW290" s="916"/>
      <c r="BX290" s="916"/>
      <c r="BY290" s="916"/>
      <c r="BZ290" s="916"/>
      <c r="CA290" s="916"/>
      <c r="CB290" s="916"/>
      <c r="CC290" s="916"/>
      <c r="CD290" s="916"/>
      <c r="CE290" s="916"/>
      <c r="CF290" s="916"/>
      <c r="CG290" s="916"/>
      <c r="CH290" s="916"/>
      <c r="CI290" s="916"/>
      <c r="CJ290" s="916"/>
      <c r="CK290" s="810"/>
      <c r="CL290" s="810"/>
      <c r="CM290" s="810"/>
      <c r="CN290" s="810"/>
      <c r="CO290" s="810"/>
      <c r="CP290" s="810"/>
      <c r="CQ290" s="810"/>
      <c r="CR290" s="810"/>
    </row>
    <row r="291" spans="1:96">
      <c r="A291" s="810"/>
      <c r="B291" s="810"/>
      <c r="C291" s="1150" t="s">
        <v>369</v>
      </c>
      <c r="D291" s="1150"/>
      <c r="E291" s="1150"/>
      <c r="F291" s="1150"/>
      <c r="G291" s="1150"/>
      <c r="H291" s="1150"/>
      <c r="I291" s="1150"/>
      <c r="J291" s="1150"/>
      <c r="K291" s="1150"/>
      <c r="L291" s="1150"/>
      <c r="M291" s="1150"/>
      <c r="N291" s="1150"/>
      <c r="O291" s="811"/>
      <c r="P291" s="811"/>
      <c r="Q291" s="811"/>
      <c r="R291" s="811"/>
      <c r="S291" s="810"/>
      <c r="T291" s="810"/>
      <c r="U291" s="811"/>
      <c r="V291" s="811"/>
      <c r="W291" s="811"/>
      <c r="X291" s="811"/>
      <c r="Y291" s="811"/>
      <c r="Z291" s="811"/>
      <c r="AA291" s="811"/>
      <c r="AB291" s="811"/>
      <c r="AC291" s="811"/>
      <c r="AD291" s="811"/>
      <c r="AE291" s="811"/>
      <c r="AF291" s="811"/>
      <c r="AG291" s="541"/>
      <c r="AH291" s="541"/>
      <c r="AI291" s="541"/>
      <c r="AJ291" s="541"/>
      <c r="AL291" s="916"/>
      <c r="AM291" s="916"/>
      <c r="AN291" s="916"/>
      <c r="AO291" s="916"/>
      <c r="AP291" s="916"/>
      <c r="AQ291" s="916"/>
      <c r="AR291" s="917"/>
      <c r="AS291" s="917"/>
      <c r="AT291" s="917"/>
      <c r="AU291" s="917"/>
      <c r="AV291" s="917"/>
      <c r="AW291" s="917"/>
      <c r="AX291" s="917"/>
      <c r="AY291" s="917"/>
      <c r="AZ291" s="917"/>
      <c r="BA291" s="917"/>
      <c r="BB291" s="917"/>
      <c r="BC291" s="916"/>
      <c r="BD291" s="916"/>
      <c r="BE291" s="916"/>
      <c r="BF291" s="916"/>
      <c r="BG291" s="916"/>
      <c r="BH291" s="916"/>
      <c r="BI291" s="916"/>
      <c r="BJ291" s="916"/>
      <c r="BK291" s="916"/>
      <c r="BL291" s="916"/>
      <c r="BM291" s="916"/>
      <c r="BN291" s="916"/>
      <c r="BO291" s="916"/>
      <c r="BP291" s="916"/>
      <c r="BQ291" s="916"/>
      <c r="BR291" s="916"/>
      <c r="BS291" s="916"/>
      <c r="BT291" s="916"/>
      <c r="BU291" s="916"/>
      <c r="BV291" s="916"/>
      <c r="BW291" s="916"/>
      <c r="BX291" s="916"/>
      <c r="BY291" s="916"/>
      <c r="BZ291" s="916"/>
      <c r="CA291" s="916"/>
      <c r="CB291" s="916"/>
      <c r="CC291" s="916"/>
      <c r="CD291" s="916"/>
      <c r="CE291" s="916"/>
      <c r="CF291" s="916"/>
      <c r="CG291" s="916"/>
      <c r="CH291" s="916"/>
      <c r="CI291" s="916"/>
      <c r="CJ291" s="916"/>
      <c r="CK291" s="810"/>
      <c r="CL291" s="810"/>
      <c r="CM291" s="810"/>
      <c r="CN291" s="810"/>
      <c r="CO291" s="810"/>
      <c r="CP291" s="810"/>
      <c r="CQ291" s="810"/>
      <c r="CR291" s="810"/>
    </row>
    <row r="292" spans="1:96">
      <c r="A292" s="810"/>
      <c r="B292" s="810"/>
      <c r="C292" s="1150" t="s">
        <v>374</v>
      </c>
      <c r="D292" s="1150"/>
      <c r="E292" s="1150"/>
      <c r="F292" s="1150"/>
      <c r="G292" s="1150"/>
      <c r="H292" s="1150"/>
      <c r="I292" s="1150"/>
      <c r="J292" s="1150"/>
      <c r="K292" s="1150"/>
      <c r="L292" s="1150"/>
      <c r="M292" s="1150"/>
      <c r="N292" s="1150"/>
      <c r="O292" s="811"/>
      <c r="P292" s="811"/>
      <c r="Q292" s="811"/>
      <c r="R292" s="811"/>
      <c r="S292" s="810"/>
      <c r="T292" s="810"/>
      <c r="U292" s="811"/>
      <c r="V292" s="811"/>
      <c r="W292" s="811"/>
      <c r="X292" s="811"/>
      <c r="Y292" s="811"/>
      <c r="Z292" s="811"/>
      <c r="AA292" s="811"/>
      <c r="AB292" s="811"/>
      <c r="AC292" s="811"/>
      <c r="AD292" s="811"/>
      <c r="AE292" s="811"/>
      <c r="AF292" s="811"/>
      <c r="AG292" s="541"/>
      <c r="AH292" s="541"/>
      <c r="AI292" s="541"/>
      <c r="AJ292" s="541"/>
      <c r="AL292" s="916"/>
      <c r="AM292" s="916"/>
      <c r="AN292" s="916"/>
      <c r="AO292" s="916"/>
      <c r="AP292" s="916"/>
      <c r="AQ292" s="916"/>
      <c r="AR292" s="917"/>
      <c r="AS292" s="917"/>
      <c r="AT292" s="917"/>
      <c r="AU292" s="917"/>
      <c r="AV292" s="917"/>
      <c r="AW292" s="917"/>
      <c r="AX292" s="917"/>
      <c r="AY292" s="917"/>
      <c r="AZ292" s="917"/>
      <c r="BA292" s="917"/>
      <c r="BB292" s="917"/>
      <c r="BC292" s="916"/>
      <c r="BD292" s="916"/>
      <c r="BE292" s="916"/>
      <c r="BF292" s="916"/>
      <c r="BG292" s="916"/>
      <c r="BH292" s="916"/>
      <c r="BI292" s="916"/>
      <c r="BJ292" s="916"/>
      <c r="BK292" s="916"/>
      <c r="BL292" s="916"/>
      <c r="BM292" s="916"/>
      <c r="BN292" s="916"/>
      <c r="BO292" s="916"/>
      <c r="BP292" s="916"/>
      <c r="BQ292" s="916"/>
      <c r="BR292" s="916"/>
      <c r="BS292" s="916"/>
      <c r="BT292" s="916"/>
      <c r="BU292" s="916"/>
      <c r="BV292" s="916"/>
      <c r="BW292" s="916"/>
      <c r="BX292" s="916"/>
      <c r="BY292" s="916"/>
      <c r="BZ292" s="916"/>
      <c r="CA292" s="916"/>
      <c r="CB292" s="916"/>
      <c r="CC292" s="916"/>
      <c r="CD292" s="916"/>
      <c r="CE292" s="916"/>
      <c r="CF292" s="916"/>
      <c r="CG292" s="916"/>
      <c r="CH292" s="916"/>
      <c r="CI292" s="916"/>
      <c r="CJ292" s="916"/>
      <c r="CK292" s="810"/>
      <c r="CL292" s="810"/>
      <c r="CM292" s="810"/>
      <c r="CN292" s="810"/>
      <c r="CO292" s="810"/>
      <c r="CP292" s="810"/>
      <c r="CQ292" s="810"/>
      <c r="CR292" s="810"/>
    </row>
    <row r="293" spans="1:96">
      <c r="A293" s="810"/>
      <c r="B293" s="810"/>
      <c r="C293" s="1150" t="s">
        <v>180</v>
      </c>
      <c r="D293" s="1150"/>
      <c r="E293" s="1150"/>
      <c r="F293" s="1150"/>
      <c r="G293" s="1150"/>
      <c r="H293" s="1150"/>
      <c r="I293" s="1150"/>
      <c r="J293" s="1150"/>
      <c r="K293" s="1150"/>
      <c r="L293" s="1150"/>
      <c r="M293" s="1150"/>
      <c r="N293" s="1150"/>
      <c r="O293" s="811"/>
      <c r="P293" s="811"/>
      <c r="Q293" s="811"/>
      <c r="R293" s="811"/>
      <c r="S293" s="810"/>
      <c r="T293" s="810"/>
      <c r="U293" s="811"/>
      <c r="V293" s="811"/>
      <c r="W293" s="811"/>
      <c r="X293" s="811"/>
      <c r="Y293" s="811"/>
      <c r="Z293" s="811"/>
      <c r="AA293" s="811"/>
      <c r="AB293" s="811"/>
      <c r="AC293" s="811"/>
      <c r="AD293" s="811"/>
      <c r="AE293" s="811"/>
      <c r="AF293" s="811"/>
      <c r="AG293" s="541"/>
      <c r="AH293" s="541"/>
      <c r="AI293" s="541"/>
      <c r="AJ293" s="541"/>
      <c r="AL293" s="916"/>
      <c r="AM293" s="916"/>
      <c r="AN293" s="916"/>
      <c r="AO293" s="916"/>
      <c r="AP293" s="916"/>
      <c r="AQ293" s="916"/>
      <c r="AR293" s="917"/>
      <c r="AS293" s="917"/>
      <c r="AT293" s="917"/>
      <c r="AU293" s="917"/>
      <c r="AV293" s="917"/>
      <c r="AW293" s="917"/>
      <c r="AX293" s="917"/>
      <c r="AY293" s="917"/>
      <c r="AZ293" s="917"/>
      <c r="BA293" s="917"/>
      <c r="BB293" s="917"/>
      <c r="BC293" s="916"/>
      <c r="BD293" s="916"/>
      <c r="BE293" s="916"/>
      <c r="BF293" s="916"/>
      <c r="BG293" s="916"/>
      <c r="BH293" s="916"/>
      <c r="BI293" s="916"/>
      <c r="BJ293" s="916"/>
      <c r="BK293" s="916"/>
      <c r="BL293" s="916"/>
      <c r="BM293" s="916"/>
      <c r="BN293" s="916"/>
      <c r="BO293" s="916"/>
      <c r="BP293" s="916"/>
      <c r="BQ293" s="916"/>
      <c r="BR293" s="916"/>
      <c r="BS293" s="916"/>
      <c r="BT293" s="916"/>
      <c r="BU293" s="916"/>
      <c r="BV293" s="916"/>
      <c r="BW293" s="916"/>
      <c r="BX293" s="916"/>
      <c r="BY293" s="916"/>
      <c r="BZ293" s="916"/>
      <c r="CA293" s="916"/>
      <c r="CB293" s="916"/>
      <c r="CC293" s="916"/>
      <c r="CD293" s="916"/>
      <c r="CE293" s="916"/>
      <c r="CF293" s="916"/>
      <c r="CG293" s="916"/>
      <c r="CH293" s="916"/>
      <c r="CI293" s="916"/>
      <c r="CJ293" s="916"/>
      <c r="CK293" s="810"/>
      <c r="CL293" s="810"/>
      <c r="CM293" s="810"/>
      <c r="CN293" s="810"/>
      <c r="CO293" s="810"/>
      <c r="CP293" s="810"/>
      <c r="CQ293" s="810"/>
      <c r="CR293" s="810"/>
    </row>
    <row r="294" spans="1:96">
      <c r="C294" s="1150" t="s">
        <v>370</v>
      </c>
      <c r="D294" s="1150"/>
      <c r="E294" s="1150"/>
      <c r="F294" s="1150"/>
      <c r="G294" s="1150"/>
      <c r="H294" s="1150"/>
      <c r="I294" s="1150"/>
      <c r="J294" s="1150"/>
      <c r="K294" s="1150"/>
      <c r="L294" s="1150"/>
      <c r="M294" s="1150"/>
      <c r="N294" s="1150"/>
      <c r="O294" s="785"/>
      <c r="P294" s="785"/>
      <c r="Q294" s="785"/>
      <c r="R294" s="785"/>
      <c r="Z294" s="541"/>
      <c r="AA294" s="541"/>
      <c r="AB294" s="785"/>
      <c r="AC294" s="785"/>
      <c r="AD294" s="785"/>
      <c r="AE294" s="785"/>
      <c r="AF294" s="785"/>
      <c r="AG294" s="541"/>
      <c r="AH294" s="541"/>
      <c r="AI294" s="541"/>
      <c r="AJ294" s="541"/>
      <c r="AL294" s="916"/>
      <c r="AM294" s="916"/>
      <c r="AN294" s="916"/>
      <c r="AO294" s="916"/>
      <c r="AP294" s="916"/>
      <c r="AQ294" s="916"/>
      <c r="AR294" s="917"/>
      <c r="AS294" s="917"/>
      <c r="AT294" s="917"/>
      <c r="AU294" s="917"/>
      <c r="AV294" s="917"/>
      <c r="AW294" s="917"/>
      <c r="AX294" s="917"/>
      <c r="AY294" s="917"/>
      <c r="AZ294" s="917"/>
      <c r="BA294" s="917"/>
      <c r="BB294" s="917"/>
      <c r="BC294" s="916"/>
      <c r="BD294" s="916"/>
      <c r="BE294" s="916"/>
      <c r="BF294" s="916"/>
      <c r="BG294" s="916"/>
      <c r="BH294" s="916"/>
      <c r="BI294" s="916"/>
      <c r="BJ294" s="916"/>
      <c r="BK294" s="916"/>
      <c r="BL294" s="916"/>
      <c r="BM294" s="916"/>
      <c r="BN294" s="916"/>
      <c r="BO294" s="916"/>
      <c r="BP294" s="916"/>
      <c r="BQ294" s="916"/>
      <c r="BR294" s="916"/>
      <c r="BS294" s="916"/>
      <c r="BT294" s="916"/>
      <c r="BU294" s="916"/>
      <c r="BV294" s="916"/>
      <c r="BW294" s="916"/>
      <c r="BX294" s="916"/>
      <c r="BY294" s="916"/>
      <c r="BZ294" s="916"/>
      <c r="CA294" s="916"/>
      <c r="CB294" s="916"/>
      <c r="CC294" s="916"/>
      <c r="CD294" s="916"/>
      <c r="CE294" s="916"/>
      <c r="CF294" s="916"/>
      <c r="CG294" s="916"/>
      <c r="CH294" s="916"/>
      <c r="CI294" s="916"/>
      <c r="CJ294" s="916"/>
    </row>
    <row r="295" spans="1:96">
      <c r="C295" s="1150" t="s">
        <v>371</v>
      </c>
      <c r="D295" s="1150"/>
      <c r="E295" s="1150"/>
      <c r="F295" s="1150"/>
      <c r="G295" s="1150"/>
      <c r="H295" s="1150"/>
      <c r="I295" s="1150"/>
      <c r="J295" s="1150"/>
      <c r="K295" s="1150"/>
      <c r="L295" s="1150"/>
      <c r="M295" s="1150"/>
      <c r="N295" s="1150"/>
      <c r="O295" s="785"/>
      <c r="P295" s="785"/>
      <c r="Q295" s="785"/>
      <c r="R295" s="785"/>
      <c r="Z295" s="541"/>
      <c r="AA295" s="541"/>
      <c r="AB295" s="785"/>
      <c r="AC295" s="785"/>
      <c r="AD295" s="785"/>
      <c r="AE295" s="785"/>
      <c r="AF295" s="785"/>
      <c r="AG295" s="541"/>
      <c r="AH295" s="541"/>
      <c r="AI295" s="541"/>
      <c r="AJ295" s="541"/>
      <c r="AL295" s="916"/>
      <c r="AM295" s="916"/>
      <c r="AN295" s="916"/>
      <c r="AO295" s="916"/>
      <c r="AP295" s="916"/>
      <c r="AQ295" s="916"/>
      <c r="AR295" s="917"/>
      <c r="AS295" s="917"/>
      <c r="AT295" s="917"/>
      <c r="AU295" s="917"/>
      <c r="AV295" s="917"/>
      <c r="AW295" s="917"/>
      <c r="AX295" s="917"/>
      <c r="AY295" s="917"/>
      <c r="AZ295" s="917"/>
      <c r="BA295" s="917"/>
      <c r="BB295" s="917"/>
      <c r="BC295" s="916"/>
      <c r="BD295" s="916"/>
      <c r="BE295" s="916"/>
      <c r="BF295" s="916"/>
      <c r="BG295" s="916"/>
      <c r="BH295" s="916"/>
      <c r="BI295" s="916"/>
      <c r="BJ295" s="916"/>
      <c r="BK295" s="916"/>
      <c r="BL295" s="916"/>
      <c r="BM295" s="916"/>
      <c r="BN295" s="916"/>
      <c r="BO295" s="916"/>
      <c r="BP295" s="916"/>
      <c r="BQ295" s="916"/>
      <c r="BR295" s="916"/>
      <c r="BS295" s="916"/>
      <c r="BT295" s="916"/>
      <c r="BU295" s="916"/>
      <c r="BV295" s="916"/>
      <c r="BW295" s="916"/>
      <c r="BX295" s="916"/>
      <c r="BY295" s="916"/>
      <c r="BZ295" s="916"/>
      <c r="CA295" s="916"/>
      <c r="CB295" s="916"/>
      <c r="CC295" s="916"/>
      <c r="CD295" s="916"/>
      <c r="CE295" s="916"/>
      <c r="CF295" s="916"/>
      <c r="CG295" s="916"/>
      <c r="CH295" s="916"/>
      <c r="CI295" s="916"/>
      <c r="CJ295" s="916"/>
    </row>
    <row r="296" spans="1:96" ht="27" customHeight="1">
      <c r="C296" s="1150" t="s">
        <v>372</v>
      </c>
      <c r="D296" s="1150"/>
      <c r="E296" s="1150"/>
      <c r="F296" s="1150"/>
      <c r="G296" s="1150"/>
      <c r="H296" s="1150"/>
      <c r="I296" s="1150"/>
      <c r="J296" s="1150"/>
      <c r="K296" s="1150"/>
      <c r="L296" s="1150"/>
      <c r="M296" s="1150"/>
      <c r="N296" s="1150"/>
      <c r="O296" s="785"/>
      <c r="P296" s="785"/>
      <c r="Q296" s="785"/>
      <c r="R296" s="785"/>
      <c r="Z296" s="541"/>
      <c r="AA296" s="541"/>
      <c r="AB296" s="785"/>
      <c r="AC296" s="785"/>
      <c r="AD296" s="785"/>
      <c r="AE296" s="785"/>
      <c r="AF296" s="785"/>
      <c r="AG296" s="541"/>
      <c r="AH296" s="541"/>
      <c r="AI296" s="541"/>
      <c r="AJ296" s="541"/>
      <c r="AL296" s="916"/>
      <c r="AM296" s="916"/>
      <c r="AN296" s="916"/>
      <c r="AO296" s="916"/>
      <c r="AP296" s="916"/>
      <c r="AQ296" s="916"/>
      <c r="AR296" s="917"/>
      <c r="AS296" s="917"/>
      <c r="AT296" s="917"/>
      <c r="AU296" s="917"/>
      <c r="AV296" s="917"/>
      <c r="AW296" s="917"/>
      <c r="AX296" s="917"/>
      <c r="AY296" s="917"/>
      <c r="AZ296" s="917"/>
      <c r="BA296" s="917"/>
      <c r="BB296" s="917"/>
      <c r="BC296" s="916"/>
      <c r="BD296" s="916"/>
      <c r="BE296" s="916"/>
      <c r="BF296" s="916"/>
      <c r="BG296" s="916"/>
      <c r="BH296" s="916"/>
      <c r="BI296" s="916"/>
      <c r="BJ296" s="916"/>
      <c r="BK296" s="916"/>
      <c r="BL296" s="916"/>
      <c r="BM296" s="916"/>
      <c r="BN296" s="916"/>
      <c r="BO296" s="916"/>
      <c r="BP296" s="916"/>
      <c r="BQ296" s="916"/>
      <c r="BR296" s="916"/>
      <c r="BS296" s="916"/>
      <c r="BT296" s="916"/>
      <c r="BU296" s="916"/>
      <c r="BV296" s="916"/>
      <c r="BW296" s="916"/>
      <c r="BX296" s="916"/>
      <c r="BY296" s="916"/>
      <c r="BZ296" s="916"/>
      <c r="CA296" s="916"/>
      <c r="CB296" s="916"/>
      <c r="CC296" s="916"/>
      <c r="CD296" s="916"/>
      <c r="CE296" s="916"/>
      <c r="CF296" s="916"/>
      <c r="CG296" s="916"/>
      <c r="CH296" s="916"/>
      <c r="CI296" s="916"/>
      <c r="CJ296" s="916"/>
    </row>
    <row r="297" spans="1:96">
      <c r="C297" s="1150"/>
      <c r="D297" s="1150"/>
      <c r="E297" s="1150"/>
      <c r="F297" s="1150"/>
      <c r="G297" s="1150"/>
      <c r="H297" s="1150"/>
      <c r="I297" s="1150"/>
      <c r="J297" s="1150"/>
      <c r="K297" s="1150"/>
      <c r="L297" s="1150"/>
      <c r="M297" s="1150"/>
      <c r="N297" s="1150"/>
      <c r="O297" s="785"/>
      <c r="P297" s="785"/>
      <c r="Q297" s="785"/>
      <c r="R297" s="785"/>
      <c r="U297" s="785"/>
      <c r="V297" s="785"/>
      <c r="W297" s="785"/>
      <c r="X297" s="785"/>
      <c r="Y297" s="785"/>
      <c r="Z297" s="785"/>
      <c r="AA297" s="785"/>
      <c r="AB297" s="785"/>
      <c r="AC297" s="785"/>
      <c r="AD297" s="785"/>
      <c r="AE297" s="785"/>
      <c r="AF297" s="785"/>
      <c r="AG297" s="541"/>
      <c r="AH297" s="541"/>
      <c r="AI297" s="541"/>
      <c r="AJ297" s="541"/>
      <c r="AL297" s="916"/>
      <c r="AM297" s="916"/>
      <c r="AN297" s="916"/>
      <c r="AO297" s="916"/>
      <c r="AP297" s="916"/>
      <c r="AQ297" s="916"/>
      <c r="AR297" s="917"/>
      <c r="AS297" s="917"/>
      <c r="AT297" s="917"/>
      <c r="AU297" s="917"/>
      <c r="AV297" s="917"/>
      <c r="AW297" s="917"/>
      <c r="AX297" s="917"/>
      <c r="AY297" s="917"/>
      <c r="AZ297" s="917"/>
      <c r="BA297" s="917"/>
      <c r="BB297" s="917"/>
      <c r="BC297" s="916"/>
      <c r="BD297" s="916"/>
      <c r="BE297" s="916"/>
      <c r="BF297" s="916"/>
      <c r="BG297" s="916"/>
      <c r="BH297" s="916"/>
      <c r="BI297" s="916"/>
      <c r="BJ297" s="916"/>
      <c r="BK297" s="916"/>
      <c r="BL297" s="916"/>
      <c r="BM297" s="916"/>
      <c r="BN297" s="916"/>
      <c r="BO297" s="916"/>
      <c r="BP297" s="916"/>
      <c r="BQ297" s="916"/>
      <c r="BR297" s="916"/>
      <c r="BS297" s="916"/>
      <c r="BT297" s="916"/>
      <c r="BU297" s="916"/>
      <c r="BV297" s="916"/>
      <c r="BW297" s="916"/>
      <c r="BX297" s="916"/>
      <c r="BY297" s="916"/>
      <c r="BZ297" s="916"/>
      <c r="CA297" s="916"/>
      <c r="CB297" s="916"/>
      <c r="CC297" s="916"/>
      <c r="CD297" s="916"/>
      <c r="CE297" s="916"/>
      <c r="CF297" s="916"/>
      <c r="CG297" s="916"/>
      <c r="CH297" s="916"/>
      <c r="CI297" s="916"/>
      <c r="CJ297" s="916"/>
    </row>
    <row r="298" spans="1:96">
      <c r="C298" s="1034" t="str">
        <f>Captura!C370</f>
        <v>Versión. 3.11 (8 mayo 2017)</v>
      </c>
      <c r="D298" s="1033"/>
      <c r="E298" s="1033"/>
      <c r="F298" s="1033"/>
      <c r="G298" s="1033"/>
      <c r="H298" s="1033"/>
      <c r="I298" s="1033"/>
      <c r="J298" s="1033"/>
      <c r="K298" s="1033"/>
      <c r="L298" s="1033"/>
      <c r="M298" s="1033"/>
      <c r="N298" s="1033"/>
      <c r="O298" s="785"/>
      <c r="P298" s="785"/>
      <c r="Q298" s="785"/>
      <c r="R298" s="785"/>
      <c r="U298" s="785"/>
      <c r="V298" s="785"/>
      <c r="W298" s="785"/>
      <c r="X298" s="785"/>
      <c r="Y298" s="785"/>
      <c r="Z298" s="785"/>
      <c r="AA298" s="785"/>
      <c r="AB298" s="785"/>
      <c r="AC298" s="785"/>
      <c r="AD298" s="785"/>
      <c r="AE298" s="785"/>
      <c r="AF298" s="785"/>
      <c r="AG298" s="541"/>
      <c r="AH298" s="541"/>
      <c r="AI298" s="541"/>
      <c r="AJ298" s="541"/>
      <c r="AL298" s="916"/>
      <c r="AM298" s="916"/>
      <c r="AN298" s="916"/>
      <c r="AO298" s="916"/>
      <c r="AP298" s="916"/>
      <c r="AQ298" s="916"/>
      <c r="AR298" s="917"/>
      <c r="AS298" s="917"/>
      <c r="AT298" s="917"/>
      <c r="AU298" s="917"/>
      <c r="AV298" s="917"/>
      <c r="AW298" s="917"/>
      <c r="AX298" s="917"/>
      <c r="AY298" s="917"/>
      <c r="AZ298" s="917"/>
      <c r="BA298" s="917"/>
      <c r="BB298" s="917"/>
      <c r="BC298" s="916"/>
      <c r="BD298" s="916"/>
      <c r="BE298" s="916"/>
      <c r="BF298" s="916"/>
      <c r="BG298" s="916"/>
      <c r="BH298" s="916"/>
      <c r="BI298" s="916"/>
      <c r="BJ298" s="916"/>
      <c r="BK298" s="916"/>
      <c r="BL298" s="916"/>
      <c r="BM298" s="916"/>
      <c r="BN298" s="916"/>
      <c r="BO298" s="916"/>
      <c r="BP298" s="916"/>
      <c r="BQ298" s="916"/>
      <c r="BR298" s="916"/>
      <c r="BS298" s="916"/>
      <c r="BT298" s="916"/>
      <c r="BU298" s="916"/>
      <c r="BV298" s="916"/>
      <c r="BW298" s="916"/>
      <c r="BX298" s="916"/>
      <c r="BY298" s="916"/>
      <c r="BZ298" s="916"/>
      <c r="CA298" s="916"/>
      <c r="CB298" s="916"/>
      <c r="CC298" s="916"/>
      <c r="CD298" s="916"/>
      <c r="CE298" s="916"/>
      <c r="CF298" s="916"/>
      <c r="CG298" s="916"/>
      <c r="CH298" s="916"/>
      <c r="CI298" s="916"/>
      <c r="CJ298" s="916"/>
    </row>
    <row r="299" spans="1:96">
      <c r="C299" s="1033"/>
      <c r="D299" s="1033"/>
      <c r="E299" s="1033"/>
      <c r="F299" s="1033"/>
      <c r="G299" s="1033"/>
      <c r="H299" s="1033"/>
      <c r="I299" s="1033"/>
      <c r="J299" s="1033"/>
      <c r="K299" s="1033"/>
      <c r="L299" s="1033"/>
      <c r="M299" s="1033"/>
      <c r="N299" s="1033"/>
      <c r="O299" s="785"/>
      <c r="P299" s="785"/>
      <c r="Q299" s="785"/>
      <c r="R299" s="785"/>
      <c r="U299" s="785"/>
      <c r="V299" s="785"/>
      <c r="W299" s="785"/>
      <c r="X299" s="785"/>
      <c r="Y299" s="785"/>
      <c r="Z299" s="785"/>
      <c r="AA299" s="785"/>
      <c r="AB299" s="785"/>
      <c r="AC299" s="785"/>
      <c r="AD299" s="785"/>
      <c r="AE299" s="785"/>
      <c r="AF299" s="785"/>
      <c r="AG299" s="541"/>
      <c r="AH299" s="541"/>
      <c r="AI299" s="541"/>
      <c r="AJ299" s="541"/>
      <c r="AL299" s="916"/>
      <c r="AM299" s="916"/>
      <c r="AN299" s="916"/>
      <c r="AO299" s="916"/>
      <c r="AP299" s="916"/>
      <c r="AQ299" s="916"/>
      <c r="AR299" s="917"/>
      <c r="AS299" s="917"/>
      <c r="AT299" s="917"/>
      <c r="AU299" s="917"/>
      <c r="AV299" s="917"/>
      <c r="AW299" s="917"/>
      <c r="AX299" s="917"/>
      <c r="AY299" s="917"/>
      <c r="AZ299" s="917"/>
      <c r="BA299" s="917"/>
      <c r="BB299" s="917"/>
      <c r="BC299" s="916"/>
      <c r="BD299" s="916"/>
      <c r="BE299" s="916"/>
      <c r="BF299" s="916"/>
      <c r="BG299" s="916"/>
      <c r="BH299" s="916"/>
      <c r="BI299" s="916"/>
      <c r="BJ299" s="916"/>
      <c r="BK299" s="916"/>
      <c r="BL299" s="916"/>
      <c r="BM299" s="916"/>
      <c r="BN299" s="916"/>
      <c r="BO299" s="916"/>
      <c r="BP299" s="916"/>
      <c r="BQ299" s="916"/>
      <c r="BR299" s="916"/>
      <c r="BS299" s="916"/>
      <c r="BT299" s="916"/>
      <c r="BU299" s="916"/>
      <c r="BV299" s="916"/>
      <c r="BW299" s="916"/>
      <c r="BX299" s="916"/>
      <c r="BY299" s="916"/>
      <c r="BZ299" s="916"/>
      <c r="CA299" s="916"/>
      <c r="CB299" s="916"/>
      <c r="CC299" s="916"/>
      <c r="CD299" s="916"/>
      <c r="CE299" s="916"/>
      <c r="CF299" s="916"/>
      <c r="CG299" s="916"/>
      <c r="CH299" s="916"/>
      <c r="CI299" s="916"/>
      <c r="CJ299" s="916"/>
    </row>
    <row r="300" spans="1:96">
      <c r="C300" s="1033"/>
      <c r="D300" s="1033"/>
      <c r="E300" s="1033"/>
      <c r="F300" s="1033"/>
      <c r="G300" s="1033"/>
      <c r="H300" s="1033"/>
      <c r="I300" s="1033"/>
      <c r="J300" s="1033"/>
      <c r="K300" s="1033"/>
      <c r="L300" s="1033"/>
      <c r="M300" s="1033"/>
      <c r="N300" s="1033"/>
      <c r="O300" s="785"/>
      <c r="P300" s="785"/>
      <c r="Q300" s="785"/>
      <c r="R300" s="785"/>
      <c r="S300" s="1148"/>
      <c r="T300" s="1148"/>
      <c r="U300" s="1148"/>
      <c r="V300" s="1148"/>
      <c r="W300" s="1148"/>
      <c r="X300" s="1148"/>
      <c r="Y300" s="1148"/>
      <c r="Z300" s="1148"/>
      <c r="AA300" s="1148"/>
      <c r="AB300" s="785"/>
      <c r="AC300" s="785"/>
      <c r="AD300" s="785"/>
      <c r="AE300" s="785"/>
      <c r="AF300" s="785"/>
      <c r="AG300" s="541"/>
      <c r="AH300" s="541"/>
      <c r="AI300" s="541"/>
      <c r="AJ300" s="541"/>
      <c r="AL300" s="916"/>
      <c r="AM300" s="916"/>
      <c r="AN300" s="916"/>
      <c r="AO300" s="916"/>
      <c r="AP300" s="916"/>
      <c r="AQ300" s="916"/>
      <c r="AR300" s="917"/>
      <c r="AS300" s="917"/>
      <c r="AT300" s="917"/>
      <c r="AU300" s="917"/>
      <c r="AV300" s="917"/>
      <c r="AW300" s="917"/>
      <c r="AX300" s="917"/>
      <c r="AY300" s="917"/>
      <c r="AZ300" s="917"/>
      <c r="BA300" s="917"/>
      <c r="BB300" s="917"/>
      <c r="BC300" s="916"/>
      <c r="BD300" s="916"/>
      <c r="BE300" s="916"/>
      <c r="BF300" s="916"/>
      <c r="BG300" s="916"/>
      <c r="BH300" s="916"/>
      <c r="BI300" s="916"/>
      <c r="BJ300" s="916"/>
      <c r="BK300" s="916"/>
      <c r="BL300" s="916"/>
      <c r="BM300" s="916"/>
      <c r="BN300" s="916"/>
      <c r="BO300" s="916"/>
      <c r="BP300" s="916"/>
      <c r="BQ300" s="916"/>
      <c r="BR300" s="916"/>
      <c r="BS300" s="916"/>
      <c r="BT300" s="916"/>
      <c r="BU300" s="916"/>
      <c r="BV300" s="916"/>
      <c r="BW300" s="916"/>
      <c r="BX300" s="916"/>
      <c r="BY300" s="916"/>
      <c r="BZ300" s="916"/>
      <c r="CA300" s="916"/>
      <c r="CB300" s="916"/>
      <c r="CC300" s="916"/>
      <c r="CD300" s="916"/>
      <c r="CE300" s="916"/>
      <c r="CF300" s="916"/>
      <c r="CG300" s="916"/>
      <c r="CH300" s="916"/>
      <c r="CI300" s="916"/>
      <c r="CJ300" s="916"/>
    </row>
    <row r="301" spans="1:96">
      <c r="C301" s="1033"/>
      <c r="D301" s="1033"/>
      <c r="E301" s="1033"/>
      <c r="F301" s="1033"/>
      <c r="G301" s="1033"/>
      <c r="H301" s="1033"/>
      <c r="I301" s="1033"/>
      <c r="J301" s="1033"/>
      <c r="K301" s="1033"/>
      <c r="L301" s="1033"/>
      <c r="M301" s="1033"/>
      <c r="N301" s="1033"/>
      <c r="O301" s="785"/>
      <c r="P301" s="785"/>
      <c r="Q301" s="785"/>
      <c r="R301" s="785"/>
      <c r="S301" s="1149"/>
      <c r="T301" s="1149"/>
      <c r="U301" s="1149"/>
      <c r="V301" s="1149"/>
      <c r="W301" s="1149"/>
      <c r="X301" s="1149"/>
      <c r="Y301" s="1149"/>
      <c r="Z301" s="1149"/>
      <c r="AA301" s="1149"/>
      <c r="AB301" s="785"/>
      <c r="AC301" s="785"/>
      <c r="AD301" s="785"/>
      <c r="AE301" s="785"/>
      <c r="AF301" s="785"/>
      <c r="AG301" s="541"/>
      <c r="AH301" s="541"/>
      <c r="AI301" s="541"/>
      <c r="AJ301" s="541"/>
      <c r="AL301" s="916"/>
      <c r="AM301" s="916"/>
      <c r="AN301" s="916"/>
      <c r="AO301" s="916"/>
      <c r="AP301" s="916"/>
      <c r="AQ301" s="916"/>
      <c r="AR301" s="917"/>
      <c r="AS301" s="917"/>
      <c r="AT301" s="917"/>
      <c r="AU301" s="917"/>
      <c r="AV301" s="917"/>
      <c r="AW301" s="917"/>
      <c r="AX301" s="917"/>
      <c r="AY301" s="917"/>
      <c r="AZ301" s="917"/>
      <c r="BA301" s="917"/>
      <c r="BB301" s="917"/>
      <c r="BC301" s="916"/>
      <c r="BD301" s="916"/>
      <c r="BE301" s="916"/>
      <c r="BF301" s="916"/>
      <c r="BG301" s="916"/>
      <c r="BH301" s="916"/>
      <c r="BI301" s="916"/>
      <c r="BJ301" s="916"/>
      <c r="BK301" s="916"/>
      <c r="BL301" s="916"/>
      <c r="BM301" s="916"/>
      <c r="BN301" s="916"/>
      <c r="BO301" s="916"/>
      <c r="BP301" s="916"/>
      <c r="BQ301" s="916"/>
      <c r="BR301" s="916"/>
      <c r="BS301" s="916"/>
      <c r="BT301" s="916"/>
      <c r="BU301" s="916"/>
      <c r="BV301" s="916"/>
      <c r="BW301" s="916"/>
      <c r="BX301" s="916"/>
      <c r="BY301" s="916"/>
      <c r="BZ301" s="916"/>
      <c r="CA301" s="916"/>
      <c r="CB301" s="916"/>
      <c r="CC301" s="916"/>
      <c r="CD301" s="916"/>
      <c r="CE301" s="916"/>
      <c r="CF301" s="916"/>
      <c r="CG301" s="916"/>
      <c r="CH301" s="916"/>
      <c r="CI301" s="916"/>
      <c r="CJ301" s="916"/>
    </row>
    <row r="302" spans="1:96">
      <c r="C302" s="1033"/>
      <c r="D302" s="1033"/>
      <c r="E302" s="1033"/>
      <c r="F302" s="1033"/>
      <c r="G302" s="1033"/>
      <c r="H302" s="1033"/>
      <c r="I302" s="1033"/>
      <c r="J302" s="1033"/>
      <c r="K302" s="1033"/>
      <c r="L302" s="1033"/>
      <c r="M302" s="1033"/>
      <c r="N302" s="1033"/>
      <c r="O302" s="785"/>
      <c r="P302" s="785"/>
      <c r="Q302" s="785"/>
      <c r="R302" s="785"/>
      <c r="U302" s="785"/>
      <c r="V302" s="785"/>
      <c r="W302" s="785"/>
      <c r="X302" s="785"/>
      <c r="Y302" s="785"/>
      <c r="Z302" s="785"/>
      <c r="AA302" s="785"/>
      <c r="AB302" s="785"/>
      <c r="AC302" s="785"/>
      <c r="AD302" s="785"/>
      <c r="AE302" s="785"/>
      <c r="AF302" s="785"/>
      <c r="AG302" s="541"/>
      <c r="AH302" s="541"/>
      <c r="AI302" s="541"/>
      <c r="AJ302" s="541"/>
      <c r="AL302" s="916"/>
      <c r="AM302" s="916"/>
      <c r="AN302" s="916"/>
      <c r="AO302" s="916"/>
      <c r="AP302" s="916"/>
      <c r="AQ302" s="916"/>
      <c r="AR302" s="917"/>
      <c r="AS302" s="917"/>
      <c r="AT302" s="917"/>
      <c r="AU302" s="917"/>
      <c r="AV302" s="917"/>
      <c r="AW302" s="917"/>
      <c r="AX302" s="917"/>
      <c r="AY302" s="917"/>
      <c r="AZ302" s="917"/>
      <c r="BA302" s="917"/>
      <c r="BB302" s="917"/>
      <c r="BC302" s="916"/>
      <c r="BD302" s="916"/>
      <c r="BE302" s="916"/>
      <c r="BF302" s="916"/>
      <c r="BG302" s="916"/>
      <c r="BH302" s="916"/>
      <c r="BI302" s="916"/>
      <c r="BJ302" s="916"/>
      <c r="BK302" s="916"/>
      <c r="BL302" s="916"/>
      <c r="BM302" s="916"/>
      <c r="BN302" s="916"/>
      <c r="BO302" s="916"/>
      <c r="BP302" s="916"/>
      <c r="BQ302" s="916"/>
      <c r="BR302" s="916"/>
      <c r="BS302" s="916"/>
      <c r="BT302" s="916"/>
      <c r="BU302" s="916"/>
      <c r="BV302" s="916"/>
      <c r="BW302" s="916"/>
      <c r="BX302" s="916"/>
      <c r="BY302" s="916"/>
      <c r="BZ302" s="916"/>
      <c r="CA302" s="916"/>
      <c r="CB302" s="916"/>
      <c r="CC302" s="916"/>
      <c r="CD302" s="916"/>
      <c r="CE302" s="916"/>
      <c r="CF302" s="916"/>
      <c r="CG302" s="916"/>
      <c r="CH302" s="916"/>
      <c r="CI302" s="916"/>
      <c r="CJ302" s="916"/>
    </row>
    <row r="303" spans="1:96">
      <c r="C303" s="151"/>
      <c r="D303" s="151"/>
      <c r="F303" s="734"/>
      <c r="G303" s="734"/>
      <c r="H303" s="734"/>
      <c r="I303" s="735"/>
      <c r="J303" s="734"/>
      <c r="K303" s="734"/>
      <c r="L303" s="734"/>
      <c r="M303" s="118"/>
      <c r="N303" s="734"/>
      <c r="O303" s="785"/>
      <c r="P303" s="785"/>
      <c r="Q303" s="785"/>
      <c r="R303" s="785"/>
      <c r="U303" s="785"/>
      <c r="V303" s="785"/>
      <c r="W303" s="785"/>
      <c r="X303" s="785"/>
      <c r="Y303" s="785"/>
      <c r="Z303" s="785"/>
      <c r="AA303" s="785"/>
      <c r="AB303" s="785"/>
      <c r="AC303" s="785"/>
      <c r="AD303" s="785"/>
      <c r="AE303" s="785"/>
      <c r="AF303" s="785"/>
      <c r="AG303" s="800"/>
      <c r="AH303" s="800"/>
      <c r="AI303" s="800"/>
      <c r="AJ303" s="800"/>
      <c r="AK303" s="750"/>
      <c r="AR303" s="53"/>
      <c r="AS303" s="53"/>
      <c r="BC303" s="562"/>
      <c r="BD303" s="562"/>
    </row>
    <row r="304" spans="1:96">
      <c r="C304" s="151"/>
      <c r="D304" s="151"/>
      <c r="F304" s="734"/>
      <c r="G304" s="734"/>
      <c r="H304" s="734"/>
      <c r="I304" s="735"/>
      <c r="J304" s="734"/>
      <c r="K304" s="734"/>
      <c r="L304" s="734"/>
      <c r="M304" s="118"/>
      <c r="N304" s="734"/>
      <c r="O304" s="785"/>
      <c r="P304" s="785"/>
      <c r="Q304" s="785"/>
      <c r="R304" s="785"/>
      <c r="U304" s="785"/>
      <c r="V304" s="785"/>
      <c r="W304" s="785"/>
      <c r="X304" s="785"/>
      <c r="Y304" s="785"/>
      <c r="Z304" s="785"/>
      <c r="AA304" s="785"/>
      <c r="AB304" s="785"/>
      <c r="AC304" s="785"/>
      <c r="AD304" s="785"/>
      <c r="AE304" s="785"/>
      <c r="AF304" s="785"/>
      <c r="AG304" s="800"/>
      <c r="AH304" s="800"/>
      <c r="AI304" s="800"/>
      <c r="AJ304" s="800"/>
      <c r="AK304" s="750"/>
      <c r="AR304" s="53"/>
      <c r="AS304" s="53"/>
      <c r="BC304" s="562"/>
      <c r="BD304" s="562"/>
    </row>
    <row r="305" spans="3:56">
      <c r="C305" s="151"/>
      <c r="D305" s="151"/>
      <c r="F305" s="734"/>
      <c r="G305" s="734"/>
      <c r="H305" s="734"/>
      <c r="I305" s="735"/>
      <c r="J305" s="734"/>
      <c r="K305" s="734"/>
      <c r="L305" s="734"/>
      <c r="M305" s="118"/>
      <c r="N305" s="734"/>
      <c r="O305" s="785"/>
      <c r="P305" s="785"/>
      <c r="Q305" s="785"/>
      <c r="R305" s="785"/>
      <c r="U305" s="785"/>
      <c r="V305" s="785"/>
      <c r="W305" s="785"/>
      <c r="X305" s="785"/>
      <c r="Y305" s="785"/>
      <c r="Z305" s="785"/>
      <c r="AA305" s="785"/>
      <c r="AB305" s="785"/>
      <c r="AC305" s="785"/>
      <c r="AD305" s="785"/>
      <c r="AE305" s="785"/>
      <c r="AF305" s="785"/>
      <c r="AG305" s="800"/>
      <c r="AH305" s="800"/>
      <c r="AI305" s="800"/>
      <c r="AJ305" s="800"/>
      <c r="AK305" s="750"/>
      <c r="AR305" s="53"/>
      <c r="AS305" s="53"/>
      <c r="BC305" s="562"/>
      <c r="BD305" s="562"/>
    </row>
    <row r="306" spans="3:56">
      <c r="C306" s="151"/>
      <c r="D306" s="151"/>
      <c r="F306" s="734"/>
      <c r="G306" s="734"/>
      <c r="H306" s="734"/>
      <c r="I306" s="735"/>
      <c r="J306" s="734"/>
      <c r="K306" s="734"/>
      <c r="L306" s="734"/>
      <c r="M306" s="118"/>
      <c r="N306" s="734"/>
      <c r="O306" s="785"/>
      <c r="P306" s="785"/>
      <c r="Q306" s="785"/>
      <c r="R306" s="785"/>
      <c r="U306" s="785"/>
      <c r="V306" s="785"/>
      <c r="W306" s="785"/>
      <c r="X306" s="785"/>
      <c r="Y306" s="785"/>
      <c r="Z306" s="785"/>
      <c r="AA306" s="785"/>
      <c r="AB306" s="785"/>
      <c r="AC306" s="785"/>
      <c r="AD306" s="785"/>
      <c r="AE306" s="785"/>
      <c r="AF306" s="785"/>
      <c r="AG306" s="800"/>
      <c r="AH306" s="800"/>
      <c r="AI306" s="800"/>
      <c r="AJ306" s="800"/>
      <c r="AK306" s="750"/>
      <c r="AR306" s="53"/>
      <c r="AS306" s="53"/>
      <c r="BC306" s="562"/>
      <c r="BD306" s="562"/>
    </row>
    <row r="307" spans="3:56">
      <c r="C307" s="151"/>
      <c r="D307" s="151"/>
      <c r="F307" s="734"/>
      <c r="G307" s="734"/>
      <c r="H307" s="734"/>
      <c r="I307" s="735"/>
      <c r="J307" s="734"/>
      <c r="K307" s="734"/>
      <c r="L307" s="734"/>
      <c r="M307" s="118"/>
      <c r="N307" s="734"/>
      <c r="O307" s="785"/>
      <c r="P307" s="785"/>
      <c r="Q307" s="785"/>
      <c r="R307" s="785"/>
      <c r="U307" s="785"/>
      <c r="V307" s="785"/>
      <c r="W307" s="785"/>
      <c r="X307" s="785"/>
      <c r="Y307" s="785"/>
      <c r="Z307" s="785"/>
      <c r="AA307" s="785"/>
      <c r="AB307" s="785"/>
      <c r="AC307" s="785"/>
      <c r="AD307" s="785"/>
      <c r="AE307" s="785"/>
      <c r="AF307" s="785"/>
      <c r="AG307" s="801"/>
      <c r="AH307" s="541"/>
      <c r="AI307" s="541"/>
      <c r="AJ307" s="541"/>
      <c r="AK307" s="541"/>
      <c r="AL307" s="541"/>
    </row>
    <row r="308" spans="3:56">
      <c r="C308" s="151"/>
      <c r="D308" s="151"/>
      <c r="F308" s="734"/>
      <c r="G308" s="734"/>
      <c r="H308" s="734"/>
      <c r="I308" s="735"/>
      <c r="J308" s="734"/>
      <c r="K308" s="734"/>
      <c r="L308" s="734"/>
      <c r="M308" s="118"/>
      <c r="N308" s="734"/>
      <c r="O308" s="785"/>
      <c r="P308" s="785"/>
      <c r="Q308" s="785"/>
      <c r="R308" s="785"/>
      <c r="U308" s="785"/>
      <c r="V308" s="785"/>
      <c r="W308" s="785"/>
      <c r="X308" s="785"/>
      <c r="Y308" s="785"/>
      <c r="Z308" s="785"/>
      <c r="AA308" s="785"/>
      <c r="AB308" s="785"/>
      <c r="AC308" s="785"/>
      <c r="AD308" s="785"/>
      <c r="AE308" s="785"/>
      <c r="AF308" s="785"/>
      <c r="AG308" s="801"/>
      <c r="AH308" s="541"/>
      <c r="AI308" s="541"/>
      <c r="AJ308" s="541"/>
      <c r="AK308" s="541"/>
      <c r="AL308" s="541"/>
    </row>
    <row r="309" spans="3:56">
      <c r="AK309" s="541"/>
      <c r="AL309" s="541"/>
    </row>
    <row r="310" spans="3:56">
      <c r="AK310" s="541"/>
      <c r="AL310" s="541"/>
    </row>
    <row r="311" spans="3:56">
      <c r="AK311" s="541"/>
      <c r="AL311" s="541"/>
    </row>
    <row r="312" spans="3:56">
      <c r="AK312" s="541"/>
      <c r="AL312" s="541"/>
    </row>
    <row r="313" spans="3:56">
      <c r="AK313" s="541"/>
      <c r="AL313" s="541"/>
    </row>
    <row r="314" spans="3:56">
      <c r="AK314" s="541"/>
      <c r="AL314" s="541"/>
    </row>
    <row r="315" spans="3:56">
      <c r="AK315" s="541"/>
      <c r="AL315" s="541"/>
    </row>
    <row r="316" spans="3:56">
      <c r="AK316" s="541"/>
      <c r="AL316" s="541"/>
    </row>
    <row r="317" spans="3:56">
      <c r="AK317" s="541"/>
      <c r="AL317" s="541"/>
    </row>
    <row r="318" spans="3:56">
      <c r="AK318" s="541"/>
      <c r="AL318" s="541"/>
    </row>
    <row r="319" spans="3:56">
      <c r="AK319" s="541"/>
      <c r="AL319" s="541"/>
    </row>
    <row r="320" spans="3:56">
      <c r="AK320" s="541"/>
      <c r="AL320" s="541"/>
    </row>
  </sheetData>
  <sheetProtection password="C26B" sheet="1" objects="1" scenarios="1"/>
  <mergeCells count="24">
    <mergeCell ref="S300:AA300"/>
    <mergeCell ref="S301:AA301"/>
    <mergeCell ref="C287:N287"/>
    <mergeCell ref="C297:N297"/>
    <mergeCell ref="C288:N288"/>
    <mergeCell ref="C289:N289"/>
    <mergeCell ref="C290:N290"/>
    <mergeCell ref="C291:N291"/>
    <mergeCell ref="C292:N292"/>
    <mergeCell ref="C293:N293"/>
    <mergeCell ref="C294:N294"/>
    <mergeCell ref="C295:N295"/>
    <mergeCell ref="C296:N296"/>
    <mergeCell ref="AG40:AK40"/>
    <mergeCell ref="F4:I4"/>
    <mergeCell ref="K4:L4"/>
    <mergeCell ref="F5:I5"/>
    <mergeCell ref="F6:G6"/>
    <mergeCell ref="D8:F8"/>
    <mergeCell ref="J8:L8"/>
    <mergeCell ref="F10:G10"/>
    <mergeCell ref="J19:K20"/>
    <mergeCell ref="D30:G30"/>
    <mergeCell ref="C34:N34"/>
  </mergeCells>
  <conditionalFormatting sqref="I284:I286 I303:I308">
    <cfRule type="expression" dxfId="46" priority="26" stopIfTrue="1">
      <formula>#REF!=1</formula>
    </cfRule>
    <cfRule type="expression" dxfId="45" priority="27" stopIfTrue="1">
      <formula>#REF!&gt;0</formula>
    </cfRule>
  </conditionalFormatting>
  <conditionalFormatting sqref="AF9:AF11">
    <cfRule type="expression" dxfId="44" priority="28" stopIfTrue="1">
      <formula>#REF!=1</formula>
    </cfRule>
    <cfRule type="expression" dxfId="43" priority="29" stopIfTrue="1">
      <formula>#REF!&gt;0</formula>
    </cfRule>
  </conditionalFormatting>
  <conditionalFormatting sqref="L19">
    <cfRule type="expression" dxfId="42" priority="30" stopIfTrue="1">
      <formula>AND($J$19&gt;"",$L$19=0)</formula>
    </cfRule>
  </conditionalFormatting>
  <conditionalFormatting sqref="N41">
    <cfRule type="expression" dxfId="41" priority="31" stopIfTrue="1">
      <formula>#REF!=1</formula>
    </cfRule>
    <cfRule type="expression" dxfId="40" priority="32" stopIfTrue="1">
      <formula>#REF!&gt;0</formula>
    </cfRule>
  </conditionalFormatting>
  <conditionalFormatting sqref="T42:T281">
    <cfRule type="cellIs" dxfId="39" priority="33" stopIfTrue="1" operator="greaterThan">
      <formula>0</formula>
    </cfRule>
  </conditionalFormatting>
  <conditionalFormatting sqref="J39">
    <cfRule type="cellIs" dxfId="38" priority="34" stopIfTrue="1" operator="greaterThan">
      <formula>""""""</formula>
    </cfRule>
  </conditionalFormatting>
  <conditionalFormatting sqref="L39">
    <cfRule type="cellIs" dxfId="37" priority="35" stopIfTrue="1" operator="greaterThan">
      <formula>""""""</formula>
    </cfRule>
  </conditionalFormatting>
  <conditionalFormatting sqref="I282">
    <cfRule type="expression" dxfId="36" priority="36" stopIfTrue="1">
      <formula>#REF!=1</formula>
    </cfRule>
    <cfRule type="expression" dxfId="35" priority="37" stopIfTrue="1">
      <formula>#REF!&gt;0</formula>
    </cfRule>
  </conditionalFormatting>
  <conditionalFormatting sqref="P39:R39">
    <cfRule type="cellIs" dxfId="34" priority="38" stopIfTrue="1" operator="greaterThan">
      <formula>""""""</formula>
    </cfRule>
  </conditionalFormatting>
  <conditionalFormatting sqref="E29">
    <cfRule type="expression" dxfId="33" priority="39" stopIfTrue="1">
      <formula>#REF!&gt;0</formula>
    </cfRule>
  </conditionalFormatting>
  <conditionalFormatting sqref="L38">
    <cfRule type="cellIs" dxfId="32" priority="25" operator="greaterThan">
      <formula>""""""</formula>
    </cfRule>
  </conditionalFormatting>
  <conditionalFormatting sqref="F4:I4">
    <cfRule type="containsBlanks" dxfId="31" priority="43">
      <formula>LEN(TRIM(F4))=0</formula>
    </cfRule>
  </conditionalFormatting>
  <conditionalFormatting sqref="F6:G6">
    <cfRule type="containsBlanks" dxfId="30" priority="45">
      <formula>LEN(TRIM(F6))=0</formula>
    </cfRule>
  </conditionalFormatting>
  <conditionalFormatting sqref="F11">
    <cfRule type="containsBlanks" dxfId="29" priority="24">
      <formula>LEN(TRIM(F11))=0</formula>
    </cfRule>
  </conditionalFormatting>
  <conditionalFormatting sqref="F10:G10">
    <cfRule type="containsBlanks" dxfId="28" priority="23">
      <formula>LEN(TRIM(F10))=0</formula>
    </cfRule>
  </conditionalFormatting>
  <conditionalFormatting sqref="F13">
    <cfRule type="containsBlanks" dxfId="27" priority="22">
      <formula>LEN(TRIM(F13))=0</formula>
    </cfRule>
  </conditionalFormatting>
  <conditionalFormatting sqref="F14">
    <cfRule type="containsBlanks" dxfId="26" priority="21">
      <formula>LEN(TRIM(F14))=0</formula>
    </cfRule>
  </conditionalFormatting>
  <conditionalFormatting sqref="F15">
    <cfRule type="containsBlanks" dxfId="25" priority="20">
      <formula>LEN(TRIM(F15))=0</formula>
    </cfRule>
  </conditionalFormatting>
  <conditionalFormatting sqref="F19">
    <cfRule type="containsBlanks" dxfId="24" priority="19">
      <formula>LEN(TRIM(F19))=0</formula>
    </cfRule>
  </conditionalFormatting>
  <conditionalFormatting sqref="F20">
    <cfRule type="containsBlanks" dxfId="23" priority="17">
      <formula>LEN(TRIM(F20))=0</formula>
    </cfRule>
  </conditionalFormatting>
  <conditionalFormatting sqref="F21">
    <cfRule type="containsBlanks" dxfId="22" priority="16">
      <formula>LEN(TRIM(F21))=0</formula>
    </cfRule>
  </conditionalFormatting>
  <conditionalFormatting sqref="F22">
    <cfRule type="containsBlanks" dxfId="21" priority="15">
      <formula>LEN(TRIM(F22))=0</formula>
    </cfRule>
  </conditionalFormatting>
  <conditionalFormatting sqref="K11">
    <cfRule type="containsBlanks" dxfId="20" priority="14">
      <formula>LEN(TRIM(K11))=0</formula>
    </cfRule>
  </conditionalFormatting>
  <conditionalFormatting sqref="F5:I5">
    <cfRule type="containsBlanks" dxfId="19" priority="44">
      <formula>LEN(TRIM(F5))=0</formula>
    </cfRule>
  </conditionalFormatting>
  <conditionalFormatting sqref="C34:N34">
    <cfRule type="cellIs" dxfId="18" priority="13" operator="greaterThan">
      <formula>""""""</formula>
    </cfRule>
  </conditionalFormatting>
  <conditionalFormatting sqref="G19">
    <cfRule type="expression" dxfId="17" priority="145">
      <formula>AND($F$19=$U$4,$G$19="")</formula>
    </cfRule>
  </conditionalFormatting>
  <conditionalFormatting sqref="H39">
    <cfRule type="cellIs" dxfId="16" priority="12" stopIfTrue="1" operator="greaterThan">
      <formula>""""""</formula>
    </cfRule>
  </conditionalFormatting>
  <conditionalFormatting sqref="I39">
    <cfRule type="cellIs" dxfId="15" priority="11" stopIfTrue="1" operator="greaterThan">
      <formula>""""""</formula>
    </cfRule>
  </conditionalFormatting>
  <conditionalFormatting sqref="G39">
    <cfRule type="cellIs" dxfId="14" priority="10" stopIfTrue="1" operator="greaterThan">
      <formula>""""""</formula>
    </cfRule>
  </conditionalFormatting>
  <conditionalFormatting sqref="O39">
    <cfRule type="cellIs" dxfId="13" priority="9" stopIfTrue="1" operator="greaterThan">
      <formula>""""""</formula>
    </cfRule>
  </conditionalFormatting>
  <conditionalFormatting sqref="O44">
    <cfRule type="cellIs" dxfId="12" priority="8" operator="greaterThan">
      <formula>0</formula>
    </cfRule>
  </conditionalFormatting>
  <conditionalFormatting sqref="O46">
    <cfRule type="cellIs" dxfId="11" priority="7" operator="greaterThan">
      <formula>0</formula>
    </cfRule>
  </conditionalFormatting>
  <conditionalFormatting sqref="O48">
    <cfRule type="cellIs" dxfId="10" priority="6" operator="greaterThan">
      <formula>0</formula>
    </cfRule>
  </conditionalFormatting>
  <conditionalFormatting sqref="O50">
    <cfRule type="cellIs" dxfId="9" priority="5" operator="greaterThan">
      <formula>0</formula>
    </cfRule>
  </conditionalFormatting>
  <conditionalFormatting sqref="M44">
    <cfRule type="expression" dxfId="8" priority="4">
      <formula>$O$44&gt;0</formula>
    </cfRule>
  </conditionalFormatting>
  <conditionalFormatting sqref="M46">
    <cfRule type="expression" dxfId="7" priority="3">
      <formula>$O$46&gt;0</formula>
    </cfRule>
  </conditionalFormatting>
  <conditionalFormatting sqref="M48">
    <cfRule type="expression" dxfId="6" priority="2">
      <formula>$O$48&gt;0</formula>
    </cfRule>
  </conditionalFormatting>
  <conditionalFormatting sqref="M50">
    <cfRule type="expression" dxfId="5" priority="1">
      <formula>$O$50&gt;0</formula>
    </cfRule>
  </conditionalFormatting>
  <dataValidations count="6">
    <dataValidation type="list" allowBlank="1" showInputMessage="1" showErrorMessage="1" sqref="F10:G10">
      <formula1>$T$1:$T$17</formula1>
    </dataValidation>
    <dataValidation type="list" allowBlank="1" showInputMessage="1" showErrorMessage="1" sqref="F15">
      <formula1>$Y$5:$Y$6</formula1>
    </dataValidation>
    <dataValidation type="list" allowBlank="1" showInputMessage="1" showErrorMessage="1" sqref="F19">
      <formula1>$U$7:$U$10</formula1>
    </dataValidation>
    <dataValidation type="list" allowBlank="1" showInputMessage="1" showErrorMessage="1" sqref="F20">
      <formula1>$V$2:$V$3</formula1>
    </dataValidation>
    <dataValidation type="list" allowBlank="1" showInputMessage="1" showErrorMessage="1" sqref="F21">
      <formula1>$W$2:$W$5</formula1>
    </dataValidation>
    <dataValidation type="list" allowBlank="1" showInputMessage="1" showErrorMessage="1" sqref="N40">
      <formula1>$Z$31:$Z$32</formula1>
    </dataValidation>
  </dataValidations>
  <pageMargins left="0" right="0" top="0.15748031496062992" bottom="0.15748031496062992" header="0.31496062992125984" footer="0.31496062992125984"/>
  <pageSetup scale="60" orientation="landscape" horizontalDpi="4294967294" verticalDpi="4294967294"/>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enableFormatConditionsCalculation="0"/>
  <dimension ref="A1:J63"/>
  <sheetViews>
    <sheetView showGridLines="0" showRowColHeaders="0" zoomScale="110" zoomScaleNormal="110" zoomScalePageLayoutView="110" workbookViewId="0"/>
  </sheetViews>
  <sheetFormatPr baseColWidth="10" defaultColWidth="0" defaultRowHeight="12" x14ac:dyDescent="0"/>
  <cols>
    <col min="1" max="1" width="1.5" style="698" customWidth="1"/>
    <col min="2" max="2" width="9.1640625" style="698" customWidth="1"/>
    <col min="3" max="3" width="89.1640625" style="698" customWidth="1"/>
    <col min="4" max="4" width="2" style="698" customWidth="1"/>
    <col min="5" max="16384" width="0" style="698" hidden="1"/>
  </cols>
  <sheetData>
    <row r="1" spans="1:10">
      <c r="A1" s="696"/>
      <c r="B1" s="697"/>
      <c r="C1" s="697"/>
      <c r="D1" s="697"/>
      <c r="E1" s="697"/>
      <c r="F1" s="697"/>
      <c r="G1" s="697"/>
      <c r="H1" s="697"/>
      <c r="I1" s="697"/>
      <c r="J1" s="697"/>
    </row>
    <row r="2" spans="1:10" ht="51.75" customHeight="1">
      <c r="A2" s="696"/>
      <c r="B2" s="697"/>
      <c r="C2" s="697"/>
      <c r="D2" s="697"/>
      <c r="E2" s="697"/>
      <c r="F2" s="697"/>
      <c r="G2" s="697"/>
      <c r="H2" s="697"/>
      <c r="I2" s="697"/>
      <c r="J2" s="697"/>
    </row>
    <row r="3" spans="1:10" ht="15">
      <c r="A3" s="696"/>
      <c r="B3" s="1152" t="s">
        <v>297</v>
      </c>
      <c r="C3" s="1152"/>
    </row>
    <row r="4" spans="1:10">
      <c r="A4" s="696"/>
    </row>
    <row r="5" spans="1:10">
      <c r="A5" s="696"/>
      <c r="B5" s="1153" t="s">
        <v>298</v>
      </c>
      <c r="C5" s="1153"/>
    </row>
    <row r="6" spans="1:10">
      <c r="A6" s="696"/>
      <c r="B6" s="699"/>
      <c r="C6" s="699"/>
      <c r="D6" s="699"/>
    </row>
    <row r="7" spans="1:10" ht="26.25" customHeight="1">
      <c r="A7" s="696"/>
      <c r="B7" s="1154" t="s">
        <v>299</v>
      </c>
      <c r="C7" s="1154"/>
    </row>
    <row r="8" spans="1:10" ht="14">
      <c r="A8" s="696"/>
      <c r="B8" s="1155" t="s">
        <v>300</v>
      </c>
      <c r="C8" s="1155"/>
    </row>
    <row r="9" spans="1:10">
      <c r="A9" s="696"/>
    </row>
    <row r="10" spans="1:10">
      <c r="A10" s="696"/>
      <c r="B10" s="1156" t="s">
        <v>301</v>
      </c>
      <c r="C10" s="1156"/>
    </row>
    <row r="11" spans="1:10">
      <c r="A11" s="696"/>
      <c r="B11" s="1157" t="s">
        <v>302</v>
      </c>
      <c r="C11" s="1156"/>
    </row>
    <row r="12" spans="1:10" ht="32.25" customHeight="1">
      <c r="A12" s="696"/>
      <c r="C12" s="700" t="s">
        <v>303</v>
      </c>
    </row>
    <row r="13" spans="1:10" ht="32.25" customHeight="1">
      <c r="A13" s="696"/>
      <c r="C13" s="700" t="s">
        <v>304</v>
      </c>
    </row>
    <row r="14" spans="1:10" ht="30.75" customHeight="1">
      <c r="A14" s="696"/>
      <c r="C14" s="700" t="s">
        <v>305</v>
      </c>
    </row>
    <row r="15" spans="1:10" ht="18.75" customHeight="1">
      <c r="A15" s="696"/>
      <c r="C15" s="701" t="s">
        <v>306</v>
      </c>
    </row>
    <row r="16" spans="1:10" ht="29.25" customHeight="1">
      <c r="A16" s="696"/>
      <c r="C16" s="700" t="s">
        <v>307</v>
      </c>
    </row>
    <row r="17" spans="1:5">
      <c r="A17" s="696"/>
    </row>
    <row r="18" spans="1:5">
      <c r="A18" s="696"/>
      <c r="B18" s="1158" t="s">
        <v>308</v>
      </c>
      <c r="C18" s="1158"/>
    </row>
    <row r="19" spans="1:5" ht="5" customHeight="1">
      <c r="A19" s="696"/>
    </row>
    <row r="20" spans="1:5" ht="15" customHeight="1">
      <c r="A20" s="696"/>
      <c r="B20" s="702"/>
      <c r="C20" s="703" t="s">
        <v>309</v>
      </c>
    </row>
    <row r="21" spans="1:5" ht="15" customHeight="1">
      <c r="A21" s="696"/>
      <c r="B21" s="702"/>
      <c r="C21" s="703" t="s">
        <v>310</v>
      </c>
    </row>
    <row r="22" spans="1:5" ht="15" customHeight="1">
      <c r="A22" s="696"/>
      <c r="B22" s="702"/>
      <c r="C22" s="703" t="s">
        <v>311</v>
      </c>
    </row>
    <row r="23" spans="1:5" ht="15" customHeight="1">
      <c r="A23" s="696"/>
      <c r="B23" s="702"/>
      <c r="C23" s="703" t="s">
        <v>312</v>
      </c>
    </row>
    <row r="24" spans="1:5">
      <c r="A24" s="696"/>
      <c r="C24" s="699"/>
      <c r="D24" s="704"/>
      <c r="E24" s="704"/>
    </row>
    <row r="25" spans="1:5" ht="15">
      <c r="A25" s="696"/>
      <c r="B25" s="705" t="s">
        <v>313</v>
      </c>
    </row>
    <row r="26" spans="1:5">
      <c r="A26" s="696"/>
    </row>
    <row r="27" spans="1:5">
      <c r="A27" s="696"/>
      <c r="B27" s="1156" t="s">
        <v>314</v>
      </c>
      <c r="C27" s="1156"/>
    </row>
    <row r="28" spans="1:5" ht="25.5" customHeight="1">
      <c r="A28" s="696"/>
      <c r="B28" s="1151" t="s">
        <v>315</v>
      </c>
      <c r="C28" s="1151"/>
    </row>
    <row r="29" spans="1:5" ht="12.75" customHeight="1">
      <c r="A29" s="696"/>
      <c r="C29" s="706" t="s">
        <v>316</v>
      </c>
    </row>
    <row r="30" spans="1:5" ht="12.75" customHeight="1">
      <c r="A30" s="696"/>
      <c r="B30" s="707"/>
      <c r="C30" s="707" t="s">
        <v>317</v>
      </c>
    </row>
    <row r="31" spans="1:5" ht="15" customHeight="1">
      <c r="A31" s="696"/>
      <c r="B31" s="1151" t="s">
        <v>318</v>
      </c>
      <c r="C31" s="1151"/>
    </row>
    <row r="32" spans="1:5" ht="29.25" customHeight="1">
      <c r="A32" s="696"/>
      <c r="B32" s="1151" t="s">
        <v>319</v>
      </c>
      <c r="C32" s="1151"/>
    </row>
    <row r="33" spans="1:4" ht="30.75" customHeight="1">
      <c r="A33" s="696"/>
      <c r="B33" s="1151" t="s">
        <v>320</v>
      </c>
      <c r="C33" s="1151"/>
    </row>
    <row r="34" spans="1:4" s="709" customFormat="1" ht="21.75" customHeight="1">
      <c r="A34" s="708"/>
      <c r="B34" s="1160" t="s">
        <v>321</v>
      </c>
      <c r="C34" s="1160"/>
    </row>
    <row r="35" spans="1:4" ht="48" customHeight="1">
      <c r="A35" s="696"/>
      <c r="B35" s="1161" t="s">
        <v>322</v>
      </c>
      <c r="C35" s="1161"/>
    </row>
    <row r="36" spans="1:4" ht="6" customHeight="1">
      <c r="A36" s="696"/>
      <c r="B36" s="1151"/>
      <c r="C36" s="1151"/>
    </row>
    <row r="37" spans="1:4" ht="32.25" customHeight="1">
      <c r="A37" s="696"/>
      <c r="B37" s="1154" t="s">
        <v>323</v>
      </c>
      <c r="C37" s="1154"/>
    </row>
    <row r="38" spans="1:4">
      <c r="A38" s="696"/>
      <c r="B38" s="710" t="s">
        <v>324</v>
      </c>
      <c r="C38" s="710"/>
      <c r="D38" s="704"/>
    </row>
    <row r="39" spans="1:4">
      <c r="A39" s="696"/>
      <c r="B39" s="711" t="s">
        <v>325</v>
      </c>
      <c r="C39" s="711"/>
      <c r="D39" s="699"/>
    </row>
    <row r="40" spans="1:4">
      <c r="A40" s="696"/>
      <c r="B40" s="712"/>
      <c r="C40" s="712"/>
    </row>
    <row r="41" spans="1:4">
      <c r="A41" s="696"/>
      <c r="B41" s="1154" t="s">
        <v>326</v>
      </c>
      <c r="C41" s="1154"/>
    </row>
    <row r="42" spans="1:4" ht="18.75" customHeight="1">
      <c r="A42" s="696"/>
      <c r="B42" s="1162" t="s">
        <v>327</v>
      </c>
      <c r="C42" s="1162"/>
    </row>
    <row r="43" spans="1:4" ht="42.75" customHeight="1">
      <c r="A43" s="696"/>
      <c r="B43" s="1154" t="s">
        <v>328</v>
      </c>
      <c r="C43" s="1154"/>
    </row>
    <row r="44" spans="1:4">
      <c r="A44" s="696"/>
      <c r="B44" s="700"/>
      <c r="C44" s="700"/>
    </row>
    <row r="45" spans="1:4">
      <c r="A45" s="696"/>
      <c r="B45" s="1151" t="s">
        <v>329</v>
      </c>
      <c r="C45" s="1151"/>
    </row>
    <row r="46" spans="1:4" ht="21" customHeight="1">
      <c r="A46" s="696"/>
      <c r="B46" s="707"/>
      <c r="C46" s="713" t="s">
        <v>330</v>
      </c>
    </row>
    <row r="47" spans="1:4" ht="12.75" customHeight="1">
      <c r="A47" s="696"/>
      <c r="C47" s="700" t="s">
        <v>331</v>
      </c>
    </row>
    <row r="48" spans="1:4" ht="57" customHeight="1">
      <c r="A48" s="696"/>
      <c r="C48" s="700" t="s">
        <v>332</v>
      </c>
    </row>
    <row r="49" spans="1:4">
      <c r="A49" s="696"/>
      <c r="B49" s="1151"/>
      <c r="C49" s="1151"/>
    </row>
    <row r="50" spans="1:4">
      <c r="A50" s="696"/>
      <c r="B50" s="700"/>
      <c r="C50" s="714" t="s">
        <v>333</v>
      </c>
    </row>
    <row r="51" spans="1:4" ht="26.25" customHeight="1">
      <c r="A51" s="696"/>
      <c r="C51" s="700" t="s">
        <v>334</v>
      </c>
    </row>
    <row r="52" spans="1:4" ht="27.75" customHeight="1">
      <c r="A52" s="696"/>
      <c r="C52" s="700" t="s">
        <v>335</v>
      </c>
    </row>
    <row r="53" spans="1:4">
      <c r="A53" s="696"/>
      <c r="B53" s="707"/>
      <c r="C53" s="707" t="s">
        <v>336</v>
      </c>
    </row>
    <row r="54" spans="1:4">
      <c r="A54" s="696"/>
      <c r="B54" s="707"/>
      <c r="C54" s="698" t="s">
        <v>337</v>
      </c>
    </row>
    <row r="55" spans="1:4">
      <c r="A55" s="696"/>
      <c r="B55" s="707"/>
      <c r="C55" s="707" t="s">
        <v>338</v>
      </c>
    </row>
    <row r="56" spans="1:4" ht="36" customHeight="1">
      <c r="A56" s="696"/>
      <c r="B56" s="1161" t="s">
        <v>339</v>
      </c>
      <c r="C56" s="1161"/>
    </row>
    <row r="57" spans="1:4">
      <c r="A57" s="696"/>
      <c r="B57" s="707"/>
      <c r="C57" s="707"/>
    </row>
    <row r="58" spans="1:4" ht="27.75" customHeight="1">
      <c r="A58" s="696"/>
      <c r="B58" s="1162" t="s">
        <v>340</v>
      </c>
      <c r="C58" s="1162"/>
    </row>
    <row r="59" spans="1:4">
      <c r="A59" s="696"/>
      <c r="B59" s="1159" t="s">
        <v>341</v>
      </c>
      <c r="C59" s="1159"/>
    </row>
    <row r="60" spans="1:4">
      <c r="A60" s="696"/>
    </row>
    <row r="61" spans="1:4" ht="13" thickBot="1">
      <c r="A61" s="715"/>
      <c r="B61" s="716"/>
      <c r="C61" s="716"/>
    </row>
    <row r="62" spans="1:4">
      <c r="A62" s="696"/>
      <c r="B62" s="696"/>
      <c r="C62" s="696"/>
      <c r="D62" s="696"/>
    </row>
    <row r="63" spans="1:4">
      <c r="B63" s="703"/>
    </row>
  </sheetData>
  <sheetProtection password="C26B" sheet="1" objects="1" scenarios="1"/>
  <mergeCells count="24">
    <mergeCell ref="B59:C59"/>
    <mergeCell ref="B34:C34"/>
    <mergeCell ref="B35:C35"/>
    <mergeCell ref="B36:C36"/>
    <mergeCell ref="B37:C37"/>
    <mergeCell ref="B41:C41"/>
    <mergeCell ref="B42:C42"/>
    <mergeCell ref="B43:C43"/>
    <mergeCell ref="B45:C45"/>
    <mergeCell ref="B49:C49"/>
    <mergeCell ref="B56:C56"/>
    <mergeCell ref="B58:C58"/>
    <mergeCell ref="B33:C33"/>
    <mergeCell ref="B3:C3"/>
    <mergeCell ref="B5:C5"/>
    <mergeCell ref="B7:C7"/>
    <mergeCell ref="B8:C8"/>
    <mergeCell ref="B10:C10"/>
    <mergeCell ref="B11:C11"/>
    <mergeCell ref="B18:C18"/>
    <mergeCell ref="B27:C27"/>
    <mergeCell ref="B28:C28"/>
    <mergeCell ref="B31:C31"/>
    <mergeCell ref="B32:C32"/>
  </mergeCells>
  <hyperlinks>
    <hyperlink ref="B38" r:id="rId1" display="http://portal.infonavit.org.mx/wps/portal/TRABAJADORES/Menu de apoyo/Derechohabientes/slPrecaCofinavit"/>
    <hyperlink ref="B39" r:id="rId2" display="Página FOVISSSTE"/>
    <hyperlink ref="B38:C38" r:id="rId3" display="Página del INFONAVIT     www.infonavit.org.mx"/>
    <hyperlink ref="B11" r:id="rId4"/>
  </hyperlinks>
  <printOptions horizontalCentered="1"/>
  <pageMargins left="0.15748031496062992" right="0.15748031496062992" top="0.35433070866141736" bottom="0.4" header="0" footer="0"/>
  <pageSetup orientation="portrait"/>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169" r:id="rId7" name="Check Box 1">
              <controlPr defaultSize="0" autoFill="0" autoLine="0" autoPict="0">
                <anchor moveWithCells="1">
                  <from>
                    <xdr:col>1</xdr:col>
                    <xdr:colOff>203200</xdr:colOff>
                    <xdr:row>18</xdr:row>
                    <xdr:rowOff>63500</xdr:rowOff>
                  </from>
                  <to>
                    <xdr:col>1</xdr:col>
                    <xdr:colOff>508000</xdr:colOff>
                    <xdr:row>20</xdr:row>
                    <xdr:rowOff>76200</xdr:rowOff>
                  </to>
                </anchor>
              </controlPr>
            </control>
          </mc:Choice>
          <mc:Fallback/>
        </mc:AlternateContent>
        <mc:AlternateContent xmlns:mc="http://schemas.openxmlformats.org/markup-compatibility/2006">
          <mc:Choice Requires="x14">
            <control shapeId="7170" r:id="rId8" name="Check Box 2">
              <controlPr defaultSize="0" autoFill="0" autoLine="0" autoPict="0">
                <anchor moveWithCells="1">
                  <from>
                    <xdr:col>1</xdr:col>
                    <xdr:colOff>203200</xdr:colOff>
                    <xdr:row>19</xdr:row>
                    <xdr:rowOff>152400</xdr:rowOff>
                  </from>
                  <to>
                    <xdr:col>1</xdr:col>
                    <xdr:colOff>508000</xdr:colOff>
                    <xdr:row>21</xdr:row>
                    <xdr:rowOff>38100</xdr:rowOff>
                  </to>
                </anchor>
              </controlPr>
            </control>
          </mc:Choice>
          <mc:Fallback/>
        </mc:AlternateContent>
        <mc:AlternateContent xmlns:mc="http://schemas.openxmlformats.org/markup-compatibility/2006">
          <mc:Choice Requires="x14">
            <control shapeId="7171" r:id="rId9" name="Check Box 3">
              <controlPr defaultSize="0" autoFill="0" autoLine="0" autoPict="0">
                <anchor moveWithCells="1">
                  <from>
                    <xdr:col>1</xdr:col>
                    <xdr:colOff>203200</xdr:colOff>
                    <xdr:row>20</xdr:row>
                    <xdr:rowOff>165100</xdr:rowOff>
                  </from>
                  <to>
                    <xdr:col>1</xdr:col>
                    <xdr:colOff>508000</xdr:colOff>
                    <xdr:row>22</xdr:row>
                    <xdr:rowOff>50800</xdr:rowOff>
                  </to>
                </anchor>
              </controlPr>
            </control>
          </mc:Choice>
          <mc:Fallback/>
        </mc:AlternateContent>
        <mc:AlternateContent xmlns:mc="http://schemas.openxmlformats.org/markup-compatibility/2006">
          <mc:Choice Requires="x14">
            <control shapeId="7172" r:id="rId10" name="Check Box 4">
              <controlPr defaultSize="0" autoFill="0" autoLine="0" autoPict="0">
                <anchor moveWithCells="1">
                  <from>
                    <xdr:col>1</xdr:col>
                    <xdr:colOff>203200</xdr:colOff>
                    <xdr:row>21</xdr:row>
                    <xdr:rowOff>177800</xdr:rowOff>
                  </from>
                  <to>
                    <xdr:col>1</xdr:col>
                    <xdr:colOff>508000</xdr:colOff>
                    <xdr:row>23</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BG522"/>
  <sheetViews>
    <sheetView showGridLines="0" showZeros="0" topLeftCell="C1" zoomScale="70" zoomScaleNormal="70" zoomScalePageLayoutView="70" workbookViewId="0">
      <pane xSplit="17200" topLeftCell="AJ1"/>
      <selection activeCell="J27" sqref="J27"/>
      <selection pane="topRight" activeCell="AJ4" sqref="AJ4:AK4"/>
    </sheetView>
  </sheetViews>
  <sheetFormatPr baseColWidth="10" defaultRowHeight="14" x14ac:dyDescent="0"/>
  <cols>
    <col min="1" max="2" width="5.1640625" customWidth="1"/>
    <col min="3" max="12" width="22.83203125" customWidth="1"/>
    <col min="13" max="13" width="22.33203125" customWidth="1"/>
    <col min="14" max="14" width="16.1640625" customWidth="1"/>
    <col min="15" max="15" width="19.5" customWidth="1"/>
    <col min="23" max="23" width="19.5" customWidth="1"/>
    <col min="24" max="24" width="19.1640625" bestFit="1" customWidth="1"/>
    <col min="25" max="25" width="21.1640625" bestFit="1" customWidth="1"/>
    <col min="35" max="43" width="17.5" customWidth="1"/>
    <col min="44" max="44" width="23.6640625" bestFit="1" customWidth="1"/>
    <col min="45" max="45" width="17.5" customWidth="1"/>
    <col min="46" max="46" width="17.83203125" customWidth="1"/>
    <col min="48" max="48" width="15.5" customWidth="1"/>
    <col min="57" max="57" width="25.1640625" customWidth="1"/>
    <col min="58" max="58" width="27.33203125" customWidth="1"/>
  </cols>
  <sheetData>
    <row r="1" spans="4:45">
      <c r="J1" t="s">
        <v>24</v>
      </c>
      <c r="K1" s="1165">
        <f ca="1">TODAY()</f>
        <v>43060</v>
      </c>
      <c r="L1" s="1165"/>
      <c r="AD1" s="172"/>
      <c r="AQ1" t="s">
        <v>24</v>
      </c>
      <c r="AR1" s="171">
        <f ca="1">TODAY()</f>
        <v>43060</v>
      </c>
    </row>
    <row r="2" spans="4:45">
      <c r="AD2" s="172"/>
    </row>
    <row r="3" spans="4:45">
      <c r="D3" s="1163" t="s">
        <v>27</v>
      </c>
      <c r="E3" s="1163"/>
      <c r="F3" s="1163"/>
      <c r="J3" s="173" t="s">
        <v>28</v>
      </c>
      <c r="K3" s="173"/>
      <c r="L3" s="173"/>
      <c r="AD3" s="172"/>
      <c r="AJ3" s="1164" t="s">
        <v>27</v>
      </c>
      <c r="AK3" s="1164"/>
      <c r="AL3" s="1164"/>
      <c r="AQ3" s="923" t="s">
        <v>28</v>
      </c>
      <c r="AR3" s="173"/>
      <c r="AS3" s="173"/>
    </row>
    <row r="4" spans="4:45">
      <c r="D4" t="s">
        <v>29</v>
      </c>
      <c r="AD4" s="172"/>
      <c r="AJ4" t="s">
        <v>29</v>
      </c>
    </row>
    <row r="5" spans="4:45">
      <c r="E5" t="s">
        <v>30</v>
      </c>
      <c r="F5" s="174">
        <f>Cal!E89</f>
        <v>1699000</v>
      </c>
      <c r="J5" t="s">
        <v>4</v>
      </c>
      <c r="L5" s="174">
        <f>Cal!E100/1.16</f>
        <v>4027.8017241379312</v>
      </c>
      <c r="AD5" s="172"/>
      <c r="AK5" t="s">
        <v>30</v>
      </c>
      <c r="AL5" s="924">
        <f>Resol!F11</f>
        <v>0</v>
      </c>
      <c r="AQ5" t="s">
        <v>4</v>
      </c>
      <c r="AS5" s="924">
        <f>Resol!L10/1.16</f>
        <v>0</v>
      </c>
    </row>
    <row r="6" spans="4:45">
      <c r="E6" t="s">
        <v>31</v>
      </c>
      <c r="J6" t="s">
        <v>32</v>
      </c>
      <c r="AD6" s="172"/>
      <c r="AK6" t="s">
        <v>31</v>
      </c>
      <c r="AL6" s="348">
        <f>Resol!F10</f>
        <v>0</v>
      </c>
      <c r="AQ6" t="s">
        <v>32</v>
      </c>
    </row>
    <row r="7" spans="4:45">
      <c r="D7" t="s">
        <v>33</v>
      </c>
      <c r="J7" t="s">
        <v>34</v>
      </c>
      <c r="L7" s="180">
        <f>IF(AND(Adm!B3=Adm!B9,OR(Adm!AG3=Adm!AG11,Adm!AG3=Adm!AG14)),Cal!E99/1.16,IF(OR(Adm!B3=Adm!B12,Adm!B3=Adm!B13,Adm!B3=Adm!B14),Cal!E99/1.16,Cal!E99))</f>
        <v>10315.4</v>
      </c>
      <c r="AD7" s="172"/>
      <c r="AJ7" t="s">
        <v>33</v>
      </c>
      <c r="AQ7" t="s">
        <v>34</v>
      </c>
      <c r="AS7" s="929">
        <f>IF(Resol!X2&gt;0,Resol!L12/1.16,Resol!L12)</f>
        <v>0</v>
      </c>
    </row>
    <row r="8" spans="4:45">
      <c r="E8" t="s">
        <v>35</v>
      </c>
      <c r="F8">
        <f>Adm!G3</f>
        <v>240</v>
      </c>
      <c r="J8" t="s">
        <v>159</v>
      </c>
      <c r="L8" s="350">
        <f>Cal!E103/1.16</f>
        <v>0</v>
      </c>
      <c r="AD8" s="172"/>
      <c r="AK8" t="s">
        <v>357</v>
      </c>
      <c r="AL8" s="925">
        <f>Resol!F13</f>
        <v>0</v>
      </c>
      <c r="AQ8" t="s">
        <v>159</v>
      </c>
      <c r="AS8" s="350">
        <f>Resol!L14/1.16</f>
        <v>0</v>
      </c>
    </row>
    <row r="9" spans="4:45">
      <c r="E9" t="s">
        <v>92</v>
      </c>
      <c r="F9" s="175">
        <f>Adm!AH3</f>
        <v>9.5000000000000001E-2</v>
      </c>
      <c r="G9" t="s">
        <v>93</v>
      </c>
      <c r="AD9" s="172"/>
      <c r="AK9" t="s">
        <v>92</v>
      </c>
      <c r="AL9" s="926">
        <f>Resol!F14</f>
        <v>0</v>
      </c>
      <c r="AM9" t="s">
        <v>93</v>
      </c>
    </row>
    <row r="10" spans="4:45">
      <c r="J10" t="s">
        <v>13</v>
      </c>
      <c r="L10" s="174">
        <f>Cal!E91</f>
        <v>31540</v>
      </c>
      <c r="AD10" s="172"/>
      <c r="AQ10" t="s">
        <v>13</v>
      </c>
      <c r="AS10" s="924">
        <f>Resol!L13</f>
        <v>0</v>
      </c>
    </row>
    <row r="11" spans="4:45">
      <c r="E11" t="s">
        <v>49</v>
      </c>
      <c r="AD11" s="172"/>
      <c r="AK11" t="s">
        <v>49</v>
      </c>
      <c r="AL11" s="927">
        <f>Resol!F16</f>
        <v>0</v>
      </c>
    </row>
    <row r="12" spans="4:45">
      <c r="E12" t="s">
        <v>94</v>
      </c>
      <c r="J12" t="s">
        <v>36</v>
      </c>
      <c r="L12" s="177">
        <f>SUM(L5:L10)</f>
        <v>45883.201724137929</v>
      </c>
      <c r="AD12" s="172"/>
      <c r="AK12" t="s">
        <v>94</v>
      </c>
      <c r="AL12" s="926">
        <f>Resol!F17</f>
        <v>0</v>
      </c>
      <c r="AQ12" t="s">
        <v>36</v>
      </c>
      <c r="AS12" s="177">
        <f>SUM(AS5:AS10)</f>
        <v>0</v>
      </c>
    </row>
    <row r="13" spans="4:45">
      <c r="AD13" s="172"/>
    </row>
    <row r="14" spans="4:45">
      <c r="D14" t="s">
        <v>38</v>
      </c>
      <c r="F14" s="176">
        <f>Cal!E92</f>
        <v>1031540</v>
      </c>
      <c r="AD14" s="172"/>
      <c r="AJ14" t="s">
        <v>38</v>
      </c>
      <c r="AL14" s="928">
        <f>Resol!F22</f>
        <v>0</v>
      </c>
    </row>
    <row r="15" spans="4:45">
      <c r="E15" t="s">
        <v>13</v>
      </c>
      <c r="F15" s="174">
        <f>Cal!E91</f>
        <v>31540</v>
      </c>
      <c r="AD15" s="172"/>
      <c r="AK15" t="s">
        <v>13</v>
      </c>
      <c r="AL15" s="928">
        <f>Resol!F23</f>
        <v>0</v>
      </c>
    </row>
    <row r="16" spans="4:45">
      <c r="E16" t="s">
        <v>93</v>
      </c>
      <c r="AD16" s="172"/>
      <c r="AK16" t="s">
        <v>376</v>
      </c>
      <c r="AL16" s="928">
        <f>Resol!F24</f>
        <v>0</v>
      </c>
    </row>
    <row r="17" spans="1:58">
      <c r="E17" t="s">
        <v>93</v>
      </c>
      <c r="AD17" s="172"/>
      <c r="AK17" t="s">
        <v>93</v>
      </c>
    </row>
    <row r="18" spans="1:58">
      <c r="E18" t="s">
        <v>93</v>
      </c>
      <c r="AD18" s="172"/>
      <c r="AK18" t="s">
        <v>93</v>
      </c>
    </row>
    <row r="19" spans="1:58">
      <c r="AD19" s="172"/>
    </row>
    <row r="20" spans="1:58" ht="20">
      <c r="D20" s="182" t="s">
        <v>95</v>
      </c>
      <c r="E20" s="181">
        <f>(1+IRR(O24:O264,0.01))^12-1</f>
        <v>0.12175976145693923</v>
      </c>
      <c r="F20" t="s">
        <v>39</v>
      </c>
      <c r="AD20" s="172"/>
      <c r="AJ20" s="182" t="s">
        <v>95</v>
      </c>
      <c r="AK20" s="181" t="e">
        <f>(1+IRR(AV24:AV264,0.01))^12-1</f>
        <v>#NUM!</v>
      </c>
      <c r="AL20" t="s">
        <v>39</v>
      </c>
    </row>
    <row r="21" spans="1:58">
      <c r="O21" s="203">
        <f>SUM(O24:O264)</f>
        <v>1549508.3543515529</v>
      </c>
      <c r="AD21" s="172"/>
      <c r="AV21" s="203">
        <f>SUM(AV24:AV264)</f>
        <v>0</v>
      </c>
    </row>
    <row r="22" spans="1:58" ht="24">
      <c r="F22" s="179" t="s">
        <v>96</v>
      </c>
      <c r="X22" s="296" t="s">
        <v>162</v>
      </c>
      <c r="Y22" s="296" t="s">
        <v>163</v>
      </c>
      <c r="AD22" s="172"/>
      <c r="AL22" s="179" t="s">
        <v>96</v>
      </c>
      <c r="BE22" s="296" t="s">
        <v>162</v>
      </c>
      <c r="BF22" s="296" t="s">
        <v>163</v>
      </c>
    </row>
    <row r="23" spans="1:58" ht="36" customHeight="1">
      <c r="A23" s="297" t="s">
        <v>161</v>
      </c>
      <c r="C23" s="106" t="s">
        <v>41</v>
      </c>
      <c r="D23" s="106" t="s">
        <v>42</v>
      </c>
      <c r="E23" s="106" t="s">
        <v>43</v>
      </c>
      <c r="F23" s="106" t="s">
        <v>44</v>
      </c>
      <c r="G23" s="106" t="str">
        <f>IF(Adm!R3="no","","Seguro Vida")</f>
        <v>Seguro Vida</v>
      </c>
      <c r="H23" s="106" t="str">
        <f>IF(Adm!R4="no","","Seguro Daños")</f>
        <v>Seguro Daños</v>
      </c>
      <c r="I23" s="134" t="s">
        <v>45</v>
      </c>
      <c r="J23" s="134" t="s">
        <v>46</v>
      </c>
      <c r="K23" s="134" t="s">
        <v>173</v>
      </c>
      <c r="L23" s="134" t="s">
        <v>47</v>
      </c>
      <c r="M23" s="295" t="s">
        <v>175</v>
      </c>
      <c r="N23" s="295"/>
      <c r="O23" s="86" t="s">
        <v>77</v>
      </c>
      <c r="U23" s="569" t="s">
        <v>161</v>
      </c>
      <c r="V23" s="567" t="s">
        <v>274</v>
      </c>
      <c r="W23" s="89"/>
      <c r="X23" s="299">
        <f>Cal!E98</f>
        <v>24211.199683987481</v>
      </c>
      <c r="Y23" s="300"/>
      <c r="AD23" s="172"/>
      <c r="AG23" s="297" t="s">
        <v>161</v>
      </c>
      <c r="AI23" s="920" t="s">
        <v>41</v>
      </c>
      <c r="AJ23" s="920" t="s">
        <v>42</v>
      </c>
      <c r="AK23" s="920" t="s">
        <v>43</v>
      </c>
      <c r="AL23" s="920" t="s">
        <v>44</v>
      </c>
      <c r="AM23" s="920" t="str">
        <f>IF(Adm!AX3="no","","Seguro Vida")</f>
        <v>Seguro Vida</v>
      </c>
      <c r="AN23" s="920" t="str">
        <f>IF(Adm!AX4="no","","Seguro Daños")</f>
        <v>Seguro Daños</v>
      </c>
      <c r="AO23" s="921" t="s">
        <v>45</v>
      </c>
      <c r="AP23" s="921" t="s">
        <v>377</v>
      </c>
      <c r="AQ23" s="921" t="s">
        <v>46</v>
      </c>
      <c r="AR23" s="921" t="str">
        <f>IF(Resol!F10=Resol!T2,"aportaciones patronales","")</f>
        <v/>
      </c>
      <c r="AS23" s="921" t="s">
        <v>47</v>
      </c>
      <c r="AT23" s="922" t="s">
        <v>175</v>
      </c>
      <c r="AU23" s="295"/>
      <c r="AV23" s="86" t="s">
        <v>77</v>
      </c>
      <c r="BB23" s="569" t="s">
        <v>161</v>
      </c>
      <c r="BC23" s="567" t="s">
        <v>274</v>
      </c>
      <c r="BD23" s="89"/>
      <c r="BE23" s="299">
        <f>Resol!W40</f>
        <v>0</v>
      </c>
      <c r="BF23" s="300"/>
    </row>
    <row r="24" spans="1:58">
      <c r="A24" s="114">
        <f ca="1">MONTH(K1)</f>
        <v>11</v>
      </c>
      <c r="C24" s="178">
        <v>0</v>
      </c>
      <c r="D24" s="178"/>
      <c r="E24" s="178"/>
      <c r="F24" s="178"/>
      <c r="G24" s="178"/>
      <c r="H24" s="178"/>
      <c r="I24" s="178"/>
      <c r="J24" s="178"/>
      <c r="K24" s="178"/>
      <c r="L24" s="178">
        <f>Captura!N114</f>
        <v>1031540</v>
      </c>
      <c r="O24" s="203">
        <f>-L24+L12</f>
        <v>-985656.79827586212</v>
      </c>
      <c r="U24" s="574">
        <v>12</v>
      </c>
      <c r="V24" s="568" t="s">
        <v>275</v>
      </c>
      <c r="X24" s="340"/>
      <c r="Y24" s="343"/>
      <c r="AD24" s="172"/>
      <c r="AG24" s="114">
        <f ca="1">MONTH(AR1)</f>
        <v>11</v>
      </c>
      <c r="AI24" s="178">
        <v>0</v>
      </c>
      <c r="AJ24" s="178"/>
      <c r="AK24" s="178"/>
      <c r="AL24" s="178"/>
      <c r="AM24" s="178"/>
      <c r="AN24" s="178"/>
      <c r="AO24" s="178"/>
      <c r="AP24" s="178"/>
      <c r="AQ24" s="178"/>
      <c r="AR24" s="178"/>
      <c r="AS24" s="178">
        <f>Resol!M41</f>
        <v>0</v>
      </c>
      <c r="AV24" s="203">
        <f>-AS24+AS12</f>
        <v>0</v>
      </c>
      <c r="BB24" s="574">
        <v>12</v>
      </c>
      <c r="BC24" s="568" t="s">
        <v>275</v>
      </c>
      <c r="BE24" s="340"/>
      <c r="BF24" s="343"/>
    </row>
    <row r="25" spans="1:58">
      <c r="A25" s="151">
        <f t="shared" ref="A25:A88" ca="1" si="0">IF(A24=12,1,A24+1)</f>
        <v>12</v>
      </c>
      <c r="C25" s="178">
        <f t="shared" ref="C25:C88" si="1">IF(L24&lt;0.01,0,C24+1)</f>
        <v>1</v>
      </c>
      <c r="D25" s="178">
        <f>IF(L24&lt;0.01,0,L24*$F$9/12)</f>
        <v>8166.3583333333336</v>
      </c>
      <c r="E25" s="178">
        <f>IF(L24&lt;0.01,0,IF(Adm!$B$3=Adm!$B$11,0,F25-D25))</f>
        <v>1448.9477216445393</v>
      </c>
      <c r="F25" s="178">
        <f>IF(L24&lt;0.1,0,IF(Adm!$B$3=Adm!$B$11,D25,IF(Adm!C3=Adm!C5,L24*Adm!AI2/1000,PMT(Adm!AH3/12,Adm!G3,-L24))))</f>
        <v>9615.3060549778729</v>
      </c>
      <c r="G25" s="178">
        <f>IF(L24&lt;0.01,0,IF(Adm!$S$3=Adm!$S$13,Cal!$E$94,IF(Adm!$R$3=Adm!$R$6,0,IF(Cal!$E$91&gt;0,0,IF(Cal!$E$91=0,L24*Adm!$Y$3,L24*Adm!$X$3)))))</f>
        <v>0</v>
      </c>
      <c r="H25" s="931">
        <f>IF(L24&lt;0.01,0,IF(Adm!$R$4=Adm!$R$6,0,IF(Adm!$B$3=Adm!$B$12,0,IF(Adm!$B$3=Adm!$B$11,Cal!$E$89*Adm!$Z$3/1.16,Cal!$E$89*Adm!$AA$3/1.16))))</f>
        <v>494.46758620689661</v>
      </c>
      <c r="I25" s="178">
        <f>IF(L24&lt;0.01,0,Adm!$O$3)</f>
        <v>250</v>
      </c>
      <c r="J25" s="178">
        <f t="shared" ref="J25:J88" si="2">IF(L24&lt;0.01,0,F25+G25+H25+I25)</f>
        <v>10359.773641184769</v>
      </c>
      <c r="K25" s="178">
        <f>IF(Adm!$F$3="si",MIN(L24+D25+G25+H25+I25-J25,Y25),0)</f>
        <v>0</v>
      </c>
      <c r="L25" s="178">
        <f>IF(L24&lt;0.01,0,L24-E25-K25)</f>
        <v>1030091.0522783555</v>
      </c>
      <c r="M25" s="348"/>
      <c r="N25" s="348"/>
      <c r="O25" s="348">
        <f>J25+K25</f>
        <v>10359.773641184769</v>
      </c>
      <c r="U25" s="571">
        <f>IF(U24=12,1,U24+1)</f>
        <v>1</v>
      </c>
      <c r="V25" s="293"/>
      <c r="X25" s="341">
        <f>IF(AND(Adm!F3="si",Captura!L111&gt;0,Captura!L111&lt;Adm!F8),Captura!L111,IF(AND(Adm!F3="si",Captura!L111&gt;0,Captura!L111&gt;Adm!F8),Adm!F8,IF(AND(Adm!F3="si",Captura!L111=0,Captura!Y113&lt;Adm!F8),Captura!Y113,IF(AND(Adm!F3="si",Captura!L111=0,Captura!Y113&gt;Adm!F8),Adm!F8,0))))</f>
        <v>0</v>
      </c>
      <c r="Y25" s="344">
        <v>0</v>
      </c>
      <c r="AD25" s="172"/>
      <c r="AG25" s="151">
        <f t="shared" ref="AG25:AG88" ca="1" si="3">IF(AG24=12,1,AG24+1)</f>
        <v>12</v>
      </c>
      <c r="AI25" s="178">
        <f t="shared" ref="AI25:AI88" si="4">IF(AS24&lt;0.01,0,AI24+1)</f>
        <v>0</v>
      </c>
      <c r="AJ25" s="178">
        <f>IF(AS24&lt;0.01,0,AS24*$AL$9/12)</f>
        <v>0</v>
      </c>
      <c r="AK25" s="178">
        <f>IF(AS24&lt;0.01,0,IF(OR(Resol!$F$10=Resol!$T$11,Resol!$F$10=Resol!$T$12),0,AL25-AJ25))</f>
        <v>0</v>
      </c>
      <c r="AL25" s="930">
        <f>IF(AS24&lt;0.1,0,IF(OR(Resol!$F$10=Resol!$T$11,Resol!$F$10=Resol!$T$12),AJ25,IF(Resol!F15=Resol!Y3,AS24*CAT!AL11/1000,PMT(CAT!AL9/12,CAT!AL8,-AS24))))</f>
        <v>0</v>
      </c>
      <c r="AM25" s="351">
        <f>IF(AS24&lt;0.01,0,IF(Resol!$G$19&gt;0,Resol!$G$19,IF(Resol!$F$19=Resol!$U$5,0,IF($AS$10&gt;0,0,IF($AS$10=0,AS24*Adm!$Y$3,AS24*Adm!$X$3)))))</f>
        <v>0</v>
      </c>
      <c r="AN25" s="351">
        <f>IF(AS24&lt;0.01,0,IF(Resol!$F$20=Resol!$V$3,0,IF(Resol!$F$10=Resol!$T$13,0,IF(OR(Resol!$F$10=Resol!$T$11,Resol!$F$10=Resol!$T$12),$AL$5*Adm!$Z$4/1.16,IF(OR(Resol!$F$10=Resol!$T$16,Resol!$F$10=Resol!$T$17),0,$AL$5*Adm!$AA$4/1.16)))))</f>
        <v>0</v>
      </c>
      <c r="AO25" s="930">
        <f>IF(AS24&lt;0.01,0,IF(OR(Resol!$F$10=Resol!$T$16,Resol!$F$10=Resol!$T$17),0,Resol!I42/1.16))</f>
        <v>0</v>
      </c>
      <c r="AP25" s="178"/>
      <c r="AQ25" s="178">
        <f t="shared" ref="AQ25:AQ88" si="5">IF(AS24&lt;0.01,0,AL25+AM25+AN25+AO25)</f>
        <v>0</v>
      </c>
      <c r="AR25" s="178">
        <f>IF($AR$23&gt;"",MIN(AS24+AJ25+AM25+AN25+AO25-AQ25,BF25),0)</f>
        <v>0</v>
      </c>
      <c r="AS25" s="178">
        <f>IF(AS24&lt;0.01,0,AS24-AK25-AR25)</f>
        <v>0</v>
      </c>
      <c r="AT25" s="348"/>
      <c r="AU25" s="348"/>
      <c r="AV25" s="176">
        <f>AQ25+AR25</f>
        <v>0</v>
      </c>
      <c r="BB25" s="571">
        <f>IF(BB24=12,1,BB24+1)</f>
        <v>1</v>
      </c>
      <c r="BC25" s="293"/>
      <c r="BE25" s="341">
        <f>Resol!W42</f>
        <v>0</v>
      </c>
      <c r="BF25" s="344">
        <v>0</v>
      </c>
    </row>
    <row r="26" spans="1:58">
      <c r="A26" s="151">
        <f t="shared" ca="1" si="0"/>
        <v>1</v>
      </c>
      <c r="C26" s="178">
        <f t="shared" si="1"/>
        <v>2</v>
      </c>
      <c r="D26" s="178">
        <f t="shared" ref="D26:D89" si="6">IF(L25&lt;0.01,0,L25*$F$9/12)</f>
        <v>8154.8874972036474</v>
      </c>
      <c r="E26" s="178">
        <f>IF(L25&lt;0.01,0,IF(Adm!$B$3=Adm!$B$11,0,F26-D26))</f>
        <v>1460.4185577742255</v>
      </c>
      <c r="F26" s="178">
        <f>IF(L24&lt;0.1,0,MIN(L24+D26,IF(Adm!$B$3=Adm!$B$11,D26,F25*(1+V26))))</f>
        <v>9615.3060549778729</v>
      </c>
      <c r="G26" s="178">
        <f>IF(L25&lt;0.01,0,IF(Adm!$S$3=Adm!$S$13,Cal!$E$94,IF(Adm!$R$3=Adm!$R$6,0,IF(Cal!$E$91&gt;0,0,IF(Cal!$E$91=0,L25*Adm!$Y$3,L25*Adm!$X$3)))))</f>
        <v>0</v>
      </c>
      <c r="H26" s="178">
        <f>IF(L25&lt;0.01,0,IF(Adm!$R$4=Adm!$R$6,0,IF(Adm!$B$3=Adm!$B$12,0,IF(Adm!$B$3=Adm!$B$11,Cal!$E$89*Adm!$Z$3/1.16,Cal!$E$89*Adm!$AA$3/1.16))))</f>
        <v>494.46758620689661</v>
      </c>
      <c r="I26" s="178">
        <f>IF(L25&lt;0.01,0,Adm!$O$3)</f>
        <v>250</v>
      </c>
      <c r="J26" s="178">
        <f t="shared" si="2"/>
        <v>10359.773641184769</v>
      </c>
      <c r="K26" s="178">
        <f>IF(Adm!$F$3="si",MIN(L25+D26+G26+H26+I26-J26,Y26),0)</f>
        <v>0</v>
      </c>
      <c r="L26" s="178">
        <f t="shared" ref="L26:L89" si="7">IF(L25&lt;0.01,0,L25-E26-K26)</f>
        <v>1028630.6337205812</v>
      </c>
      <c r="M26" s="348"/>
      <c r="N26" s="348"/>
      <c r="O26" s="348">
        <f t="shared" ref="O26:O89" si="8">J26+K26</f>
        <v>10359.773641184769</v>
      </c>
      <c r="U26" s="571">
        <f t="shared" ref="U26:U89" si="9">IF(U25=12,1,U25+1)</f>
        <v>2</v>
      </c>
      <c r="V26" s="293">
        <f>IF(U26=1,Adm!$AN$2,0)</f>
        <v>0</v>
      </c>
      <c r="X26" s="341">
        <f>X25</f>
        <v>0</v>
      </c>
      <c r="Y26" s="345">
        <f t="shared" ref="Y26:Y89" ca="1" si="10">IF(MOD(A26,2)=0,X26*0.05*2,0)</f>
        <v>0</v>
      </c>
      <c r="AD26" s="172"/>
      <c r="AG26" s="151">
        <f t="shared" ca="1" si="3"/>
        <v>1</v>
      </c>
      <c r="AI26" s="178">
        <f t="shared" si="4"/>
        <v>0</v>
      </c>
      <c r="AJ26" s="178">
        <f t="shared" ref="AJ26:AJ89" si="11">IF(AS25&lt;0.01,0,AS25*$AL$9/12)</f>
        <v>0</v>
      </c>
      <c r="AK26" s="178">
        <f>IF(AS25&lt;0.01,0,IF(OR(Resol!$F$10=Resol!$T$11,Resol!$F$10=Resol!$T$12),0,AL26-AJ26))</f>
        <v>0</v>
      </c>
      <c r="AL26" s="351">
        <f>IF(AS24&lt;0.1,0,MIN(AS24+AJ26,IF(OR(Resol!$F$10=Resol!$T$11,Resol!$F$10=Resol!$T$12),AJ26,AL25*(1+BC26))))</f>
        <v>0</v>
      </c>
      <c r="AM26" s="351">
        <f>IF(AS25&lt;0.01,0,IF(Resol!$G$19&gt;0,Resol!$G$19,IF(Resol!$F$19=Resol!$U$5,0,IF($AS$10&gt;0,0,IF($AS$10=0,AS25*Adm!$Y$3,AS25*Adm!$X$3)))))</f>
        <v>0</v>
      </c>
      <c r="AN26" s="351">
        <f>IF(AS25&lt;0.01,0,IF(Resol!$F$20=Resol!$V$3,0,IF(Resol!$F$10=Resol!$T$13,0,IF(OR(Resol!$F$10=Resol!$T$11,Resol!$F$10=Resol!$T$12),$AL$5*Adm!$Z$4/1.16,IF(OR(Resol!$F$10=Resol!$T$16,Resol!$F$10=Resol!$T$17),0,$AL$5*Adm!$AA$4/1.16)))))</f>
        <v>0</v>
      </c>
      <c r="AO26" s="178">
        <f>IF(AS25&lt;0.01,0,AO25)</f>
        <v>0</v>
      </c>
      <c r="AP26" s="178"/>
      <c r="AQ26" s="178">
        <f t="shared" si="5"/>
        <v>0</v>
      </c>
      <c r="AR26" s="178">
        <f t="shared" ref="AR26:AR89" si="12">IF($AR$23&gt;"",MIN(AS25+AJ26+AM26+AN26+AO26-AQ26,BF26),0)</f>
        <v>0</v>
      </c>
      <c r="AS26" s="178">
        <f t="shared" ref="AS26" si="13">IF(AS25&lt;0.01,0,AS25-AK26-AR26)</f>
        <v>0</v>
      </c>
      <c r="AT26" s="348"/>
      <c r="AU26" s="348"/>
      <c r="AV26" s="176">
        <f t="shared" ref="AV26" si="14">AQ26+AR26</f>
        <v>0</v>
      </c>
      <c r="BB26" s="571">
        <f t="shared" ref="BB26:BB89" si="15">IF(BB25=12,1,BB25+1)</f>
        <v>2</v>
      </c>
      <c r="BC26" s="293">
        <f>IF(BB26=1,Adm!$AN$2,0)</f>
        <v>0</v>
      </c>
      <c r="BE26" s="341">
        <f>BE25</f>
        <v>0</v>
      </c>
      <c r="BF26" s="345">
        <f t="shared" ref="BF26:BF89" ca="1" si="16">IF(MOD(AG26,2)=0,BE26*0.05*2,0)</f>
        <v>0</v>
      </c>
    </row>
    <row r="27" spans="1:58">
      <c r="A27" s="151">
        <f t="shared" ca="1" si="0"/>
        <v>2</v>
      </c>
      <c r="C27" s="178">
        <f t="shared" si="1"/>
        <v>3</v>
      </c>
      <c r="D27" s="178">
        <f t="shared" si="6"/>
        <v>8143.3258502879353</v>
      </c>
      <c r="E27" s="178">
        <f>IF(L26&lt;0.01,0,IF(Adm!$B$3=Adm!$B$11,0,F27-D27))</f>
        <v>1471.9802046899376</v>
      </c>
      <c r="F27" s="178">
        <f>IF(L25&lt;0.1,0,MIN(L25+D27,IF(Adm!$B$3=Adm!$B$11,D27,F26*(1+V27))))</f>
        <v>9615.3060549778729</v>
      </c>
      <c r="G27" s="178">
        <f>IF(L26&lt;0.01,0,IF(Adm!$S$3=Adm!$S$13,Cal!$E$94,IF(Adm!$R$3=Adm!$R$6,0,IF(Cal!$E$91&gt;0,0,IF(Cal!$E$91=0,L26*Adm!$Y$3,L26*Adm!$X$3)))))</f>
        <v>0</v>
      </c>
      <c r="H27" s="178">
        <f>IF(L26&lt;0.01,0,IF(Adm!$R$4=Adm!$R$6,0,IF(Adm!$B$3=Adm!$B$12,0,IF(Adm!$B$3=Adm!$B$11,Cal!$E$89*Adm!$Z$3/1.16,Cal!$E$89*Adm!$AA$3/1.16))))</f>
        <v>494.46758620689661</v>
      </c>
      <c r="I27" s="178">
        <f>IF(L26&lt;0.01,0,Adm!$O$3)</f>
        <v>250</v>
      </c>
      <c r="J27" s="178">
        <f t="shared" si="2"/>
        <v>10359.773641184769</v>
      </c>
      <c r="K27" s="178">
        <f>IF(Adm!$F$3="si",MIN(L26+D27+G27+H27+I27-J27,Y27),0)</f>
        <v>0</v>
      </c>
      <c r="L27" s="349">
        <f>IF(L26&lt;0.01,0,L26-E27-K27)+M27</f>
        <v>1027158.6535158913</v>
      </c>
      <c r="M27" s="348">
        <f>IF(Adm!B3=Adm!B11,Cal!E105,0)</f>
        <v>0</v>
      </c>
      <c r="N27" s="348"/>
      <c r="O27" s="348">
        <f>J27+K27-M27</f>
        <v>10359.773641184769</v>
      </c>
      <c r="U27" s="571">
        <f t="shared" si="9"/>
        <v>3</v>
      </c>
      <c r="V27" s="293">
        <f>IF(U27=1,Adm!$AN$2,0)</f>
        <v>0</v>
      </c>
      <c r="X27" s="341">
        <f t="shared" ref="X27:X90" si="17">X26</f>
        <v>0</v>
      </c>
      <c r="Y27" s="345">
        <f t="shared" ca="1" si="10"/>
        <v>0</v>
      </c>
      <c r="AD27" s="172"/>
      <c r="AG27" s="151">
        <f t="shared" ca="1" si="3"/>
        <v>2</v>
      </c>
      <c r="AI27" s="178">
        <f t="shared" si="4"/>
        <v>0</v>
      </c>
      <c r="AJ27" s="178">
        <f t="shared" si="11"/>
        <v>0</v>
      </c>
      <c r="AK27" s="178">
        <f>IF(AS26&lt;0.01,0,IF(OR(Resol!$F$10=Resol!$T$11,Resol!$F$10=Resol!$T$12),0,AL27-AJ27))</f>
        <v>0</v>
      </c>
      <c r="AL27" s="351">
        <f>IF(AS25&lt;0.1,0,MIN(AS25+AJ27,IF(OR(Resol!$F$10=Resol!$T$11,Resol!$F$10=Resol!$T$12),AJ27,AL26*(1+BC27))))</f>
        <v>0</v>
      </c>
      <c r="AM27" s="351">
        <f>IF(AS26&lt;0.01,0,IF(Resol!$G$19&gt;0,Resol!$G$19,IF(Resol!$F$19=Resol!$U$5,0,IF($AS$10&gt;0,0,IF($AS$10=0,AS26*Adm!$Y$3,AS26*Adm!$X$3)))))</f>
        <v>0</v>
      </c>
      <c r="AN27" s="351">
        <f>IF(AS26&lt;0.01,0,IF(Resol!$F$20=Resol!$V$3,0,IF(Resol!$F$10=Resol!$T$13,0,IF(OR(Resol!$F$10=Resol!$T$11,Resol!$F$10=Resol!$T$12),$AL$5*Adm!$Z$4/1.16,IF(OR(Resol!$F$10=Resol!$T$16,Resol!$F$10=Resol!$T$17),0,$AL$5*Adm!$AA$4/1.16)))))</f>
        <v>0</v>
      </c>
      <c r="AO27" s="178">
        <f t="shared" ref="AO27:AO90" si="18">IF(AS26&lt;0.01,0,AO26)</f>
        <v>0</v>
      </c>
      <c r="AP27" s="178"/>
      <c r="AQ27" s="178">
        <f t="shared" si="5"/>
        <v>0</v>
      </c>
      <c r="AR27" s="178">
        <f t="shared" si="12"/>
        <v>0</v>
      </c>
      <c r="AS27" s="349">
        <f>IF(AS26&lt;0.01,0,AS26-AK27-AR27)+AT27</f>
        <v>0</v>
      </c>
      <c r="AT27" s="348">
        <f>Resol!O44</f>
        <v>0</v>
      </c>
      <c r="AU27" s="348"/>
      <c r="AV27" s="176">
        <f>AQ27+AR27-AT27</f>
        <v>0</v>
      </c>
      <c r="BB27" s="571">
        <f t="shared" si="15"/>
        <v>3</v>
      </c>
      <c r="BC27" s="293">
        <f>IF(BB27=1,Adm!$AN$2,0)</f>
        <v>0</v>
      </c>
      <c r="BE27" s="341">
        <f t="shared" ref="BE27:BE90" si="19">BE26</f>
        <v>0</v>
      </c>
      <c r="BF27" s="345">
        <f t="shared" ca="1" si="16"/>
        <v>0</v>
      </c>
    </row>
    <row r="28" spans="1:58">
      <c r="A28" s="151">
        <f t="shared" ca="1" si="0"/>
        <v>3</v>
      </c>
      <c r="C28" s="178">
        <f t="shared" si="1"/>
        <v>4</v>
      </c>
      <c r="D28" s="178">
        <f t="shared" si="6"/>
        <v>8131.6726736674727</v>
      </c>
      <c r="E28" s="178">
        <f>IF(L27&lt;0.01,0,IF(Adm!$B$3=Adm!$B$11,0,F28-D28))</f>
        <v>1483.6333813104002</v>
      </c>
      <c r="F28" s="178">
        <f>IF(L26&lt;0.1,0,MIN(L26+D28,IF(Adm!$B$3=Adm!$B$11,D28,F27*(1+V28))))</f>
        <v>9615.3060549778729</v>
      </c>
      <c r="G28" s="178">
        <f>IF(L27&lt;0.01,0,IF(Adm!$S$3=Adm!$S$13,Cal!$E$94,IF(Adm!$R$3=Adm!$R$6,0,IF(Cal!$E$91&gt;0,0,IF(Cal!$E$91=0,L27*Adm!$Y$3,L27*Adm!$X$3)))))</f>
        <v>0</v>
      </c>
      <c r="H28" s="178">
        <f>IF(L27&lt;0.01,0,IF(Adm!$R$4=Adm!$R$6,0,IF(Adm!$B$3=Adm!$B$12,0,IF(Adm!$B$3=Adm!$B$11,Cal!$E$89*Adm!$Z$3/1.16,Cal!$E$89*Adm!$AA$3/1.16))))</f>
        <v>494.46758620689661</v>
      </c>
      <c r="I28" s="178">
        <f>IF(L27&lt;0.01,0,Adm!$O$3)</f>
        <v>250</v>
      </c>
      <c r="J28" s="178">
        <f t="shared" si="2"/>
        <v>10359.773641184769</v>
      </c>
      <c r="K28" s="178">
        <f>IF(Adm!$F$3="si",MIN(L27+D28+G28+H28+I28-J28,Y28),0)</f>
        <v>0</v>
      </c>
      <c r="L28" s="178">
        <f t="shared" si="7"/>
        <v>1025675.0201345809</v>
      </c>
      <c r="M28" s="348"/>
      <c r="N28" s="348"/>
      <c r="O28" s="348">
        <f t="shared" si="8"/>
        <v>10359.773641184769</v>
      </c>
      <c r="U28" s="571">
        <f t="shared" si="9"/>
        <v>4</v>
      </c>
      <c r="V28" s="293">
        <f>IF(U28=1,Adm!$AN$2,0)</f>
        <v>0</v>
      </c>
      <c r="X28" s="341">
        <f t="shared" si="17"/>
        <v>0</v>
      </c>
      <c r="Y28" s="345">
        <f t="shared" ca="1" si="10"/>
        <v>0</v>
      </c>
      <c r="AD28" s="172"/>
      <c r="AG28" s="151">
        <f t="shared" ca="1" si="3"/>
        <v>3</v>
      </c>
      <c r="AI28" s="178">
        <f t="shared" si="4"/>
        <v>0</v>
      </c>
      <c r="AJ28" s="178">
        <f t="shared" si="11"/>
        <v>0</v>
      </c>
      <c r="AK28" s="178">
        <f>IF(AS27&lt;0.01,0,IF(OR(Resol!$F$10=Resol!$T$11,Resol!$F$10=Resol!$T$12),0,AL28-AJ28))</f>
        <v>0</v>
      </c>
      <c r="AL28" s="351">
        <f>IF(AS26&lt;0.1,0,MIN(AS26+AJ28,IF(OR(Resol!$F$10=Resol!$T$11,Resol!$F$10=Resol!$T$12),AJ28,AL27*(1+BC28))))</f>
        <v>0</v>
      </c>
      <c r="AM28" s="351">
        <f>IF(AS27&lt;0.01,0,IF(Resol!$G$19&gt;0,Resol!$G$19,IF(Resol!$F$19=Resol!$U$5,0,IF($AS$10&gt;0,0,IF($AS$10=0,AS27*Adm!$Y$3,AS27*Adm!$X$3)))))</f>
        <v>0</v>
      </c>
      <c r="AN28" s="351">
        <f>IF(AS27&lt;0.01,0,IF(Resol!$F$20=Resol!$V$3,0,IF(Resol!$F$10=Resol!$T$13,0,IF(OR(Resol!$F$10=Resol!$T$11,Resol!$F$10=Resol!$T$12),$AL$5*Adm!$Z$4/1.16,IF(OR(Resol!$F$10=Resol!$T$16,Resol!$F$10=Resol!$T$17),0,$AL$5*Adm!$AA$4/1.16)))))</f>
        <v>0</v>
      </c>
      <c r="AO28" s="178">
        <f t="shared" si="18"/>
        <v>0</v>
      </c>
      <c r="AP28" s="178"/>
      <c r="AQ28" s="178">
        <f t="shared" si="5"/>
        <v>0</v>
      </c>
      <c r="AR28" s="178">
        <f t="shared" si="12"/>
        <v>0</v>
      </c>
      <c r="AS28" s="178">
        <f t="shared" ref="AS28" si="20">IF(AS27&lt;0.01,0,AS27-AK28-AR28)</f>
        <v>0</v>
      </c>
      <c r="AT28" s="348"/>
      <c r="AU28" s="348"/>
      <c r="AV28" s="176">
        <f t="shared" ref="AV28" si="21">AQ28+AR28</f>
        <v>0</v>
      </c>
      <c r="BB28" s="571">
        <f t="shared" si="15"/>
        <v>4</v>
      </c>
      <c r="BC28" s="293">
        <f>IF(BB28=1,Adm!$AN$2,0)</f>
        <v>0</v>
      </c>
      <c r="BE28" s="341">
        <f t="shared" si="19"/>
        <v>0</v>
      </c>
      <c r="BF28" s="345">
        <f t="shared" ca="1" si="16"/>
        <v>0</v>
      </c>
    </row>
    <row r="29" spans="1:58">
      <c r="A29" s="151">
        <f t="shared" ca="1" si="0"/>
        <v>4</v>
      </c>
      <c r="C29" s="178">
        <f t="shared" si="1"/>
        <v>5</v>
      </c>
      <c r="D29" s="178">
        <f t="shared" si="6"/>
        <v>8119.9272427320984</v>
      </c>
      <c r="E29" s="178">
        <f>IF(L28&lt;0.01,0,IF(Adm!$B$3=Adm!$B$11,0,F29-D29))</f>
        <v>1495.3788122457745</v>
      </c>
      <c r="F29" s="178">
        <f>IF(L27&lt;0.1,0,MIN(L27+D29,IF(Adm!$B$3=Adm!$B$11,D29,F28*(1+V29))))</f>
        <v>9615.3060549778729</v>
      </c>
      <c r="G29" s="178">
        <f>IF(L28&lt;0.01,0,IF(Adm!$S$3=Adm!$S$13,Cal!$E$94,IF(Adm!$R$3=Adm!$R$6,0,IF(Cal!$E$91&gt;0,0,IF(Cal!$E$91=0,L28*Adm!$Y$3,L28*Adm!$X$3)))))</f>
        <v>0</v>
      </c>
      <c r="H29" s="178">
        <f>IF(L28&lt;0.01,0,IF(Adm!$R$4=Adm!$R$6,0,IF(Adm!$B$3=Adm!$B$12,0,IF(Adm!$B$3=Adm!$B$11,Cal!$E$89*Adm!$Z$3/1.16,Cal!$E$89*Adm!$AA$3/1.16))))</f>
        <v>494.46758620689661</v>
      </c>
      <c r="I29" s="178">
        <f>IF(L28&lt;0.01,0,Adm!$O$3)</f>
        <v>250</v>
      </c>
      <c r="J29" s="178">
        <f t="shared" si="2"/>
        <v>10359.773641184769</v>
      </c>
      <c r="K29" s="178">
        <f>IF(Adm!$F$3="si",MIN(L28+D29+G29+H29+I29-J29,Y29),0)</f>
        <v>0</v>
      </c>
      <c r="L29" s="349">
        <f>IF(L28&lt;0.01,0,L28-E29-K29)+M29</f>
        <v>1024179.6413223351</v>
      </c>
      <c r="M29" s="348">
        <f>IF(Adm!B3=Adm!B11,Cal!E105,0)</f>
        <v>0</v>
      </c>
      <c r="N29" s="348"/>
      <c r="O29" s="348">
        <f>J29+K29-M29</f>
        <v>10359.773641184769</v>
      </c>
      <c r="U29" s="571">
        <f t="shared" si="9"/>
        <v>5</v>
      </c>
      <c r="V29" s="293">
        <f>IF(U29=1,Adm!$AN$2,0)</f>
        <v>0</v>
      </c>
      <c r="X29" s="341">
        <f t="shared" si="17"/>
        <v>0</v>
      </c>
      <c r="Y29" s="345">
        <f t="shared" ca="1" si="10"/>
        <v>0</v>
      </c>
      <c r="AD29" s="172"/>
      <c r="AG29" s="151">
        <f t="shared" ca="1" si="3"/>
        <v>4</v>
      </c>
      <c r="AI29" s="178">
        <f t="shared" si="4"/>
        <v>0</v>
      </c>
      <c r="AJ29" s="178">
        <f t="shared" si="11"/>
        <v>0</v>
      </c>
      <c r="AK29" s="178">
        <f>IF(AS28&lt;0.01,0,IF(OR(Resol!$F$10=Resol!$T$11,Resol!$F$10=Resol!$T$12),0,AL29-AJ29))</f>
        <v>0</v>
      </c>
      <c r="AL29" s="351">
        <f>IF(AS27&lt;0.1,0,MIN(AS27+AJ29,IF(OR(Resol!$F$10=Resol!$T$11,Resol!$F$10=Resol!$T$12),AJ29,AL28*(1+BC29))))</f>
        <v>0</v>
      </c>
      <c r="AM29" s="351">
        <f>IF(AS28&lt;0.01,0,IF(Resol!$G$19&gt;0,Resol!$G$19,IF(Resol!$F$19=Resol!$U$5,0,IF($AS$10&gt;0,0,IF($AS$10=0,AS28*Adm!$Y$3,AS28*Adm!$X$3)))))</f>
        <v>0</v>
      </c>
      <c r="AN29" s="351">
        <f>IF(AS28&lt;0.01,0,IF(Resol!$F$20=Resol!$V$3,0,IF(Resol!$F$10=Resol!$T$13,0,IF(OR(Resol!$F$10=Resol!$T$11,Resol!$F$10=Resol!$T$12),$AL$5*Adm!$Z$4/1.16,IF(OR(Resol!$F$10=Resol!$T$16,Resol!$F$10=Resol!$T$17),0,$AL$5*Adm!$AA$4/1.16)))))</f>
        <v>0</v>
      </c>
      <c r="AO29" s="178">
        <f t="shared" si="18"/>
        <v>0</v>
      </c>
      <c r="AP29" s="178"/>
      <c r="AQ29" s="178">
        <f t="shared" si="5"/>
        <v>0</v>
      </c>
      <c r="AR29" s="178">
        <f t="shared" si="12"/>
        <v>0</v>
      </c>
      <c r="AS29" s="349">
        <f>IF(AS28&lt;0.01,0,AS28-AK29-AR29)+AT29</f>
        <v>0</v>
      </c>
      <c r="AT29" s="348">
        <f>Resol!O46</f>
        <v>0</v>
      </c>
      <c r="AU29" s="348"/>
      <c r="AV29" s="176">
        <f>AQ29+AR29-AT29</f>
        <v>0</v>
      </c>
      <c r="BB29" s="571">
        <f t="shared" si="15"/>
        <v>5</v>
      </c>
      <c r="BC29" s="293">
        <f>IF(BB29=1,Adm!$AN$2,0)</f>
        <v>0</v>
      </c>
      <c r="BE29" s="341">
        <f t="shared" si="19"/>
        <v>0</v>
      </c>
      <c r="BF29" s="345">
        <f t="shared" ca="1" si="16"/>
        <v>0</v>
      </c>
    </row>
    <row r="30" spans="1:58">
      <c r="A30" s="151">
        <f t="shared" ca="1" si="0"/>
        <v>5</v>
      </c>
      <c r="C30" s="178">
        <f t="shared" si="1"/>
        <v>6</v>
      </c>
      <c r="D30" s="178">
        <f t="shared" si="6"/>
        <v>8108.0888271351532</v>
      </c>
      <c r="E30" s="178">
        <f>IF(L29&lt;0.01,0,IF(Adm!$B$3=Adm!$B$11,0,F30-D30))</f>
        <v>1507.2172278427197</v>
      </c>
      <c r="F30" s="178">
        <f>IF(L28&lt;0.1,0,MIN(L28+D30,IF(Adm!$B$3=Adm!$B$11,D30,F29*(1+V30))))</f>
        <v>9615.3060549778729</v>
      </c>
      <c r="G30" s="178">
        <f>IF(L29&lt;0.01,0,IF(Adm!$S$3=Adm!$S$13,Cal!$E$94,IF(Adm!$R$3=Adm!$R$6,0,IF(Cal!$E$91&gt;0,0,IF(Cal!$E$91=0,L29*Adm!$Y$3,L29*Adm!$X$3)))))</f>
        <v>0</v>
      </c>
      <c r="H30" s="178">
        <f>IF(L29&lt;0.01,0,IF(Adm!$R$4=Adm!$R$6,0,IF(Adm!$B$3=Adm!$B$12,0,IF(Adm!$B$3=Adm!$B$11,Cal!$E$89*Adm!$Z$3/1.16,Cal!$E$89*Adm!$AA$3/1.16))))</f>
        <v>494.46758620689661</v>
      </c>
      <c r="I30" s="178">
        <f>IF(L29&lt;0.01,0,Adm!$O$3)</f>
        <v>250</v>
      </c>
      <c r="J30" s="178">
        <f t="shared" si="2"/>
        <v>10359.773641184769</v>
      </c>
      <c r="K30" s="178">
        <f>IF(Adm!$F$3="si",MIN(L29+D30+G30+H30+I30-J30,Y30),0)</f>
        <v>0</v>
      </c>
      <c r="L30" s="178">
        <f t="shared" si="7"/>
        <v>1022672.4240944923</v>
      </c>
      <c r="M30" s="348"/>
      <c r="N30" s="348"/>
      <c r="O30" s="348">
        <f t="shared" si="8"/>
        <v>10359.773641184769</v>
      </c>
      <c r="U30" s="571">
        <f t="shared" si="9"/>
        <v>6</v>
      </c>
      <c r="V30" s="293">
        <f>IF(U30=1,Adm!$AN$2,0)</f>
        <v>0</v>
      </c>
      <c r="X30" s="341">
        <f t="shared" si="17"/>
        <v>0</v>
      </c>
      <c r="Y30" s="345">
        <f t="shared" ca="1" si="10"/>
        <v>0</v>
      </c>
      <c r="AD30" s="172"/>
      <c r="AG30" s="151">
        <f t="shared" ca="1" si="3"/>
        <v>5</v>
      </c>
      <c r="AI30" s="178">
        <f t="shared" si="4"/>
        <v>0</v>
      </c>
      <c r="AJ30" s="178">
        <f t="shared" si="11"/>
        <v>0</v>
      </c>
      <c r="AK30" s="178">
        <f>IF(AS29&lt;0.01,0,IF(OR(Resol!$F$10=Resol!$T$11,Resol!$F$10=Resol!$T$12),0,AL30-AJ30))</f>
        <v>0</v>
      </c>
      <c r="AL30" s="351">
        <f>IF(AS28&lt;0.1,0,MIN(AS28+AJ30,IF(OR(Resol!$F$10=Resol!$T$11,Resol!$F$10=Resol!$T$12),AJ30,AL29*(1+BC30))))</f>
        <v>0</v>
      </c>
      <c r="AM30" s="351">
        <f>IF(AS29&lt;0.01,0,IF(Resol!$G$19&gt;0,Resol!$G$19,IF(Resol!$F$19=Resol!$U$5,0,IF($AS$10&gt;0,0,IF($AS$10=0,AS29*Adm!$Y$3,AS29*Adm!$X$3)))))</f>
        <v>0</v>
      </c>
      <c r="AN30" s="351">
        <f>IF(AS29&lt;0.01,0,IF(Resol!$F$20=Resol!$V$3,0,IF(Resol!$F$10=Resol!$T$13,0,IF(OR(Resol!$F$10=Resol!$T$11,Resol!$F$10=Resol!$T$12),$AL$5*Adm!$Z$4/1.16,IF(OR(Resol!$F$10=Resol!$T$16,Resol!$F$10=Resol!$T$17),0,$AL$5*Adm!$AA$4/1.16)))))</f>
        <v>0</v>
      </c>
      <c r="AO30" s="178">
        <f t="shared" si="18"/>
        <v>0</v>
      </c>
      <c r="AP30" s="178"/>
      <c r="AQ30" s="178">
        <f t="shared" si="5"/>
        <v>0</v>
      </c>
      <c r="AR30" s="178">
        <f t="shared" si="12"/>
        <v>0</v>
      </c>
      <c r="AS30" s="178">
        <f t="shared" ref="AS30" si="22">IF(AS29&lt;0.01,0,AS29-AK30-AR30)</f>
        <v>0</v>
      </c>
      <c r="AT30" s="348"/>
      <c r="AU30" s="348"/>
      <c r="AV30" s="176">
        <f t="shared" ref="AV30" si="23">AQ30+AR30</f>
        <v>0</v>
      </c>
      <c r="BB30" s="571">
        <f t="shared" si="15"/>
        <v>6</v>
      </c>
      <c r="BC30" s="293">
        <f>IF(BB30=1,Adm!$AN$2,0)</f>
        <v>0</v>
      </c>
      <c r="BE30" s="341">
        <f t="shared" si="19"/>
        <v>0</v>
      </c>
      <c r="BF30" s="345">
        <f t="shared" ca="1" si="16"/>
        <v>0</v>
      </c>
    </row>
    <row r="31" spans="1:58">
      <c r="A31" s="151">
        <f t="shared" ca="1" si="0"/>
        <v>6</v>
      </c>
      <c r="C31" s="178">
        <f t="shared" si="1"/>
        <v>7</v>
      </c>
      <c r="D31" s="178">
        <f t="shared" si="6"/>
        <v>8096.1566907480637</v>
      </c>
      <c r="E31" s="178">
        <f>IF(L30&lt;0.01,0,IF(Adm!$B$3=Adm!$B$11,0,F31-D31))</f>
        <v>1519.1493642298092</v>
      </c>
      <c r="F31" s="178">
        <f>IF(L29&lt;0.1,0,MIN(L29+D31,IF(Adm!$B$3=Adm!$B$11,D31,F30*(1+V31))))</f>
        <v>9615.3060549778729</v>
      </c>
      <c r="G31" s="178">
        <f>IF(L30&lt;0.01,0,IF(Adm!$S$3=Adm!$S$13,Cal!$E$94,IF(Adm!$R$3=Adm!$R$6,0,IF(Cal!$E$91&gt;0,0,IF(Cal!$E$91=0,L30*Adm!$Y$3,L30*Adm!$X$3)))))</f>
        <v>0</v>
      </c>
      <c r="H31" s="178">
        <f>IF(L30&lt;0.01,0,IF(Adm!$R$4=Adm!$R$6,0,IF(Adm!$B$3=Adm!$B$12,0,IF(Adm!$B$3=Adm!$B$11,Cal!$E$89*Adm!$Z$3/1.16,Cal!$E$89*Adm!$AA$3/1.16))))</f>
        <v>494.46758620689661</v>
      </c>
      <c r="I31" s="178">
        <f>IF(L30&lt;0.01,0,Adm!$O$3)</f>
        <v>250</v>
      </c>
      <c r="J31" s="178">
        <f t="shared" si="2"/>
        <v>10359.773641184769</v>
      </c>
      <c r="K31" s="178">
        <f>IF(Adm!$F$3="si",MIN(L30+D31+G31+H31+I31-J31,Y31),0)</f>
        <v>0</v>
      </c>
      <c r="L31" s="349">
        <f>IF(L30&lt;0.01,0,L30-E31-K31)+M31</f>
        <v>1021153.2747302626</v>
      </c>
      <c r="M31" s="348">
        <f>IF(Adm!B3=Adm!B11,Cal!E105,0)</f>
        <v>0</v>
      </c>
      <c r="N31" s="348"/>
      <c r="O31" s="348">
        <f>J31+K31-M31</f>
        <v>10359.773641184769</v>
      </c>
      <c r="U31" s="571">
        <f t="shared" si="9"/>
        <v>7</v>
      </c>
      <c r="V31" s="293">
        <f>IF(U31=1,Adm!$AN$2,0)</f>
        <v>0</v>
      </c>
      <c r="X31" s="341">
        <f t="shared" si="17"/>
        <v>0</v>
      </c>
      <c r="Y31" s="345">
        <f t="shared" ca="1" si="10"/>
        <v>0</v>
      </c>
      <c r="AD31" s="172"/>
      <c r="AG31" s="151">
        <f t="shared" ca="1" si="3"/>
        <v>6</v>
      </c>
      <c r="AI31" s="178">
        <f t="shared" si="4"/>
        <v>0</v>
      </c>
      <c r="AJ31" s="178">
        <f t="shared" si="11"/>
        <v>0</v>
      </c>
      <c r="AK31" s="178">
        <f>IF(AS30&lt;0.01,0,IF(OR(Resol!$F$10=Resol!$T$11,Resol!$F$10=Resol!$T$12),0,AL31-AJ31))</f>
        <v>0</v>
      </c>
      <c r="AL31" s="351">
        <f>IF(AS29&lt;0.1,0,MIN(AS29+AJ31,IF(OR(Resol!$F$10=Resol!$T$11,Resol!$F$10=Resol!$T$12),AJ31,AL30*(1+BC31))))</f>
        <v>0</v>
      </c>
      <c r="AM31" s="351">
        <f>IF(AS30&lt;0.01,0,IF(Resol!$G$19&gt;0,Resol!$G$19,IF(Resol!$F$19=Resol!$U$5,0,IF($AS$10&gt;0,0,IF($AS$10=0,AS30*Adm!$Y$3,AS30*Adm!$X$3)))))</f>
        <v>0</v>
      </c>
      <c r="AN31" s="351">
        <f>IF(AS30&lt;0.01,0,IF(Resol!$F$20=Resol!$V$3,0,IF(Resol!$F$10=Resol!$T$13,0,IF(OR(Resol!$F$10=Resol!$T$11,Resol!$F$10=Resol!$T$12),$AL$5*Adm!$Z$4/1.16,IF(OR(Resol!$F$10=Resol!$T$16,Resol!$F$10=Resol!$T$17),0,$AL$5*Adm!$AA$4/1.16)))))</f>
        <v>0</v>
      </c>
      <c r="AO31" s="178">
        <f t="shared" si="18"/>
        <v>0</v>
      </c>
      <c r="AP31" s="178"/>
      <c r="AQ31" s="178">
        <f t="shared" si="5"/>
        <v>0</v>
      </c>
      <c r="AR31" s="178">
        <f t="shared" si="12"/>
        <v>0</v>
      </c>
      <c r="AS31" s="349">
        <f>IF(AS30&lt;0.01,0,AS30-AK31-AR31)+AT31</f>
        <v>0</v>
      </c>
      <c r="AT31" s="348">
        <f>Resol!O48</f>
        <v>0</v>
      </c>
      <c r="AU31" s="348"/>
      <c r="AV31" s="176">
        <f>AQ31+AR31-AT31</f>
        <v>0</v>
      </c>
      <c r="BB31" s="571">
        <f t="shared" si="15"/>
        <v>7</v>
      </c>
      <c r="BC31" s="293">
        <f>IF(BB31=1,Adm!$AN$2,0)</f>
        <v>0</v>
      </c>
      <c r="BE31" s="341">
        <f t="shared" si="19"/>
        <v>0</v>
      </c>
      <c r="BF31" s="345">
        <f t="shared" ca="1" si="16"/>
        <v>0</v>
      </c>
    </row>
    <row r="32" spans="1:58">
      <c r="A32" s="151">
        <f t="shared" ca="1" si="0"/>
        <v>7</v>
      </c>
      <c r="C32" s="178">
        <f t="shared" si="1"/>
        <v>8</v>
      </c>
      <c r="D32" s="178">
        <f t="shared" si="6"/>
        <v>8084.1300916145783</v>
      </c>
      <c r="E32" s="178">
        <f>IF(L31&lt;0.01,0,IF(Adm!$B$3=Adm!$B$11,0,F32-D32))</f>
        <v>1531.1759633632946</v>
      </c>
      <c r="F32" s="178">
        <f>IF(L30&lt;0.1,0,MIN(L30+D32,IF(Adm!$B$3=Adm!$B$11,D32,F31*(1+V32))))</f>
        <v>9615.3060549778729</v>
      </c>
      <c r="G32" s="178">
        <f>IF(L31&lt;0.01,0,IF(Adm!$S$3=Adm!$S$13,Cal!$E$94,IF(Adm!$R$3=Adm!$R$6,0,IF(Cal!$E$91&gt;0,0,IF(Cal!$E$91=0,L31*Adm!$Y$3,L31*Adm!$X$3)))))</f>
        <v>0</v>
      </c>
      <c r="H32" s="178">
        <f>IF(L31&lt;0.01,0,IF(Adm!$R$4=Adm!$R$6,0,IF(Adm!$B$3=Adm!$B$12,0,IF(Adm!$B$3=Adm!$B$11,Cal!$E$89*Adm!$Z$3/1.16,Cal!$E$89*Adm!$AA$3/1.16))))</f>
        <v>494.46758620689661</v>
      </c>
      <c r="I32" s="178">
        <f>IF(L31&lt;0.01,0,Adm!$O$3)</f>
        <v>250</v>
      </c>
      <c r="J32" s="178">
        <f t="shared" si="2"/>
        <v>10359.773641184769</v>
      </c>
      <c r="K32" s="178">
        <f>IF(Adm!$F$3="si",MIN(L31+D32+G32+H32+I32-J32,Y32),0)</f>
        <v>0</v>
      </c>
      <c r="L32" s="178">
        <f t="shared" si="7"/>
        <v>1019622.0987668993</v>
      </c>
      <c r="M32" s="348"/>
      <c r="N32" s="348"/>
      <c r="O32" s="348">
        <f t="shared" si="8"/>
        <v>10359.773641184769</v>
      </c>
      <c r="U32" s="571">
        <f t="shared" si="9"/>
        <v>8</v>
      </c>
      <c r="V32" s="293">
        <f>IF(U32=1,Adm!$AN$2,0)</f>
        <v>0</v>
      </c>
      <c r="X32" s="341">
        <f t="shared" si="17"/>
        <v>0</v>
      </c>
      <c r="Y32" s="345">
        <f t="shared" ca="1" si="10"/>
        <v>0</v>
      </c>
      <c r="AD32" s="172"/>
      <c r="AG32" s="151">
        <f t="shared" ca="1" si="3"/>
        <v>7</v>
      </c>
      <c r="AI32" s="178">
        <f t="shared" si="4"/>
        <v>0</v>
      </c>
      <c r="AJ32" s="178">
        <f t="shared" si="11"/>
        <v>0</v>
      </c>
      <c r="AK32" s="178">
        <f>IF(AS31&lt;0.01,0,IF(OR(Resol!$F$10=Resol!$T$11,Resol!$F$10=Resol!$T$12),0,AL32-AJ32))</f>
        <v>0</v>
      </c>
      <c r="AL32" s="351">
        <f>IF(AS30&lt;0.1,0,MIN(AS30+AJ32,IF(OR(Resol!$F$10=Resol!$T$11,Resol!$F$10=Resol!$T$12),AJ32,AL31*(1+BC32))))</f>
        <v>0</v>
      </c>
      <c r="AM32" s="351">
        <f>IF(AS31&lt;0.01,0,IF(Resol!$G$19&gt;0,Resol!$G$19,IF(Resol!$F$19=Resol!$U$5,0,IF($AS$10&gt;0,0,IF($AS$10=0,AS31*Adm!$Y$3,AS31*Adm!$X$3)))))</f>
        <v>0</v>
      </c>
      <c r="AN32" s="351">
        <f>IF(AS31&lt;0.01,0,IF(Resol!$F$20=Resol!$V$3,0,IF(Resol!$F$10=Resol!$T$13,0,IF(OR(Resol!$F$10=Resol!$T$11,Resol!$F$10=Resol!$T$12),$AL$5*Adm!$Z$4/1.16,IF(OR(Resol!$F$10=Resol!$T$16,Resol!$F$10=Resol!$T$17),0,$AL$5*Adm!$AA$4/1.16)))))</f>
        <v>0</v>
      </c>
      <c r="AO32" s="178">
        <f t="shared" si="18"/>
        <v>0</v>
      </c>
      <c r="AP32" s="178"/>
      <c r="AQ32" s="178">
        <f t="shared" si="5"/>
        <v>0</v>
      </c>
      <c r="AR32" s="178">
        <f t="shared" si="12"/>
        <v>0</v>
      </c>
      <c r="AS32" s="178">
        <f t="shared" ref="AS32" si="24">IF(AS31&lt;0.01,0,AS31-AK32-AR32)</f>
        <v>0</v>
      </c>
      <c r="AT32" s="348"/>
      <c r="AU32" s="348"/>
      <c r="AV32" s="176">
        <f t="shared" ref="AV32" si="25">AQ32+AR32</f>
        <v>0</v>
      </c>
      <c r="BB32" s="571">
        <f t="shared" si="15"/>
        <v>8</v>
      </c>
      <c r="BC32" s="293">
        <f>IF(BB32=1,Adm!$AN$2,0)</f>
        <v>0</v>
      </c>
      <c r="BE32" s="341">
        <f t="shared" si="19"/>
        <v>0</v>
      </c>
      <c r="BF32" s="345">
        <f t="shared" ca="1" si="16"/>
        <v>0</v>
      </c>
    </row>
    <row r="33" spans="1:58">
      <c r="A33" s="151">
        <f t="shared" ca="1" si="0"/>
        <v>8</v>
      </c>
      <c r="C33" s="178">
        <f t="shared" si="1"/>
        <v>9</v>
      </c>
      <c r="D33" s="178">
        <f t="shared" si="6"/>
        <v>8072.0082819046193</v>
      </c>
      <c r="E33" s="178">
        <f>IF(L32&lt;0.01,0,IF(Adm!$B$3=Adm!$B$11,0,F33-D33))</f>
        <v>1543.2977730732537</v>
      </c>
      <c r="F33" s="178">
        <f>IF(L31&lt;0.1,0,MIN(L31+D33,IF(Adm!$B$3=Adm!$B$11,D33,F32*(1+V33))))</f>
        <v>9615.3060549778729</v>
      </c>
      <c r="G33" s="178">
        <f>IF(L32&lt;0.01,0,IF(Adm!$S$3=Adm!$S$13,Cal!$E$94,IF(Adm!$R$3=Adm!$R$6,0,IF(Cal!$E$91&gt;0,0,IF(Cal!$E$91=0,L32*Adm!$Y$3,L32*Adm!$X$3)))))</f>
        <v>0</v>
      </c>
      <c r="H33" s="178">
        <f>IF(L32&lt;0.01,0,IF(Adm!$R$4=Adm!$R$6,0,IF(Adm!$B$3=Adm!$B$12,0,IF(Adm!$B$3=Adm!$B$11,Cal!$E$89*Adm!$Z$3/1.16,Cal!$E$89*Adm!$AA$3/1.16))))</f>
        <v>494.46758620689661</v>
      </c>
      <c r="I33" s="178">
        <f>IF(L32&lt;0.01,0,Adm!$O$3)</f>
        <v>250</v>
      </c>
      <c r="J33" s="178">
        <f t="shared" si="2"/>
        <v>10359.773641184769</v>
      </c>
      <c r="K33" s="178">
        <f>IF(Adm!$F$3="si",MIN(L32+D33+G33+H33+I33-J33,Y33),0)</f>
        <v>0</v>
      </c>
      <c r="L33" s="349">
        <f>IF(L32&lt;0.01,0,L32-E33-K33)+M33</f>
        <v>1018078.800993826</v>
      </c>
      <c r="M33" s="348">
        <f>IF(Adm!B3=Adm!B11,Cal!E106,0)</f>
        <v>0</v>
      </c>
      <c r="N33" s="348"/>
      <c r="O33" s="348">
        <f>J33+K33-M33</f>
        <v>10359.773641184769</v>
      </c>
      <c r="U33" s="571">
        <f t="shared" si="9"/>
        <v>9</v>
      </c>
      <c r="V33" s="293">
        <f>IF(U33=1,Adm!$AN$2,0)</f>
        <v>0</v>
      </c>
      <c r="X33" s="341">
        <f t="shared" si="17"/>
        <v>0</v>
      </c>
      <c r="Y33" s="345">
        <f t="shared" ca="1" si="10"/>
        <v>0</v>
      </c>
      <c r="AD33" s="172"/>
      <c r="AG33" s="151">
        <f t="shared" ca="1" si="3"/>
        <v>8</v>
      </c>
      <c r="AI33" s="178">
        <f t="shared" si="4"/>
        <v>0</v>
      </c>
      <c r="AJ33" s="178">
        <f t="shared" si="11"/>
        <v>0</v>
      </c>
      <c r="AK33" s="178">
        <f>IF(AS32&lt;0.01,0,IF(OR(Resol!$F$10=Resol!$T$11,Resol!$F$10=Resol!$T$12),0,AL33-AJ33))</f>
        <v>0</v>
      </c>
      <c r="AL33" s="351">
        <f>IF(AS31&lt;0.1,0,MIN(AS31+AJ33,IF(OR(Resol!$F$10=Resol!$T$11,Resol!$F$10=Resol!$T$12),AJ33,AL32*(1+BC33))))</f>
        <v>0</v>
      </c>
      <c r="AM33" s="351">
        <f>IF(AS32&lt;0.01,0,IF(Resol!$G$19&gt;0,Resol!$G$19,IF(Resol!$F$19=Resol!$U$5,0,IF($AS$10&gt;0,0,IF($AS$10=0,AS32*Adm!$Y$3,AS32*Adm!$X$3)))))</f>
        <v>0</v>
      </c>
      <c r="AN33" s="351">
        <f>IF(AS32&lt;0.01,0,IF(Resol!$F$20=Resol!$V$3,0,IF(Resol!$F$10=Resol!$T$13,0,IF(OR(Resol!$F$10=Resol!$T$11,Resol!$F$10=Resol!$T$12),$AL$5*Adm!$Z$4/1.16,IF(OR(Resol!$F$10=Resol!$T$16,Resol!$F$10=Resol!$T$17),0,$AL$5*Adm!$AA$4/1.16)))))</f>
        <v>0</v>
      </c>
      <c r="AO33" s="178">
        <f t="shared" si="18"/>
        <v>0</v>
      </c>
      <c r="AP33" s="178"/>
      <c r="AQ33" s="178">
        <f t="shared" si="5"/>
        <v>0</v>
      </c>
      <c r="AR33" s="178">
        <f t="shared" si="12"/>
        <v>0</v>
      </c>
      <c r="AS33" s="349">
        <f>IF(AS32&lt;0.01,0,AS32-AK33-AR33)+AT33</f>
        <v>0</v>
      </c>
      <c r="AT33" s="348">
        <f>Resol!O50</f>
        <v>0</v>
      </c>
      <c r="AU33" s="348"/>
      <c r="AV33" s="176">
        <f>AQ33+AR33-AT33</f>
        <v>0</v>
      </c>
      <c r="BB33" s="571">
        <f t="shared" si="15"/>
        <v>9</v>
      </c>
      <c r="BC33" s="293">
        <f>IF(BB33=1,Adm!$AN$2,0)</f>
        <v>0</v>
      </c>
      <c r="BE33" s="341">
        <f t="shared" si="19"/>
        <v>0</v>
      </c>
      <c r="BF33" s="345">
        <f t="shared" ca="1" si="16"/>
        <v>0</v>
      </c>
    </row>
    <row r="34" spans="1:58">
      <c r="A34" s="151">
        <f t="shared" ca="1" si="0"/>
        <v>9</v>
      </c>
      <c r="C34" s="178">
        <f t="shared" si="1"/>
        <v>10</v>
      </c>
      <c r="D34" s="178">
        <f t="shared" si="6"/>
        <v>8059.7905078677895</v>
      </c>
      <c r="E34" s="178">
        <f>IF(L33&lt;0.01,0,IF(Adm!$B$3=Adm!$B$11,0,F34-D34))</f>
        <v>1555.5155471100834</v>
      </c>
      <c r="F34" s="178">
        <f>IF(L32&lt;0.1,0,MIN(L32+D34,IF(Adm!$B$3=Adm!$B$11,D34,F33*(1+V34))))</f>
        <v>9615.3060549778729</v>
      </c>
      <c r="G34" s="178">
        <f>IF(L33&lt;0.01,0,IF(Adm!$S$3=Adm!$S$13,Cal!$E$94,IF(Adm!$R$3=Adm!$R$6,0,IF(Cal!$E$91&gt;0,0,IF(Cal!$E$91=0,L33*Adm!$Y$3,L33*Adm!$X$3)))))</f>
        <v>0</v>
      </c>
      <c r="H34" s="178">
        <f>IF(L33&lt;0.01,0,IF(Adm!$R$4=Adm!$R$6,0,IF(Adm!$B$3=Adm!$B$12,0,IF(Adm!$B$3=Adm!$B$11,Cal!$E$89*Adm!$Z$3/1.16,Cal!$E$89*Adm!$AA$3/1.16))))</f>
        <v>494.46758620689661</v>
      </c>
      <c r="I34" s="178">
        <f>IF(L33&lt;0.01,0,Adm!$O$3)</f>
        <v>250</v>
      </c>
      <c r="J34" s="178">
        <f t="shared" si="2"/>
        <v>10359.773641184769</v>
      </c>
      <c r="K34" s="178">
        <f>IF(Adm!$F$3="si",MIN(L33+D34+G34+H34+I34-J34,Y34),0)</f>
        <v>0</v>
      </c>
      <c r="L34" s="178">
        <f t="shared" si="7"/>
        <v>1016523.2854467159</v>
      </c>
      <c r="M34" s="348"/>
      <c r="N34" s="348"/>
      <c r="O34" s="348">
        <f t="shared" si="8"/>
        <v>10359.773641184769</v>
      </c>
      <c r="U34" s="571">
        <f t="shared" si="9"/>
        <v>10</v>
      </c>
      <c r="V34" s="293">
        <f>IF(U34=1,Adm!$AN$2,0)</f>
        <v>0</v>
      </c>
      <c r="X34" s="341">
        <f t="shared" si="17"/>
        <v>0</v>
      </c>
      <c r="Y34" s="345">
        <f t="shared" ca="1" si="10"/>
        <v>0</v>
      </c>
      <c r="AD34" s="172"/>
      <c r="AG34" s="151">
        <f t="shared" ca="1" si="3"/>
        <v>9</v>
      </c>
      <c r="AI34" s="178">
        <f t="shared" si="4"/>
        <v>0</v>
      </c>
      <c r="AJ34" s="178">
        <f t="shared" si="11"/>
        <v>0</v>
      </c>
      <c r="AK34" s="178">
        <f>IF(AS33&lt;0.01,0,IF(OR(Resol!$F$10=Resol!$T$11,Resol!$F$10=Resol!$T$12),0,AL34-AJ34))</f>
        <v>0</v>
      </c>
      <c r="AL34" s="351">
        <f>IF(AS32&lt;0.1,0,MIN(AS32+AJ34,IF(OR(Resol!$F$10=Resol!$T$11,Resol!$F$10=Resol!$T$12),AJ34,AL33*(1+BC34))))</f>
        <v>0</v>
      </c>
      <c r="AM34" s="351">
        <f>IF(AS33&lt;0.01,0,IF(Resol!$G$19&gt;0,Resol!$G$19,IF(Resol!$F$19=Resol!$U$5,0,IF($AS$10&gt;0,0,IF($AS$10=0,AS33*Adm!$Y$3,AS33*Adm!$X$3)))))</f>
        <v>0</v>
      </c>
      <c r="AN34" s="351">
        <f>IF(AS33&lt;0.01,0,IF(Resol!$F$20=Resol!$V$3,0,IF(Resol!$F$10=Resol!$T$13,0,IF(OR(Resol!$F$10=Resol!$T$11,Resol!$F$10=Resol!$T$12),$AL$5*Adm!$Z$4/1.16,IF(OR(Resol!$F$10=Resol!$T$16,Resol!$F$10=Resol!$T$17),0,$AL$5*Adm!$AA$4/1.16)))))</f>
        <v>0</v>
      </c>
      <c r="AO34" s="178">
        <f t="shared" si="18"/>
        <v>0</v>
      </c>
      <c r="AP34" s="178"/>
      <c r="AQ34" s="178">
        <f t="shared" si="5"/>
        <v>0</v>
      </c>
      <c r="AR34" s="178">
        <f t="shared" si="12"/>
        <v>0</v>
      </c>
      <c r="AS34" s="178">
        <f t="shared" ref="AS34:AS97" si="26">IF(AS33&lt;0.01,0,AS33-AK34-AR34)</f>
        <v>0</v>
      </c>
      <c r="AT34" s="348"/>
      <c r="AU34" s="348"/>
      <c r="AV34" s="176">
        <f t="shared" ref="AV34:AV97" si="27">AQ34+AR34</f>
        <v>0</v>
      </c>
      <c r="BB34" s="571">
        <f t="shared" si="15"/>
        <v>10</v>
      </c>
      <c r="BC34" s="293">
        <f>IF(BB34=1,Adm!$AN$2,0)</f>
        <v>0</v>
      </c>
      <c r="BE34" s="341">
        <f t="shared" si="19"/>
        <v>0</v>
      </c>
      <c r="BF34" s="345">
        <f t="shared" ca="1" si="16"/>
        <v>0</v>
      </c>
    </row>
    <row r="35" spans="1:58">
      <c r="A35" s="151">
        <f t="shared" ca="1" si="0"/>
        <v>10</v>
      </c>
      <c r="C35" s="178">
        <f t="shared" si="1"/>
        <v>11</v>
      </c>
      <c r="D35" s="178">
        <f t="shared" si="6"/>
        <v>8047.476009786501</v>
      </c>
      <c r="E35" s="178">
        <f>IF(L34&lt;0.01,0,IF(Adm!$B$3=Adm!$B$11,0,F35-D35))</f>
        <v>1567.8300451913719</v>
      </c>
      <c r="F35" s="178">
        <f>IF(L33&lt;0.1,0,MIN(L33+D35,IF(Adm!$B$3=Adm!$B$11,D35,F34*(1+V35))))</f>
        <v>9615.3060549778729</v>
      </c>
      <c r="G35" s="178">
        <f>IF(L34&lt;0.01,0,IF(Adm!$S$3=Adm!$S$13,Cal!$E$94,IF(Adm!$R$3=Adm!$R$6,0,IF(Cal!$E$91&gt;0,0,IF(Cal!$E$91=0,L34*Adm!$Y$3,L34*Adm!$X$3)))))</f>
        <v>0</v>
      </c>
      <c r="H35" s="178">
        <f>IF(L34&lt;0.01,0,IF(Adm!$R$4=Adm!$R$6,0,IF(Adm!$B$3=Adm!$B$12,0,IF(Adm!$B$3=Adm!$B$11,Cal!$E$89*Adm!$Z$3/1.16,Cal!$E$89*Adm!$AA$3/1.16))))</f>
        <v>494.46758620689661</v>
      </c>
      <c r="I35" s="178">
        <f>IF(L34&lt;0.01,0,Adm!$O$3)</f>
        <v>250</v>
      </c>
      <c r="J35" s="178">
        <f t="shared" si="2"/>
        <v>10359.773641184769</v>
      </c>
      <c r="K35" s="178">
        <f>IF(Adm!$F$3="si",MIN(L34+D35+G35+H35+I35-J35,Y35),0)</f>
        <v>0</v>
      </c>
      <c r="L35" s="178">
        <f t="shared" si="7"/>
        <v>1014955.4554015246</v>
      </c>
      <c r="M35" s="348"/>
      <c r="N35" s="348"/>
      <c r="O35" s="348">
        <f t="shared" si="8"/>
        <v>10359.773641184769</v>
      </c>
      <c r="U35" s="571">
        <f t="shared" si="9"/>
        <v>11</v>
      </c>
      <c r="V35" s="293">
        <f>IF(U35=1,Adm!$AN$2,0)</f>
        <v>0</v>
      </c>
      <c r="X35" s="341">
        <f t="shared" si="17"/>
        <v>0</v>
      </c>
      <c r="Y35" s="345">
        <f t="shared" ca="1" si="10"/>
        <v>0</v>
      </c>
      <c r="AD35" s="172"/>
      <c r="AG35" s="151">
        <f t="shared" ca="1" si="3"/>
        <v>10</v>
      </c>
      <c r="AI35" s="178">
        <f t="shared" si="4"/>
        <v>0</v>
      </c>
      <c r="AJ35" s="178">
        <f t="shared" si="11"/>
        <v>0</v>
      </c>
      <c r="AK35" s="178">
        <f>IF(AS34&lt;0.01,0,IF(OR(Resol!$F$10=Resol!$T$11,Resol!$F$10=Resol!$T$12),0,AL35-AJ35))</f>
        <v>0</v>
      </c>
      <c r="AL35" s="351">
        <f>IF(AS33&lt;0.1,0,MIN(AS33+AJ35,IF(OR(Resol!$F$10=Resol!$T$11,Resol!$F$10=Resol!$T$12),AJ35,AL34*(1+BC35))))</f>
        <v>0</v>
      </c>
      <c r="AM35" s="351">
        <f>IF(AS34&lt;0.01,0,IF(Resol!$G$19&gt;0,Resol!$G$19,IF(Resol!$F$19=Resol!$U$5,0,IF($AS$10&gt;0,0,IF($AS$10=0,AS34*Adm!$Y$3,AS34*Adm!$X$3)))))</f>
        <v>0</v>
      </c>
      <c r="AN35" s="351">
        <f>IF(AS34&lt;0.01,0,IF(Resol!$F$20=Resol!$V$3,0,IF(Resol!$F$10=Resol!$T$13,0,IF(OR(Resol!$F$10=Resol!$T$11,Resol!$F$10=Resol!$T$12),$AL$5*Adm!$Z$4/1.16,IF(OR(Resol!$F$10=Resol!$T$16,Resol!$F$10=Resol!$T$17),0,$AL$5*Adm!$AA$4/1.16)))))</f>
        <v>0</v>
      </c>
      <c r="AO35" s="178">
        <f t="shared" si="18"/>
        <v>0</v>
      </c>
      <c r="AP35" s="178"/>
      <c r="AQ35" s="178">
        <f t="shared" si="5"/>
        <v>0</v>
      </c>
      <c r="AR35" s="178">
        <f t="shared" si="12"/>
        <v>0</v>
      </c>
      <c r="AS35" s="178">
        <f t="shared" si="26"/>
        <v>0</v>
      </c>
      <c r="AT35" s="348"/>
      <c r="AU35" s="348"/>
      <c r="AV35" s="176">
        <f t="shared" si="27"/>
        <v>0</v>
      </c>
      <c r="BB35" s="571">
        <f t="shared" si="15"/>
        <v>11</v>
      </c>
      <c r="BC35" s="293">
        <f>IF(BB35=1,Adm!$AN$2,0)</f>
        <v>0</v>
      </c>
      <c r="BE35" s="341">
        <f t="shared" si="19"/>
        <v>0</v>
      </c>
      <c r="BF35" s="345">
        <f t="shared" ca="1" si="16"/>
        <v>0</v>
      </c>
    </row>
    <row r="36" spans="1:58">
      <c r="A36" s="151">
        <f t="shared" ca="1" si="0"/>
        <v>11</v>
      </c>
      <c r="C36" s="351">
        <f t="shared" si="1"/>
        <v>12</v>
      </c>
      <c r="D36" s="178">
        <f t="shared" si="6"/>
        <v>8035.064021928737</v>
      </c>
      <c r="E36" s="178">
        <f>IF(L35&lt;0.01,0,IF(Adm!$B$3=Adm!$B$11,0,F36-D36))</f>
        <v>1580.2420330491359</v>
      </c>
      <c r="F36" s="178">
        <f>IF(L34&lt;0.1,0,MIN(L34+D36,IF(Adm!$B$3=Adm!$B$11,D36,F35*(1+V36))))</f>
        <v>9615.3060549778729</v>
      </c>
      <c r="G36" s="178">
        <f>IF(L35&lt;0.01,0,IF(Adm!$S$3=Adm!$S$13,Cal!$E$94,IF(Adm!$R$3=Adm!$R$6,0,IF(Cal!$E$91&gt;0,0,IF(Cal!$E$91=0,L35*Adm!$Y$3,L35*Adm!$X$3)))))</f>
        <v>0</v>
      </c>
      <c r="H36" s="178">
        <f>IF(L35&lt;0.01,0,IF(Adm!$R$4=Adm!$R$6,0,IF(Adm!$B$3=Adm!$B$12,0,IF(Adm!$B$3=Adm!$B$11,Cal!$E$89*Adm!$Z$3/1.16,Cal!$E$89*Adm!$AA$3/1.16))))</f>
        <v>494.46758620689661</v>
      </c>
      <c r="I36" s="178">
        <f>IF(L35&lt;0.01,0,Adm!$O$3)</f>
        <v>250</v>
      </c>
      <c r="J36" s="178">
        <f t="shared" si="2"/>
        <v>10359.773641184769</v>
      </c>
      <c r="K36" s="178">
        <f>IF(Adm!$F$3="si",MIN(L35+D36+G36+H36+I36-J36,Y36),0)</f>
        <v>0</v>
      </c>
      <c r="L36" s="178">
        <f t="shared" si="7"/>
        <v>1013375.2133684754</v>
      </c>
      <c r="M36" s="348"/>
      <c r="N36" s="348"/>
      <c r="O36" s="348">
        <f t="shared" si="8"/>
        <v>10359.773641184769</v>
      </c>
      <c r="T36" s="562" t="s">
        <v>276</v>
      </c>
      <c r="U36" s="571">
        <f t="shared" si="9"/>
        <v>12</v>
      </c>
      <c r="V36" s="293">
        <f>IF(U36=1,Adm!$AN$2,0)</f>
        <v>0</v>
      </c>
      <c r="X36" s="341">
        <f t="shared" si="17"/>
        <v>0</v>
      </c>
      <c r="Y36" s="345">
        <f t="shared" ca="1" si="10"/>
        <v>0</v>
      </c>
      <c r="AD36" s="172"/>
      <c r="AG36" s="151">
        <f t="shared" ca="1" si="3"/>
        <v>11</v>
      </c>
      <c r="AI36" s="351">
        <f t="shared" si="4"/>
        <v>0</v>
      </c>
      <c r="AJ36" s="178">
        <f t="shared" si="11"/>
        <v>0</v>
      </c>
      <c r="AK36" s="178">
        <f>IF(AS35&lt;0.01,0,IF(OR(Resol!$F$10=Resol!$T$11,Resol!$F$10=Resol!$T$12),0,AL36-AJ36))</f>
        <v>0</v>
      </c>
      <c r="AL36" s="351">
        <f>IF(AS34&lt;0.1,0,MIN(AS34+AJ36,IF(OR(Resol!$F$10=Resol!$T$11,Resol!$F$10=Resol!$T$12),AJ36,AL35*(1+BC36))))</f>
        <v>0</v>
      </c>
      <c r="AM36" s="351">
        <f>IF(AS35&lt;0.01,0,IF(Resol!$G$19&gt;0,Resol!$G$19,IF(Resol!$F$19=Resol!$U$5,0,IF($AS$10&gt;0,0,IF($AS$10=0,AS35*Adm!$Y$3,AS35*Adm!$X$3)))))</f>
        <v>0</v>
      </c>
      <c r="AN36" s="351">
        <f>IF(AS35&lt;0.01,0,IF(Resol!$F$20=Resol!$V$3,0,IF(Resol!$F$10=Resol!$T$13,0,IF(OR(Resol!$F$10=Resol!$T$11,Resol!$F$10=Resol!$T$12),$AL$5*Adm!$Z$4/1.16,IF(OR(Resol!$F$10=Resol!$T$16,Resol!$F$10=Resol!$T$17),0,$AL$5*Adm!$AA$4/1.16)))))</f>
        <v>0</v>
      </c>
      <c r="AO36" s="178">
        <f t="shared" si="18"/>
        <v>0</v>
      </c>
      <c r="AP36" s="178"/>
      <c r="AQ36" s="178">
        <f t="shared" si="5"/>
        <v>0</v>
      </c>
      <c r="AR36" s="178">
        <f t="shared" si="12"/>
        <v>0</v>
      </c>
      <c r="AS36" s="178">
        <f t="shared" si="26"/>
        <v>0</v>
      </c>
      <c r="AT36" s="348"/>
      <c r="AU36" s="348"/>
      <c r="AV36" s="176">
        <f t="shared" si="27"/>
        <v>0</v>
      </c>
      <c r="BA36" s="562" t="s">
        <v>276</v>
      </c>
      <c r="BB36" s="571">
        <f t="shared" si="15"/>
        <v>12</v>
      </c>
      <c r="BC36" s="293">
        <f>IF(BB36=1,Adm!$AN$2,0)</f>
        <v>0</v>
      </c>
      <c r="BE36" s="341">
        <f t="shared" si="19"/>
        <v>0</v>
      </c>
      <c r="BF36" s="345">
        <f t="shared" ca="1" si="16"/>
        <v>0</v>
      </c>
    </row>
    <row r="37" spans="1:58">
      <c r="A37" s="151">
        <f t="shared" ca="1" si="0"/>
        <v>12</v>
      </c>
      <c r="C37" s="347">
        <f t="shared" si="1"/>
        <v>13</v>
      </c>
      <c r="D37" s="178">
        <f t="shared" si="6"/>
        <v>8022.5537725004315</v>
      </c>
      <c r="E37" s="178">
        <f>IF(L36&lt;0.01,0,F37-D37)</f>
        <v>1592.7522824774414</v>
      </c>
      <c r="F37" s="178">
        <f>IF(L36&lt;0.1,0,MIN(L36+D37,IF(Adm!$B$3=Adm!$B$11,T37,F36*(1+V37))))</f>
        <v>9615.3060549778729</v>
      </c>
      <c r="G37" s="178">
        <f>IF(L36&lt;0.01,0,IF(Adm!$S$3=Adm!$S$13,Cal!$E$94,IF(Adm!$R$3=Adm!$R$6,0,IF(Cal!$E$91&gt;0,0,IF(Cal!$E$91=0,L36*Adm!$Y$3,L36*Adm!$X$3)))))</f>
        <v>0</v>
      </c>
      <c r="H37" s="178">
        <f>IF(L36&lt;0.01,0,IF(Adm!$R$4=Adm!$R$6,0,IF(Adm!$B$3=Adm!$B$12,0,Cal!$E$89*Adm!$AA$3/1.16)))</f>
        <v>494.46758620689661</v>
      </c>
      <c r="I37" s="178">
        <f>IF(L36&lt;0.01,0,Adm!$O$3)</f>
        <v>250</v>
      </c>
      <c r="J37" s="178">
        <f t="shared" si="2"/>
        <v>10359.773641184769</v>
      </c>
      <c r="K37" s="178">
        <f>IF(Adm!$F$3="si",MIN(L36+D37+G37+H37+I37-J37,Y37),0)</f>
        <v>0</v>
      </c>
      <c r="L37" s="178">
        <f t="shared" si="7"/>
        <v>1011782.461085998</v>
      </c>
      <c r="M37" s="348"/>
      <c r="N37" s="348"/>
      <c r="O37" s="348">
        <f t="shared" si="8"/>
        <v>10359.773641184769</v>
      </c>
      <c r="T37" s="87" t="b">
        <f>IF(Adm!B3=Adm!B11,PMT(Adm!AH3/12,Adm!G3-12,-L36))</f>
        <v>0</v>
      </c>
      <c r="U37" s="571">
        <f t="shared" si="9"/>
        <v>1</v>
      </c>
      <c r="V37" s="293">
        <f>IF(U37=1,Adm!$AN$2,0)</f>
        <v>0</v>
      </c>
      <c r="X37" s="341">
        <f t="shared" si="17"/>
        <v>0</v>
      </c>
      <c r="Y37" s="345">
        <f t="shared" ca="1" si="10"/>
        <v>0</v>
      </c>
      <c r="AD37" s="172"/>
      <c r="AG37" s="151">
        <f t="shared" ca="1" si="3"/>
        <v>12</v>
      </c>
      <c r="AI37" s="347">
        <f t="shared" si="4"/>
        <v>0</v>
      </c>
      <c r="AJ37" s="178">
        <f t="shared" si="11"/>
        <v>0</v>
      </c>
      <c r="AK37" s="178">
        <f>IF(AS36&lt;0.01,0,AL37-AJ37)</f>
        <v>0</v>
      </c>
      <c r="AL37" s="351">
        <f>IF(AS36&lt;0.1,0,MIN(AS36+AJ37,IF(OR(Resol!$F$10=Resol!$T$11,Resol!$F$10=Resol!$T$12),BA37,AL36*(1+BC37))))</f>
        <v>0</v>
      </c>
      <c r="AM37" s="351">
        <f>IF(AS36&lt;0.01,0,IF(Resol!$G$19&gt;0,Resol!$G$19,IF(Resol!$F$19=Resol!$U$5,0,IF($AS$10&gt;0,0,IF($AS$10=0,AS36*Adm!$Y$3,AS36*Adm!$X$3)))))</f>
        <v>0</v>
      </c>
      <c r="AN37" s="930">
        <f>IF(AS36&lt;0.01,0,IF(Resol!$F$20=Resol!$V$3,0,IF(OR(Resol!$F$10=Resol!$T$16,Resol!$F$10=Resol!$T$17),0,IF(Resol!$F$10=Resol!$T$13,0,$AL$5*Adm!$AA$4/1.16))))</f>
        <v>0</v>
      </c>
      <c r="AO37" s="178">
        <f t="shared" si="18"/>
        <v>0</v>
      </c>
      <c r="AP37" s="178"/>
      <c r="AQ37" s="178">
        <f t="shared" si="5"/>
        <v>0</v>
      </c>
      <c r="AR37" s="178">
        <f t="shared" si="12"/>
        <v>0</v>
      </c>
      <c r="AS37" s="178">
        <f t="shared" si="26"/>
        <v>0</v>
      </c>
      <c r="AT37" s="348"/>
      <c r="AU37" s="348"/>
      <c r="AV37" s="176">
        <f t="shared" si="27"/>
        <v>0</v>
      </c>
      <c r="BA37" s="87" t="b">
        <f>IF(OR(Resol!$F$10=Resol!$T$11,Resol!$F$10=Resol!$T$12),PMT(AL9/12,AL8-12,-AS36))</f>
        <v>0</v>
      </c>
      <c r="BB37" s="571">
        <f t="shared" si="15"/>
        <v>1</v>
      </c>
      <c r="BC37" s="293">
        <f>IF(BB37=1,Adm!$AN$2,0)</f>
        <v>0</v>
      </c>
      <c r="BE37" s="341">
        <f t="shared" si="19"/>
        <v>0</v>
      </c>
      <c r="BF37" s="345">
        <f t="shared" ca="1" si="16"/>
        <v>0</v>
      </c>
    </row>
    <row r="38" spans="1:58">
      <c r="A38" s="151">
        <f t="shared" ca="1" si="0"/>
        <v>1</v>
      </c>
      <c r="C38" s="178">
        <f t="shared" si="1"/>
        <v>14</v>
      </c>
      <c r="D38" s="178">
        <f t="shared" si="6"/>
        <v>8009.9444835974837</v>
      </c>
      <c r="E38" s="178">
        <f t="shared" ref="E38:E101" si="28">IF(L37&lt;0.01,0,F38-D38)</f>
        <v>1605.3615713803893</v>
      </c>
      <c r="F38" s="178">
        <f t="shared" ref="F38:F90" si="29">IF(L37&lt;0.1,0,MIN(L37+D38,F37*(1+V38)))</f>
        <v>9615.3060549778729</v>
      </c>
      <c r="G38" s="178">
        <f>IF(L37&lt;0.01,0,IF(Adm!$S$3=Adm!$S$13,Cal!$E$94,IF(Adm!$R$3=Adm!$R$6,0,IF(Cal!$E$91&gt;0,0,IF(Cal!$E$91=0,L37*Adm!$Y$3,L37*Adm!$X$3)))))</f>
        <v>0</v>
      </c>
      <c r="H38" s="178">
        <f>IF(L37&lt;0.01,0,IF(Adm!$R$4=Adm!$R$6,0,IF(Adm!$B$3=Adm!$B$12,0,Cal!$E$89*Adm!$AA$3/1.16)))</f>
        <v>494.46758620689661</v>
      </c>
      <c r="I38" s="178">
        <f>IF(L37&lt;0.01,0,Adm!$O$3)</f>
        <v>250</v>
      </c>
      <c r="J38" s="178">
        <f t="shared" si="2"/>
        <v>10359.773641184769</v>
      </c>
      <c r="K38" s="178">
        <f>IF(Adm!$F$3="si",MIN(L37+D38+G38+H38+I38-J38,Y38),0)</f>
        <v>0</v>
      </c>
      <c r="L38" s="178">
        <f t="shared" si="7"/>
        <v>1010177.0995146176</v>
      </c>
      <c r="M38" s="348"/>
      <c r="N38" s="348"/>
      <c r="O38" s="348">
        <f t="shared" si="8"/>
        <v>10359.773641184769</v>
      </c>
      <c r="U38" s="571">
        <f t="shared" si="9"/>
        <v>2</v>
      </c>
      <c r="V38" s="293">
        <f>IF(U38=1,Adm!$AN$2,0)</f>
        <v>0</v>
      </c>
      <c r="X38" s="341">
        <f t="shared" si="17"/>
        <v>0</v>
      </c>
      <c r="Y38" s="345">
        <f t="shared" ca="1" si="10"/>
        <v>0</v>
      </c>
      <c r="AD38" s="172"/>
      <c r="AG38" s="151">
        <f t="shared" ca="1" si="3"/>
        <v>1</v>
      </c>
      <c r="AI38" s="178">
        <f t="shared" si="4"/>
        <v>0</v>
      </c>
      <c r="AJ38" s="178">
        <f t="shared" si="11"/>
        <v>0</v>
      </c>
      <c r="AK38" s="178">
        <f t="shared" ref="AK38:AK101" si="30">IF(AS37&lt;0.01,0,AL38-AJ38)</f>
        <v>0</v>
      </c>
      <c r="AL38" s="351">
        <f t="shared" ref="AL38:AL101" si="31">IF(AS37&lt;0.1,0,MIN(AS37+AJ38,AL37*(1+BC38)))</f>
        <v>0</v>
      </c>
      <c r="AM38" s="351">
        <f>IF(AS37&lt;0.01,0,IF(Resol!$G$19&gt;0,Resol!$G$19,IF(Resol!$F$19=Resol!$U$5,0,IF($AS$10&gt;0,0,IF($AS$10=0,AS37*Adm!$Y$3,AS37*Adm!$X$3)))))</f>
        <v>0</v>
      </c>
      <c r="AN38" s="351">
        <f>IF(AS37&lt;0.01,0,IF(Resol!$F$20=Resol!$V$3,0,IF(OR(Resol!$F$10=Resol!$T$16,Resol!$F$10=Resol!$T$17),0,IF(Resol!$F$10=Resol!$T$13,0,$AL$5*Adm!$AA$4/1.16))))</f>
        <v>0</v>
      </c>
      <c r="AO38" s="178">
        <f t="shared" si="18"/>
        <v>0</v>
      </c>
      <c r="AP38" s="178"/>
      <c r="AQ38" s="178">
        <f t="shared" si="5"/>
        <v>0</v>
      </c>
      <c r="AR38" s="178">
        <f t="shared" si="12"/>
        <v>0</v>
      </c>
      <c r="AS38" s="178">
        <f t="shared" si="26"/>
        <v>0</v>
      </c>
      <c r="AT38" s="348"/>
      <c r="AU38" s="348"/>
      <c r="AV38" s="176">
        <f t="shared" si="27"/>
        <v>0</v>
      </c>
      <c r="BB38" s="571">
        <f t="shared" si="15"/>
        <v>2</v>
      </c>
      <c r="BC38" s="293">
        <f>IF(BB38=1,Adm!$AN$2,0)</f>
        <v>0</v>
      </c>
      <c r="BE38" s="341">
        <f t="shared" si="19"/>
        <v>0</v>
      </c>
      <c r="BF38" s="345">
        <f t="shared" ca="1" si="16"/>
        <v>0</v>
      </c>
    </row>
    <row r="39" spans="1:58">
      <c r="A39" s="151">
        <f t="shared" ca="1" si="0"/>
        <v>2</v>
      </c>
      <c r="C39" s="178">
        <f t="shared" si="1"/>
        <v>15</v>
      </c>
      <c r="D39" s="178">
        <f t="shared" si="6"/>
        <v>7997.2353711573887</v>
      </c>
      <c r="E39" s="178">
        <f t="shared" si="28"/>
        <v>1618.0706838204842</v>
      </c>
      <c r="F39" s="178">
        <f t="shared" si="29"/>
        <v>9615.3060549778729</v>
      </c>
      <c r="G39" s="178">
        <f>IF(L38&lt;0.01,0,IF(Adm!$S$3=Adm!$S$13,Cal!$E$94,IF(Adm!$R$3=Adm!$R$6,0,IF(Cal!$E$91&gt;0,0,IF(Cal!$E$91=0,L38*Adm!$Y$3,L38*Adm!$X$3)))))</f>
        <v>0</v>
      </c>
      <c r="H39" s="178">
        <f>IF(L38&lt;0.01,0,IF(Adm!$R$4=Adm!$R$6,0,IF(Adm!$B$3=Adm!$B$12,0,Cal!$E$89*Adm!$AA$3/1.16)))</f>
        <v>494.46758620689661</v>
      </c>
      <c r="I39" s="178">
        <f>IF(L38&lt;0.01,0,Adm!$O$3)</f>
        <v>250</v>
      </c>
      <c r="J39" s="178">
        <f t="shared" si="2"/>
        <v>10359.773641184769</v>
      </c>
      <c r="K39" s="178">
        <f>IF(Adm!$F$3="si",MIN(L38+D39+G39+H39+I39-J39,Y39),0)</f>
        <v>0</v>
      </c>
      <c r="L39" s="178">
        <f t="shared" si="7"/>
        <v>1008559.0288307971</v>
      </c>
      <c r="M39" s="348"/>
      <c r="N39" s="348"/>
      <c r="O39" s="348">
        <f t="shared" si="8"/>
        <v>10359.773641184769</v>
      </c>
      <c r="U39" s="571">
        <f t="shared" si="9"/>
        <v>3</v>
      </c>
      <c r="V39" s="293">
        <f>IF(U39=1,Adm!$AN$2,0)</f>
        <v>0</v>
      </c>
      <c r="X39" s="341">
        <f t="shared" si="17"/>
        <v>0</v>
      </c>
      <c r="Y39" s="345">
        <f t="shared" ca="1" si="10"/>
        <v>0</v>
      </c>
      <c r="AD39" s="172"/>
      <c r="AG39" s="151">
        <f t="shared" ca="1" si="3"/>
        <v>2</v>
      </c>
      <c r="AI39" s="178">
        <f t="shared" si="4"/>
        <v>0</v>
      </c>
      <c r="AJ39" s="178">
        <f t="shared" si="11"/>
        <v>0</v>
      </c>
      <c r="AK39" s="178">
        <f t="shared" si="30"/>
        <v>0</v>
      </c>
      <c r="AL39" s="351">
        <f t="shared" si="31"/>
        <v>0</v>
      </c>
      <c r="AM39" s="351">
        <f>IF(AS38&lt;0.01,0,IF(Resol!$G$19&gt;0,Resol!$G$19,IF(Resol!$F$19=Resol!$U$5,0,IF($AS$10&gt;0,0,IF($AS$10=0,AS38*Adm!$Y$3,AS38*Adm!$X$3)))))</f>
        <v>0</v>
      </c>
      <c r="AN39" s="351">
        <f>IF(AS38&lt;0.01,0,IF(Resol!$F$20=Resol!$V$3,0,IF(OR(Resol!$F$10=Resol!$T$16,Resol!$F$10=Resol!$T$17),0,IF(Resol!$F$10=Resol!$T$13,0,$AL$5*Adm!$AA$4/1.16))))</f>
        <v>0</v>
      </c>
      <c r="AO39" s="178">
        <f t="shared" si="18"/>
        <v>0</v>
      </c>
      <c r="AP39" s="178"/>
      <c r="AQ39" s="178">
        <f t="shared" si="5"/>
        <v>0</v>
      </c>
      <c r="AR39" s="178">
        <f t="shared" si="12"/>
        <v>0</v>
      </c>
      <c r="AS39" s="178">
        <f t="shared" si="26"/>
        <v>0</v>
      </c>
      <c r="AT39" s="348"/>
      <c r="AU39" s="348"/>
      <c r="AV39" s="176">
        <f t="shared" si="27"/>
        <v>0</v>
      </c>
      <c r="BB39" s="571">
        <f t="shared" si="15"/>
        <v>3</v>
      </c>
      <c r="BC39" s="293">
        <f>IF(BB39=1,Adm!$AN$2,0)</f>
        <v>0</v>
      </c>
      <c r="BE39" s="341">
        <f t="shared" si="19"/>
        <v>0</v>
      </c>
      <c r="BF39" s="345">
        <f t="shared" ca="1" si="16"/>
        <v>0</v>
      </c>
    </row>
    <row r="40" spans="1:58">
      <c r="A40" s="151">
        <f t="shared" ca="1" si="0"/>
        <v>3</v>
      </c>
      <c r="C40" s="178">
        <f t="shared" si="1"/>
        <v>16</v>
      </c>
      <c r="D40" s="178">
        <f t="shared" si="6"/>
        <v>7984.4256449104769</v>
      </c>
      <c r="E40" s="178">
        <f t="shared" si="28"/>
        <v>1630.880410067396</v>
      </c>
      <c r="F40" s="178">
        <f t="shared" si="29"/>
        <v>9615.3060549778729</v>
      </c>
      <c r="G40" s="178">
        <f>IF(L39&lt;0.01,0,IF(Adm!$S$3=Adm!$S$13,Cal!$E$94,IF(Adm!$R$3=Adm!$R$6,0,IF(Cal!$E$91&gt;0,0,IF(Cal!$E$91=0,L39*Adm!$Y$3,L39*Adm!$X$3)))))</f>
        <v>0</v>
      </c>
      <c r="H40" s="178">
        <f>IF(L39&lt;0.01,0,IF(Adm!$R$4=Adm!$R$6,0,IF(Adm!$B$3=Adm!$B$12,0,Cal!$E$89*Adm!$AA$3/1.16)))</f>
        <v>494.46758620689661</v>
      </c>
      <c r="I40" s="178">
        <f>IF(L39&lt;0.01,0,Adm!$O$3)</f>
        <v>250</v>
      </c>
      <c r="J40" s="178">
        <f t="shared" si="2"/>
        <v>10359.773641184769</v>
      </c>
      <c r="K40" s="178">
        <f>IF(Adm!$F$3="si",MIN(L39+D40+G40+H40+I40-J40,Y40),0)</f>
        <v>0</v>
      </c>
      <c r="L40" s="178">
        <f t="shared" si="7"/>
        <v>1006928.1484207297</v>
      </c>
      <c r="M40" s="348"/>
      <c r="N40" s="348"/>
      <c r="O40" s="348">
        <f t="shared" si="8"/>
        <v>10359.773641184769</v>
      </c>
      <c r="U40" s="571">
        <f t="shared" si="9"/>
        <v>4</v>
      </c>
      <c r="V40" s="293">
        <f>IF(U40=1,Adm!$AN$2,0)</f>
        <v>0</v>
      </c>
      <c r="X40" s="341">
        <f t="shared" si="17"/>
        <v>0</v>
      </c>
      <c r="Y40" s="345">
        <f t="shared" ca="1" si="10"/>
        <v>0</v>
      </c>
      <c r="AD40" s="172"/>
      <c r="AG40" s="151">
        <f t="shared" ca="1" si="3"/>
        <v>3</v>
      </c>
      <c r="AI40" s="178">
        <f t="shared" si="4"/>
        <v>0</v>
      </c>
      <c r="AJ40" s="178">
        <f t="shared" si="11"/>
        <v>0</v>
      </c>
      <c r="AK40" s="178">
        <f t="shared" si="30"/>
        <v>0</v>
      </c>
      <c r="AL40" s="178">
        <f t="shared" si="31"/>
        <v>0</v>
      </c>
      <c r="AM40" s="351">
        <f>IF(AS39&lt;0.01,0,IF(Resol!$G$19&gt;0,Resol!$G$19,IF(Resol!$F$19=Resol!$U$5,0,IF($AS$10&gt;0,0,IF($AS$10=0,AS39*Adm!$Y$3,AS39*Adm!$X$3)))))</f>
        <v>0</v>
      </c>
      <c r="AN40" s="351">
        <f>IF(AS39&lt;0.01,0,IF(Resol!$F$20=Resol!$V$3,0,IF(OR(Resol!$F$10=Resol!$T$16,Resol!$F$10=Resol!$T$17),0,IF(Resol!$F$10=Resol!$T$13,0,$AL$5*Adm!$AA$4/1.16))))</f>
        <v>0</v>
      </c>
      <c r="AO40" s="178">
        <f t="shared" si="18"/>
        <v>0</v>
      </c>
      <c r="AP40" s="178"/>
      <c r="AQ40" s="178">
        <f t="shared" si="5"/>
        <v>0</v>
      </c>
      <c r="AR40" s="178">
        <f t="shared" si="12"/>
        <v>0</v>
      </c>
      <c r="AS40" s="178">
        <f t="shared" si="26"/>
        <v>0</v>
      </c>
      <c r="AT40" s="348"/>
      <c r="AU40" s="348"/>
      <c r="AV40" s="176">
        <f t="shared" si="27"/>
        <v>0</v>
      </c>
      <c r="BB40" s="571">
        <f t="shared" si="15"/>
        <v>4</v>
      </c>
      <c r="BC40" s="293">
        <f>IF(BB40=1,Adm!$AN$2,0)</f>
        <v>0</v>
      </c>
      <c r="BE40" s="341">
        <f t="shared" si="19"/>
        <v>0</v>
      </c>
      <c r="BF40" s="345">
        <f t="shared" ca="1" si="16"/>
        <v>0</v>
      </c>
    </row>
    <row r="41" spans="1:58">
      <c r="A41" s="151">
        <f t="shared" ca="1" si="0"/>
        <v>4</v>
      </c>
      <c r="C41" s="178">
        <f t="shared" si="1"/>
        <v>17</v>
      </c>
      <c r="D41" s="178">
        <f t="shared" si="6"/>
        <v>7971.5145083307762</v>
      </c>
      <c r="E41" s="178">
        <f t="shared" si="28"/>
        <v>1643.7915466470968</v>
      </c>
      <c r="F41" s="178">
        <f t="shared" si="29"/>
        <v>9615.3060549778729</v>
      </c>
      <c r="G41" s="178">
        <f>IF(L40&lt;0.01,0,IF(Adm!$S$3=Adm!$S$13,Cal!$E$94,IF(Adm!$R$3=Adm!$R$6,0,IF(Cal!$E$91&gt;0,0,IF(Cal!$E$91=0,L40*Adm!$Y$3,L40*Adm!$X$3)))))</f>
        <v>0</v>
      </c>
      <c r="H41" s="178">
        <f>IF(L40&lt;0.01,0,IF(Adm!$R$4=Adm!$R$6,0,IF(Adm!$B$3=Adm!$B$12,0,Cal!$E$89*Adm!$AA$3/1.16)))</f>
        <v>494.46758620689661</v>
      </c>
      <c r="I41" s="178">
        <f>IF(L40&lt;0.01,0,Adm!$O$3)</f>
        <v>250</v>
      </c>
      <c r="J41" s="178">
        <f t="shared" si="2"/>
        <v>10359.773641184769</v>
      </c>
      <c r="K41" s="178">
        <f>IF(Adm!$F$3="si",MIN(L40+D41+G41+H41+I41-J41,Y41),0)</f>
        <v>0</v>
      </c>
      <c r="L41" s="178">
        <f t="shared" si="7"/>
        <v>1005284.3568740826</v>
      </c>
      <c r="M41" s="348"/>
      <c r="N41" s="348"/>
      <c r="O41" s="348">
        <f t="shared" si="8"/>
        <v>10359.773641184769</v>
      </c>
      <c r="U41" s="571">
        <f t="shared" si="9"/>
        <v>5</v>
      </c>
      <c r="V41" s="293">
        <f>IF(U41=1,Adm!$AN$2,0)</f>
        <v>0</v>
      </c>
      <c r="X41" s="341">
        <f t="shared" si="17"/>
        <v>0</v>
      </c>
      <c r="Y41" s="345">
        <f t="shared" ca="1" si="10"/>
        <v>0</v>
      </c>
      <c r="AD41" s="172"/>
      <c r="AG41" s="151">
        <f t="shared" ca="1" si="3"/>
        <v>4</v>
      </c>
      <c r="AI41" s="178">
        <f t="shared" si="4"/>
        <v>0</v>
      </c>
      <c r="AJ41" s="178">
        <f t="shared" si="11"/>
        <v>0</v>
      </c>
      <c r="AK41" s="178">
        <f t="shared" si="30"/>
        <v>0</v>
      </c>
      <c r="AL41" s="178">
        <f t="shared" si="31"/>
        <v>0</v>
      </c>
      <c r="AM41" s="351">
        <f>IF(AS40&lt;0.01,0,IF(Resol!$G$19&gt;0,Resol!$G$19,IF(Resol!$F$19=Resol!$U$5,0,IF($AS$10&gt;0,0,IF($AS$10=0,AS40*Adm!$Y$3,AS40*Adm!$X$3)))))</f>
        <v>0</v>
      </c>
      <c r="AN41" s="351">
        <f>IF(AS40&lt;0.01,0,IF(Resol!$F$20=Resol!$V$3,0,IF(OR(Resol!$F$10=Resol!$T$16,Resol!$F$10=Resol!$T$17),0,IF(Resol!$F$10=Resol!$T$13,0,$AL$5*Adm!$AA$4/1.16))))</f>
        <v>0</v>
      </c>
      <c r="AO41" s="178">
        <f t="shared" si="18"/>
        <v>0</v>
      </c>
      <c r="AP41" s="178"/>
      <c r="AQ41" s="178">
        <f t="shared" si="5"/>
        <v>0</v>
      </c>
      <c r="AR41" s="178">
        <f t="shared" si="12"/>
        <v>0</v>
      </c>
      <c r="AS41" s="178">
        <f t="shared" si="26"/>
        <v>0</v>
      </c>
      <c r="AT41" s="348"/>
      <c r="AU41" s="348"/>
      <c r="AV41" s="176">
        <f t="shared" si="27"/>
        <v>0</v>
      </c>
      <c r="BB41" s="571">
        <f t="shared" si="15"/>
        <v>5</v>
      </c>
      <c r="BC41" s="293">
        <f>IF(BB41=1,Adm!$AN$2,0)</f>
        <v>0</v>
      </c>
      <c r="BE41" s="341">
        <f t="shared" si="19"/>
        <v>0</v>
      </c>
      <c r="BF41" s="345">
        <f t="shared" ca="1" si="16"/>
        <v>0</v>
      </c>
    </row>
    <row r="42" spans="1:58">
      <c r="A42" s="151">
        <f t="shared" ca="1" si="0"/>
        <v>5</v>
      </c>
      <c r="C42" s="178">
        <f t="shared" si="1"/>
        <v>18</v>
      </c>
      <c r="D42" s="178">
        <f t="shared" si="6"/>
        <v>7958.5011585864877</v>
      </c>
      <c r="E42" s="178">
        <f t="shared" si="28"/>
        <v>1656.8048963913852</v>
      </c>
      <c r="F42" s="178">
        <f t="shared" si="29"/>
        <v>9615.3060549778729</v>
      </c>
      <c r="G42" s="178">
        <f>IF(L41&lt;0.01,0,IF(Adm!$S$3=Adm!$S$13,Cal!$E$94,IF(Adm!$R$3=Adm!$R$6,0,IF(Cal!$E$91&gt;0,0,IF(Cal!$E$91=0,L41*Adm!$Y$3,L41*Adm!$X$3)))))</f>
        <v>0</v>
      </c>
      <c r="H42" s="178">
        <f>IF(L41&lt;0.01,0,IF(Adm!$R$4=Adm!$R$6,0,IF(Adm!$B$3=Adm!$B$12,0,Cal!$E$89*Adm!$AA$3/1.16)))</f>
        <v>494.46758620689661</v>
      </c>
      <c r="I42" s="178">
        <f>IF(L41&lt;0.01,0,Adm!$O$3)</f>
        <v>250</v>
      </c>
      <c r="J42" s="178">
        <f t="shared" si="2"/>
        <v>10359.773641184769</v>
      </c>
      <c r="K42" s="178">
        <f>IF(Adm!$F$3="si",MIN(L41+D42+G42+H42+I42-J42,Y42),0)</f>
        <v>0</v>
      </c>
      <c r="L42" s="178">
        <f t="shared" si="7"/>
        <v>1003627.5519776912</v>
      </c>
      <c r="M42" s="348"/>
      <c r="N42" s="348"/>
      <c r="O42" s="348">
        <f t="shared" si="8"/>
        <v>10359.773641184769</v>
      </c>
      <c r="U42" s="571">
        <f t="shared" si="9"/>
        <v>6</v>
      </c>
      <c r="V42" s="293">
        <f>IF(U42=1,Adm!$AN$2,0)</f>
        <v>0</v>
      </c>
      <c r="X42" s="341">
        <f t="shared" si="17"/>
        <v>0</v>
      </c>
      <c r="Y42" s="345">
        <f t="shared" ca="1" si="10"/>
        <v>0</v>
      </c>
      <c r="AD42" s="172"/>
      <c r="AG42" s="151">
        <f t="shared" ca="1" si="3"/>
        <v>5</v>
      </c>
      <c r="AI42" s="178">
        <f t="shared" si="4"/>
        <v>0</v>
      </c>
      <c r="AJ42" s="178">
        <f t="shared" si="11"/>
        <v>0</v>
      </c>
      <c r="AK42" s="178">
        <f t="shared" si="30"/>
        <v>0</v>
      </c>
      <c r="AL42" s="178">
        <f t="shared" si="31"/>
        <v>0</v>
      </c>
      <c r="AM42" s="351">
        <f>IF(AS41&lt;0.01,0,IF(Resol!$G$19&gt;0,Resol!$G$19,IF(Resol!$F$19=Resol!$U$5,0,IF($AS$10&gt;0,0,IF($AS$10=0,AS41*Adm!$Y$3,AS41*Adm!$X$3)))))</f>
        <v>0</v>
      </c>
      <c r="AN42" s="351">
        <f>IF(AS41&lt;0.01,0,IF(Resol!$F$20=Resol!$V$3,0,IF(OR(Resol!$F$10=Resol!$T$16,Resol!$F$10=Resol!$T$17),0,IF(Resol!$F$10=Resol!$T$13,0,$AL$5*Adm!$AA$4/1.16))))</f>
        <v>0</v>
      </c>
      <c r="AO42" s="178">
        <f t="shared" si="18"/>
        <v>0</v>
      </c>
      <c r="AP42" s="178"/>
      <c r="AQ42" s="178">
        <f t="shared" si="5"/>
        <v>0</v>
      </c>
      <c r="AR42" s="178">
        <f t="shared" si="12"/>
        <v>0</v>
      </c>
      <c r="AS42" s="178">
        <f t="shared" si="26"/>
        <v>0</v>
      </c>
      <c r="AT42" s="348"/>
      <c r="AU42" s="348"/>
      <c r="AV42" s="176">
        <f t="shared" si="27"/>
        <v>0</v>
      </c>
      <c r="BB42" s="571">
        <f t="shared" si="15"/>
        <v>6</v>
      </c>
      <c r="BC42" s="293">
        <f>IF(BB42=1,Adm!$AN$2,0)</f>
        <v>0</v>
      </c>
      <c r="BE42" s="341">
        <f t="shared" si="19"/>
        <v>0</v>
      </c>
      <c r="BF42" s="345">
        <f t="shared" ca="1" si="16"/>
        <v>0</v>
      </c>
    </row>
    <row r="43" spans="1:58">
      <c r="A43" s="151">
        <f t="shared" ca="1" si="0"/>
        <v>6</v>
      </c>
      <c r="C43" s="178">
        <f t="shared" si="1"/>
        <v>19</v>
      </c>
      <c r="D43" s="178">
        <f t="shared" si="6"/>
        <v>7945.3847864900563</v>
      </c>
      <c r="E43" s="178">
        <f t="shared" si="28"/>
        <v>1669.9212684878166</v>
      </c>
      <c r="F43" s="178">
        <f t="shared" si="29"/>
        <v>9615.3060549778729</v>
      </c>
      <c r="G43" s="178">
        <f>IF(L42&lt;0.01,0,IF(Adm!$S$3=Adm!$S$13,Cal!$E$94,IF(Adm!$R$3=Adm!$R$6,0,IF(Cal!$E$91&gt;0,0,IF(Cal!$E$91=0,L42*Adm!$Y$3,L42*Adm!$X$3)))))</f>
        <v>0</v>
      </c>
      <c r="H43" s="178">
        <f>IF(L42&lt;0.01,0,IF(Adm!$R$4=Adm!$R$6,0,IF(Adm!$B$3=Adm!$B$12,0,Cal!$E$89*Adm!$AA$3/1.16)))</f>
        <v>494.46758620689661</v>
      </c>
      <c r="I43" s="178">
        <f>IF(L42&lt;0.01,0,Adm!$O$3)</f>
        <v>250</v>
      </c>
      <c r="J43" s="178">
        <f t="shared" si="2"/>
        <v>10359.773641184769</v>
      </c>
      <c r="K43" s="178">
        <f>IF(Adm!$F$3="si",MIN(L42+D43+G43+H43+I43-J43,Y43),0)</f>
        <v>0</v>
      </c>
      <c r="L43" s="178">
        <f t="shared" si="7"/>
        <v>1001957.6307092034</v>
      </c>
      <c r="M43" s="348"/>
      <c r="N43" s="348"/>
      <c r="O43" s="348">
        <f t="shared" si="8"/>
        <v>10359.773641184769</v>
      </c>
      <c r="U43" s="571">
        <f t="shared" si="9"/>
        <v>7</v>
      </c>
      <c r="V43" s="293">
        <f>IF(U43=1,Adm!$AN$2,0)</f>
        <v>0</v>
      </c>
      <c r="X43" s="341">
        <f t="shared" si="17"/>
        <v>0</v>
      </c>
      <c r="Y43" s="345">
        <f t="shared" ca="1" si="10"/>
        <v>0</v>
      </c>
      <c r="AD43" s="172"/>
      <c r="AG43" s="151">
        <f t="shared" ca="1" si="3"/>
        <v>6</v>
      </c>
      <c r="AI43" s="178">
        <f t="shared" si="4"/>
        <v>0</v>
      </c>
      <c r="AJ43" s="178">
        <f t="shared" si="11"/>
        <v>0</v>
      </c>
      <c r="AK43" s="178">
        <f t="shared" si="30"/>
        <v>0</v>
      </c>
      <c r="AL43" s="178">
        <f t="shared" si="31"/>
        <v>0</v>
      </c>
      <c r="AM43" s="351">
        <f>IF(AS42&lt;0.01,0,IF(Resol!$G$19&gt;0,Resol!$G$19,IF(Resol!$F$19=Resol!$U$5,0,IF($AS$10&gt;0,0,IF($AS$10=0,AS42*Adm!$Y$3,AS42*Adm!$X$3)))))</f>
        <v>0</v>
      </c>
      <c r="AN43" s="351">
        <f>IF(AS42&lt;0.01,0,IF(Resol!$F$20=Resol!$V$3,0,IF(OR(Resol!$F$10=Resol!$T$16,Resol!$F$10=Resol!$T$17),0,IF(Resol!$F$10=Resol!$T$13,0,$AL$5*Adm!$AA$4/1.16))))</f>
        <v>0</v>
      </c>
      <c r="AO43" s="178">
        <f t="shared" si="18"/>
        <v>0</v>
      </c>
      <c r="AP43" s="178"/>
      <c r="AQ43" s="178">
        <f t="shared" si="5"/>
        <v>0</v>
      </c>
      <c r="AR43" s="178">
        <f t="shared" si="12"/>
        <v>0</v>
      </c>
      <c r="AS43" s="178">
        <f t="shared" si="26"/>
        <v>0</v>
      </c>
      <c r="AT43" s="348"/>
      <c r="AU43" s="348"/>
      <c r="AV43" s="176">
        <f t="shared" si="27"/>
        <v>0</v>
      </c>
      <c r="BB43" s="571">
        <f t="shared" si="15"/>
        <v>7</v>
      </c>
      <c r="BC43" s="293">
        <f>IF(BB43=1,Adm!$AN$2,0)</f>
        <v>0</v>
      </c>
      <c r="BE43" s="341">
        <f t="shared" si="19"/>
        <v>0</v>
      </c>
      <c r="BF43" s="345">
        <f t="shared" ca="1" si="16"/>
        <v>0</v>
      </c>
    </row>
    <row r="44" spans="1:58">
      <c r="A44" s="151">
        <f t="shared" ca="1" si="0"/>
        <v>7</v>
      </c>
      <c r="C44" s="178">
        <f t="shared" si="1"/>
        <v>20</v>
      </c>
      <c r="D44" s="178">
        <f t="shared" si="6"/>
        <v>7932.1645764478608</v>
      </c>
      <c r="E44" s="178">
        <f t="shared" si="28"/>
        <v>1683.1414785300121</v>
      </c>
      <c r="F44" s="178">
        <f t="shared" si="29"/>
        <v>9615.3060549778729</v>
      </c>
      <c r="G44" s="178">
        <f>IF(L43&lt;0.01,0,IF(Adm!$S$3=Adm!$S$13,Cal!$E$94,IF(Adm!$R$3=Adm!$R$6,0,IF(Cal!$E$91&gt;0,0,IF(Cal!$E$91=0,L43*Adm!$Y$3,L43*Adm!$X$3)))))</f>
        <v>0</v>
      </c>
      <c r="H44" s="178">
        <f>IF(L43&lt;0.01,0,IF(Adm!$R$4=Adm!$R$6,0,IF(Adm!$B$3=Adm!$B$12,0,Cal!$E$89*Adm!$AA$3/1.16)))</f>
        <v>494.46758620689661</v>
      </c>
      <c r="I44" s="178">
        <f>IF(L43&lt;0.01,0,Adm!$O$3)</f>
        <v>250</v>
      </c>
      <c r="J44" s="178">
        <f t="shared" si="2"/>
        <v>10359.773641184769</v>
      </c>
      <c r="K44" s="178">
        <f>IF(Adm!$F$3="si",MIN(L43+D44+G44+H44+I44-J44,Y44),0)</f>
        <v>0</v>
      </c>
      <c r="L44" s="178">
        <f t="shared" si="7"/>
        <v>1000274.4892306734</v>
      </c>
      <c r="M44" s="348"/>
      <c r="N44" s="348"/>
      <c r="O44" s="348">
        <f t="shared" si="8"/>
        <v>10359.773641184769</v>
      </c>
      <c r="U44" s="571">
        <f t="shared" si="9"/>
        <v>8</v>
      </c>
      <c r="V44" s="293">
        <f>IF(U44=1,Adm!$AN$2,0)</f>
        <v>0</v>
      </c>
      <c r="X44" s="341">
        <f t="shared" si="17"/>
        <v>0</v>
      </c>
      <c r="Y44" s="345">
        <f t="shared" ca="1" si="10"/>
        <v>0</v>
      </c>
      <c r="AD44" s="172"/>
      <c r="AG44" s="151">
        <f t="shared" ca="1" si="3"/>
        <v>7</v>
      </c>
      <c r="AI44" s="178">
        <f t="shared" si="4"/>
        <v>0</v>
      </c>
      <c r="AJ44" s="178">
        <f t="shared" si="11"/>
        <v>0</v>
      </c>
      <c r="AK44" s="178">
        <f t="shared" si="30"/>
        <v>0</v>
      </c>
      <c r="AL44" s="178">
        <f t="shared" si="31"/>
        <v>0</v>
      </c>
      <c r="AM44" s="351">
        <f>IF(AS43&lt;0.01,0,IF(Resol!$G$19&gt;0,Resol!$G$19,IF(Resol!$F$19=Resol!$U$5,0,IF($AS$10&gt;0,0,IF($AS$10=0,AS43*Adm!$Y$3,AS43*Adm!$X$3)))))</f>
        <v>0</v>
      </c>
      <c r="AN44" s="351">
        <f>IF(AS43&lt;0.01,0,IF(Resol!$F$20=Resol!$V$3,0,IF(OR(Resol!$F$10=Resol!$T$16,Resol!$F$10=Resol!$T$17),0,IF(Resol!$F$10=Resol!$T$13,0,$AL$5*Adm!$AA$4/1.16))))</f>
        <v>0</v>
      </c>
      <c r="AO44" s="178">
        <f t="shared" si="18"/>
        <v>0</v>
      </c>
      <c r="AP44" s="178"/>
      <c r="AQ44" s="178">
        <f t="shared" si="5"/>
        <v>0</v>
      </c>
      <c r="AR44" s="178">
        <f t="shared" si="12"/>
        <v>0</v>
      </c>
      <c r="AS44" s="178">
        <f t="shared" si="26"/>
        <v>0</v>
      </c>
      <c r="AT44" s="348"/>
      <c r="AU44" s="348"/>
      <c r="AV44" s="176">
        <f t="shared" si="27"/>
        <v>0</v>
      </c>
      <c r="BB44" s="571">
        <f t="shared" si="15"/>
        <v>8</v>
      </c>
      <c r="BC44" s="293">
        <f>IF(BB44=1,Adm!$AN$2,0)</f>
        <v>0</v>
      </c>
      <c r="BE44" s="341">
        <f t="shared" si="19"/>
        <v>0</v>
      </c>
      <c r="BF44" s="345">
        <f t="shared" ca="1" si="16"/>
        <v>0</v>
      </c>
    </row>
    <row r="45" spans="1:58">
      <c r="A45" s="151">
        <f t="shared" ca="1" si="0"/>
        <v>8</v>
      </c>
      <c r="C45" s="178">
        <f t="shared" si="1"/>
        <v>21</v>
      </c>
      <c r="D45" s="178">
        <f t="shared" si="6"/>
        <v>7918.8397064094979</v>
      </c>
      <c r="E45" s="178">
        <f t="shared" si="28"/>
        <v>1696.466348568375</v>
      </c>
      <c r="F45" s="178">
        <f t="shared" si="29"/>
        <v>9615.3060549778729</v>
      </c>
      <c r="G45" s="178">
        <f>IF(L44&lt;0.01,0,IF(Adm!$S$3=Adm!$S$13,Cal!$E$94,IF(Adm!$R$3=Adm!$R$6,0,IF(Cal!$E$91&gt;0,0,IF(Cal!$E$91=0,L44*Adm!$Y$3,L44*Adm!$X$3)))))</f>
        <v>0</v>
      </c>
      <c r="H45" s="178">
        <f>IF(L44&lt;0.01,0,IF(Adm!$R$4=Adm!$R$6,0,IF(Adm!$B$3=Adm!$B$12,0,Cal!$E$89*Adm!$AA$3/1.16)))</f>
        <v>494.46758620689661</v>
      </c>
      <c r="I45" s="178">
        <f>IF(L44&lt;0.01,0,Adm!$O$3)</f>
        <v>250</v>
      </c>
      <c r="J45" s="178">
        <f t="shared" si="2"/>
        <v>10359.773641184769</v>
      </c>
      <c r="K45" s="178">
        <f>IF(Adm!$F$3="si",MIN(L44+D45+G45+H45+I45-J45,Y45),0)</f>
        <v>0</v>
      </c>
      <c r="L45" s="178">
        <f t="shared" si="7"/>
        <v>998578.02288210508</v>
      </c>
      <c r="M45" s="348"/>
      <c r="N45" s="348"/>
      <c r="O45" s="348">
        <f t="shared" si="8"/>
        <v>10359.773641184769</v>
      </c>
      <c r="U45" s="571">
        <f t="shared" si="9"/>
        <v>9</v>
      </c>
      <c r="V45" s="293">
        <f>IF(U45=1,Adm!$AN$2,0)</f>
        <v>0</v>
      </c>
      <c r="X45" s="341">
        <f t="shared" si="17"/>
        <v>0</v>
      </c>
      <c r="Y45" s="345">
        <f t="shared" ca="1" si="10"/>
        <v>0</v>
      </c>
      <c r="AD45" s="172"/>
      <c r="AG45" s="151">
        <f t="shared" ca="1" si="3"/>
        <v>8</v>
      </c>
      <c r="AI45" s="178">
        <f t="shared" si="4"/>
        <v>0</v>
      </c>
      <c r="AJ45" s="178">
        <f t="shared" si="11"/>
        <v>0</v>
      </c>
      <c r="AK45" s="178">
        <f t="shared" si="30"/>
        <v>0</v>
      </c>
      <c r="AL45" s="178">
        <f t="shared" si="31"/>
        <v>0</v>
      </c>
      <c r="AM45" s="351">
        <f>IF(AS44&lt;0.01,0,IF(Resol!$G$19&gt;0,Resol!$G$19,IF(Resol!$F$19=Resol!$U$5,0,IF($AS$10&gt;0,0,IF($AS$10=0,AS44*Adm!$Y$3,AS44*Adm!$X$3)))))</f>
        <v>0</v>
      </c>
      <c r="AN45" s="351">
        <f>IF(AS44&lt;0.01,0,IF(Resol!$F$20=Resol!$V$3,0,IF(OR(Resol!$F$10=Resol!$T$16,Resol!$F$10=Resol!$T$17),0,IF(Resol!$F$10=Resol!$T$13,0,$AL$5*Adm!$AA$4/1.16))))</f>
        <v>0</v>
      </c>
      <c r="AO45" s="178">
        <f t="shared" si="18"/>
        <v>0</v>
      </c>
      <c r="AP45" s="178"/>
      <c r="AQ45" s="178">
        <f t="shared" si="5"/>
        <v>0</v>
      </c>
      <c r="AR45" s="178">
        <f t="shared" si="12"/>
        <v>0</v>
      </c>
      <c r="AS45" s="178">
        <f t="shared" si="26"/>
        <v>0</v>
      </c>
      <c r="AT45" s="348"/>
      <c r="AU45" s="348"/>
      <c r="AV45" s="176">
        <f t="shared" si="27"/>
        <v>0</v>
      </c>
      <c r="BB45" s="571">
        <f t="shared" si="15"/>
        <v>9</v>
      </c>
      <c r="BC45" s="293">
        <f>IF(BB45=1,Adm!$AN$2,0)</f>
        <v>0</v>
      </c>
      <c r="BE45" s="341">
        <f t="shared" si="19"/>
        <v>0</v>
      </c>
      <c r="BF45" s="345">
        <f t="shared" ca="1" si="16"/>
        <v>0</v>
      </c>
    </row>
    <row r="46" spans="1:58">
      <c r="A46" s="151">
        <f t="shared" ca="1" si="0"/>
        <v>9</v>
      </c>
      <c r="C46" s="178">
        <f t="shared" si="1"/>
        <v>22</v>
      </c>
      <c r="D46" s="178">
        <f t="shared" si="6"/>
        <v>7905.4093478166651</v>
      </c>
      <c r="E46" s="178">
        <f t="shared" si="28"/>
        <v>1709.8967071612078</v>
      </c>
      <c r="F46" s="178">
        <f t="shared" si="29"/>
        <v>9615.3060549778729</v>
      </c>
      <c r="G46" s="178">
        <f>IF(L45&lt;0.01,0,IF(Adm!$S$3=Adm!$S$13,Cal!$E$94,IF(Adm!$R$3=Adm!$R$6,0,IF(Cal!$E$91&gt;0,0,IF(Cal!$E$91=0,L45*Adm!$Y$3,L45*Adm!$X$3)))))</f>
        <v>0</v>
      </c>
      <c r="H46" s="178">
        <f>IF(L45&lt;0.01,0,IF(Adm!$R$4=Adm!$R$6,0,IF(Adm!$B$3=Adm!$B$12,0,Cal!$E$89*Adm!$AA$3/1.16)))</f>
        <v>494.46758620689661</v>
      </c>
      <c r="I46" s="178">
        <f>IF(L45&lt;0.01,0,Adm!$O$3)</f>
        <v>250</v>
      </c>
      <c r="J46" s="178">
        <f t="shared" si="2"/>
        <v>10359.773641184769</v>
      </c>
      <c r="K46" s="178">
        <f>IF(Adm!$F$3="si",MIN(L45+D46+G46+H46+I46-J46,Y46),0)</f>
        <v>0</v>
      </c>
      <c r="L46" s="178">
        <f t="shared" si="7"/>
        <v>996868.12617494387</v>
      </c>
      <c r="M46" s="348"/>
      <c r="N46" s="348"/>
      <c r="O46" s="348">
        <f t="shared" si="8"/>
        <v>10359.773641184769</v>
      </c>
      <c r="U46" s="571">
        <f t="shared" si="9"/>
        <v>10</v>
      </c>
      <c r="V46" s="293">
        <f>IF(U46=1,Adm!$AN$2,0)</f>
        <v>0</v>
      </c>
      <c r="X46" s="341">
        <f t="shared" si="17"/>
        <v>0</v>
      </c>
      <c r="Y46" s="345">
        <f t="shared" ca="1" si="10"/>
        <v>0</v>
      </c>
      <c r="AD46" s="172"/>
      <c r="AG46" s="151">
        <f t="shared" ca="1" si="3"/>
        <v>9</v>
      </c>
      <c r="AI46" s="178">
        <f t="shared" si="4"/>
        <v>0</v>
      </c>
      <c r="AJ46" s="178">
        <f t="shared" si="11"/>
        <v>0</v>
      </c>
      <c r="AK46" s="178">
        <f t="shared" si="30"/>
        <v>0</v>
      </c>
      <c r="AL46" s="178">
        <f t="shared" si="31"/>
        <v>0</v>
      </c>
      <c r="AM46" s="351">
        <f>IF(AS45&lt;0.01,0,IF(Resol!$G$19&gt;0,Resol!$G$19,IF(Resol!$F$19=Resol!$U$5,0,IF($AS$10&gt;0,0,IF($AS$10=0,AS45*Adm!$Y$3,AS45*Adm!$X$3)))))</f>
        <v>0</v>
      </c>
      <c r="AN46" s="351">
        <f>IF(AS45&lt;0.01,0,IF(Resol!$F$20=Resol!$V$3,0,IF(OR(Resol!$F$10=Resol!$T$16,Resol!$F$10=Resol!$T$17),0,IF(Resol!$F$10=Resol!$T$13,0,$AL$5*Adm!$AA$4/1.16))))</f>
        <v>0</v>
      </c>
      <c r="AO46" s="178">
        <f t="shared" si="18"/>
        <v>0</v>
      </c>
      <c r="AP46" s="178"/>
      <c r="AQ46" s="178">
        <f t="shared" si="5"/>
        <v>0</v>
      </c>
      <c r="AR46" s="178">
        <f t="shared" si="12"/>
        <v>0</v>
      </c>
      <c r="AS46" s="178">
        <f t="shared" si="26"/>
        <v>0</v>
      </c>
      <c r="AT46" s="348"/>
      <c r="AU46" s="348"/>
      <c r="AV46" s="176">
        <f t="shared" si="27"/>
        <v>0</v>
      </c>
      <c r="BB46" s="571">
        <f t="shared" si="15"/>
        <v>10</v>
      </c>
      <c r="BC46" s="293">
        <f>IF(BB46=1,Adm!$AN$2,0)</f>
        <v>0</v>
      </c>
      <c r="BE46" s="341">
        <f t="shared" si="19"/>
        <v>0</v>
      </c>
      <c r="BF46" s="345">
        <f t="shared" ca="1" si="16"/>
        <v>0</v>
      </c>
    </row>
    <row r="47" spans="1:58">
      <c r="A47" s="151">
        <f t="shared" ca="1" si="0"/>
        <v>10</v>
      </c>
      <c r="C47" s="178">
        <f t="shared" si="1"/>
        <v>23</v>
      </c>
      <c r="D47" s="178">
        <f t="shared" si="6"/>
        <v>7891.8726655516393</v>
      </c>
      <c r="E47" s="178">
        <f t="shared" si="28"/>
        <v>1723.4333894262336</v>
      </c>
      <c r="F47" s="178">
        <f t="shared" si="29"/>
        <v>9615.3060549778729</v>
      </c>
      <c r="G47" s="178">
        <f>IF(L46&lt;0.01,0,IF(Adm!$S$3=Adm!$S$13,Cal!$E$94,IF(Adm!$R$3=Adm!$R$6,0,IF(Cal!$E$91&gt;0,0,IF(Cal!$E$91=0,L46*Adm!$Y$3,L46*Adm!$X$3)))))</f>
        <v>0</v>
      </c>
      <c r="H47" s="178">
        <f>IF(L46&lt;0.01,0,IF(Adm!$R$4=Adm!$R$6,0,IF(Adm!$B$3=Adm!$B$12,0,Cal!$E$89*Adm!$AA$3/1.16)))</f>
        <v>494.46758620689661</v>
      </c>
      <c r="I47" s="178">
        <f>IF(L46&lt;0.01,0,Adm!$O$3)</f>
        <v>250</v>
      </c>
      <c r="J47" s="178">
        <f t="shared" si="2"/>
        <v>10359.773641184769</v>
      </c>
      <c r="K47" s="178">
        <f>IF(Adm!$F$3="si",MIN(L46+D47+G47+H47+I47-J47,Y47),0)</f>
        <v>0</v>
      </c>
      <c r="L47" s="178">
        <f t="shared" si="7"/>
        <v>995144.69278551766</v>
      </c>
      <c r="M47" s="348"/>
      <c r="N47" s="348"/>
      <c r="O47" s="348">
        <f t="shared" si="8"/>
        <v>10359.773641184769</v>
      </c>
      <c r="U47" s="571">
        <f t="shared" si="9"/>
        <v>11</v>
      </c>
      <c r="V47" s="293">
        <f>IF(U47=1,Adm!$AN$2,0)</f>
        <v>0</v>
      </c>
      <c r="X47" s="341">
        <f t="shared" si="17"/>
        <v>0</v>
      </c>
      <c r="Y47" s="345">
        <f t="shared" ca="1" si="10"/>
        <v>0</v>
      </c>
      <c r="AD47" s="172"/>
      <c r="AG47" s="151">
        <f t="shared" ca="1" si="3"/>
        <v>10</v>
      </c>
      <c r="AI47" s="178">
        <f t="shared" si="4"/>
        <v>0</v>
      </c>
      <c r="AJ47" s="178">
        <f t="shared" si="11"/>
        <v>0</v>
      </c>
      <c r="AK47" s="178">
        <f t="shared" si="30"/>
        <v>0</v>
      </c>
      <c r="AL47" s="178">
        <f t="shared" si="31"/>
        <v>0</v>
      </c>
      <c r="AM47" s="351">
        <f>IF(AS46&lt;0.01,0,IF(Resol!$G$19&gt;0,Resol!$G$19,IF(Resol!$F$19=Resol!$U$5,0,IF($AS$10&gt;0,0,IF($AS$10=0,AS46*Adm!$Y$3,AS46*Adm!$X$3)))))</f>
        <v>0</v>
      </c>
      <c r="AN47" s="351">
        <f>IF(AS46&lt;0.01,0,IF(Resol!$F$20=Resol!$V$3,0,IF(OR(Resol!$F$10=Resol!$T$16,Resol!$F$10=Resol!$T$17),0,IF(Resol!$F$10=Resol!$T$13,0,$AL$5*Adm!$AA$4/1.16))))</f>
        <v>0</v>
      </c>
      <c r="AO47" s="178">
        <f t="shared" si="18"/>
        <v>0</v>
      </c>
      <c r="AP47" s="178"/>
      <c r="AQ47" s="178">
        <f t="shared" si="5"/>
        <v>0</v>
      </c>
      <c r="AR47" s="178">
        <f t="shared" si="12"/>
        <v>0</v>
      </c>
      <c r="AS47" s="178">
        <f t="shared" si="26"/>
        <v>0</v>
      </c>
      <c r="AT47" s="348"/>
      <c r="AU47" s="348"/>
      <c r="AV47" s="176">
        <f t="shared" si="27"/>
        <v>0</v>
      </c>
      <c r="BB47" s="571">
        <f t="shared" si="15"/>
        <v>11</v>
      </c>
      <c r="BC47" s="293">
        <f>IF(BB47=1,Adm!$AN$2,0)</f>
        <v>0</v>
      </c>
      <c r="BE47" s="341">
        <f t="shared" si="19"/>
        <v>0</v>
      </c>
      <c r="BF47" s="345">
        <f t="shared" ca="1" si="16"/>
        <v>0</v>
      </c>
    </row>
    <row r="48" spans="1:58">
      <c r="A48" s="151">
        <f t="shared" ca="1" si="0"/>
        <v>11</v>
      </c>
      <c r="C48" s="178">
        <f t="shared" si="1"/>
        <v>24</v>
      </c>
      <c r="D48" s="178">
        <f t="shared" si="6"/>
        <v>7878.2288178853487</v>
      </c>
      <c r="E48" s="178">
        <f t="shared" si="28"/>
        <v>1737.0772370925242</v>
      </c>
      <c r="F48" s="178">
        <f t="shared" si="29"/>
        <v>9615.3060549778729</v>
      </c>
      <c r="G48" s="178">
        <f>IF(L47&lt;0.01,0,IF(Adm!$S$3=Adm!$S$13,Cal!$E$94,IF(Adm!$R$3=Adm!$R$6,0,IF(Cal!$E$91&gt;0,0,IF(Cal!$E$91=0,L47*Adm!$Y$3,L47*Adm!$X$3)))))</f>
        <v>0</v>
      </c>
      <c r="H48" s="178">
        <f>IF(L47&lt;0.01,0,IF(Adm!$R$4=Adm!$R$6,0,IF(Adm!$B$3=Adm!$B$12,0,Cal!$E$89*Adm!$AA$3/1.16)))</f>
        <v>494.46758620689661</v>
      </c>
      <c r="I48" s="178">
        <f>IF(L47&lt;0.01,0,Adm!$O$3)</f>
        <v>250</v>
      </c>
      <c r="J48" s="178">
        <f t="shared" si="2"/>
        <v>10359.773641184769</v>
      </c>
      <c r="K48" s="178">
        <f>IF(Adm!$F$3="si",MIN(L47+D48+G48+H48+I48-J48,Y48),0)</f>
        <v>0</v>
      </c>
      <c r="L48" s="178">
        <f t="shared" si="7"/>
        <v>993407.61554842512</v>
      </c>
      <c r="M48" s="348"/>
      <c r="N48" s="348"/>
      <c r="O48" s="348">
        <f t="shared" si="8"/>
        <v>10359.773641184769</v>
      </c>
      <c r="U48" s="571">
        <f t="shared" si="9"/>
        <v>12</v>
      </c>
      <c r="V48" s="293">
        <f>IF(U48=1,Adm!$AN$2,0)</f>
        <v>0</v>
      </c>
      <c r="X48" s="341">
        <f t="shared" si="17"/>
        <v>0</v>
      </c>
      <c r="Y48" s="345">
        <f t="shared" ca="1" si="10"/>
        <v>0</v>
      </c>
      <c r="AD48" s="172"/>
      <c r="AG48" s="151">
        <f t="shared" ca="1" si="3"/>
        <v>11</v>
      </c>
      <c r="AI48" s="178">
        <f t="shared" si="4"/>
        <v>0</v>
      </c>
      <c r="AJ48" s="178">
        <f t="shared" si="11"/>
        <v>0</v>
      </c>
      <c r="AK48" s="178">
        <f t="shared" si="30"/>
        <v>0</v>
      </c>
      <c r="AL48" s="178">
        <f t="shared" si="31"/>
        <v>0</v>
      </c>
      <c r="AM48" s="351">
        <f>IF(AS47&lt;0.01,0,IF(Resol!$G$19&gt;0,Resol!$G$19,IF(Resol!$F$19=Resol!$U$5,0,IF($AS$10&gt;0,0,IF($AS$10=0,AS47*Adm!$Y$3,AS47*Adm!$X$3)))))</f>
        <v>0</v>
      </c>
      <c r="AN48" s="351">
        <f>IF(AS47&lt;0.01,0,IF(Resol!$F$20=Resol!$V$3,0,IF(OR(Resol!$F$10=Resol!$T$16,Resol!$F$10=Resol!$T$17),0,IF(Resol!$F$10=Resol!$T$13,0,$AL$5*Adm!$AA$4/1.16))))</f>
        <v>0</v>
      </c>
      <c r="AO48" s="178">
        <f t="shared" si="18"/>
        <v>0</v>
      </c>
      <c r="AP48" s="178"/>
      <c r="AQ48" s="178">
        <f t="shared" si="5"/>
        <v>0</v>
      </c>
      <c r="AR48" s="178">
        <f t="shared" si="12"/>
        <v>0</v>
      </c>
      <c r="AS48" s="178">
        <f t="shared" si="26"/>
        <v>0</v>
      </c>
      <c r="AT48" s="348"/>
      <c r="AU48" s="348"/>
      <c r="AV48" s="176">
        <f t="shared" si="27"/>
        <v>0</v>
      </c>
      <c r="BB48" s="571">
        <f t="shared" si="15"/>
        <v>12</v>
      </c>
      <c r="BC48" s="293">
        <f>IF(BB48=1,Adm!$AN$2,0)</f>
        <v>0</v>
      </c>
      <c r="BE48" s="341">
        <f t="shared" si="19"/>
        <v>0</v>
      </c>
      <c r="BF48" s="345">
        <f t="shared" ca="1" si="16"/>
        <v>0</v>
      </c>
    </row>
    <row r="49" spans="1:58">
      <c r="A49" s="151">
        <f t="shared" ca="1" si="0"/>
        <v>12</v>
      </c>
      <c r="C49" s="178">
        <f t="shared" si="1"/>
        <v>25</v>
      </c>
      <c r="D49" s="178">
        <f t="shared" si="6"/>
        <v>7864.4769564250319</v>
      </c>
      <c r="E49" s="178">
        <f t="shared" si="28"/>
        <v>1750.8290985528411</v>
      </c>
      <c r="F49" s="178">
        <f t="shared" si="29"/>
        <v>9615.3060549778729</v>
      </c>
      <c r="G49" s="178">
        <f>IF(L48&lt;0.01,0,IF(Adm!$S$3=Adm!$S$13,Cal!$E$94,IF(Adm!$R$3=Adm!$R$6,0,IF(Cal!$E$91&gt;0,0,IF(Cal!$E$91=0,L48*Adm!$Y$3,L48*Adm!$X$3)))))</f>
        <v>0</v>
      </c>
      <c r="H49" s="178">
        <f>IF(L48&lt;0.01,0,IF(Adm!$R$4=Adm!$R$6,0,IF(Adm!$B$3=Adm!$B$12,0,Cal!$E$89*Adm!$AA$3/1.16)))</f>
        <v>494.46758620689661</v>
      </c>
      <c r="I49" s="178">
        <f>IF(L48&lt;0.01,0,Adm!$O$3)</f>
        <v>250</v>
      </c>
      <c r="J49" s="178">
        <f t="shared" si="2"/>
        <v>10359.773641184769</v>
      </c>
      <c r="K49" s="178">
        <f>IF(Adm!$F$3="si",MIN(L48+D49+G49+H49+I49-J49,Y49),0)</f>
        <v>0</v>
      </c>
      <c r="L49" s="178">
        <f t="shared" si="7"/>
        <v>991656.78644987231</v>
      </c>
      <c r="M49" s="348"/>
      <c r="N49" s="348"/>
      <c r="O49" s="348">
        <f t="shared" si="8"/>
        <v>10359.773641184769</v>
      </c>
      <c r="U49" s="571">
        <f t="shared" si="9"/>
        <v>1</v>
      </c>
      <c r="V49" s="293">
        <f>IF(U49=1,Adm!$AN$2,0)</f>
        <v>0</v>
      </c>
      <c r="X49" s="341">
        <f t="shared" si="17"/>
        <v>0</v>
      </c>
      <c r="Y49" s="345">
        <f t="shared" ca="1" si="10"/>
        <v>0</v>
      </c>
      <c r="AD49" s="172"/>
      <c r="AG49" s="151">
        <f t="shared" ca="1" si="3"/>
        <v>12</v>
      </c>
      <c r="AI49" s="178">
        <f t="shared" si="4"/>
        <v>0</v>
      </c>
      <c r="AJ49" s="178">
        <f t="shared" si="11"/>
        <v>0</v>
      </c>
      <c r="AK49" s="178">
        <f t="shared" si="30"/>
        <v>0</v>
      </c>
      <c r="AL49" s="178">
        <f t="shared" si="31"/>
        <v>0</v>
      </c>
      <c r="AM49" s="351">
        <f>IF(AS48&lt;0.01,0,IF(Resol!$G$19&gt;0,Resol!$G$19,IF(Resol!$F$19=Resol!$U$5,0,IF($AS$10&gt;0,0,IF($AS$10=0,AS48*Adm!$Y$3,AS48*Adm!$X$3)))))</f>
        <v>0</v>
      </c>
      <c r="AN49" s="351">
        <f>IF(AS48&lt;0.01,0,IF(Resol!$F$20=Resol!$V$3,0,IF(OR(Resol!$F$10=Resol!$T$16,Resol!$F$10=Resol!$T$17),0,IF(Resol!$F$10=Resol!$T$13,0,$AL$5*Adm!$AA$4/1.16))))</f>
        <v>0</v>
      </c>
      <c r="AO49" s="178">
        <f t="shared" si="18"/>
        <v>0</v>
      </c>
      <c r="AP49" s="178"/>
      <c r="AQ49" s="178">
        <f t="shared" si="5"/>
        <v>0</v>
      </c>
      <c r="AR49" s="178">
        <f t="shared" si="12"/>
        <v>0</v>
      </c>
      <c r="AS49" s="178">
        <f t="shared" si="26"/>
        <v>0</v>
      </c>
      <c r="AT49" s="348"/>
      <c r="AU49" s="348"/>
      <c r="AV49" s="176">
        <f t="shared" si="27"/>
        <v>0</v>
      </c>
      <c r="BB49" s="571">
        <f t="shared" si="15"/>
        <v>1</v>
      </c>
      <c r="BC49" s="293">
        <f>IF(BB49=1,Adm!$AN$2,0)</f>
        <v>0</v>
      </c>
      <c r="BE49" s="341">
        <f t="shared" si="19"/>
        <v>0</v>
      </c>
      <c r="BF49" s="345">
        <f t="shared" ca="1" si="16"/>
        <v>0</v>
      </c>
    </row>
    <row r="50" spans="1:58">
      <c r="A50" s="151">
        <f t="shared" ca="1" si="0"/>
        <v>1</v>
      </c>
      <c r="C50" s="178">
        <f t="shared" si="1"/>
        <v>26</v>
      </c>
      <c r="D50" s="178">
        <f t="shared" si="6"/>
        <v>7850.6162260614883</v>
      </c>
      <c r="E50" s="178">
        <f t="shared" si="28"/>
        <v>1764.6898289163846</v>
      </c>
      <c r="F50" s="178">
        <f t="shared" si="29"/>
        <v>9615.3060549778729</v>
      </c>
      <c r="G50" s="178">
        <f>IF(L49&lt;0.01,0,IF(Adm!$S$3=Adm!$S$13,Cal!$E$94,IF(Adm!$R$3=Adm!$R$6,0,IF(Cal!$E$91&gt;0,0,IF(Cal!$E$91=0,L49*Adm!$Y$3,L49*Adm!$X$3)))))</f>
        <v>0</v>
      </c>
      <c r="H50" s="178">
        <f>IF(L49&lt;0.01,0,IF(Adm!$R$4=Adm!$R$6,0,IF(Adm!$B$3=Adm!$B$12,0,Cal!$E$89*Adm!$AA$3/1.16)))</f>
        <v>494.46758620689661</v>
      </c>
      <c r="I50" s="178">
        <f>IF(L49&lt;0.01,0,Adm!$O$3)</f>
        <v>250</v>
      </c>
      <c r="J50" s="178">
        <f t="shared" si="2"/>
        <v>10359.773641184769</v>
      </c>
      <c r="K50" s="178">
        <f>IF(Adm!$F$3="si",MIN(L49+D50+G50+H50+I50-J50,Y50),0)</f>
        <v>0</v>
      </c>
      <c r="L50" s="178">
        <f t="shared" si="7"/>
        <v>989892.09662095597</v>
      </c>
      <c r="M50" s="348"/>
      <c r="N50" s="348"/>
      <c r="O50" s="348">
        <f t="shared" si="8"/>
        <v>10359.773641184769</v>
      </c>
      <c r="U50" s="571">
        <f t="shared" si="9"/>
        <v>2</v>
      </c>
      <c r="V50" s="293">
        <f>IF(U50=1,Adm!$AN$2,0)</f>
        <v>0</v>
      </c>
      <c r="X50" s="341">
        <f t="shared" si="17"/>
        <v>0</v>
      </c>
      <c r="Y50" s="345">
        <f t="shared" ca="1" si="10"/>
        <v>0</v>
      </c>
      <c r="AD50" s="172"/>
      <c r="AG50" s="151">
        <f t="shared" ca="1" si="3"/>
        <v>1</v>
      </c>
      <c r="AI50" s="178">
        <f t="shared" si="4"/>
        <v>0</v>
      </c>
      <c r="AJ50" s="178">
        <f t="shared" si="11"/>
        <v>0</v>
      </c>
      <c r="AK50" s="178">
        <f t="shared" si="30"/>
        <v>0</v>
      </c>
      <c r="AL50" s="178">
        <f t="shared" si="31"/>
        <v>0</v>
      </c>
      <c r="AM50" s="351">
        <f>IF(AS49&lt;0.01,0,IF(Resol!$G$19&gt;0,Resol!$G$19,IF(Resol!$F$19=Resol!$U$5,0,IF($AS$10&gt;0,0,IF($AS$10=0,AS49*Adm!$Y$3,AS49*Adm!$X$3)))))</f>
        <v>0</v>
      </c>
      <c r="AN50" s="351">
        <f>IF(AS49&lt;0.01,0,IF(Resol!$F$20=Resol!$V$3,0,IF(OR(Resol!$F$10=Resol!$T$16,Resol!$F$10=Resol!$T$17),0,IF(Resol!$F$10=Resol!$T$13,0,$AL$5*Adm!$AA$4/1.16))))</f>
        <v>0</v>
      </c>
      <c r="AO50" s="178">
        <f t="shared" si="18"/>
        <v>0</v>
      </c>
      <c r="AP50" s="178"/>
      <c r="AQ50" s="178">
        <f t="shared" si="5"/>
        <v>0</v>
      </c>
      <c r="AR50" s="178">
        <f t="shared" si="12"/>
        <v>0</v>
      </c>
      <c r="AS50" s="178">
        <f t="shared" si="26"/>
        <v>0</v>
      </c>
      <c r="AT50" s="348"/>
      <c r="AU50" s="348"/>
      <c r="AV50" s="176">
        <f t="shared" si="27"/>
        <v>0</v>
      </c>
      <c r="BB50" s="571">
        <f t="shared" si="15"/>
        <v>2</v>
      </c>
      <c r="BC50" s="293">
        <f>IF(BB50=1,Adm!$AN$2,0)</f>
        <v>0</v>
      </c>
      <c r="BE50" s="341">
        <f t="shared" si="19"/>
        <v>0</v>
      </c>
      <c r="BF50" s="345">
        <f t="shared" ca="1" si="16"/>
        <v>0</v>
      </c>
    </row>
    <row r="51" spans="1:58">
      <c r="A51" s="151">
        <f t="shared" ca="1" si="0"/>
        <v>2</v>
      </c>
      <c r="C51" s="178">
        <f t="shared" si="1"/>
        <v>27</v>
      </c>
      <c r="D51" s="178">
        <f t="shared" si="6"/>
        <v>7836.645764915902</v>
      </c>
      <c r="E51" s="178">
        <f t="shared" si="28"/>
        <v>1778.660290061971</v>
      </c>
      <c r="F51" s="178">
        <f t="shared" si="29"/>
        <v>9615.3060549778729</v>
      </c>
      <c r="G51" s="178">
        <f>IF(L50&lt;0.01,0,IF(Adm!$S$3=Adm!$S$13,Cal!$E$94,IF(Adm!$R$3=Adm!$R$6,0,IF(Cal!$E$91&gt;0,0,IF(Cal!$E$91=0,L50*Adm!$Y$3,L50*Adm!$X$3)))))</f>
        <v>0</v>
      </c>
      <c r="H51" s="178">
        <f>IF(L50&lt;0.01,0,IF(Adm!$R$4=Adm!$R$6,0,IF(Adm!$B$3=Adm!$B$12,0,Cal!$E$89*Adm!$AA$3/1.16)))</f>
        <v>494.46758620689661</v>
      </c>
      <c r="I51" s="178">
        <f>IF(L50&lt;0.01,0,Adm!$O$3)</f>
        <v>250</v>
      </c>
      <c r="J51" s="178">
        <f t="shared" si="2"/>
        <v>10359.773641184769</v>
      </c>
      <c r="K51" s="178">
        <f>IF(Adm!$F$3="si",MIN(L50+D51+G51+H51+I51-J51,Y51),0)</f>
        <v>0</v>
      </c>
      <c r="L51" s="178">
        <f t="shared" si="7"/>
        <v>988113.43633089401</v>
      </c>
      <c r="M51" s="348"/>
      <c r="N51" s="348"/>
      <c r="O51" s="348">
        <f t="shared" si="8"/>
        <v>10359.773641184769</v>
      </c>
      <c r="U51" s="571">
        <f t="shared" si="9"/>
        <v>3</v>
      </c>
      <c r="V51" s="293">
        <f>IF(U51=1,Adm!$AN$2,0)</f>
        <v>0</v>
      </c>
      <c r="X51" s="341">
        <f t="shared" si="17"/>
        <v>0</v>
      </c>
      <c r="Y51" s="345">
        <f t="shared" ca="1" si="10"/>
        <v>0</v>
      </c>
      <c r="AD51" s="172"/>
      <c r="AG51" s="151">
        <f t="shared" ca="1" si="3"/>
        <v>2</v>
      </c>
      <c r="AI51" s="178">
        <f t="shared" si="4"/>
        <v>0</v>
      </c>
      <c r="AJ51" s="178">
        <f t="shared" si="11"/>
        <v>0</v>
      </c>
      <c r="AK51" s="178">
        <f t="shared" si="30"/>
        <v>0</v>
      </c>
      <c r="AL51" s="178">
        <f t="shared" si="31"/>
        <v>0</v>
      </c>
      <c r="AM51" s="351">
        <f>IF(AS50&lt;0.01,0,IF(Resol!$G$19&gt;0,Resol!$G$19,IF(Resol!$F$19=Resol!$U$5,0,IF($AS$10&gt;0,0,IF($AS$10=0,AS50*Adm!$Y$3,AS50*Adm!$X$3)))))</f>
        <v>0</v>
      </c>
      <c r="AN51" s="351">
        <f>IF(AS50&lt;0.01,0,IF(Resol!$F$20=Resol!$V$3,0,IF(OR(Resol!$F$10=Resol!$T$16,Resol!$F$10=Resol!$T$17),0,IF(Resol!$F$10=Resol!$T$13,0,$AL$5*Adm!$AA$4/1.16))))</f>
        <v>0</v>
      </c>
      <c r="AO51" s="178">
        <f t="shared" si="18"/>
        <v>0</v>
      </c>
      <c r="AP51" s="178"/>
      <c r="AQ51" s="178">
        <f t="shared" si="5"/>
        <v>0</v>
      </c>
      <c r="AR51" s="178">
        <f t="shared" si="12"/>
        <v>0</v>
      </c>
      <c r="AS51" s="178">
        <f t="shared" si="26"/>
        <v>0</v>
      </c>
      <c r="AT51" s="348"/>
      <c r="AU51" s="348"/>
      <c r="AV51" s="176">
        <f t="shared" si="27"/>
        <v>0</v>
      </c>
      <c r="BB51" s="571">
        <f t="shared" si="15"/>
        <v>3</v>
      </c>
      <c r="BC51" s="293">
        <f>IF(BB51=1,Adm!$AN$2,0)</f>
        <v>0</v>
      </c>
      <c r="BE51" s="341">
        <f t="shared" si="19"/>
        <v>0</v>
      </c>
      <c r="BF51" s="345">
        <f t="shared" ca="1" si="16"/>
        <v>0</v>
      </c>
    </row>
    <row r="52" spans="1:58">
      <c r="A52" s="151">
        <f t="shared" ca="1" si="0"/>
        <v>3</v>
      </c>
      <c r="C52" s="178">
        <f t="shared" si="1"/>
        <v>28</v>
      </c>
      <c r="D52" s="178">
        <f t="shared" si="6"/>
        <v>7822.5647042862438</v>
      </c>
      <c r="E52" s="178">
        <f t="shared" si="28"/>
        <v>1792.7413506916291</v>
      </c>
      <c r="F52" s="178">
        <f t="shared" si="29"/>
        <v>9615.3060549778729</v>
      </c>
      <c r="G52" s="178">
        <f>IF(L51&lt;0.01,0,IF(Adm!$S$3=Adm!$S$13,Cal!$E$94,IF(Adm!$R$3=Adm!$R$6,0,IF(Cal!$E$91&gt;0,0,IF(Cal!$E$91=0,L51*Adm!$Y$3,L51*Adm!$X$3)))))</f>
        <v>0</v>
      </c>
      <c r="H52" s="178">
        <f>IF(L51&lt;0.01,0,IF(Adm!$R$4=Adm!$R$6,0,IF(Adm!$B$3=Adm!$B$12,0,Cal!$E$89*Adm!$AA$3/1.16)))</f>
        <v>494.46758620689661</v>
      </c>
      <c r="I52" s="178">
        <f>IF(L51&lt;0.01,0,Adm!$O$3)</f>
        <v>250</v>
      </c>
      <c r="J52" s="178">
        <f t="shared" si="2"/>
        <v>10359.773641184769</v>
      </c>
      <c r="K52" s="178">
        <f>IF(Adm!$F$3="si",MIN(L51+D52+G52+H52+I52-J52,Y52),0)</f>
        <v>0</v>
      </c>
      <c r="L52" s="178">
        <f t="shared" si="7"/>
        <v>986320.69498020236</v>
      </c>
      <c r="M52" s="348"/>
      <c r="N52" s="348"/>
      <c r="O52" s="348">
        <f t="shared" si="8"/>
        <v>10359.773641184769</v>
      </c>
      <c r="U52" s="571">
        <f t="shared" si="9"/>
        <v>4</v>
      </c>
      <c r="V52" s="293">
        <f>IF(U52=1,Adm!$AN$2,0)</f>
        <v>0</v>
      </c>
      <c r="X52" s="341">
        <f t="shared" si="17"/>
        <v>0</v>
      </c>
      <c r="Y52" s="345">
        <f t="shared" ca="1" si="10"/>
        <v>0</v>
      </c>
      <c r="AD52" s="172"/>
      <c r="AG52" s="151">
        <f t="shared" ca="1" si="3"/>
        <v>3</v>
      </c>
      <c r="AI52" s="178">
        <f t="shared" si="4"/>
        <v>0</v>
      </c>
      <c r="AJ52" s="178">
        <f t="shared" si="11"/>
        <v>0</v>
      </c>
      <c r="AK52" s="178">
        <f t="shared" si="30"/>
        <v>0</v>
      </c>
      <c r="AL52" s="178">
        <f t="shared" si="31"/>
        <v>0</v>
      </c>
      <c r="AM52" s="351">
        <f>IF(AS51&lt;0.01,0,IF(Resol!$G$19&gt;0,Resol!$G$19,IF(Resol!$F$19=Resol!$U$5,0,IF($AS$10&gt;0,0,IF($AS$10=0,AS51*Adm!$Y$3,AS51*Adm!$X$3)))))</f>
        <v>0</v>
      </c>
      <c r="AN52" s="351">
        <f>IF(AS51&lt;0.01,0,IF(Resol!$F$20=Resol!$V$3,0,IF(OR(Resol!$F$10=Resol!$T$16,Resol!$F$10=Resol!$T$17),0,IF(Resol!$F$10=Resol!$T$13,0,$AL$5*Adm!$AA$4/1.16))))</f>
        <v>0</v>
      </c>
      <c r="AO52" s="178">
        <f t="shared" si="18"/>
        <v>0</v>
      </c>
      <c r="AP52" s="178"/>
      <c r="AQ52" s="178">
        <f t="shared" si="5"/>
        <v>0</v>
      </c>
      <c r="AR52" s="178">
        <f t="shared" si="12"/>
        <v>0</v>
      </c>
      <c r="AS52" s="178">
        <f t="shared" si="26"/>
        <v>0</v>
      </c>
      <c r="AT52" s="348"/>
      <c r="AU52" s="348"/>
      <c r="AV52" s="176">
        <f t="shared" si="27"/>
        <v>0</v>
      </c>
      <c r="BB52" s="571">
        <f t="shared" si="15"/>
        <v>4</v>
      </c>
      <c r="BC52" s="293">
        <f>IF(BB52=1,Adm!$AN$2,0)</f>
        <v>0</v>
      </c>
      <c r="BE52" s="341">
        <f t="shared" si="19"/>
        <v>0</v>
      </c>
      <c r="BF52" s="345">
        <f t="shared" ca="1" si="16"/>
        <v>0</v>
      </c>
    </row>
    <row r="53" spans="1:58">
      <c r="A53" s="151">
        <f t="shared" ca="1" si="0"/>
        <v>4</v>
      </c>
      <c r="C53" s="178">
        <f t="shared" si="1"/>
        <v>29</v>
      </c>
      <c r="D53" s="178">
        <f t="shared" si="6"/>
        <v>7808.3721685932687</v>
      </c>
      <c r="E53" s="178">
        <f t="shared" si="28"/>
        <v>1806.9338863846042</v>
      </c>
      <c r="F53" s="178">
        <f t="shared" si="29"/>
        <v>9615.3060549778729</v>
      </c>
      <c r="G53" s="178">
        <f>IF(L52&lt;0.01,0,IF(Adm!$S$3=Adm!$S$13,Cal!$E$94,IF(Adm!$R$3=Adm!$R$6,0,IF(Cal!$E$91&gt;0,0,IF(Cal!$E$91=0,L52*Adm!$Y$3,L52*Adm!$X$3)))))</f>
        <v>0</v>
      </c>
      <c r="H53" s="178">
        <f>IF(L52&lt;0.01,0,IF(Adm!$R$4=Adm!$R$6,0,IF(Adm!$B$3=Adm!$B$12,0,Cal!$E$89*Adm!$AA$3/1.16)))</f>
        <v>494.46758620689661</v>
      </c>
      <c r="I53" s="178">
        <f>IF(L52&lt;0.01,0,Adm!$O$3)</f>
        <v>250</v>
      </c>
      <c r="J53" s="178">
        <f t="shared" si="2"/>
        <v>10359.773641184769</v>
      </c>
      <c r="K53" s="178">
        <f>IF(Adm!$F$3="si",MIN(L52+D53+G53+H53+I53-J53,Y53),0)</f>
        <v>0</v>
      </c>
      <c r="L53" s="178">
        <f t="shared" si="7"/>
        <v>984513.76109381777</v>
      </c>
      <c r="M53" s="348"/>
      <c r="N53" s="348"/>
      <c r="O53" s="348">
        <f t="shared" si="8"/>
        <v>10359.773641184769</v>
      </c>
      <c r="U53" s="571">
        <f t="shared" si="9"/>
        <v>5</v>
      </c>
      <c r="V53" s="293">
        <f>IF(U53=1,Adm!$AN$2,0)</f>
        <v>0</v>
      </c>
      <c r="X53" s="341">
        <f t="shared" si="17"/>
        <v>0</v>
      </c>
      <c r="Y53" s="345">
        <f t="shared" ca="1" si="10"/>
        <v>0</v>
      </c>
      <c r="AD53" s="172"/>
      <c r="AG53" s="151">
        <f t="shared" ca="1" si="3"/>
        <v>4</v>
      </c>
      <c r="AI53" s="178">
        <f t="shared" si="4"/>
        <v>0</v>
      </c>
      <c r="AJ53" s="178">
        <f t="shared" si="11"/>
        <v>0</v>
      </c>
      <c r="AK53" s="178">
        <f t="shared" si="30"/>
        <v>0</v>
      </c>
      <c r="AL53" s="178">
        <f t="shared" si="31"/>
        <v>0</v>
      </c>
      <c r="AM53" s="351">
        <f>IF(AS52&lt;0.01,0,IF(Resol!$G$19&gt;0,Resol!$G$19,IF(Resol!$F$19=Resol!$U$5,0,IF($AS$10&gt;0,0,IF($AS$10=0,AS52*Adm!$Y$3,AS52*Adm!$X$3)))))</f>
        <v>0</v>
      </c>
      <c r="AN53" s="351">
        <f>IF(AS52&lt;0.01,0,IF(Resol!$F$20=Resol!$V$3,0,IF(OR(Resol!$F$10=Resol!$T$16,Resol!$F$10=Resol!$T$17),0,IF(Resol!$F$10=Resol!$T$13,0,$AL$5*Adm!$AA$4/1.16))))</f>
        <v>0</v>
      </c>
      <c r="AO53" s="178">
        <f t="shared" si="18"/>
        <v>0</v>
      </c>
      <c r="AP53" s="178"/>
      <c r="AQ53" s="178">
        <f t="shared" si="5"/>
        <v>0</v>
      </c>
      <c r="AR53" s="178">
        <f t="shared" si="12"/>
        <v>0</v>
      </c>
      <c r="AS53" s="178">
        <f t="shared" si="26"/>
        <v>0</v>
      </c>
      <c r="AT53" s="348"/>
      <c r="AU53" s="348"/>
      <c r="AV53" s="176">
        <f t="shared" si="27"/>
        <v>0</v>
      </c>
      <c r="BB53" s="571">
        <f t="shared" si="15"/>
        <v>5</v>
      </c>
      <c r="BC53" s="293">
        <f>IF(BB53=1,Adm!$AN$2,0)</f>
        <v>0</v>
      </c>
      <c r="BE53" s="341">
        <f t="shared" si="19"/>
        <v>0</v>
      </c>
      <c r="BF53" s="345">
        <f t="shared" ca="1" si="16"/>
        <v>0</v>
      </c>
    </row>
    <row r="54" spans="1:58">
      <c r="A54" s="151">
        <f t="shared" ca="1" si="0"/>
        <v>5</v>
      </c>
      <c r="C54" s="178">
        <f t="shared" si="1"/>
        <v>30</v>
      </c>
      <c r="D54" s="178">
        <f t="shared" si="6"/>
        <v>7794.0672753260578</v>
      </c>
      <c r="E54" s="178">
        <f t="shared" si="28"/>
        <v>1821.2387796518151</v>
      </c>
      <c r="F54" s="178">
        <f t="shared" si="29"/>
        <v>9615.3060549778729</v>
      </c>
      <c r="G54" s="178">
        <f>IF(L53&lt;0.01,0,IF(Adm!$S$3=Adm!$S$13,Cal!$E$94,IF(Adm!$R$3=Adm!$R$6,0,IF(Cal!$E$91&gt;0,0,IF(Cal!$E$91=0,L53*Adm!$Y$3,L53*Adm!$X$3)))))</f>
        <v>0</v>
      </c>
      <c r="H54" s="178">
        <f>IF(L53&lt;0.01,0,IF(Adm!$R$4=Adm!$R$6,0,IF(Adm!$B$3=Adm!$B$12,0,Cal!$E$89*Adm!$AA$3/1.16)))</f>
        <v>494.46758620689661</v>
      </c>
      <c r="I54" s="178">
        <f>IF(L53&lt;0.01,0,Adm!$O$3)</f>
        <v>250</v>
      </c>
      <c r="J54" s="178">
        <f t="shared" si="2"/>
        <v>10359.773641184769</v>
      </c>
      <c r="K54" s="178">
        <f>IF(Adm!$F$3="si",MIN(L53+D54+G54+H54+I54-J54,Y54),0)</f>
        <v>0</v>
      </c>
      <c r="L54" s="178">
        <f t="shared" si="7"/>
        <v>982692.52231416595</v>
      </c>
      <c r="M54" s="348"/>
      <c r="N54" s="348"/>
      <c r="O54" s="348">
        <f t="shared" si="8"/>
        <v>10359.773641184769</v>
      </c>
      <c r="U54" s="571">
        <f t="shared" si="9"/>
        <v>6</v>
      </c>
      <c r="V54" s="293">
        <f>IF(U54=1,Adm!$AN$2,0)</f>
        <v>0</v>
      </c>
      <c r="X54" s="341">
        <f t="shared" si="17"/>
        <v>0</v>
      </c>
      <c r="Y54" s="345">
        <f t="shared" ca="1" si="10"/>
        <v>0</v>
      </c>
      <c r="AD54" s="172"/>
      <c r="AG54" s="151">
        <f t="shared" ca="1" si="3"/>
        <v>5</v>
      </c>
      <c r="AI54" s="178">
        <f t="shared" si="4"/>
        <v>0</v>
      </c>
      <c r="AJ54" s="178">
        <f t="shared" si="11"/>
        <v>0</v>
      </c>
      <c r="AK54" s="178">
        <f t="shared" si="30"/>
        <v>0</v>
      </c>
      <c r="AL54" s="178">
        <f t="shared" si="31"/>
        <v>0</v>
      </c>
      <c r="AM54" s="351">
        <f>IF(AS53&lt;0.01,0,IF(Resol!$G$19&gt;0,Resol!$G$19,IF(Resol!$F$19=Resol!$U$5,0,IF($AS$10&gt;0,0,IF($AS$10=0,AS53*Adm!$Y$3,AS53*Adm!$X$3)))))</f>
        <v>0</v>
      </c>
      <c r="AN54" s="351">
        <f>IF(AS53&lt;0.01,0,IF(Resol!$F$20=Resol!$V$3,0,IF(OR(Resol!$F$10=Resol!$T$16,Resol!$F$10=Resol!$T$17),0,IF(Resol!$F$10=Resol!$T$13,0,$AL$5*Adm!$AA$4/1.16))))</f>
        <v>0</v>
      </c>
      <c r="AO54" s="178">
        <f t="shared" si="18"/>
        <v>0</v>
      </c>
      <c r="AP54" s="178"/>
      <c r="AQ54" s="178">
        <f t="shared" si="5"/>
        <v>0</v>
      </c>
      <c r="AR54" s="178">
        <f t="shared" si="12"/>
        <v>0</v>
      </c>
      <c r="AS54" s="178">
        <f t="shared" si="26"/>
        <v>0</v>
      </c>
      <c r="AT54" s="348"/>
      <c r="AU54" s="348"/>
      <c r="AV54" s="176">
        <f t="shared" si="27"/>
        <v>0</v>
      </c>
      <c r="BB54" s="571">
        <f t="shared" si="15"/>
        <v>6</v>
      </c>
      <c r="BC54" s="293">
        <f>IF(BB54=1,Adm!$AN$2,0)</f>
        <v>0</v>
      </c>
      <c r="BE54" s="341">
        <f t="shared" si="19"/>
        <v>0</v>
      </c>
      <c r="BF54" s="345">
        <f t="shared" ca="1" si="16"/>
        <v>0</v>
      </c>
    </row>
    <row r="55" spans="1:58">
      <c r="A55" s="151">
        <f t="shared" ca="1" si="0"/>
        <v>6</v>
      </c>
      <c r="C55" s="178">
        <f t="shared" si="1"/>
        <v>31</v>
      </c>
      <c r="D55" s="178">
        <f t="shared" si="6"/>
        <v>7779.6491349871467</v>
      </c>
      <c r="E55" s="178">
        <f t="shared" si="28"/>
        <v>1835.6569199907262</v>
      </c>
      <c r="F55" s="178">
        <f t="shared" si="29"/>
        <v>9615.3060549778729</v>
      </c>
      <c r="G55" s="178">
        <f>IF(L54&lt;0.01,0,IF(Adm!$S$3=Adm!$S$13,Cal!$E$94,IF(Adm!$R$3=Adm!$R$6,0,IF(Cal!$E$91&gt;0,0,IF(Cal!$E$91=0,L54*Adm!$Y$3,L54*Adm!$X$3)))))</f>
        <v>0</v>
      </c>
      <c r="H55" s="178">
        <f>IF(L54&lt;0.01,0,IF(Adm!$R$4=Adm!$R$6,0,IF(Adm!$B$3=Adm!$B$12,0,Cal!$E$89*Adm!$AA$3/1.16)))</f>
        <v>494.46758620689661</v>
      </c>
      <c r="I55" s="178">
        <f>IF(L54&lt;0.01,0,Adm!$O$3)</f>
        <v>250</v>
      </c>
      <c r="J55" s="178">
        <f t="shared" si="2"/>
        <v>10359.773641184769</v>
      </c>
      <c r="K55" s="178">
        <f>IF(Adm!$F$3="si",MIN(L54+D55+G55+H55+I55-J55,Y55),0)</f>
        <v>0</v>
      </c>
      <c r="L55" s="178">
        <f t="shared" si="7"/>
        <v>980856.86539417517</v>
      </c>
      <c r="M55" s="348"/>
      <c r="N55" s="348"/>
      <c r="O55" s="348">
        <f t="shared" si="8"/>
        <v>10359.773641184769</v>
      </c>
      <c r="U55" s="571">
        <f t="shared" si="9"/>
        <v>7</v>
      </c>
      <c r="V55" s="293">
        <f>IF(U55=1,Adm!$AN$2,0)</f>
        <v>0</v>
      </c>
      <c r="X55" s="341">
        <f t="shared" si="17"/>
        <v>0</v>
      </c>
      <c r="Y55" s="345">
        <f t="shared" ca="1" si="10"/>
        <v>0</v>
      </c>
      <c r="AD55" s="172"/>
      <c r="AG55" s="151">
        <f t="shared" ca="1" si="3"/>
        <v>6</v>
      </c>
      <c r="AI55" s="178">
        <f t="shared" si="4"/>
        <v>0</v>
      </c>
      <c r="AJ55" s="178">
        <f t="shared" si="11"/>
        <v>0</v>
      </c>
      <c r="AK55" s="178">
        <f t="shared" si="30"/>
        <v>0</v>
      </c>
      <c r="AL55" s="178">
        <f t="shared" si="31"/>
        <v>0</v>
      </c>
      <c r="AM55" s="351">
        <f>IF(AS54&lt;0.01,0,IF(Resol!$G$19&gt;0,Resol!$G$19,IF(Resol!$F$19=Resol!$U$5,0,IF($AS$10&gt;0,0,IF($AS$10=0,AS54*Adm!$Y$3,AS54*Adm!$X$3)))))</f>
        <v>0</v>
      </c>
      <c r="AN55" s="351">
        <f>IF(AS54&lt;0.01,0,IF(Resol!$F$20=Resol!$V$3,0,IF(OR(Resol!$F$10=Resol!$T$16,Resol!$F$10=Resol!$T$17),0,IF(Resol!$F$10=Resol!$T$13,0,$AL$5*Adm!$AA$4/1.16))))</f>
        <v>0</v>
      </c>
      <c r="AO55" s="178">
        <f t="shared" si="18"/>
        <v>0</v>
      </c>
      <c r="AP55" s="178"/>
      <c r="AQ55" s="178">
        <f t="shared" si="5"/>
        <v>0</v>
      </c>
      <c r="AR55" s="178">
        <f t="shared" si="12"/>
        <v>0</v>
      </c>
      <c r="AS55" s="178">
        <f t="shared" si="26"/>
        <v>0</v>
      </c>
      <c r="AT55" s="348"/>
      <c r="AU55" s="348"/>
      <c r="AV55" s="176">
        <f t="shared" si="27"/>
        <v>0</v>
      </c>
      <c r="BB55" s="571">
        <f t="shared" si="15"/>
        <v>7</v>
      </c>
      <c r="BC55" s="293">
        <f>IF(BB55=1,Adm!$AN$2,0)</f>
        <v>0</v>
      </c>
      <c r="BE55" s="341">
        <f t="shared" si="19"/>
        <v>0</v>
      </c>
      <c r="BF55" s="345">
        <f t="shared" ca="1" si="16"/>
        <v>0</v>
      </c>
    </row>
    <row r="56" spans="1:58">
      <c r="A56" s="151">
        <f t="shared" ca="1" si="0"/>
        <v>7</v>
      </c>
      <c r="C56" s="178">
        <f t="shared" si="1"/>
        <v>32</v>
      </c>
      <c r="D56" s="178">
        <f t="shared" si="6"/>
        <v>7765.1168510372199</v>
      </c>
      <c r="E56" s="178">
        <f t="shared" si="28"/>
        <v>1850.189203940653</v>
      </c>
      <c r="F56" s="178">
        <f t="shared" si="29"/>
        <v>9615.3060549778729</v>
      </c>
      <c r="G56" s="178">
        <f>IF(L55&lt;0.01,0,IF(Adm!$S$3=Adm!$S$13,Cal!$E$94,IF(Adm!$R$3=Adm!$R$6,0,IF(Cal!$E$91&gt;0,0,IF(Cal!$E$91=0,L55*Adm!$Y$3,L55*Adm!$X$3)))))</f>
        <v>0</v>
      </c>
      <c r="H56" s="178">
        <f>IF(L55&lt;0.01,0,IF(Adm!$R$4=Adm!$R$6,0,IF(Adm!$B$3=Adm!$B$12,0,Cal!$E$89*Adm!$AA$3/1.16)))</f>
        <v>494.46758620689661</v>
      </c>
      <c r="I56" s="178">
        <f>IF(L55&lt;0.01,0,Adm!$O$3)</f>
        <v>250</v>
      </c>
      <c r="J56" s="178">
        <f t="shared" si="2"/>
        <v>10359.773641184769</v>
      </c>
      <c r="K56" s="178">
        <f>IF(Adm!$F$3="si",MIN(L55+D56+G56+H56+I56-J56,Y56),0)</f>
        <v>0</v>
      </c>
      <c r="L56" s="178">
        <f t="shared" si="7"/>
        <v>979006.67619023449</v>
      </c>
      <c r="M56" s="348"/>
      <c r="N56" s="348"/>
      <c r="O56" s="348">
        <f t="shared" si="8"/>
        <v>10359.773641184769</v>
      </c>
      <c r="U56" s="571">
        <f t="shared" si="9"/>
        <v>8</v>
      </c>
      <c r="V56" s="293">
        <f>IF(U56=1,Adm!$AN$2,0)</f>
        <v>0</v>
      </c>
      <c r="X56" s="341">
        <f t="shared" si="17"/>
        <v>0</v>
      </c>
      <c r="Y56" s="345">
        <f t="shared" ca="1" si="10"/>
        <v>0</v>
      </c>
      <c r="AD56" s="172"/>
      <c r="AG56" s="151">
        <f t="shared" ca="1" si="3"/>
        <v>7</v>
      </c>
      <c r="AI56" s="178">
        <f t="shared" si="4"/>
        <v>0</v>
      </c>
      <c r="AJ56" s="178">
        <f t="shared" si="11"/>
        <v>0</v>
      </c>
      <c r="AK56" s="178">
        <f t="shared" si="30"/>
        <v>0</v>
      </c>
      <c r="AL56" s="178">
        <f t="shared" si="31"/>
        <v>0</v>
      </c>
      <c r="AM56" s="351">
        <f>IF(AS55&lt;0.01,0,IF(Resol!$G$19&gt;0,Resol!$G$19,IF(Resol!$F$19=Resol!$U$5,0,IF($AS$10&gt;0,0,IF($AS$10=0,AS55*Adm!$Y$3,AS55*Adm!$X$3)))))</f>
        <v>0</v>
      </c>
      <c r="AN56" s="351">
        <f>IF(AS55&lt;0.01,0,IF(Resol!$F$20=Resol!$V$3,0,IF(OR(Resol!$F$10=Resol!$T$16,Resol!$F$10=Resol!$T$17),0,IF(Resol!$F$10=Resol!$T$13,0,$AL$5*Adm!$AA$4/1.16))))</f>
        <v>0</v>
      </c>
      <c r="AO56" s="178">
        <f t="shared" si="18"/>
        <v>0</v>
      </c>
      <c r="AP56" s="178"/>
      <c r="AQ56" s="178">
        <f t="shared" si="5"/>
        <v>0</v>
      </c>
      <c r="AR56" s="178">
        <f t="shared" si="12"/>
        <v>0</v>
      </c>
      <c r="AS56" s="178">
        <f t="shared" si="26"/>
        <v>0</v>
      </c>
      <c r="AT56" s="348"/>
      <c r="AU56" s="348"/>
      <c r="AV56" s="176">
        <f t="shared" si="27"/>
        <v>0</v>
      </c>
      <c r="BB56" s="571">
        <f t="shared" si="15"/>
        <v>8</v>
      </c>
      <c r="BC56" s="293">
        <f>IF(BB56=1,Adm!$AN$2,0)</f>
        <v>0</v>
      </c>
      <c r="BE56" s="341">
        <f t="shared" si="19"/>
        <v>0</v>
      </c>
      <c r="BF56" s="345">
        <f t="shared" ca="1" si="16"/>
        <v>0</v>
      </c>
    </row>
    <row r="57" spans="1:58">
      <c r="A57" s="151">
        <f t="shared" ca="1" si="0"/>
        <v>8</v>
      </c>
      <c r="C57" s="178">
        <f t="shared" si="1"/>
        <v>33</v>
      </c>
      <c r="D57" s="178">
        <f t="shared" si="6"/>
        <v>7750.4695198393565</v>
      </c>
      <c r="E57" s="178">
        <f t="shared" si="28"/>
        <v>1864.8365351385164</v>
      </c>
      <c r="F57" s="178">
        <f t="shared" si="29"/>
        <v>9615.3060549778729</v>
      </c>
      <c r="G57" s="178">
        <f>IF(L56&lt;0.01,0,IF(Adm!$S$3=Adm!$S$13,Cal!$E$94,IF(Adm!$R$3=Adm!$R$6,0,IF(Cal!$E$91&gt;0,0,IF(Cal!$E$91=0,L56*Adm!$Y$3,L56*Adm!$X$3)))))</f>
        <v>0</v>
      </c>
      <c r="H57" s="178">
        <f>IF(L56&lt;0.01,0,IF(Adm!$R$4=Adm!$R$6,0,IF(Adm!$B$3=Adm!$B$12,0,Cal!$E$89*Adm!$AA$3/1.16)))</f>
        <v>494.46758620689661</v>
      </c>
      <c r="I57" s="178">
        <f>IF(L56&lt;0.01,0,Adm!$O$3)</f>
        <v>250</v>
      </c>
      <c r="J57" s="178">
        <f t="shared" si="2"/>
        <v>10359.773641184769</v>
      </c>
      <c r="K57" s="178">
        <f>IF(Adm!$F$3="si",MIN(L56+D57+G57+H57+I57-J57,Y57),0)</f>
        <v>0</v>
      </c>
      <c r="L57" s="178">
        <f t="shared" si="7"/>
        <v>977141.83965509594</v>
      </c>
      <c r="M57" s="348"/>
      <c r="N57" s="348"/>
      <c r="O57" s="348">
        <f t="shared" si="8"/>
        <v>10359.773641184769</v>
      </c>
      <c r="U57" s="571">
        <f t="shared" si="9"/>
        <v>9</v>
      </c>
      <c r="V57" s="293">
        <f>IF(U57=1,Adm!$AN$2,0)</f>
        <v>0</v>
      </c>
      <c r="X57" s="341">
        <f t="shared" si="17"/>
        <v>0</v>
      </c>
      <c r="Y57" s="345">
        <f t="shared" ca="1" si="10"/>
        <v>0</v>
      </c>
      <c r="AD57" s="172"/>
      <c r="AG57" s="151">
        <f t="shared" ca="1" si="3"/>
        <v>8</v>
      </c>
      <c r="AI57" s="178">
        <f t="shared" si="4"/>
        <v>0</v>
      </c>
      <c r="AJ57" s="178">
        <f t="shared" si="11"/>
        <v>0</v>
      </c>
      <c r="AK57" s="178">
        <f t="shared" si="30"/>
        <v>0</v>
      </c>
      <c r="AL57" s="178">
        <f t="shared" si="31"/>
        <v>0</v>
      </c>
      <c r="AM57" s="351">
        <f>IF(AS56&lt;0.01,0,IF(Resol!$G$19&gt;0,Resol!$G$19,IF(Resol!$F$19=Resol!$U$5,0,IF($AS$10&gt;0,0,IF($AS$10=0,AS56*Adm!$Y$3,AS56*Adm!$X$3)))))</f>
        <v>0</v>
      </c>
      <c r="AN57" s="351">
        <f>IF(AS56&lt;0.01,0,IF(Resol!$F$20=Resol!$V$3,0,IF(OR(Resol!$F$10=Resol!$T$16,Resol!$F$10=Resol!$T$17),0,IF(Resol!$F$10=Resol!$T$13,0,$AL$5*Adm!$AA$4/1.16))))</f>
        <v>0</v>
      </c>
      <c r="AO57" s="178">
        <f t="shared" si="18"/>
        <v>0</v>
      </c>
      <c r="AP57" s="178"/>
      <c r="AQ57" s="178">
        <f t="shared" si="5"/>
        <v>0</v>
      </c>
      <c r="AR57" s="178">
        <f t="shared" si="12"/>
        <v>0</v>
      </c>
      <c r="AS57" s="178">
        <f t="shared" si="26"/>
        <v>0</v>
      </c>
      <c r="AT57" s="348"/>
      <c r="AU57" s="348"/>
      <c r="AV57" s="176">
        <f t="shared" si="27"/>
        <v>0</v>
      </c>
      <c r="BB57" s="571">
        <f t="shared" si="15"/>
        <v>9</v>
      </c>
      <c r="BC57" s="293">
        <f>IF(BB57=1,Adm!$AN$2,0)</f>
        <v>0</v>
      </c>
      <c r="BE57" s="341">
        <f t="shared" si="19"/>
        <v>0</v>
      </c>
      <c r="BF57" s="345">
        <f t="shared" ca="1" si="16"/>
        <v>0</v>
      </c>
    </row>
    <row r="58" spans="1:58">
      <c r="A58" s="151">
        <f t="shared" ca="1" si="0"/>
        <v>9</v>
      </c>
      <c r="C58" s="178">
        <f t="shared" si="1"/>
        <v>34</v>
      </c>
      <c r="D58" s="178">
        <f t="shared" si="6"/>
        <v>7735.7062306028429</v>
      </c>
      <c r="E58" s="178">
        <f t="shared" si="28"/>
        <v>1879.59982437503</v>
      </c>
      <c r="F58" s="178">
        <f t="shared" si="29"/>
        <v>9615.3060549778729</v>
      </c>
      <c r="G58" s="178">
        <f>IF(L57&lt;0.01,0,IF(Adm!$S$3=Adm!$S$13,Cal!$E$94,IF(Adm!$R$3=Adm!$R$6,0,IF(Cal!$E$91&gt;0,0,IF(Cal!$E$91=0,L57*Adm!$Y$3,L57*Adm!$X$3)))))</f>
        <v>0</v>
      </c>
      <c r="H58" s="178">
        <f>IF(L57&lt;0.01,0,IF(Adm!$R$4=Adm!$R$6,0,IF(Adm!$B$3=Adm!$B$12,0,Cal!$E$89*Adm!$AA$3/1.16)))</f>
        <v>494.46758620689661</v>
      </c>
      <c r="I58" s="178">
        <f>IF(L57&lt;0.01,0,Adm!$O$3)</f>
        <v>250</v>
      </c>
      <c r="J58" s="178">
        <f t="shared" si="2"/>
        <v>10359.773641184769</v>
      </c>
      <c r="K58" s="178">
        <f>IF(Adm!$F$3="si",MIN(L57+D58+G58+H58+I58-J58,Y58),0)</f>
        <v>0</v>
      </c>
      <c r="L58" s="178">
        <f t="shared" si="7"/>
        <v>975262.23983072094</v>
      </c>
      <c r="M58" s="348"/>
      <c r="N58" s="348"/>
      <c r="O58" s="348">
        <f t="shared" si="8"/>
        <v>10359.773641184769</v>
      </c>
      <c r="U58" s="571">
        <f t="shared" si="9"/>
        <v>10</v>
      </c>
      <c r="V58" s="293">
        <f>IF(U58=1,Adm!$AN$2,0)</f>
        <v>0</v>
      </c>
      <c r="X58" s="341">
        <f t="shared" si="17"/>
        <v>0</v>
      </c>
      <c r="Y58" s="345">
        <f t="shared" ca="1" si="10"/>
        <v>0</v>
      </c>
      <c r="AD58" s="172"/>
      <c r="AG58" s="151">
        <f t="shared" ca="1" si="3"/>
        <v>9</v>
      </c>
      <c r="AI58" s="178">
        <f t="shared" si="4"/>
        <v>0</v>
      </c>
      <c r="AJ58" s="178">
        <f t="shared" si="11"/>
        <v>0</v>
      </c>
      <c r="AK58" s="178">
        <f t="shared" si="30"/>
        <v>0</v>
      </c>
      <c r="AL58" s="178">
        <f t="shared" si="31"/>
        <v>0</v>
      </c>
      <c r="AM58" s="351">
        <f>IF(AS57&lt;0.01,0,IF(Resol!$G$19&gt;0,Resol!$G$19,IF(Resol!$F$19=Resol!$U$5,0,IF($AS$10&gt;0,0,IF($AS$10=0,AS57*Adm!$Y$3,AS57*Adm!$X$3)))))</f>
        <v>0</v>
      </c>
      <c r="AN58" s="351">
        <f>IF(AS57&lt;0.01,0,IF(Resol!$F$20=Resol!$V$3,0,IF(OR(Resol!$F$10=Resol!$T$16,Resol!$F$10=Resol!$T$17),0,IF(Resol!$F$10=Resol!$T$13,0,$AL$5*Adm!$AA$4/1.16))))</f>
        <v>0</v>
      </c>
      <c r="AO58" s="178">
        <f t="shared" si="18"/>
        <v>0</v>
      </c>
      <c r="AP58" s="178"/>
      <c r="AQ58" s="178">
        <f t="shared" si="5"/>
        <v>0</v>
      </c>
      <c r="AR58" s="178">
        <f t="shared" si="12"/>
        <v>0</v>
      </c>
      <c r="AS58" s="178">
        <f t="shared" si="26"/>
        <v>0</v>
      </c>
      <c r="AT58" s="348"/>
      <c r="AU58" s="348"/>
      <c r="AV58" s="176">
        <f t="shared" si="27"/>
        <v>0</v>
      </c>
      <c r="BB58" s="571">
        <f t="shared" si="15"/>
        <v>10</v>
      </c>
      <c r="BC58" s="293">
        <f>IF(BB58=1,Adm!$AN$2,0)</f>
        <v>0</v>
      </c>
      <c r="BE58" s="341">
        <f t="shared" si="19"/>
        <v>0</v>
      </c>
      <c r="BF58" s="345">
        <f t="shared" ca="1" si="16"/>
        <v>0</v>
      </c>
    </row>
    <row r="59" spans="1:58">
      <c r="A59" s="151">
        <f t="shared" ca="1" si="0"/>
        <v>10</v>
      </c>
      <c r="C59" s="178">
        <f t="shared" si="1"/>
        <v>35</v>
      </c>
      <c r="D59" s="178">
        <f t="shared" si="6"/>
        <v>7720.8260653265415</v>
      </c>
      <c r="E59" s="178">
        <f t="shared" si="28"/>
        <v>1894.4799896513314</v>
      </c>
      <c r="F59" s="178">
        <f t="shared" si="29"/>
        <v>9615.3060549778729</v>
      </c>
      <c r="G59" s="178">
        <f>IF(L58&lt;0.01,0,IF(Adm!$S$3=Adm!$S$13,Cal!$E$94,IF(Adm!$R$3=Adm!$R$6,0,IF(Cal!$E$91&gt;0,0,IF(Cal!$E$91=0,L58*Adm!$Y$3,L58*Adm!$X$3)))))</f>
        <v>0</v>
      </c>
      <c r="H59" s="178">
        <f>IF(L58&lt;0.01,0,IF(Adm!$R$4=Adm!$R$6,0,IF(Adm!$B$3=Adm!$B$12,0,Cal!$E$89*Adm!$AA$3/1.16)))</f>
        <v>494.46758620689661</v>
      </c>
      <c r="I59" s="178">
        <f>IF(L58&lt;0.01,0,Adm!$O$3)</f>
        <v>250</v>
      </c>
      <c r="J59" s="178">
        <f t="shared" si="2"/>
        <v>10359.773641184769</v>
      </c>
      <c r="K59" s="178">
        <f>IF(Adm!$F$3="si",MIN(L58+D59+G59+H59+I59-J59,Y59),0)</f>
        <v>0</v>
      </c>
      <c r="L59" s="178">
        <f t="shared" si="7"/>
        <v>973367.75984106958</v>
      </c>
      <c r="M59" s="348"/>
      <c r="N59" s="348"/>
      <c r="O59" s="348">
        <f t="shared" si="8"/>
        <v>10359.773641184769</v>
      </c>
      <c r="U59" s="571">
        <f t="shared" si="9"/>
        <v>11</v>
      </c>
      <c r="V59" s="293">
        <f>IF(U59=1,Adm!$AN$2,0)</f>
        <v>0</v>
      </c>
      <c r="X59" s="341">
        <f t="shared" si="17"/>
        <v>0</v>
      </c>
      <c r="Y59" s="345">
        <f t="shared" ca="1" si="10"/>
        <v>0</v>
      </c>
      <c r="AD59" s="172"/>
      <c r="AG59" s="151">
        <f t="shared" ca="1" si="3"/>
        <v>10</v>
      </c>
      <c r="AI59" s="178">
        <f t="shared" si="4"/>
        <v>0</v>
      </c>
      <c r="AJ59" s="178">
        <f t="shared" si="11"/>
        <v>0</v>
      </c>
      <c r="AK59" s="178">
        <f t="shared" si="30"/>
        <v>0</v>
      </c>
      <c r="AL59" s="178">
        <f t="shared" si="31"/>
        <v>0</v>
      </c>
      <c r="AM59" s="351">
        <f>IF(AS58&lt;0.01,0,IF(Resol!$G$19&gt;0,Resol!$G$19,IF(Resol!$F$19=Resol!$U$5,0,IF($AS$10&gt;0,0,IF($AS$10=0,AS58*Adm!$Y$3,AS58*Adm!$X$3)))))</f>
        <v>0</v>
      </c>
      <c r="AN59" s="351">
        <f>IF(AS58&lt;0.01,0,IF(Resol!$F$20=Resol!$V$3,0,IF(OR(Resol!$F$10=Resol!$T$16,Resol!$F$10=Resol!$T$17),0,IF(Resol!$F$10=Resol!$T$13,0,$AL$5*Adm!$AA$4/1.16))))</f>
        <v>0</v>
      </c>
      <c r="AO59" s="178">
        <f t="shared" si="18"/>
        <v>0</v>
      </c>
      <c r="AP59" s="178"/>
      <c r="AQ59" s="178">
        <f t="shared" si="5"/>
        <v>0</v>
      </c>
      <c r="AR59" s="178">
        <f t="shared" si="12"/>
        <v>0</v>
      </c>
      <c r="AS59" s="178">
        <f t="shared" si="26"/>
        <v>0</v>
      </c>
      <c r="AT59" s="348"/>
      <c r="AU59" s="348"/>
      <c r="AV59" s="176">
        <f t="shared" si="27"/>
        <v>0</v>
      </c>
      <c r="BB59" s="571">
        <f t="shared" si="15"/>
        <v>11</v>
      </c>
      <c r="BC59" s="293">
        <f>IF(BB59=1,Adm!$AN$2,0)</f>
        <v>0</v>
      </c>
      <c r="BE59" s="341">
        <f t="shared" si="19"/>
        <v>0</v>
      </c>
      <c r="BF59" s="345">
        <f t="shared" ca="1" si="16"/>
        <v>0</v>
      </c>
    </row>
    <row r="60" spans="1:58">
      <c r="A60" s="151">
        <f t="shared" ca="1" si="0"/>
        <v>11</v>
      </c>
      <c r="C60" s="178">
        <f t="shared" si="1"/>
        <v>36</v>
      </c>
      <c r="D60" s="178">
        <f t="shared" si="6"/>
        <v>7705.8280987418011</v>
      </c>
      <c r="E60" s="178">
        <f t="shared" si="28"/>
        <v>1909.4779562360718</v>
      </c>
      <c r="F60" s="178">
        <f t="shared" si="29"/>
        <v>9615.3060549778729</v>
      </c>
      <c r="G60" s="178">
        <f>IF(L59&lt;0.01,0,IF(Adm!$S$3=Adm!$S$13,Cal!$E$94,IF(Adm!$R$3=Adm!$R$6,0,IF(Cal!$E$91&gt;0,0,IF(Cal!$E$91=0,L59*Adm!$Y$3,L59*Adm!$X$3)))))</f>
        <v>0</v>
      </c>
      <c r="H60" s="178">
        <f>IF(L59&lt;0.01,0,IF(Adm!$R$4=Adm!$R$6,0,IF(Adm!$B$3=Adm!$B$12,0,Cal!$E$89*Adm!$AA$3/1.16)))</f>
        <v>494.46758620689661</v>
      </c>
      <c r="I60" s="178">
        <f>IF(L59&lt;0.01,0,Adm!$O$3)</f>
        <v>250</v>
      </c>
      <c r="J60" s="178">
        <f t="shared" si="2"/>
        <v>10359.773641184769</v>
      </c>
      <c r="K60" s="178">
        <f>IF(Adm!$F$3="si",MIN(L59+D60+G60+H60+I60-J60,Y60),0)</f>
        <v>0</v>
      </c>
      <c r="L60" s="178">
        <f t="shared" si="7"/>
        <v>971458.28188483347</v>
      </c>
      <c r="M60" s="348"/>
      <c r="N60" s="348"/>
      <c r="O60" s="348">
        <f t="shared" si="8"/>
        <v>10359.773641184769</v>
      </c>
      <c r="U60" s="571">
        <f t="shared" si="9"/>
        <v>12</v>
      </c>
      <c r="V60" s="293">
        <f>IF(U60=1,Adm!$AN$2,0)</f>
        <v>0</v>
      </c>
      <c r="X60" s="341">
        <f t="shared" si="17"/>
        <v>0</v>
      </c>
      <c r="Y60" s="345">
        <f t="shared" ca="1" si="10"/>
        <v>0</v>
      </c>
      <c r="AD60" s="172"/>
      <c r="AG60" s="151">
        <f t="shared" ca="1" si="3"/>
        <v>11</v>
      </c>
      <c r="AI60" s="178">
        <f t="shared" si="4"/>
        <v>0</v>
      </c>
      <c r="AJ60" s="178">
        <f t="shared" si="11"/>
        <v>0</v>
      </c>
      <c r="AK60" s="178">
        <f t="shared" si="30"/>
        <v>0</v>
      </c>
      <c r="AL60" s="178">
        <f t="shared" si="31"/>
        <v>0</v>
      </c>
      <c r="AM60" s="351">
        <f>IF(AS59&lt;0.01,0,IF(Resol!$G$19&gt;0,Resol!$G$19,IF(Resol!$F$19=Resol!$U$5,0,IF($AS$10&gt;0,0,IF($AS$10=0,AS59*Adm!$Y$3,AS59*Adm!$X$3)))))</f>
        <v>0</v>
      </c>
      <c r="AN60" s="351">
        <f>IF(AS59&lt;0.01,0,IF(Resol!$F$20=Resol!$V$3,0,IF(OR(Resol!$F$10=Resol!$T$16,Resol!$F$10=Resol!$T$17),0,IF(Resol!$F$10=Resol!$T$13,0,$AL$5*Adm!$AA$4/1.16))))</f>
        <v>0</v>
      </c>
      <c r="AO60" s="178">
        <f t="shared" si="18"/>
        <v>0</v>
      </c>
      <c r="AP60" s="178"/>
      <c r="AQ60" s="178">
        <f t="shared" si="5"/>
        <v>0</v>
      </c>
      <c r="AR60" s="178">
        <f t="shared" si="12"/>
        <v>0</v>
      </c>
      <c r="AS60" s="178">
        <f t="shared" si="26"/>
        <v>0</v>
      </c>
      <c r="AT60" s="348"/>
      <c r="AU60" s="348"/>
      <c r="AV60" s="176">
        <f t="shared" si="27"/>
        <v>0</v>
      </c>
      <c r="BB60" s="571">
        <f t="shared" si="15"/>
        <v>12</v>
      </c>
      <c r="BC60" s="293">
        <f>IF(BB60=1,Adm!$AN$2,0)</f>
        <v>0</v>
      </c>
      <c r="BE60" s="341">
        <f t="shared" si="19"/>
        <v>0</v>
      </c>
      <c r="BF60" s="345">
        <f t="shared" ca="1" si="16"/>
        <v>0</v>
      </c>
    </row>
    <row r="61" spans="1:58">
      <c r="A61" s="151">
        <f t="shared" ca="1" si="0"/>
        <v>12</v>
      </c>
      <c r="C61" s="178">
        <f t="shared" si="1"/>
        <v>37</v>
      </c>
      <c r="D61" s="178">
        <f t="shared" si="6"/>
        <v>7690.7113982549317</v>
      </c>
      <c r="E61" s="178">
        <f t="shared" si="28"/>
        <v>1924.5946567229412</v>
      </c>
      <c r="F61" s="178">
        <f t="shared" si="29"/>
        <v>9615.3060549778729</v>
      </c>
      <c r="G61" s="178">
        <f>IF(L60&lt;0.01,0,IF(Adm!$S$3=Adm!$S$13,Cal!$E$94,IF(Adm!$R$3=Adm!$R$6,0,IF(Cal!$E$91&gt;0,0,IF(Cal!$E$91=0,L60*Adm!$Y$3,L60*Adm!$X$3)))))</f>
        <v>0</v>
      </c>
      <c r="H61" s="178">
        <f>IF(L60&lt;0.01,0,IF(Adm!$R$4=Adm!$R$6,0,IF(Adm!$B$3=Adm!$B$12,0,Cal!$E$89*Adm!$AA$3/1.16)))</f>
        <v>494.46758620689661</v>
      </c>
      <c r="I61" s="178">
        <f>IF(L60&lt;0.01,0,Adm!$O$3)</f>
        <v>250</v>
      </c>
      <c r="J61" s="178">
        <f t="shared" si="2"/>
        <v>10359.773641184769</v>
      </c>
      <c r="K61" s="178">
        <f>IF(Adm!$F$3="si",MIN(L60+D61+G61+H61+I61-J61,Y61),0)</f>
        <v>0</v>
      </c>
      <c r="L61" s="178">
        <f t="shared" si="7"/>
        <v>969533.6872281105</v>
      </c>
      <c r="M61" s="348"/>
      <c r="N61" s="348"/>
      <c r="O61" s="348">
        <f t="shared" si="8"/>
        <v>10359.773641184769</v>
      </c>
      <c r="U61" s="571">
        <f t="shared" si="9"/>
        <v>1</v>
      </c>
      <c r="V61" s="293">
        <f>IF(U61=1,Adm!$AN$2,0)</f>
        <v>0</v>
      </c>
      <c r="X61" s="341">
        <f t="shared" si="17"/>
        <v>0</v>
      </c>
      <c r="Y61" s="345">
        <f t="shared" ca="1" si="10"/>
        <v>0</v>
      </c>
      <c r="AD61" s="172"/>
      <c r="AG61" s="151">
        <f t="shared" ca="1" si="3"/>
        <v>12</v>
      </c>
      <c r="AI61" s="178">
        <f t="shared" si="4"/>
        <v>0</v>
      </c>
      <c r="AJ61" s="178">
        <f t="shared" si="11"/>
        <v>0</v>
      </c>
      <c r="AK61" s="178">
        <f t="shared" si="30"/>
        <v>0</v>
      </c>
      <c r="AL61" s="178">
        <f t="shared" si="31"/>
        <v>0</v>
      </c>
      <c r="AM61" s="351">
        <f>IF(AS60&lt;0.01,0,IF(Resol!$G$19&gt;0,Resol!$G$19,IF(Resol!$F$19=Resol!$U$5,0,IF($AS$10&gt;0,0,IF($AS$10=0,AS60*Adm!$Y$3,AS60*Adm!$X$3)))))</f>
        <v>0</v>
      </c>
      <c r="AN61" s="351">
        <f>IF(AS60&lt;0.01,0,IF(Resol!$F$20=Resol!$V$3,0,IF(OR(Resol!$F$10=Resol!$T$16,Resol!$F$10=Resol!$T$17),0,IF(Resol!$F$10=Resol!$T$13,0,$AL$5*Adm!$AA$4/1.16))))</f>
        <v>0</v>
      </c>
      <c r="AO61" s="178">
        <f t="shared" si="18"/>
        <v>0</v>
      </c>
      <c r="AP61" s="178"/>
      <c r="AQ61" s="178">
        <f t="shared" si="5"/>
        <v>0</v>
      </c>
      <c r="AR61" s="178">
        <f t="shared" si="12"/>
        <v>0</v>
      </c>
      <c r="AS61" s="178">
        <f t="shared" si="26"/>
        <v>0</v>
      </c>
      <c r="AT61" s="348"/>
      <c r="AU61" s="348"/>
      <c r="AV61" s="176">
        <f t="shared" si="27"/>
        <v>0</v>
      </c>
      <c r="BB61" s="571">
        <f t="shared" si="15"/>
        <v>1</v>
      </c>
      <c r="BC61" s="293">
        <f>IF(BB61=1,Adm!$AN$2,0)</f>
        <v>0</v>
      </c>
      <c r="BE61" s="341">
        <f t="shared" si="19"/>
        <v>0</v>
      </c>
      <c r="BF61" s="345">
        <f t="shared" ca="1" si="16"/>
        <v>0</v>
      </c>
    </row>
    <row r="62" spans="1:58">
      <c r="A62" s="151">
        <f t="shared" ca="1" si="0"/>
        <v>1</v>
      </c>
      <c r="C62" s="178">
        <f t="shared" si="1"/>
        <v>38</v>
      </c>
      <c r="D62" s="178">
        <f t="shared" si="6"/>
        <v>7675.4750238892084</v>
      </c>
      <c r="E62" s="178">
        <f t="shared" si="28"/>
        <v>1939.8310310886645</v>
      </c>
      <c r="F62" s="178">
        <f t="shared" si="29"/>
        <v>9615.3060549778729</v>
      </c>
      <c r="G62" s="178">
        <f>IF(L61&lt;0.01,0,IF(Adm!$S$3=Adm!$S$13,Cal!$E$94,IF(Adm!$R$3=Adm!$R$6,0,IF(Cal!$E$91&gt;0,0,IF(Cal!$E$91=0,L61*Adm!$Y$3,L61*Adm!$X$3)))))</f>
        <v>0</v>
      </c>
      <c r="H62" s="178">
        <f>IF(L61&lt;0.01,0,IF(Adm!$R$4=Adm!$R$6,0,IF(Adm!$B$3=Adm!$B$12,0,Cal!$E$89*Adm!$AA$3/1.16)))</f>
        <v>494.46758620689661</v>
      </c>
      <c r="I62" s="178">
        <f>IF(L61&lt;0.01,0,Adm!$O$3)</f>
        <v>250</v>
      </c>
      <c r="J62" s="178">
        <f t="shared" si="2"/>
        <v>10359.773641184769</v>
      </c>
      <c r="K62" s="178">
        <f>IF(Adm!$F$3="si",MIN(L61+D62+G62+H62+I62-J62,Y62),0)</f>
        <v>0</v>
      </c>
      <c r="L62" s="178">
        <f t="shared" si="7"/>
        <v>967593.85619702179</v>
      </c>
      <c r="M62" s="348"/>
      <c r="N62" s="348"/>
      <c r="O62" s="348">
        <f t="shared" si="8"/>
        <v>10359.773641184769</v>
      </c>
      <c r="U62" s="571">
        <f t="shared" si="9"/>
        <v>2</v>
      </c>
      <c r="V62" s="293">
        <f>IF(U62=1,Adm!$AN$2,0)</f>
        <v>0</v>
      </c>
      <c r="X62" s="341">
        <f t="shared" si="17"/>
        <v>0</v>
      </c>
      <c r="Y62" s="345">
        <f t="shared" ca="1" si="10"/>
        <v>0</v>
      </c>
      <c r="AD62" s="172"/>
      <c r="AG62" s="151">
        <f t="shared" ca="1" si="3"/>
        <v>1</v>
      </c>
      <c r="AI62" s="178">
        <f t="shared" si="4"/>
        <v>0</v>
      </c>
      <c r="AJ62" s="178">
        <f t="shared" si="11"/>
        <v>0</v>
      </c>
      <c r="AK62" s="178">
        <f t="shared" si="30"/>
        <v>0</v>
      </c>
      <c r="AL62" s="178">
        <f t="shared" si="31"/>
        <v>0</v>
      </c>
      <c r="AM62" s="351">
        <f>IF(AS61&lt;0.01,0,IF(Resol!$G$19&gt;0,Resol!$G$19,IF(Resol!$F$19=Resol!$U$5,0,IF($AS$10&gt;0,0,IF($AS$10=0,AS61*Adm!$Y$3,AS61*Adm!$X$3)))))</f>
        <v>0</v>
      </c>
      <c r="AN62" s="351">
        <f>IF(AS61&lt;0.01,0,IF(Resol!$F$20=Resol!$V$3,0,IF(OR(Resol!$F$10=Resol!$T$16,Resol!$F$10=Resol!$T$17),0,IF(Resol!$F$10=Resol!$T$13,0,$AL$5*Adm!$AA$4/1.16))))</f>
        <v>0</v>
      </c>
      <c r="AO62" s="178">
        <f t="shared" si="18"/>
        <v>0</v>
      </c>
      <c r="AP62" s="178"/>
      <c r="AQ62" s="178">
        <f t="shared" si="5"/>
        <v>0</v>
      </c>
      <c r="AR62" s="178">
        <f t="shared" si="12"/>
        <v>0</v>
      </c>
      <c r="AS62" s="178">
        <f t="shared" si="26"/>
        <v>0</v>
      </c>
      <c r="AT62" s="348"/>
      <c r="AU62" s="348"/>
      <c r="AV62" s="176">
        <f t="shared" si="27"/>
        <v>0</v>
      </c>
      <c r="BB62" s="571">
        <f t="shared" si="15"/>
        <v>2</v>
      </c>
      <c r="BC62" s="293">
        <f>IF(BB62=1,Adm!$AN$2,0)</f>
        <v>0</v>
      </c>
      <c r="BE62" s="341">
        <f t="shared" si="19"/>
        <v>0</v>
      </c>
      <c r="BF62" s="345">
        <f t="shared" ca="1" si="16"/>
        <v>0</v>
      </c>
    </row>
    <row r="63" spans="1:58">
      <c r="A63" s="151">
        <f t="shared" ca="1" si="0"/>
        <v>2</v>
      </c>
      <c r="C63" s="178">
        <f t="shared" si="1"/>
        <v>39</v>
      </c>
      <c r="D63" s="178">
        <f t="shared" si="6"/>
        <v>7660.1180282264222</v>
      </c>
      <c r="E63" s="178">
        <f t="shared" si="28"/>
        <v>1955.1880267514507</v>
      </c>
      <c r="F63" s="178">
        <f t="shared" si="29"/>
        <v>9615.3060549778729</v>
      </c>
      <c r="G63" s="178">
        <f>IF(L62&lt;0.01,0,IF(Adm!$S$3=Adm!$S$13,Cal!$E$94,IF(Adm!$R$3=Adm!$R$6,0,IF(Cal!$E$91&gt;0,0,IF(Cal!$E$91=0,L62*Adm!$Y$3,L62*Adm!$X$3)))))</f>
        <v>0</v>
      </c>
      <c r="H63" s="178">
        <f>IF(L62&lt;0.01,0,IF(Adm!$R$4=Adm!$R$6,0,IF(Adm!$B$3=Adm!$B$12,0,Cal!$E$89*Adm!$AA$3/1.16)))</f>
        <v>494.46758620689661</v>
      </c>
      <c r="I63" s="178">
        <f>IF(L62&lt;0.01,0,Adm!$O$3)</f>
        <v>250</v>
      </c>
      <c r="J63" s="178">
        <f t="shared" si="2"/>
        <v>10359.773641184769</v>
      </c>
      <c r="K63" s="178">
        <f>IF(Adm!$F$3="si",MIN(L62+D63+G63+H63+I63-J63,Y63),0)</f>
        <v>0</v>
      </c>
      <c r="L63" s="178">
        <f t="shared" si="7"/>
        <v>965638.66817027028</v>
      </c>
      <c r="M63" s="348"/>
      <c r="N63" s="348"/>
      <c r="O63" s="348">
        <f t="shared" si="8"/>
        <v>10359.773641184769</v>
      </c>
      <c r="U63" s="571">
        <f t="shared" si="9"/>
        <v>3</v>
      </c>
      <c r="V63" s="293">
        <f>IF(U63=1,Adm!$AN$2,0)</f>
        <v>0</v>
      </c>
      <c r="X63" s="341">
        <f t="shared" si="17"/>
        <v>0</v>
      </c>
      <c r="Y63" s="345">
        <f t="shared" ca="1" si="10"/>
        <v>0</v>
      </c>
      <c r="AD63" s="172"/>
      <c r="AG63" s="151">
        <f t="shared" ca="1" si="3"/>
        <v>2</v>
      </c>
      <c r="AI63" s="178">
        <f t="shared" si="4"/>
        <v>0</v>
      </c>
      <c r="AJ63" s="178">
        <f t="shared" si="11"/>
        <v>0</v>
      </c>
      <c r="AK63" s="178">
        <f t="shared" si="30"/>
        <v>0</v>
      </c>
      <c r="AL63" s="178">
        <f t="shared" si="31"/>
        <v>0</v>
      </c>
      <c r="AM63" s="351">
        <f>IF(AS62&lt;0.01,0,IF(Resol!$G$19&gt;0,Resol!$G$19,IF(Resol!$F$19=Resol!$U$5,0,IF($AS$10&gt;0,0,IF($AS$10=0,AS62*Adm!$Y$3,AS62*Adm!$X$3)))))</f>
        <v>0</v>
      </c>
      <c r="AN63" s="351">
        <f>IF(AS62&lt;0.01,0,IF(Resol!$F$20=Resol!$V$3,0,IF(OR(Resol!$F$10=Resol!$T$16,Resol!$F$10=Resol!$T$17),0,IF(Resol!$F$10=Resol!$T$13,0,$AL$5*Adm!$AA$4/1.16))))</f>
        <v>0</v>
      </c>
      <c r="AO63" s="178">
        <f t="shared" si="18"/>
        <v>0</v>
      </c>
      <c r="AP63" s="178"/>
      <c r="AQ63" s="178">
        <f t="shared" si="5"/>
        <v>0</v>
      </c>
      <c r="AR63" s="178">
        <f t="shared" si="12"/>
        <v>0</v>
      </c>
      <c r="AS63" s="178">
        <f t="shared" si="26"/>
        <v>0</v>
      </c>
      <c r="AT63" s="348"/>
      <c r="AU63" s="348"/>
      <c r="AV63" s="176">
        <f t="shared" si="27"/>
        <v>0</v>
      </c>
      <c r="BB63" s="571">
        <f t="shared" si="15"/>
        <v>3</v>
      </c>
      <c r="BC63" s="293">
        <f>IF(BB63=1,Adm!$AN$2,0)</f>
        <v>0</v>
      </c>
      <c r="BE63" s="341">
        <f t="shared" si="19"/>
        <v>0</v>
      </c>
      <c r="BF63" s="345">
        <f t="shared" ca="1" si="16"/>
        <v>0</v>
      </c>
    </row>
    <row r="64" spans="1:58">
      <c r="A64" s="151">
        <f t="shared" ca="1" si="0"/>
        <v>3</v>
      </c>
      <c r="C64" s="178">
        <f t="shared" si="1"/>
        <v>40</v>
      </c>
      <c r="D64" s="178">
        <f t="shared" si="6"/>
        <v>7644.6394563479735</v>
      </c>
      <c r="E64" s="178">
        <f t="shared" si="28"/>
        <v>1970.6665986298995</v>
      </c>
      <c r="F64" s="178">
        <f t="shared" si="29"/>
        <v>9615.3060549778729</v>
      </c>
      <c r="G64" s="178">
        <f>IF(L63&lt;0.01,0,IF(Adm!$S$3=Adm!$S$13,Cal!$E$94,IF(Adm!$R$3=Adm!$R$6,0,IF(Cal!$E$91&gt;0,0,IF(Cal!$E$91=0,L63*Adm!$Y$3,L63*Adm!$X$3)))))</f>
        <v>0</v>
      </c>
      <c r="H64" s="178">
        <f>IF(L63&lt;0.01,0,IF(Adm!$R$4=Adm!$R$6,0,IF(Adm!$B$3=Adm!$B$12,0,Cal!$E$89*Adm!$AA$3/1.16)))</f>
        <v>494.46758620689661</v>
      </c>
      <c r="I64" s="178">
        <f>IF(L63&lt;0.01,0,Adm!$O$3)</f>
        <v>250</v>
      </c>
      <c r="J64" s="178">
        <f t="shared" si="2"/>
        <v>10359.773641184769</v>
      </c>
      <c r="K64" s="178">
        <f>IF(Adm!$F$3="si",MIN(L63+D64+G64+H64+I64-J64,Y64),0)</f>
        <v>0</v>
      </c>
      <c r="L64" s="178">
        <f t="shared" si="7"/>
        <v>963668.00157164037</v>
      </c>
      <c r="M64" s="348"/>
      <c r="N64" s="348"/>
      <c r="O64" s="348">
        <f t="shared" si="8"/>
        <v>10359.773641184769</v>
      </c>
      <c r="U64" s="571">
        <f t="shared" si="9"/>
        <v>4</v>
      </c>
      <c r="V64" s="293">
        <f>IF(U64=1,Adm!$AN$2,0)</f>
        <v>0</v>
      </c>
      <c r="X64" s="341">
        <f t="shared" si="17"/>
        <v>0</v>
      </c>
      <c r="Y64" s="345">
        <f t="shared" ca="1" si="10"/>
        <v>0</v>
      </c>
      <c r="AD64" s="172"/>
      <c r="AG64" s="151">
        <f t="shared" ca="1" si="3"/>
        <v>3</v>
      </c>
      <c r="AI64" s="178">
        <f t="shared" si="4"/>
        <v>0</v>
      </c>
      <c r="AJ64" s="178">
        <f t="shared" si="11"/>
        <v>0</v>
      </c>
      <c r="AK64" s="178">
        <f t="shared" si="30"/>
        <v>0</v>
      </c>
      <c r="AL64" s="178">
        <f t="shared" si="31"/>
        <v>0</v>
      </c>
      <c r="AM64" s="351">
        <f>IF(AS63&lt;0.01,0,IF(Resol!$G$19&gt;0,Resol!$G$19,IF(Resol!$F$19=Resol!$U$5,0,IF($AS$10&gt;0,0,IF($AS$10=0,AS63*Adm!$Y$3,AS63*Adm!$X$3)))))</f>
        <v>0</v>
      </c>
      <c r="AN64" s="351">
        <f>IF(AS63&lt;0.01,0,IF(Resol!$F$20=Resol!$V$3,0,IF(OR(Resol!$F$10=Resol!$T$16,Resol!$F$10=Resol!$T$17),0,IF(Resol!$F$10=Resol!$T$13,0,$AL$5*Adm!$AA$4/1.16))))</f>
        <v>0</v>
      </c>
      <c r="AO64" s="178">
        <f t="shared" si="18"/>
        <v>0</v>
      </c>
      <c r="AP64" s="178"/>
      <c r="AQ64" s="178">
        <f t="shared" si="5"/>
        <v>0</v>
      </c>
      <c r="AR64" s="178">
        <f t="shared" si="12"/>
        <v>0</v>
      </c>
      <c r="AS64" s="178">
        <f t="shared" si="26"/>
        <v>0</v>
      </c>
      <c r="AT64" s="348"/>
      <c r="AU64" s="348"/>
      <c r="AV64" s="176">
        <f t="shared" si="27"/>
        <v>0</v>
      </c>
      <c r="BB64" s="571">
        <f t="shared" si="15"/>
        <v>4</v>
      </c>
      <c r="BC64" s="293">
        <f>IF(BB64=1,Adm!$AN$2,0)</f>
        <v>0</v>
      </c>
      <c r="BE64" s="341">
        <f t="shared" si="19"/>
        <v>0</v>
      </c>
      <c r="BF64" s="345">
        <f t="shared" ca="1" si="16"/>
        <v>0</v>
      </c>
    </row>
    <row r="65" spans="1:58">
      <c r="A65" s="151">
        <f t="shared" ca="1" si="0"/>
        <v>4</v>
      </c>
      <c r="C65" s="178">
        <f t="shared" si="1"/>
        <v>41</v>
      </c>
      <c r="D65" s="178">
        <f t="shared" si="6"/>
        <v>7629.038345775487</v>
      </c>
      <c r="E65" s="178">
        <f t="shared" si="28"/>
        <v>1986.267709202386</v>
      </c>
      <c r="F65" s="178">
        <f t="shared" si="29"/>
        <v>9615.3060549778729</v>
      </c>
      <c r="G65" s="178">
        <f>IF(L64&lt;0.01,0,IF(Adm!$S$3=Adm!$S$13,Cal!$E$94,IF(Adm!$R$3=Adm!$R$6,0,IF(Cal!$E$91&gt;0,0,IF(Cal!$E$91=0,L64*Adm!$Y$3,L64*Adm!$X$3)))))</f>
        <v>0</v>
      </c>
      <c r="H65" s="178">
        <f>IF(L64&lt;0.01,0,IF(Adm!$R$4=Adm!$R$6,0,IF(Adm!$B$3=Adm!$B$12,0,Cal!$E$89*Adm!$AA$3/1.16)))</f>
        <v>494.46758620689661</v>
      </c>
      <c r="I65" s="178">
        <f>IF(L64&lt;0.01,0,Adm!$O$3)</f>
        <v>250</v>
      </c>
      <c r="J65" s="178">
        <f t="shared" si="2"/>
        <v>10359.773641184769</v>
      </c>
      <c r="K65" s="178">
        <f>IF(Adm!$F$3="si",MIN(L64+D65+G65+H65+I65-J65,Y65),0)</f>
        <v>0</v>
      </c>
      <c r="L65" s="178">
        <f t="shared" si="7"/>
        <v>961681.73386243801</v>
      </c>
      <c r="M65" s="348"/>
      <c r="N65" s="348"/>
      <c r="O65" s="348">
        <f t="shared" si="8"/>
        <v>10359.773641184769</v>
      </c>
      <c r="U65" s="571">
        <f t="shared" si="9"/>
        <v>5</v>
      </c>
      <c r="V65" s="293">
        <f>IF(U65=1,Adm!$AN$2,0)</f>
        <v>0</v>
      </c>
      <c r="X65" s="341">
        <f t="shared" si="17"/>
        <v>0</v>
      </c>
      <c r="Y65" s="345">
        <f t="shared" ca="1" si="10"/>
        <v>0</v>
      </c>
      <c r="AD65" s="172"/>
      <c r="AG65" s="151">
        <f t="shared" ca="1" si="3"/>
        <v>4</v>
      </c>
      <c r="AI65" s="178">
        <f t="shared" si="4"/>
        <v>0</v>
      </c>
      <c r="AJ65" s="178">
        <f t="shared" si="11"/>
        <v>0</v>
      </c>
      <c r="AK65" s="178">
        <f t="shared" si="30"/>
        <v>0</v>
      </c>
      <c r="AL65" s="178">
        <f t="shared" si="31"/>
        <v>0</v>
      </c>
      <c r="AM65" s="351">
        <f>IF(AS64&lt;0.01,0,IF(Resol!$G$19&gt;0,Resol!$G$19,IF(Resol!$F$19=Resol!$U$5,0,IF($AS$10&gt;0,0,IF($AS$10=0,AS64*Adm!$Y$3,AS64*Adm!$X$3)))))</f>
        <v>0</v>
      </c>
      <c r="AN65" s="351">
        <f>IF(AS64&lt;0.01,0,IF(Resol!$F$20=Resol!$V$3,0,IF(OR(Resol!$F$10=Resol!$T$16,Resol!$F$10=Resol!$T$17),0,IF(Resol!$F$10=Resol!$T$13,0,$AL$5*Adm!$AA$4/1.16))))</f>
        <v>0</v>
      </c>
      <c r="AO65" s="178">
        <f t="shared" si="18"/>
        <v>0</v>
      </c>
      <c r="AP65" s="178"/>
      <c r="AQ65" s="178">
        <f t="shared" si="5"/>
        <v>0</v>
      </c>
      <c r="AR65" s="178">
        <f t="shared" si="12"/>
        <v>0</v>
      </c>
      <c r="AS65" s="178">
        <f t="shared" si="26"/>
        <v>0</v>
      </c>
      <c r="AT65" s="348"/>
      <c r="AU65" s="348"/>
      <c r="AV65" s="176">
        <f t="shared" si="27"/>
        <v>0</v>
      </c>
      <c r="BB65" s="571">
        <f t="shared" si="15"/>
        <v>5</v>
      </c>
      <c r="BC65" s="293">
        <f>IF(BB65=1,Adm!$AN$2,0)</f>
        <v>0</v>
      </c>
      <c r="BE65" s="341">
        <f t="shared" si="19"/>
        <v>0</v>
      </c>
      <c r="BF65" s="345">
        <f t="shared" ca="1" si="16"/>
        <v>0</v>
      </c>
    </row>
    <row r="66" spans="1:58">
      <c r="A66" s="151">
        <f t="shared" ca="1" si="0"/>
        <v>5</v>
      </c>
      <c r="C66" s="178">
        <f t="shared" si="1"/>
        <v>42</v>
      </c>
      <c r="D66" s="178">
        <f t="shared" si="6"/>
        <v>7613.3137264109682</v>
      </c>
      <c r="E66" s="178">
        <f t="shared" si="28"/>
        <v>2001.9923285669047</v>
      </c>
      <c r="F66" s="178">
        <f t="shared" si="29"/>
        <v>9615.3060549778729</v>
      </c>
      <c r="G66" s="178">
        <f>IF(L65&lt;0.01,0,IF(Adm!$S$3=Adm!$S$13,Cal!$E$94,IF(Adm!$R$3=Adm!$R$6,0,IF(Cal!$E$91&gt;0,0,IF(Cal!$E$91=0,L65*Adm!$Y$3,L65*Adm!$X$3)))))</f>
        <v>0</v>
      </c>
      <c r="H66" s="178">
        <f>IF(L65&lt;0.01,0,IF(Adm!$R$4=Adm!$R$6,0,IF(Adm!$B$3=Adm!$B$12,0,Cal!$E$89*Adm!$AA$3/1.16)))</f>
        <v>494.46758620689661</v>
      </c>
      <c r="I66" s="178">
        <f>IF(L65&lt;0.01,0,Adm!$O$3)</f>
        <v>250</v>
      </c>
      <c r="J66" s="178">
        <f t="shared" si="2"/>
        <v>10359.773641184769</v>
      </c>
      <c r="K66" s="178">
        <f>IF(Adm!$F$3="si",MIN(L65+D66+G66+H66+I66-J66,Y66),0)</f>
        <v>0</v>
      </c>
      <c r="L66" s="178">
        <f t="shared" si="7"/>
        <v>959679.74153387116</v>
      </c>
      <c r="M66" s="348"/>
      <c r="N66" s="348"/>
      <c r="O66" s="348">
        <f t="shared" si="8"/>
        <v>10359.773641184769</v>
      </c>
      <c r="U66" s="571">
        <f t="shared" si="9"/>
        <v>6</v>
      </c>
      <c r="V66" s="293">
        <f>IF(U66=1,Adm!$AN$2,0)</f>
        <v>0</v>
      </c>
      <c r="X66" s="341">
        <f t="shared" si="17"/>
        <v>0</v>
      </c>
      <c r="Y66" s="345">
        <f t="shared" ca="1" si="10"/>
        <v>0</v>
      </c>
      <c r="AD66" s="172"/>
      <c r="AG66" s="151">
        <f t="shared" ca="1" si="3"/>
        <v>5</v>
      </c>
      <c r="AI66" s="178">
        <f t="shared" si="4"/>
        <v>0</v>
      </c>
      <c r="AJ66" s="178">
        <f t="shared" si="11"/>
        <v>0</v>
      </c>
      <c r="AK66" s="178">
        <f t="shared" si="30"/>
        <v>0</v>
      </c>
      <c r="AL66" s="178">
        <f t="shared" si="31"/>
        <v>0</v>
      </c>
      <c r="AM66" s="351">
        <f>IF(AS65&lt;0.01,0,IF(Resol!$G$19&gt;0,Resol!$G$19,IF(Resol!$F$19=Resol!$U$5,0,IF($AS$10&gt;0,0,IF($AS$10=0,AS65*Adm!$Y$3,AS65*Adm!$X$3)))))</f>
        <v>0</v>
      </c>
      <c r="AN66" s="351">
        <f>IF(AS65&lt;0.01,0,IF(Resol!$F$20=Resol!$V$3,0,IF(OR(Resol!$F$10=Resol!$T$16,Resol!$F$10=Resol!$T$17),0,IF(Resol!$F$10=Resol!$T$13,0,$AL$5*Adm!$AA$4/1.16))))</f>
        <v>0</v>
      </c>
      <c r="AO66" s="178">
        <f t="shared" si="18"/>
        <v>0</v>
      </c>
      <c r="AP66" s="178"/>
      <c r="AQ66" s="178">
        <f t="shared" si="5"/>
        <v>0</v>
      </c>
      <c r="AR66" s="178">
        <f t="shared" si="12"/>
        <v>0</v>
      </c>
      <c r="AS66" s="178">
        <f t="shared" si="26"/>
        <v>0</v>
      </c>
      <c r="AT66" s="348"/>
      <c r="AU66" s="348"/>
      <c r="AV66" s="176">
        <f t="shared" si="27"/>
        <v>0</v>
      </c>
      <c r="BB66" s="571">
        <f t="shared" si="15"/>
        <v>6</v>
      </c>
      <c r="BC66" s="293">
        <f>IF(BB66=1,Adm!$AN$2,0)</f>
        <v>0</v>
      </c>
      <c r="BE66" s="341">
        <f t="shared" si="19"/>
        <v>0</v>
      </c>
      <c r="BF66" s="345">
        <f t="shared" ca="1" si="16"/>
        <v>0</v>
      </c>
    </row>
    <row r="67" spans="1:58">
      <c r="A67" s="151">
        <f t="shared" ca="1" si="0"/>
        <v>6</v>
      </c>
      <c r="C67" s="178">
        <f t="shared" si="1"/>
        <v>43</v>
      </c>
      <c r="D67" s="178">
        <f t="shared" si="6"/>
        <v>7597.4646204764804</v>
      </c>
      <c r="E67" s="178">
        <f t="shared" si="28"/>
        <v>2017.8414345013925</v>
      </c>
      <c r="F67" s="178">
        <f t="shared" si="29"/>
        <v>9615.3060549778729</v>
      </c>
      <c r="G67" s="178">
        <f>IF(L66&lt;0.01,0,IF(Adm!$S$3=Adm!$S$13,Cal!$E$94,IF(Adm!$R$3=Adm!$R$6,0,IF(Cal!$E$91&gt;0,0,IF(Cal!$E$91=0,L66*Adm!$Y$3,L66*Adm!$X$3)))))</f>
        <v>0</v>
      </c>
      <c r="H67" s="178">
        <f>IF(L66&lt;0.01,0,IF(Adm!$R$4=Adm!$R$6,0,IF(Adm!$B$3=Adm!$B$12,0,Cal!$E$89*Adm!$AA$3/1.16)))</f>
        <v>494.46758620689661</v>
      </c>
      <c r="I67" s="178">
        <f>IF(L66&lt;0.01,0,Adm!$O$3)</f>
        <v>250</v>
      </c>
      <c r="J67" s="178">
        <f t="shared" si="2"/>
        <v>10359.773641184769</v>
      </c>
      <c r="K67" s="178">
        <f>IF(Adm!$F$3="si",MIN(L66+D67+G67+H67+I67-J67,Y67),0)</f>
        <v>0</v>
      </c>
      <c r="L67" s="178">
        <f t="shared" si="7"/>
        <v>957661.90009936981</v>
      </c>
      <c r="M67" s="348"/>
      <c r="N67" s="348"/>
      <c r="O67" s="348">
        <f t="shared" si="8"/>
        <v>10359.773641184769</v>
      </c>
      <c r="U67" s="571">
        <f t="shared" si="9"/>
        <v>7</v>
      </c>
      <c r="V67" s="293">
        <f>IF(U67=1,Adm!$AN$2,0)</f>
        <v>0</v>
      </c>
      <c r="X67" s="341">
        <f t="shared" si="17"/>
        <v>0</v>
      </c>
      <c r="Y67" s="345">
        <f t="shared" ca="1" si="10"/>
        <v>0</v>
      </c>
      <c r="AD67" s="172"/>
      <c r="AG67" s="151">
        <f t="shared" ca="1" si="3"/>
        <v>6</v>
      </c>
      <c r="AI67" s="178">
        <f t="shared" si="4"/>
        <v>0</v>
      </c>
      <c r="AJ67" s="178">
        <f t="shared" si="11"/>
        <v>0</v>
      </c>
      <c r="AK67" s="178">
        <f t="shared" si="30"/>
        <v>0</v>
      </c>
      <c r="AL67" s="178">
        <f t="shared" si="31"/>
        <v>0</v>
      </c>
      <c r="AM67" s="351">
        <f>IF(AS66&lt;0.01,0,IF(Resol!$G$19&gt;0,Resol!$G$19,IF(Resol!$F$19=Resol!$U$5,0,IF($AS$10&gt;0,0,IF($AS$10=0,AS66*Adm!$Y$3,AS66*Adm!$X$3)))))</f>
        <v>0</v>
      </c>
      <c r="AN67" s="351">
        <f>IF(AS66&lt;0.01,0,IF(Resol!$F$20=Resol!$V$3,0,IF(OR(Resol!$F$10=Resol!$T$16,Resol!$F$10=Resol!$T$17),0,IF(Resol!$F$10=Resol!$T$13,0,$AL$5*Adm!$AA$4/1.16))))</f>
        <v>0</v>
      </c>
      <c r="AO67" s="178">
        <f t="shared" si="18"/>
        <v>0</v>
      </c>
      <c r="AP67" s="178"/>
      <c r="AQ67" s="178">
        <f t="shared" si="5"/>
        <v>0</v>
      </c>
      <c r="AR67" s="178">
        <f t="shared" si="12"/>
        <v>0</v>
      </c>
      <c r="AS67" s="178">
        <f t="shared" si="26"/>
        <v>0</v>
      </c>
      <c r="AT67" s="348"/>
      <c r="AU67" s="348"/>
      <c r="AV67" s="176">
        <f t="shared" si="27"/>
        <v>0</v>
      </c>
      <c r="BB67" s="571">
        <f t="shared" si="15"/>
        <v>7</v>
      </c>
      <c r="BC67" s="293">
        <f>IF(BB67=1,Adm!$AN$2,0)</f>
        <v>0</v>
      </c>
      <c r="BE67" s="341">
        <f t="shared" si="19"/>
        <v>0</v>
      </c>
      <c r="BF67" s="345">
        <f t="shared" ca="1" si="16"/>
        <v>0</v>
      </c>
    </row>
    <row r="68" spans="1:58">
      <c r="A68" s="151">
        <f t="shared" ca="1" si="0"/>
        <v>7</v>
      </c>
      <c r="C68" s="178">
        <f t="shared" si="1"/>
        <v>44</v>
      </c>
      <c r="D68" s="178">
        <f t="shared" si="6"/>
        <v>7581.4900424533444</v>
      </c>
      <c r="E68" s="178">
        <f t="shared" si="28"/>
        <v>2033.8160125245286</v>
      </c>
      <c r="F68" s="178">
        <f t="shared" si="29"/>
        <v>9615.3060549778729</v>
      </c>
      <c r="G68" s="178">
        <f>IF(L67&lt;0.01,0,IF(Adm!$S$3=Adm!$S$13,Cal!$E$94,IF(Adm!$R$3=Adm!$R$6,0,IF(Cal!$E$91&gt;0,0,IF(Cal!$E$91=0,L67*Adm!$Y$3,L67*Adm!$X$3)))))</f>
        <v>0</v>
      </c>
      <c r="H68" s="178">
        <f>IF(L67&lt;0.01,0,IF(Adm!$R$4=Adm!$R$6,0,IF(Adm!$B$3=Adm!$B$12,0,Cal!$E$89*Adm!$AA$3/1.16)))</f>
        <v>494.46758620689661</v>
      </c>
      <c r="I68" s="178">
        <f>IF(L67&lt;0.01,0,Adm!$O$3)</f>
        <v>250</v>
      </c>
      <c r="J68" s="178">
        <f t="shared" si="2"/>
        <v>10359.773641184769</v>
      </c>
      <c r="K68" s="178">
        <f>IF(Adm!$F$3="si",MIN(L67+D68+G68+H68+I68-J68,Y68),0)</f>
        <v>0</v>
      </c>
      <c r="L68" s="178">
        <f t="shared" si="7"/>
        <v>955628.08408684528</v>
      </c>
      <c r="M68" s="348"/>
      <c r="N68" s="348"/>
      <c r="O68" s="348">
        <f t="shared" si="8"/>
        <v>10359.773641184769</v>
      </c>
      <c r="U68" s="571">
        <f t="shared" si="9"/>
        <v>8</v>
      </c>
      <c r="V68" s="293">
        <f>IF(U68=1,Adm!$AN$2,0)</f>
        <v>0</v>
      </c>
      <c r="X68" s="341">
        <f t="shared" si="17"/>
        <v>0</v>
      </c>
      <c r="Y68" s="345">
        <f t="shared" ca="1" si="10"/>
        <v>0</v>
      </c>
      <c r="AD68" s="172"/>
      <c r="AG68" s="151">
        <f t="shared" ca="1" si="3"/>
        <v>7</v>
      </c>
      <c r="AI68" s="178">
        <f t="shared" si="4"/>
        <v>0</v>
      </c>
      <c r="AJ68" s="178">
        <f t="shared" si="11"/>
        <v>0</v>
      </c>
      <c r="AK68" s="178">
        <f t="shared" si="30"/>
        <v>0</v>
      </c>
      <c r="AL68" s="178">
        <f t="shared" si="31"/>
        <v>0</v>
      </c>
      <c r="AM68" s="351">
        <f>IF(AS67&lt;0.01,0,IF(Resol!$G$19&gt;0,Resol!$G$19,IF(Resol!$F$19=Resol!$U$5,0,IF($AS$10&gt;0,0,IF($AS$10=0,AS67*Adm!$Y$3,AS67*Adm!$X$3)))))</f>
        <v>0</v>
      </c>
      <c r="AN68" s="351">
        <f>IF(AS67&lt;0.01,0,IF(Resol!$F$20=Resol!$V$3,0,IF(OR(Resol!$F$10=Resol!$T$16,Resol!$F$10=Resol!$T$17),0,IF(Resol!$F$10=Resol!$T$13,0,$AL$5*Adm!$AA$4/1.16))))</f>
        <v>0</v>
      </c>
      <c r="AO68" s="178">
        <f t="shared" si="18"/>
        <v>0</v>
      </c>
      <c r="AP68" s="178"/>
      <c r="AQ68" s="178">
        <f t="shared" si="5"/>
        <v>0</v>
      </c>
      <c r="AR68" s="178">
        <f t="shared" si="12"/>
        <v>0</v>
      </c>
      <c r="AS68" s="178">
        <f t="shared" si="26"/>
        <v>0</v>
      </c>
      <c r="AT68" s="348"/>
      <c r="AU68" s="348"/>
      <c r="AV68" s="176">
        <f t="shared" si="27"/>
        <v>0</v>
      </c>
      <c r="BB68" s="571">
        <f t="shared" si="15"/>
        <v>8</v>
      </c>
      <c r="BC68" s="293">
        <f>IF(BB68=1,Adm!$AN$2,0)</f>
        <v>0</v>
      </c>
      <c r="BE68" s="341">
        <f t="shared" si="19"/>
        <v>0</v>
      </c>
      <c r="BF68" s="345">
        <f t="shared" ca="1" si="16"/>
        <v>0</v>
      </c>
    </row>
    <row r="69" spans="1:58">
      <c r="A69" s="151">
        <f t="shared" ca="1" si="0"/>
        <v>8</v>
      </c>
      <c r="C69" s="178">
        <f t="shared" si="1"/>
        <v>45</v>
      </c>
      <c r="D69" s="178">
        <f t="shared" si="6"/>
        <v>7565.388999020859</v>
      </c>
      <c r="E69" s="178">
        <f t="shared" si="28"/>
        <v>2049.9170559570139</v>
      </c>
      <c r="F69" s="178">
        <f t="shared" si="29"/>
        <v>9615.3060549778729</v>
      </c>
      <c r="G69" s="178">
        <f>IF(L68&lt;0.01,0,IF(Adm!$S$3=Adm!$S$13,Cal!$E$94,IF(Adm!$R$3=Adm!$R$6,0,IF(Cal!$E$91&gt;0,0,IF(Cal!$E$91=0,L68*Adm!$Y$3,L68*Adm!$X$3)))))</f>
        <v>0</v>
      </c>
      <c r="H69" s="178">
        <f>IF(L68&lt;0.01,0,IF(Adm!$R$4=Adm!$R$6,0,IF(Adm!$B$3=Adm!$B$12,0,Cal!$E$89*Adm!$AA$3/1.16)))</f>
        <v>494.46758620689661</v>
      </c>
      <c r="I69" s="178">
        <f>IF(L68&lt;0.01,0,Adm!$O$3)</f>
        <v>250</v>
      </c>
      <c r="J69" s="178">
        <f t="shared" si="2"/>
        <v>10359.773641184769</v>
      </c>
      <c r="K69" s="178">
        <f>IF(Adm!$F$3="si",MIN(L68+D69+G69+H69+I69-J69,Y69),0)</f>
        <v>0</v>
      </c>
      <c r="L69" s="178">
        <f t="shared" si="7"/>
        <v>953578.16703088826</v>
      </c>
      <c r="M69" s="348"/>
      <c r="N69" s="348"/>
      <c r="O69" s="348">
        <f t="shared" si="8"/>
        <v>10359.773641184769</v>
      </c>
      <c r="U69" s="571">
        <f t="shared" si="9"/>
        <v>9</v>
      </c>
      <c r="V69" s="293">
        <f>IF(U69=1,Adm!$AN$2,0)</f>
        <v>0</v>
      </c>
      <c r="X69" s="341">
        <f t="shared" si="17"/>
        <v>0</v>
      </c>
      <c r="Y69" s="345">
        <f t="shared" ca="1" si="10"/>
        <v>0</v>
      </c>
      <c r="AD69" s="172"/>
      <c r="AG69" s="151">
        <f t="shared" ca="1" si="3"/>
        <v>8</v>
      </c>
      <c r="AI69" s="178">
        <f t="shared" si="4"/>
        <v>0</v>
      </c>
      <c r="AJ69" s="178">
        <f t="shared" si="11"/>
        <v>0</v>
      </c>
      <c r="AK69" s="178">
        <f t="shared" si="30"/>
        <v>0</v>
      </c>
      <c r="AL69" s="178">
        <f t="shared" si="31"/>
        <v>0</v>
      </c>
      <c r="AM69" s="351">
        <f>IF(AS68&lt;0.01,0,IF(Resol!$G$19&gt;0,Resol!$G$19,IF(Resol!$F$19=Resol!$U$5,0,IF($AS$10&gt;0,0,IF($AS$10=0,AS68*Adm!$Y$3,AS68*Adm!$X$3)))))</f>
        <v>0</v>
      </c>
      <c r="AN69" s="351">
        <f>IF(AS68&lt;0.01,0,IF(Resol!$F$20=Resol!$V$3,0,IF(OR(Resol!$F$10=Resol!$T$16,Resol!$F$10=Resol!$T$17),0,IF(Resol!$F$10=Resol!$T$13,0,$AL$5*Adm!$AA$4/1.16))))</f>
        <v>0</v>
      </c>
      <c r="AO69" s="178">
        <f t="shared" si="18"/>
        <v>0</v>
      </c>
      <c r="AP69" s="178"/>
      <c r="AQ69" s="178">
        <f t="shared" si="5"/>
        <v>0</v>
      </c>
      <c r="AR69" s="178">
        <f t="shared" si="12"/>
        <v>0</v>
      </c>
      <c r="AS69" s="178">
        <f t="shared" si="26"/>
        <v>0</v>
      </c>
      <c r="AT69" s="348"/>
      <c r="AU69" s="348"/>
      <c r="AV69" s="176">
        <f t="shared" si="27"/>
        <v>0</v>
      </c>
      <c r="BB69" s="571">
        <f t="shared" si="15"/>
        <v>9</v>
      </c>
      <c r="BC69" s="293">
        <f>IF(BB69=1,Adm!$AN$2,0)</f>
        <v>0</v>
      </c>
      <c r="BE69" s="341">
        <f t="shared" si="19"/>
        <v>0</v>
      </c>
      <c r="BF69" s="345">
        <f t="shared" ca="1" si="16"/>
        <v>0</v>
      </c>
    </row>
    <row r="70" spans="1:58">
      <c r="A70" s="151">
        <f t="shared" ca="1" si="0"/>
        <v>9</v>
      </c>
      <c r="C70" s="178">
        <f t="shared" si="1"/>
        <v>46</v>
      </c>
      <c r="D70" s="178">
        <f t="shared" si="6"/>
        <v>7549.1604889945329</v>
      </c>
      <c r="E70" s="178">
        <f t="shared" si="28"/>
        <v>2066.14556598334</v>
      </c>
      <c r="F70" s="178">
        <f t="shared" si="29"/>
        <v>9615.3060549778729</v>
      </c>
      <c r="G70" s="178">
        <f>IF(L69&lt;0.01,0,IF(Adm!$S$3=Adm!$S$13,Cal!$E$94,IF(Adm!$R$3=Adm!$R$6,0,IF(Cal!$E$91&gt;0,0,IF(Cal!$E$91=0,L69*Adm!$Y$3,L69*Adm!$X$3)))))</f>
        <v>0</v>
      </c>
      <c r="H70" s="178">
        <f>IF(L69&lt;0.01,0,IF(Adm!$R$4=Adm!$R$6,0,IF(Adm!$B$3=Adm!$B$12,0,Cal!$E$89*Adm!$AA$3/1.16)))</f>
        <v>494.46758620689661</v>
      </c>
      <c r="I70" s="178">
        <f>IF(L69&lt;0.01,0,Adm!$O$3)</f>
        <v>250</v>
      </c>
      <c r="J70" s="178">
        <f t="shared" si="2"/>
        <v>10359.773641184769</v>
      </c>
      <c r="K70" s="178">
        <f>IF(Adm!$F$3="si",MIN(L69+D70+G70+H70+I70-J70,Y70),0)</f>
        <v>0</v>
      </c>
      <c r="L70" s="178">
        <f t="shared" si="7"/>
        <v>951512.02146490489</v>
      </c>
      <c r="M70" s="348"/>
      <c r="N70" s="348"/>
      <c r="O70" s="348">
        <f t="shared" si="8"/>
        <v>10359.773641184769</v>
      </c>
      <c r="U70" s="571">
        <f t="shared" si="9"/>
        <v>10</v>
      </c>
      <c r="V70" s="293">
        <f>IF(U70=1,Adm!$AN$2,0)</f>
        <v>0</v>
      </c>
      <c r="X70" s="341">
        <f t="shared" si="17"/>
        <v>0</v>
      </c>
      <c r="Y70" s="345">
        <f t="shared" ca="1" si="10"/>
        <v>0</v>
      </c>
      <c r="AD70" s="172"/>
      <c r="AG70" s="151">
        <f t="shared" ca="1" si="3"/>
        <v>9</v>
      </c>
      <c r="AI70" s="178">
        <f t="shared" si="4"/>
        <v>0</v>
      </c>
      <c r="AJ70" s="178">
        <f t="shared" si="11"/>
        <v>0</v>
      </c>
      <c r="AK70" s="178">
        <f t="shared" si="30"/>
        <v>0</v>
      </c>
      <c r="AL70" s="178">
        <f t="shared" si="31"/>
        <v>0</v>
      </c>
      <c r="AM70" s="351">
        <f>IF(AS69&lt;0.01,0,IF(Resol!$G$19&gt;0,Resol!$G$19,IF(Resol!$F$19=Resol!$U$5,0,IF($AS$10&gt;0,0,IF($AS$10=0,AS69*Adm!$Y$3,AS69*Adm!$X$3)))))</f>
        <v>0</v>
      </c>
      <c r="AN70" s="351">
        <f>IF(AS69&lt;0.01,0,IF(Resol!$F$20=Resol!$V$3,0,IF(OR(Resol!$F$10=Resol!$T$16,Resol!$F$10=Resol!$T$17),0,IF(Resol!$F$10=Resol!$T$13,0,$AL$5*Adm!$AA$4/1.16))))</f>
        <v>0</v>
      </c>
      <c r="AO70" s="178">
        <f t="shared" si="18"/>
        <v>0</v>
      </c>
      <c r="AP70" s="178"/>
      <c r="AQ70" s="178">
        <f t="shared" si="5"/>
        <v>0</v>
      </c>
      <c r="AR70" s="178">
        <f t="shared" si="12"/>
        <v>0</v>
      </c>
      <c r="AS70" s="178">
        <f t="shared" si="26"/>
        <v>0</v>
      </c>
      <c r="AT70" s="348"/>
      <c r="AU70" s="348"/>
      <c r="AV70" s="176">
        <f t="shared" si="27"/>
        <v>0</v>
      </c>
      <c r="BB70" s="571">
        <f t="shared" si="15"/>
        <v>10</v>
      </c>
      <c r="BC70" s="293">
        <f>IF(BB70=1,Adm!$AN$2,0)</f>
        <v>0</v>
      </c>
      <c r="BE70" s="341">
        <f t="shared" si="19"/>
        <v>0</v>
      </c>
      <c r="BF70" s="345">
        <f t="shared" ca="1" si="16"/>
        <v>0</v>
      </c>
    </row>
    <row r="71" spans="1:58">
      <c r="A71" s="151">
        <f t="shared" ca="1" si="0"/>
        <v>10</v>
      </c>
      <c r="C71" s="178">
        <f t="shared" si="1"/>
        <v>47</v>
      </c>
      <c r="D71" s="178">
        <f t="shared" si="6"/>
        <v>7532.80350326383</v>
      </c>
      <c r="E71" s="178">
        <f t="shared" si="28"/>
        <v>2082.502551714043</v>
      </c>
      <c r="F71" s="178">
        <f t="shared" si="29"/>
        <v>9615.3060549778729</v>
      </c>
      <c r="G71" s="178">
        <f>IF(L70&lt;0.01,0,IF(Adm!$S$3=Adm!$S$13,Cal!$E$94,IF(Adm!$R$3=Adm!$R$6,0,IF(Cal!$E$91&gt;0,0,IF(Cal!$E$91=0,L70*Adm!$Y$3,L70*Adm!$X$3)))))</f>
        <v>0</v>
      </c>
      <c r="H71" s="178">
        <f>IF(L70&lt;0.01,0,IF(Adm!$R$4=Adm!$R$6,0,IF(Adm!$B$3=Adm!$B$12,0,Cal!$E$89*Adm!$AA$3/1.16)))</f>
        <v>494.46758620689661</v>
      </c>
      <c r="I71" s="178">
        <f>IF(L70&lt;0.01,0,Adm!$O$3)</f>
        <v>250</v>
      </c>
      <c r="J71" s="178">
        <f t="shared" si="2"/>
        <v>10359.773641184769</v>
      </c>
      <c r="K71" s="178">
        <f>IF(Adm!$F$3="si",MIN(L70+D71+G71+H71+I71-J71,Y71),0)</f>
        <v>0</v>
      </c>
      <c r="L71" s="178">
        <f t="shared" si="7"/>
        <v>949429.51891319081</v>
      </c>
      <c r="M71" s="348"/>
      <c r="N71" s="348"/>
      <c r="O71" s="348">
        <f t="shared" si="8"/>
        <v>10359.773641184769</v>
      </c>
      <c r="U71" s="571">
        <f t="shared" si="9"/>
        <v>11</v>
      </c>
      <c r="V71" s="293">
        <f>IF(U71=1,Adm!$AN$2,0)</f>
        <v>0</v>
      </c>
      <c r="X71" s="341">
        <f t="shared" si="17"/>
        <v>0</v>
      </c>
      <c r="Y71" s="345">
        <f t="shared" ca="1" si="10"/>
        <v>0</v>
      </c>
      <c r="AD71" s="172"/>
      <c r="AG71" s="151">
        <f t="shared" ca="1" si="3"/>
        <v>10</v>
      </c>
      <c r="AI71" s="178">
        <f t="shared" si="4"/>
        <v>0</v>
      </c>
      <c r="AJ71" s="178">
        <f t="shared" si="11"/>
        <v>0</v>
      </c>
      <c r="AK71" s="178">
        <f t="shared" si="30"/>
        <v>0</v>
      </c>
      <c r="AL71" s="178">
        <f t="shared" si="31"/>
        <v>0</v>
      </c>
      <c r="AM71" s="351">
        <f>IF(AS70&lt;0.01,0,IF(Resol!$G$19&gt;0,Resol!$G$19,IF(Resol!$F$19=Resol!$U$5,0,IF($AS$10&gt;0,0,IF($AS$10=0,AS70*Adm!$Y$3,AS70*Adm!$X$3)))))</f>
        <v>0</v>
      </c>
      <c r="AN71" s="351">
        <f>IF(AS70&lt;0.01,0,IF(Resol!$F$20=Resol!$V$3,0,IF(OR(Resol!$F$10=Resol!$T$16,Resol!$F$10=Resol!$T$17),0,IF(Resol!$F$10=Resol!$T$13,0,$AL$5*Adm!$AA$4/1.16))))</f>
        <v>0</v>
      </c>
      <c r="AO71" s="178">
        <f t="shared" si="18"/>
        <v>0</v>
      </c>
      <c r="AP71" s="178"/>
      <c r="AQ71" s="178">
        <f t="shared" si="5"/>
        <v>0</v>
      </c>
      <c r="AR71" s="178">
        <f t="shared" si="12"/>
        <v>0</v>
      </c>
      <c r="AS71" s="178">
        <f t="shared" si="26"/>
        <v>0</v>
      </c>
      <c r="AT71" s="348"/>
      <c r="AU71" s="348"/>
      <c r="AV71" s="176">
        <f t="shared" si="27"/>
        <v>0</v>
      </c>
      <c r="BB71" s="571">
        <f t="shared" si="15"/>
        <v>11</v>
      </c>
      <c r="BC71" s="293">
        <f>IF(BB71=1,Adm!$AN$2,0)</f>
        <v>0</v>
      </c>
      <c r="BE71" s="341">
        <f t="shared" si="19"/>
        <v>0</v>
      </c>
      <c r="BF71" s="345">
        <f t="shared" ca="1" si="16"/>
        <v>0</v>
      </c>
    </row>
    <row r="72" spans="1:58">
      <c r="A72" s="151">
        <f t="shared" ca="1" si="0"/>
        <v>11</v>
      </c>
      <c r="C72" s="347">
        <f t="shared" si="1"/>
        <v>48</v>
      </c>
      <c r="D72" s="178">
        <f t="shared" si="6"/>
        <v>7516.3170247294265</v>
      </c>
      <c r="E72" s="178">
        <f t="shared" si="28"/>
        <v>2098.9890302484464</v>
      </c>
      <c r="F72" s="178">
        <f t="shared" si="29"/>
        <v>9615.3060549778729</v>
      </c>
      <c r="G72" s="178">
        <f>IF(L71&lt;0.01,0,IF(Adm!$S$3=Adm!$S$13,Cal!$E$94,IF(Adm!$R$3=Adm!$R$6,0,IF(Cal!$E$91&gt;0,0,IF(Cal!$E$91=0,L71*Adm!$Y$3,L71*Adm!$X$3)))))</f>
        <v>0</v>
      </c>
      <c r="H72" s="178">
        <f>IF(L71&lt;0.01,0,IF(Adm!$R$4=Adm!$R$6,0,IF(Adm!$B$3=Adm!$B$12,0,Cal!$E$89*Adm!$AA$3/1.16)))</f>
        <v>494.46758620689661</v>
      </c>
      <c r="I72" s="178">
        <f>IF(L71&lt;0.01,0,Adm!$O$3)</f>
        <v>250</v>
      </c>
      <c r="J72" s="178">
        <f t="shared" si="2"/>
        <v>10359.773641184769</v>
      </c>
      <c r="K72" s="178">
        <f>IF(Adm!$F$3="si",MIN(L71+D72+G72+H72+I72-J72,Y72),0)</f>
        <v>0</v>
      </c>
      <c r="L72" s="178">
        <f t="shared" si="7"/>
        <v>947330.52988294233</v>
      </c>
      <c r="M72" s="348"/>
      <c r="N72" s="348"/>
      <c r="O72" s="348">
        <f t="shared" si="8"/>
        <v>10359.773641184769</v>
      </c>
      <c r="U72" s="571">
        <f t="shared" si="9"/>
        <v>12</v>
      </c>
      <c r="V72" s="293">
        <f>IF(U72=1,Adm!$AN$2,0)</f>
        <v>0</v>
      </c>
      <c r="X72" s="341">
        <f t="shared" si="17"/>
        <v>0</v>
      </c>
      <c r="Y72" s="345">
        <f t="shared" ca="1" si="10"/>
        <v>0</v>
      </c>
      <c r="AD72" s="172"/>
      <c r="AG72" s="151">
        <f t="shared" ca="1" si="3"/>
        <v>11</v>
      </c>
      <c r="AI72" s="347">
        <f t="shared" si="4"/>
        <v>0</v>
      </c>
      <c r="AJ72" s="178">
        <f t="shared" si="11"/>
        <v>0</v>
      </c>
      <c r="AK72" s="178">
        <f t="shared" si="30"/>
        <v>0</v>
      </c>
      <c r="AL72" s="178">
        <f t="shared" si="31"/>
        <v>0</v>
      </c>
      <c r="AM72" s="351">
        <f>IF(AS71&lt;0.01,0,IF(Resol!$G$19&gt;0,Resol!$G$19,IF(Resol!$F$19=Resol!$U$5,0,IF($AS$10&gt;0,0,IF($AS$10=0,AS71*Adm!$Y$3,AS71*Adm!$X$3)))))</f>
        <v>0</v>
      </c>
      <c r="AN72" s="351">
        <f>IF(AS71&lt;0.01,0,IF(Resol!$F$20=Resol!$V$3,0,IF(OR(Resol!$F$10=Resol!$T$16,Resol!$F$10=Resol!$T$17),0,IF(Resol!$F$10=Resol!$T$13,0,$AL$5*Adm!$AA$4/1.16))))</f>
        <v>0</v>
      </c>
      <c r="AO72" s="178">
        <f t="shared" si="18"/>
        <v>0</v>
      </c>
      <c r="AP72" s="178"/>
      <c r="AQ72" s="178">
        <f t="shared" si="5"/>
        <v>0</v>
      </c>
      <c r="AR72" s="178">
        <f t="shared" si="12"/>
        <v>0</v>
      </c>
      <c r="AS72" s="178">
        <f t="shared" si="26"/>
        <v>0</v>
      </c>
      <c r="AT72" s="348"/>
      <c r="AU72" s="348"/>
      <c r="AV72" s="176">
        <f t="shared" si="27"/>
        <v>0</v>
      </c>
      <c r="BB72" s="571">
        <f t="shared" si="15"/>
        <v>12</v>
      </c>
      <c r="BC72" s="293">
        <f>IF(BB72=1,Adm!$AN$2,0)</f>
        <v>0</v>
      </c>
      <c r="BE72" s="341">
        <f t="shared" si="19"/>
        <v>0</v>
      </c>
      <c r="BF72" s="345">
        <f t="shared" ca="1" si="16"/>
        <v>0</v>
      </c>
    </row>
    <row r="73" spans="1:58">
      <c r="A73" s="151">
        <f t="shared" ca="1" si="0"/>
        <v>12</v>
      </c>
      <c r="C73" s="178">
        <f t="shared" si="1"/>
        <v>49</v>
      </c>
      <c r="D73" s="178">
        <f t="shared" si="6"/>
        <v>7499.7000282399604</v>
      </c>
      <c r="E73" s="178">
        <f t="shared" si="28"/>
        <v>2115.6060267379125</v>
      </c>
      <c r="F73" s="178">
        <f t="shared" si="29"/>
        <v>9615.3060549778729</v>
      </c>
      <c r="G73" s="178">
        <f>IF(L72&lt;0.01,0,IF(Adm!$S$3=Adm!$S$13,Cal!$E$94,IF(Adm!$R$3=Adm!$R$6,0,IF(Cal!$E$91=0,L72*Adm!$Y$3,L72*Adm!$X$3))))</f>
        <v>407.35212784966518</v>
      </c>
      <c r="H73" s="178">
        <f>IF(L72&lt;0.01,0,IF(Adm!$R$4=Adm!$R$6,0,IF(Adm!$B$3=Adm!$B$12,0,Cal!$E$89*Adm!$AA$3/1.16)))</f>
        <v>494.46758620689661</v>
      </c>
      <c r="I73" s="178">
        <f>IF(L72&lt;0.01,0,Adm!$O$3)</f>
        <v>250</v>
      </c>
      <c r="J73" s="178">
        <f t="shared" si="2"/>
        <v>10767.125769034434</v>
      </c>
      <c r="K73" s="178">
        <f>IF(Adm!$F$3="si",MIN(L72+D73+G73+H73+I73-J73,Y73),0)</f>
        <v>0</v>
      </c>
      <c r="L73" s="178">
        <f t="shared" si="7"/>
        <v>945214.92385620438</v>
      </c>
      <c r="M73" s="348"/>
      <c r="N73" s="348"/>
      <c r="O73" s="348">
        <f t="shared" si="8"/>
        <v>10767.125769034434</v>
      </c>
      <c r="U73" s="571">
        <f t="shared" si="9"/>
        <v>1</v>
      </c>
      <c r="V73" s="293">
        <f>IF(U73=1,Adm!$AN$2,0)</f>
        <v>0</v>
      </c>
      <c r="X73" s="341">
        <f t="shared" si="17"/>
        <v>0</v>
      </c>
      <c r="Y73" s="345">
        <f t="shared" ca="1" si="10"/>
        <v>0</v>
      </c>
      <c r="AD73" s="172"/>
      <c r="AG73" s="151">
        <f t="shared" ca="1" si="3"/>
        <v>12</v>
      </c>
      <c r="AI73" s="178">
        <f t="shared" si="4"/>
        <v>0</v>
      </c>
      <c r="AJ73" s="178">
        <f t="shared" si="11"/>
        <v>0</v>
      </c>
      <c r="AK73" s="178">
        <f t="shared" si="30"/>
        <v>0</v>
      </c>
      <c r="AL73" s="178">
        <f t="shared" si="31"/>
        <v>0</v>
      </c>
      <c r="AM73" s="351">
        <f>IF(AS72&lt;0.01,0,IF(Resol!$G$19&gt;0,Resol!$G$19,IF(Resol!$F$19=Resol!$U$5,0,IF($AS$10=0,AS72*Adm!$Y$3,AS72*Adm!$X$3))))</f>
        <v>0</v>
      </c>
      <c r="AN73" s="351">
        <f>IF(AS72&lt;0.01,0,IF(Resol!$F$20=Resol!$V$3,0,IF(OR(Resol!$F$10=Resol!$T$16,Resol!$F$10=Resol!$T$17),0,IF(Resol!$F$10=Resol!$T$13,0,$AL$5*Adm!$AA$4/1.16))))</f>
        <v>0</v>
      </c>
      <c r="AO73" s="178">
        <f t="shared" si="18"/>
        <v>0</v>
      </c>
      <c r="AP73" s="178"/>
      <c r="AQ73" s="178">
        <f t="shared" si="5"/>
        <v>0</v>
      </c>
      <c r="AR73" s="178">
        <f t="shared" si="12"/>
        <v>0</v>
      </c>
      <c r="AS73" s="178">
        <f t="shared" si="26"/>
        <v>0</v>
      </c>
      <c r="AT73" s="348"/>
      <c r="AU73" s="348"/>
      <c r="AV73" s="176">
        <f t="shared" si="27"/>
        <v>0</v>
      </c>
      <c r="BB73" s="571">
        <f t="shared" si="15"/>
        <v>1</v>
      </c>
      <c r="BC73" s="293">
        <f>IF(BB73=1,Adm!$AN$2,0)</f>
        <v>0</v>
      </c>
      <c r="BE73" s="341">
        <f t="shared" si="19"/>
        <v>0</v>
      </c>
      <c r="BF73" s="345">
        <f t="shared" ca="1" si="16"/>
        <v>0</v>
      </c>
    </row>
    <row r="74" spans="1:58">
      <c r="A74" s="151">
        <f t="shared" ca="1" si="0"/>
        <v>1</v>
      </c>
      <c r="C74" s="178">
        <f t="shared" si="1"/>
        <v>50</v>
      </c>
      <c r="D74" s="178">
        <f t="shared" si="6"/>
        <v>7482.9514805282852</v>
      </c>
      <c r="E74" s="178">
        <f t="shared" si="28"/>
        <v>2132.3545744495877</v>
      </c>
      <c r="F74" s="178">
        <f t="shared" si="29"/>
        <v>9615.3060549778729</v>
      </c>
      <c r="G74" s="178">
        <f>IF(L73&lt;0.01,0,IF(Adm!$S$3=Adm!$S$13,Cal!$E$94,IF(Adm!$R$3=Adm!$R$6,0,IF(Cal!$E$91=0,L73*Adm!$Y$3,L73*Adm!$X$3))))</f>
        <v>406.44241725816789</v>
      </c>
      <c r="H74" s="178">
        <f>IF(L73&lt;0.01,0,IF(Adm!$R$4=Adm!$R$6,0,IF(Adm!$B$3=Adm!$B$12,0,Cal!$E$89*Adm!$AA$3/1.16)))</f>
        <v>494.46758620689661</v>
      </c>
      <c r="I74" s="178">
        <f>IF(L73&lt;0.01,0,Adm!$O$3)</f>
        <v>250</v>
      </c>
      <c r="J74" s="178">
        <f t="shared" si="2"/>
        <v>10766.216058442937</v>
      </c>
      <c r="K74" s="178">
        <f>IF(Adm!$F$3="si",MIN(L73+D74+G74+H74+I74-J74,Y74),0)</f>
        <v>0</v>
      </c>
      <c r="L74" s="178">
        <f t="shared" si="7"/>
        <v>943082.56928175478</v>
      </c>
      <c r="M74" s="348"/>
      <c r="N74" s="348"/>
      <c r="O74" s="348">
        <f t="shared" si="8"/>
        <v>10766.216058442937</v>
      </c>
      <c r="U74" s="571">
        <f t="shared" si="9"/>
        <v>2</v>
      </c>
      <c r="V74" s="293">
        <f>IF(U74=1,Adm!$AN$2,0)</f>
        <v>0</v>
      </c>
      <c r="X74" s="341">
        <f t="shared" si="17"/>
        <v>0</v>
      </c>
      <c r="Y74" s="345">
        <f t="shared" ca="1" si="10"/>
        <v>0</v>
      </c>
      <c r="AD74" s="172"/>
      <c r="AG74" s="151">
        <f t="shared" ca="1" si="3"/>
        <v>1</v>
      </c>
      <c r="AI74" s="178">
        <f t="shared" si="4"/>
        <v>0</v>
      </c>
      <c r="AJ74" s="178">
        <f t="shared" si="11"/>
        <v>0</v>
      </c>
      <c r="AK74" s="178">
        <f t="shared" si="30"/>
        <v>0</v>
      </c>
      <c r="AL74" s="178">
        <f t="shared" si="31"/>
        <v>0</v>
      </c>
      <c r="AM74" s="351">
        <f>IF(AS73&lt;0.01,0,IF(Resol!$G$19&gt;0,Resol!$G$19,IF(Resol!$F$19=Resol!$U$5,0,IF($AS$10=0,AS73*Adm!$Y$3,AS73*Adm!$X$3))))</f>
        <v>0</v>
      </c>
      <c r="AN74" s="351">
        <f>IF(AS73&lt;0.01,0,IF(Resol!$F$20=Resol!$V$3,0,IF(OR(Resol!$F$10=Resol!$T$16,Resol!$F$10=Resol!$T$17),0,IF(Resol!$F$10=Resol!$T$13,0,$AL$5*Adm!$AA$4/1.16))))</f>
        <v>0</v>
      </c>
      <c r="AO74" s="178">
        <f t="shared" si="18"/>
        <v>0</v>
      </c>
      <c r="AP74" s="178"/>
      <c r="AQ74" s="178">
        <f t="shared" si="5"/>
        <v>0</v>
      </c>
      <c r="AR74" s="178">
        <f t="shared" si="12"/>
        <v>0</v>
      </c>
      <c r="AS74" s="178">
        <f t="shared" si="26"/>
        <v>0</v>
      </c>
      <c r="AT74" s="348"/>
      <c r="AU74" s="348"/>
      <c r="AV74" s="176">
        <f t="shared" si="27"/>
        <v>0</v>
      </c>
      <c r="BB74" s="571">
        <f t="shared" si="15"/>
        <v>2</v>
      </c>
      <c r="BC74" s="293">
        <f>IF(BB74=1,Adm!$AN$2,0)</f>
        <v>0</v>
      </c>
      <c r="BE74" s="341">
        <f t="shared" si="19"/>
        <v>0</v>
      </c>
      <c r="BF74" s="345">
        <f t="shared" ca="1" si="16"/>
        <v>0</v>
      </c>
    </row>
    <row r="75" spans="1:58">
      <c r="A75" s="151">
        <f t="shared" ca="1" si="0"/>
        <v>2</v>
      </c>
      <c r="C75" s="178">
        <f t="shared" si="1"/>
        <v>51</v>
      </c>
      <c r="D75" s="178">
        <f t="shared" si="6"/>
        <v>7466.0703401472247</v>
      </c>
      <c r="E75" s="178">
        <f t="shared" si="28"/>
        <v>2149.2357148306482</v>
      </c>
      <c r="F75" s="178">
        <f t="shared" si="29"/>
        <v>9615.3060549778729</v>
      </c>
      <c r="G75" s="178">
        <f>IF(L74&lt;0.01,0,IF(Adm!$S$3=Adm!$S$13,Cal!$E$94,IF(Adm!$R$3=Adm!$R$6,0,IF(Cal!$E$91=0,L74*Adm!$Y$3,L74*Adm!$X$3))))</f>
        <v>405.52550479115456</v>
      </c>
      <c r="H75" s="178">
        <f>IF(L74&lt;0.01,0,IF(Adm!$R$4=Adm!$R$6,0,IF(Adm!$B$3=Adm!$B$12,0,Cal!$E$89*Adm!$AA$3/1.16)))</f>
        <v>494.46758620689661</v>
      </c>
      <c r="I75" s="178">
        <f>IF(L74&lt;0.01,0,Adm!$O$3)</f>
        <v>250</v>
      </c>
      <c r="J75" s="178">
        <f t="shared" si="2"/>
        <v>10765.299145975923</v>
      </c>
      <c r="K75" s="178">
        <f>IF(Adm!$F$3="si",MIN(L74+D75+G75+H75+I75-J75,Y75),0)</f>
        <v>0</v>
      </c>
      <c r="L75" s="178">
        <f t="shared" si="7"/>
        <v>940933.33356692409</v>
      </c>
      <c r="M75" s="348"/>
      <c r="N75" s="348"/>
      <c r="O75" s="348">
        <f t="shared" si="8"/>
        <v>10765.299145975923</v>
      </c>
      <c r="U75" s="571">
        <f t="shared" si="9"/>
        <v>3</v>
      </c>
      <c r="V75" s="293">
        <f>IF(U75=1,Adm!$AN$2,0)</f>
        <v>0</v>
      </c>
      <c r="X75" s="341">
        <f t="shared" si="17"/>
        <v>0</v>
      </c>
      <c r="Y75" s="345">
        <f t="shared" ca="1" si="10"/>
        <v>0</v>
      </c>
      <c r="AD75" s="172"/>
      <c r="AG75" s="151">
        <f t="shared" ca="1" si="3"/>
        <v>2</v>
      </c>
      <c r="AI75" s="178">
        <f t="shared" si="4"/>
        <v>0</v>
      </c>
      <c r="AJ75" s="178">
        <f t="shared" si="11"/>
        <v>0</v>
      </c>
      <c r="AK75" s="178">
        <f t="shared" si="30"/>
        <v>0</v>
      </c>
      <c r="AL75" s="178">
        <f t="shared" si="31"/>
        <v>0</v>
      </c>
      <c r="AM75" s="351">
        <f>IF(AS74&lt;0.01,0,IF(Resol!$G$19&gt;0,Resol!$G$19,IF(Resol!$F$19=Resol!$U$5,0,IF($AS$10=0,AS74*Adm!$Y$3,AS74*Adm!$X$3))))</f>
        <v>0</v>
      </c>
      <c r="AN75" s="351">
        <f>IF(AS74&lt;0.01,0,IF(Resol!$F$20=Resol!$V$3,0,IF(OR(Resol!$F$10=Resol!$T$16,Resol!$F$10=Resol!$T$17),0,IF(Resol!$F$10=Resol!$T$13,0,$AL$5*Adm!$AA$4/1.16))))</f>
        <v>0</v>
      </c>
      <c r="AO75" s="178">
        <f t="shared" si="18"/>
        <v>0</v>
      </c>
      <c r="AP75" s="178"/>
      <c r="AQ75" s="178">
        <f t="shared" si="5"/>
        <v>0</v>
      </c>
      <c r="AR75" s="178">
        <f t="shared" si="12"/>
        <v>0</v>
      </c>
      <c r="AS75" s="178">
        <f t="shared" si="26"/>
        <v>0</v>
      </c>
      <c r="AT75" s="348"/>
      <c r="AU75" s="348"/>
      <c r="AV75" s="176">
        <f t="shared" si="27"/>
        <v>0</v>
      </c>
      <c r="BB75" s="571">
        <f t="shared" si="15"/>
        <v>3</v>
      </c>
      <c r="BC75" s="293">
        <f>IF(BB75=1,Adm!$AN$2,0)</f>
        <v>0</v>
      </c>
      <c r="BE75" s="341">
        <f t="shared" si="19"/>
        <v>0</v>
      </c>
      <c r="BF75" s="345">
        <f t="shared" ca="1" si="16"/>
        <v>0</v>
      </c>
    </row>
    <row r="76" spans="1:58">
      <c r="A76" s="151">
        <f t="shared" ca="1" si="0"/>
        <v>3</v>
      </c>
      <c r="C76" s="178">
        <f t="shared" si="1"/>
        <v>52</v>
      </c>
      <c r="D76" s="178">
        <f t="shared" si="6"/>
        <v>7449.0555574048158</v>
      </c>
      <c r="E76" s="178">
        <f t="shared" si="28"/>
        <v>2166.2504975730571</v>
      </c>
      <c r="F76" s="178">
        <f t="shared" si="29"/>
        <v>9615.3060549778729</v>
      </c>
      <c r="G76" s="178">
        <f>IF(L75&lt;0.01,0,IF(Adm!$S$3=Adm!$S$13,Cal!$E$94,IF(Adm!$R$3=Adm!$R$6,0,IF(Cal!$E$91=0,L75*Adm!$Y$3,L75*Adm!$X$3))))</f>
        <v>404.60133343377737</v>
      </c>
      <c r="H76" s="178">
        <f>IF(L75&lt;0.01,0,IF(Adm!$R$4=Adm!$R$6,0,IF(Adm!$B$3=Adm!$B$12,0,Cal!$E$89*Adm!$AA$3/1.16)))</f>
        <v>494.46758620689661</v>
      </c>
      <c r="I76" s="178">
        <f>IF(L75&lt;0.01,0,Adm!$O$3)</f>
        <v>250</v>
      </c>
      <c r="J76" s="178">
        <f t="shared" si="2"/>
        <v>10764.374974618546</v>
      </c>
      <c r="K76" s="178">
        <f>IF(Adm!$F$3="si",MIN(L75+D76+G76+H76+I76-J76,Y76),0)</f>
        <v>0</v>
      </c>
      <c r="L76" s="178">
        <f t="shared" si="7"/>
        <v>938767.08306935104</v>
      </c>
      <c r="M76" s="348"/>
      <c r="N76" s="348"/>
      <c r="O76" s="348">
        <f t="shared" si="8"/>
        <v>10764.374974618546</v>
      </c>
      <c r="U76" s="571">
        <f t="shared" si="9"/>
        <v>4</v>
      </c>
      <c r="V76" s="293">
        <f>IF(U76=1,Adm!$AN$2,0)</f>
        <v>0</v>
      </c>
      <c r="X76" s="341">
        <f t="shared" si="17"/>
        <v>0</v>
      </c>
      <c r="Y76" s="345">
        <f t="shared" ca="1" si="10"/>
        <v>0</v>
      </c>
      <c r="AD76" s="172"/>
      <c r="AG76" s="151">
        <f t="shared" ca="1" si="3"/>
        <v>3</v>
      </c>
      <c r="AI76" s="178">
        <f t="shared" si="4"/>
        <v>0</v>
      </c>
      <c r="AJ76" s="178">
        <f t="shared" si="11"/>
        <v>0</v>
      </c>
      <c r="AK76" s="178">
        <f t="shared" si="30"/>
        <v>0</v>
      </c>
      <c r="AL76" s="178">
        <f t="shared" si="31"/>
        <v>0</v>
      </c>
      <c r="AM76" s="351">
        <f>IF(AS75&lt;0.01,0,IF(Resol!$G$19&gt;0,Resol!$G$19,IF(Resol!$F$19=Resol!$U$5,0,IF($AS$10=0,AS75*Adm!$Y$3,AS75*Adm!$X$3))))</f>
        <v>0</v>
      </c>
      <c r="AN76" s="351">
        <f>IF(AS75&lt;0.01,0,IF(Resol!$F$20=Resol!$V$3,0,IF(OR(Resol!$F$10=Resol!$T$16,Resol!$F$10=Resol!$T$17),0,IF(Resol!$F$10=Resol!$T$13,0,$AL$5*Adm!$AA$4/1.16))))</f>
        <v>0</v>
      </c>
      <c r="AO76" s="178">
        <f t="shared" si="18"/>
        <v>0</v>
      </c>
      <c r="AP76" s="178"/>
      <c r="AQ76" s="178">
        <f t="shared" si="5"/>
        <v>0</v>
      </c>
      <c r="AR76" s="178">
        <f t="shared" si="12"/>
        <v>0</v>
      </c>
      <c r="AS76" s="178">
        <f t="shared" si="26"/>
        <v>0</v>
      </c>
      <c r="AT76" s="348"/>
      <c r="AU76" s="348"/>
      <c r="AV76" s="176">
        <f t="shared" si="27"/>
        <v>0</v>
      </c>
      <c r="BB76" s="571">
        <f t="shared" si="15"/>
        <v>4</v>
      </c>
      <c r="BC76" s="293">
        <f>IF(BB76=1,Adm!$AN$2,0)</f>
        <v>0</v>
      </c>
      <c r="BE76" s="341">
        <f t="shared" si="19"/>
        <v>0</v>
      </c>
      <c r="BF76" s="345">
        <f t="shared" ca="1" si="16"/>
        <v>0</v>
      </c>
    </row>
    <row r="77" spans="1:58">
      <c r="A77" s="151">
        <f t="shared" ca="1" si="0"/>
        <v>4</v>
      </c>
      <c r="C77" s="178">
        <f t="shared" si="1"/>
        <v>53</v>
      </c>
      <c r="D77" s="178">
        <f t="shared" si="6"/>
        <v>7431.9060742990296</v>
      </c>
      <c r="E77" s="178">
        <f t="shared" si="28"/>
        <v>2183.3999806788433</v>
      </c>
      <c r="F77" s="178">
        <f t="shared" si="29"/>
        <v>9615.3060549778729</v>
      </c>
      <c r="G77" s="178">
        <f>IF(L76&lt;0.01,0,IF(Adm!$S$3=Adm!$S$13,Cal!$E$94,IF(Adm!$R$3=Adm!$R$6,0,IF(Cal!$E$91=0,L76*Adm!$Y$3,L76*Adm!$X$3))))</f>
        <v>403.66984571982096</v>
      </c>
      <c r="H77" s="178">
        <f>IF(L76&lt;0.01,0,IF(Adm!$R$4=Adm!$R$6,0,IF(Adm!$B$3=Adm!$B$12,0,Cal!$E$89*Adm!$AA$3/1.16)))</f>
        <v>494.46758620689661</v>
      </c>
      <c r="I77" s="178">
        <f>IF(L76&lt;0.01,0,Adm!$O$3)</f>
        <v>250</v>
      </c>
      <c r="J77" s="178">
        <f t="shared" si="2"/>
        <v>10763.443486904591</v>
      </c>
      <c r="K77" s="178">
        <f>IF(Adm!$F$3="si",MIN(L76+D77+G77+H77+I77-J77,Y77),0)</f>
        <v>0</v>
      </c>
      <c r="L77" s="178">
        <f t="shared" si="7"/>
        <v>936583.68308867223</v>
      </c>
      <c r="M77" s="348"/>
      <c r="N77" s="348"/>
      <c r="O77" s="348">
        <f t="shared" si="8"/>
        <v>10763.443486904591</v>
      </c>
      <c r="U77" s="571">
        <f t="shared" si="9"/>
        <v>5</v>
      </c>
      <c r="V77" s="293">
        <f>IF(U77=1,Adm!$AN$2,0)</f>
        <v>0</v>
      </c>
      <c r="X77" s="341">
        <f t="shared" si="17"/>
        <v>0</v>
      </c>
      <c r="Y77" s="345">
        <f t="shared" ca="1" si="10"/>
        <v>0</v>
      </c>
      <c r="AD77" s="172"/>
      <c r="AG77" s="151">
        <f t="shared" ca="1" si="3"/>
        <v>4</v>
      </c>
      <c r="AI77" s="178">
        <f t="shared" si="4"/>
        <v>0</v>
      </c>
      <c r="AJ77" s="178">
        <f t="shared" si="11"/>
        <v>0</v>
      </c>
      <c r="AK77" s="178">
        <f t="shared" si="30"/>
        <v>0</v>
      </c>
      <c r="AL77" s="178">
        <f t="shared" si="31"/>
        <v>0</v>
      </c>
      <c r="AM77" s="351">
        <f>IF(AS76&lt;0.01,0,IF(Resol!$G$19&gt;0,Resol!$G$19,IF(Resol!$F$19=Resol!$U$5,0,IF($AS$10=0,AS76*Adm!$Y$3,AS76*Adm!$X$3))))</f>
        <v>0</v>
      </c>
      <c r="AN77" s="351">
        <f>IF(AS76&lt;0.01,0,IF(Resol!$F$20=Resol!$V$3,0,IF(OR(Resol!$F$10=Resol!$T$16,Resol!$F$10=Resol!$T$17),0,IF(Resol!$F$10=Resol!$T$13,0,$AL$5*Adm!$AA$4/1.16))))</f>
        <v>0</v>
      </c>
      <c r="AO77" s="178">
        <f t="shared" si="18"/>
        <v>0</v>
      </c>
      <c r="AP77" s="178"/>
      <c r="AQ77" s="178">
        <f t="shared" si="5"/>
        <v>0</v>
      </c>
      <c r="AR77" s="178">
        <f t="shared" si="12"/>
        <v>0</v>
      </c>
      <c r="AS77" s="178">
        <f t="shared" si="26"/>
        <v>0</v>
      </c>
      <c r="AT77" s="348"/>
      <c r="AU77" s="348"/>
      <c r="AV77" s="176">
        <f t="shared" si="27"/>
        <v>0</v>
      </c>
      <c r="BB77" s="571">
        <f t="shared" si="15"/>
        <v>5</v>
      </c>
      <c r="BC77" s="293">
        <f>IF(BB77=1,Adm!$AN$2,0)</f>
        <v>0</v>
      </c>
      <c r="BE77" s="341">
        <f t="shared" si="19"/>
        <v>0</v>
      </c>
      <c r="BF77" s="345">
        <f t="shared" ca="1" si="16"/>
        <v>0</v>
      </c>
    </row>
    <row r="78" spans="1:58">
      <c r="A78" s="151">
        <f t="shared" ca="1" si="0"/>
        <v>5</v>
      </c>
      <c r="C78" s="178">
        <f t="shared" si="1"/>
        <v>54</v>
      </c>
      <c r="D78" s="178">
        <f t="shared" si="6"/>
        <v>7414.6208244519885</v>
      </c>
      <c r="E78" s="178">
        <f t="shared" si="28"/>
        <v>2200.6852305258844</v>
      </c>
      <c r="F78" s="178">
        <f t="shared" si="29"/>
        <v>9615.3060549778729</v>
      </c>
      <c r="G78" s="178">
        <f>IF(L77&lt;0.01,0,IF(Adm!$S$3=Adm!$S$13,Cal!$E$94,IF(Adm!$R$3=Adm!$R$6,0,IF(Cal!$E$91=0,L77*Adm!$Y$3,L77*Adm!$X$3))))</f>
        <v>402.73098372812905</v>
      </c>
      <c r="H78" s="178">
        <f>IF(L77&lt;0.01,0,IF(Adm!$R$4=Adm!$R$6,0,IF(Adm!$B$3=Adm!$B$12,0,Cal!$E$89*Adm!$AA$3/1.16)))</f>
        <v>494.46758620689661</v>
      </c>
      <c r="I78" s="178">
        <f>IF(L77&lt;0.01,0,Adm!$O$3)</f>
        <v>250</v>
      </c>
      <c r="J78" s="178">
        <f t="shared" si="2"/>
        <v>10762.504624912897</v>
      </c>
      <c r="K78" s="178">
        <f>IF(Adm!$F$3="si",MIN(L77+D78+G78+H78+I78-J78,Y78),0)</f>
        <v>0</v>
      </c>
      <c r="L78" s="178">
        <f t="shared" si="7"/>
        <v>934382.99785814632</v>
      </c>
      <c r="M78" s="348"/>
      <c r="N78" s="348"/>
      <c r="O78" s="348">
        <f t="shared" si="8"/>
        <v>10762.504624912897</v>
      </c>
      <c r="U78" s="571">
        <f t="shared" si="9"/>
        <v>6</v>
      </c>
      <c r="V78" s="293">
        <f>IF(U78=1,Adm!$AN$2,0)</f>
        <v>0</v>
      </c>
      <c r="X78" s="341">
        <f t="shared" si="17"/>
        <v>0</v>
      </c>
      <c r="Y78" s="345">
        <f t="shared" ca="1" si="10"/>
        <v>0</v>
      </c>
      <c r="AD78" s="172"/>
      <c r="AG78" s="151">
        <f t="shared" ca="1" si="3"/>
        <v>5</v>
      </c>
      <c r="AI78" s="178">
        <f t="shared" si="4"/>
        <v>0</v>
      </c>
      <c r="AJ78" s="178">
        <f t="shared" si="11"/>
        <v>0</v>
      </c>
      <c r="AK78" s="178">
        <f t="shared" si="30"/>
        <v>0</v>
      </c>
      <c r="AL78" s="178">
        <f t="shared" si="31"/>
        <v>0</v>
      </c>
      <c r="AM78" s="351">
        <f>IF(AS77&lt;0.01,0,IF(Resol!$G$19&gt;0,Resol!$G$19,IF(Resol!$F$19=Resol!$U$5,0,IF($AS$10=0,AS77*Adm!$Y$3,AS77*Adm!$X$3))))</f>
        <v>0</v>
      </c>
      <c r="AN78" s="351">
        <f>IF(AS77&lt;0.01,0,IF(Resol!$F$20=Resol!$V$3,0,IF(OR(Resol!$F$10=Resol!$T$16,Resol!$F$10=Resol!$T$17),0,IF(Resol!$F$10=Resol!$T$13,0,$AL$5*Adm!$AA$4/1.16))))</f>
        <v>0</v>
      </c>
      <c r="AO78" s="178">
        <f t="shared" si="18"/>
        <v>0</v>
      </c>
      <c r="AP78" s="178"/>
      <c r="AQ78" s="178">
        <f t="shared" si="5"/>
        <v>0</v>
      </c>
      <c r="AR78" s="178">
        <f t="shared" si="12"/>
        <v>0</v>
      </c>
      <c r="AS78" s="178">
        <f t="shared" si="26"/>
        <v>0</v>
      </c>
      <c r="AT78" s="348"/>
      <c r="AU78" s="348"/>
      <c r="AV78" s="176">
        <f t="shared" si="27"/>
        <v>0</v>
      </c>
      <c r="BB78" s="571">
        <f t="shared" si="15"/>
        <v>6</v>
      </c>
      <c r="BC78" s="293">
        <f>IF(BB78=1,Adm!$AN$2,0)</f>
        <v>0</v>
      </c>
      <c r="BE78" s="341">
        <f t="shared" si="19"/>
        <v>0</v>
      </c>
      <c r="BF78" s="345">
        <f t="shared" ca="1" si="16"/>
        <v>0</v>
      </c>
    </row>
    <row r="79" spans="1:58">
      <c r="A79" s="151">
        <f t="shared" ca="1" si="0"/>
        <v>6</v>
      </c>
      <c r="C79" s="178">
        <f t="shared" si="1"/>
        <v>55</v>
      </c>
      <c r="D79" s="178">
        <f t="shared" si="6"/>
        <v>7397.1987330436577</v>
      </c>
      <c r="E79" s="178">
        <f t="shared" si="28"/>
        <v>2218.1073219342152</v>
      </c>
      <c r="F79" s="178">
        <f t="shared" si="29"/>
        <v>9615.3060549778729</v>
      </c>
      <c r="G79" s="178">
        <f>IF(L78&lt;0.01,0,IF(Adm!$S$3=Adm!$S$13,Cal!$E$94,IF(Adm!$R$3=Adm!$R$6,0,IF(Cal!$E$91=0,L78*Adm!$Y$3,L78*Adm!$X$3))))</f>
        <v>401.78468907900293</v>
      </c>
      <c r="H79" s="178">
        <f>IF(L78&lt;0.01,0,IF(Adm!$R$4=Adm!$R$6,0,IF(Adm!$B$3=Adm!$B$12,0,Cal!$E$89*Adm!$AA$3/1.16)))</f>
        <v>494.46758620689661</v>
      </c>
      <c r="I79" s="178">
        <f>IF(L78&lt;0.01,0,Adm!$O$3)</f>
        <v>250</v>
      </c>
      <c r="J79" s="178">
        <f t="shared" si="2"/>
        <v>10761.558330263771</v>
      </c>
      <c r="K79" s="178">
        <f>IF(Adm!$F$3="si",MIN(L78+D79+G79+H79+I79-J79,Y79),0)</f>
        <v>0</v>
      </c>
      <c r="L79" s="178">
        <f t="shared" si="7"/>
        <v>932164.89053621213</v>
      </c>
      <c r="M79" s="348"/>
      <c r="N79" s="348"/>
      <c r="O79" s="348">
        <f t="shared" si="8"/>
        <v>10761.558330263771</v>
      </c>
      <c r="U79" s="571">
        <f t="shared" si="9"/>
        <v>7</v>
      </c>
      <c r="V79" s="293">
        <f>IF(U79=1,Adm!$AN$2,0)</f>
        <v>0</v>
      </c>
      <c r="X79" s="341">
        <f t="shared" si="17"/>
        <v>0</v>
      </c>
      <c r="Y79" s="345">
        <f t="shared" ca="1" si="10"/>
        <v>0</v>
      </c>
      <c r="AD79" s="172"/>
      <c r="AG79" s="151">
        <f t="shared" ca="1" si="3"/>
        <v>6</v>
      </c>
      <c r="AI79" s="178">
        <f t="shared" si="4"/>
        <v>0</v>
      </c>
      <c r="AJ79" s="178">
        <f t="shared" si="11"/>
        <v>0</v>
      </c>
      <c r="AK79" s="178">
        <f t="shared" si="30"/>
        <v>0</v>
      </c>
      <c r="AL79" s="178">
        <f t="shared" si="31"/>
        <v>0</v>
      </c>
      <c r="AM79" s="351">
        <f>IF(AS78&lt;0.01,0,IF(Resol!$G$19&gt;0,Resol!$G$19,IF(Resol!$F$19=Resol!$U$5,0,IF($AS$10=0,AS78*Adm!$Y$3,AS78*Adm!$X$3))))</f>
        <v>0</v>
      </c>
      <c r="AN79" s="351">
        <f>IF(AS78&lt;0.01,0,IF(Resol!$F$20=Resol!$V$3,0,IF(OR(Resol!$F$10=Resol!$T$16,Resol!$F$10=Resol!$T$17),0,IF(Resol!$F$10=Resol!$T$13,0,$AL$5*Adm!$AA$4/1.16))))</f>
        <v>0</v>
      </c>
      <c r="AO79" s="178">
        <f t="shared" si="18"/>
        <v>0</v>
      </c>
      <c r="AP79" s="178"/>
      <c r="AQ79" s="178">
        <f t="shared" si="5"/>
        <v>0</v>
      </c>
      <c r="AR79" s="178">
        <f t="shared" si="12"/>
        <v>0</v>
      </c>
      <c r="AS79" s="178">
        <f t="shared" si="26"/>
        <v>0</v>
      </c>
      <c r="AT79" s="348"/>
      <c r="AU79" s="348"/>
      <c r="AV79" s="176">
        <f t="shared" si="27"/>
        <v>0</v>
      </c>
      <c r="BB79" s="571">
        <f t="shared" si="15"/>
        <v>7</v>
      </c>
      <c r="BC79" s="293">
        <f>IF(BB79=1,Adm!$AN$2,0)</f>
        <v>0</v>
      </c>
      <c r="BE79" s="341">
        <f t="shared" si="19"/>
        <v>0</v>
      </c>
      <c r="BF79" s="345">
        <f t="shared" ca="1" si="16"/>
        <v>0</v>
      </c>
    </row>
    <row r="80" spans="1:58">
      <c r="A80" s="151">
        <f t="shared" ca="1" si="0"/>
        <v>7</v>
      </c>
      <c r="C80" s="178">
        <f t="shared" si="1"/>
        <v>56</v>
      </c>
      <c r="D80" s="178">
        <f t="shared" si="6"/>
        <v>7379.638716745013</v>
      </c>
      <c r="E80" s="178">
        <f t="shared" si="28"/>
        <v>2235.6673382328599</v>
      </c>
      <c r="F80" s="178">
        <f t="shared" si="29"/>
        <v>9615.3060549778729</v>
      </c>
      <c r="G80" s="178">
        <f>IF(L79&lt;0.01,0,IF(Adm!$S$3=Adm!$S$13,Cal!$E$94,IF(Adm!$R$3=Adm!$R$6,0,IF(Cal!$E$91=0,L79*Adm!$Y$3,L79*Adm!$X$3))))</f>
        <v>400.8309029305712</v>
      </c>
      <c r="H80" s="178">
        <f>IF(L79&lt;0.01,0,IF(Adm!$R$4=Adm!$R$6,0,IF(Adm!$B$3=Adm!$B$12,0,Cal!$E$89*Adm!$AA$3/1.16)))</f>
        <v>494.46758620689661</v>
      </c>
      <c r="I80" s="178">
        <f>IF(L79&lt;0.01,0,Adm!$O$3)</f>
        <v>250</v>
      </c>
      <c r="J80" s="178">
        <f t="shared" si="2"/>
        <v>10760.60454411534</v>
      </c>
      <c r="K80" s="178">
        <f>IF(Adm!$F$3="si",MIN(L79+D80+G80+H80+I80-J80,Y80),0)</f>
        <v>0</v>
      </c>
      <c r="L80" s="178">
        <f t="shared" si="7"/>
        <v>929929.22319797927</v>
      </c>
      <c r="M80" s="348"/>
      <c r="N80" s="348"/>
      <c r="O80" s="348">
        <f t="shared" si="8"/>
        <v>10760.60454411534</v>
      </c>
      <c r="U80" s="571">
        <f t="shared" si="9"/>
        <v>8</v>
      </c>
      <c r="V80" s="293">
        <f>IF(U80=1,Adm!$AN$2,0)</f>
        <v>0</v>
      </c>
      <c r="X80" s="341">
        <f t="shared" si="17"/>
        <v>0</v>
      </c>
      <c r="Y80" s="345">
        <f t="shared" ca="1" si="10"/>
        <v>0</v>
      </c>
      <c r="AD80" s="172"/>
      <c r="AG80" s="151">
        <f t="shared" ca="1" si="3"/>
        <v>7</v>
      </c>
      <c r="AI80" s="178">
        <f t="shared" si="4"/>
        <v>0</v>
      </c>
      <c r="AJ80" s="178">
        <f t="shared" si="11"/>
        <v>0</v>
      </c>
      <c r="AK80" s="178">
        <f t="shared" si="30"/>
        <v>0</v>
      </c>
      <c r="AL80" s="178">
        <f t="shared" si="31"/>
        <v>0</v>
      </c>
      <c r="AM80" s="351">
        <f>IF(AS79&lt;0.01,0,IF(Resol!$G$19&gt;0,Resol!$G$19,IF(Resol!$F$19=Resol!$U$5,0,IF($AS$10=0,AS79*Adm!$Y$3,AS79*Adm!$X$3))))</f>
        <v>0</v>
      </c>
      <c r="AN80" s="351">
        <f>IF(AS79&lt;0.01,0,IF(Resol!$F$20=Resol!$V$3,0,IF(OR(Resol!$F$10=Resol!$T$16,Resol!$F$10=Resol!$T$17),0,IF(Resol!$F$10=Resol!$T$13,0,$AL$5*Adm!$AA$4/1.16))))</f>
        <v>0</v>
      </c>
      <c r="AO80" s="178">
        <f t="shared" si="18"/>
        <v>0</v>
      </c>
      <c r="AP80" s="178"/>
      <c r="AQ80" s="178">
        <f t="shared" si="5"/>
        <v>0</v>
      </c>
      <c r="AR80" s="178">
        <f t="shared" si="12"/>
        <v>0</v>
      </c>
      <c r="AS80" s="178">
        <f t="shared" si="26"/>
        <v>0</v>
      </c>
      <c r="AT80" s="348"/>
      <c r="AU80" s="348"/>
      <c r="AV80" s="176">
        <f t="shared" si="27"/>
        <v>0</v>
      </c>
      <c r="BB80" s="571">
        <f t="shared" si="15"/>
        <v>8</v>
      </c>
      <c r="BC80" s="293">
        <f>IF(BB80=1,Adm!$AN$2,0)</f>
        <v>0</v>
      </c>
      <c r="BE80" s="341">
        <f t="shared" si="19"/>
        <v>0</v>
      </c>
      <c r="BF80" s="345">
        <f t="shared" ca="1" si="16"/>
        <v>0</v>
      </c>
    </row>
    <row r="81" spans="1:58">
      <c r="A81" s="151">
        <f t="shared" ca="1" si="0"/>
        <v>8</v>
      </c>
      <c r="C81" s="178">
        <f t="shared" si="1"/>
        <v>57</v>
      </c>
      <c r="D81" s="178">
        <f t="shared" si="6"/>
        <v>7361.9396836506685</v>
      </c>
      <c r="E81" s="178">
        <f t="shared" si="28"/>
        <v>2253.3663713272044</v>
      </c>
      <c r="F81" s="178">
        <f t="shared" si="29"/>
        <v>9615.3060549778729</v>
      </c>
      <c r="G81" s="178">
        <f>IF(L80&lt;0.01,0,IF(Adm!$S$3=Adm!$S$13,Cal!$E$94,IF(Adm!$R$3=Adm!$R$6,0,IF(Cal!$E$91=0,L80*Adm!$Y$3,L80*Adm!$X$3))))</f>
        <v>399.86956597513108</v>
      </c>
      <c r="H81" s="178">
        <f>IF(L80&lt;0.01,0,IF(Adm!$R$4=Adm!$R$6,0,IF(Adm!$B$3=Adm!$B$12,0,Cal!$E$89*Adm!$AA$3/1.16)))</f>
        <v>494.46758620689661</v>
      </c>
      <c r="I81" s="178">
        <f>IF(L80&lt;0.01,0,Adm!$O$3)</f>
        <v>250</v>
      </c>
      <c r="J81" s="178">
        <f t="shared" si="2"/>
        <v>10759.643207159899</v>
      </c>
      <c r="K81" s="178">
        <f>IF(Adm!$F$3="si",MIN(L80+D81+G81+H81+I81-J81,Y81),0)</f>
        <v>0</v>
      </c>
      <c r="L81" s="178">
        <f t="shared" si="7"/>
        <v>927675.85682665207</v>
      </c>
      <c r="M81" s="348"/>
      <c r="N81" s="348"/>
      <c r="O81" s="348">
        <f t="shared" si="8"/>
        <v>10759.643207159899</v>
      </c>
      <c r="U81" s="571">
        <f t="shared" si="9"/>
        <v>9</v>
      </c>
      <c r="V81" s="293">
        <f>IF(U81=1,Adm!$AN$2,0)</f>
        <v>0</v>
      </c>
      <c r="X81" s="341">
        <f t="shared" si="17"/>
        <v>0</v>
      </c>
      <c r="Y81" s="345">
        <f t="shared" ca="1" si="10"/>
        <v>0</v>
      </c>
      <c r="AD81" s="172"/>
      <c r="AG81" s="151">
        <f t="shared" ca="1" si="3"/>
        <v>8</v>
      </c>
      <c r="AI81" s="178">
        <f t="shared" si="4"/>
        <v>0</v>
      </c>
      <c r="AJ81" s="178">
        <f t="shared" si="11"/>
        <v>0</v>
      </c>
      <c r="AK81" s="178">
        <f t="shared" si="30"/>
        <v>0</v>
      </c>
      <c r="AL81" s="178">
        <f t="shared" si="31"/>
        <v>0</v>
      </c>
      <c r="AM81" s="351">
        <f>IF(AS80&lt;0.01,0,IF(Resol!$G$19&gt;0,Resol!$G$19,IF(Resol!$F$19=Resol!$U$5,0,IF($AS$10=0,AS80*Adm!$Y$3,AS80*Adm!$X$3))))</f>
        <v>0</v>
      </c>
      <c r="AN81" s="351">
        <f>IF(AS80&lt;0.01,0,IF(Resol!$F$20=Resol!$V$3,0,IF(OR(Resol!$F$10=Resol!$T$16,Resol!$F$10=Resol!$T$17),0,IF(Resol!$F$10=Resol!$T$13,0,$AL$5*Adm!$AA$4/1.16))))</f>
        <v>0</v>
      </c>
      <c r="AO81" s="178">
        <f t="shared" si="18"/>
        <v>0</v>
      </c>
      <c r="AP81" s="178"/>
      <c r="AQ81" s="178">
        <f t="shared" si="5"/>
        <v>0</v>
      </c>
      <c r="AR81" s="178">
        <f t="shared" si="12"/>
        <v>0</v>
      </c>
      <c r="AS81" s="178">
        <f t="shared" si="26"/>
        <v>0</v>
      </c>
      <c r="AT81" s="348"/>
      <c r="AU81" s="348"/>
      <c r="AV81" s="176">
        <f t="shared" si="27"/>
        <v>0</v>
      </c>
      <c r="BB81" s="571">
        <f t="shared" si="15"/>
        <v>9</v>
      </c>
      <c r="BC81" s="293">
        <f>IF(BB81=1,Adm!$AN$2,0)</f>
        <v>0</v>
      </c>
      <c r="BE81" s="341">
        <f t="shared" si="19"/>
        <v>0</v>
      </c>
      <c r="BF81" s="345">
        <f t="shared" ca="1" si="16"/>
        <v>0</v>
      </c>
    </row>
    <row r="82" spans="1:58">
      <c r="A82" s="151">
        <f t="shared" ca="1" si="0"/>
        <v>9</v>
      </c>
      <c r="C82" s="178">
        <f t="shared" si="1"/>
        <v>58</v>
      </c>
      <c r="D82" s="178">
        <f t="shared" si="6"/>
        <v>7344.1005332109962</v>
      </c>
      <c r="E82" s="178">
        <f t="shared" si="28"/>
        <v>2271.2055217668767</v>
      </c>
      <c r="F82" s="178">
        <f t="shared" si="29"/>
        <v>9615.3060549778729</v>
      </c>
      <c r="G82" s="178">
        <f>IF(L81&lt;0.01,0,IF(Adm!$S$3=Adm!$S$13,Cal!$E$94,IF(Adm!$R$3=Adm!$R$6,0,IF(Cal!$E$91=0,L81*Adm!$Y$3,L81*Adm!$X$3))))</f>
        <v>398.90061843546039</v>
      </c>
      <c r="H82" s="178">
        <f>IF(L81&lt;0.01,0,IF(Adm!$R$4=Adm!$R$6,0,IF(Adm!$B$3=Adm!$B$12,0,Cal!$E$89*Adm!$AA$3/1.16)))</f>
        <v>494.46758620689661</v>
      </c>
      <c r="I82" s="178">
        <f>IF(L81&lt;0.01,0,Adm!$O$3)</f>
        <v>250</v>
      </c>
      <c r="J82" s="178">
        <f t="shared" si="2"/>
        <v>10758.674259620229</v>
      </c>
      <c r="K82" s="178">
        <f>IF(Adm!$F$3="si",MIN(L81+D82+G82+H82+I82-J82,Y82),0)</f>
        <v>0</v>
      </c>
      <c r="L82" s="178">
        <f t="shared" si="7"/>
        <v>925404.65130488516</v>
      </c>
      <c r="M82" s="348"/>
      <c r="N82" s="348"/>
      <c r="O82" s="348">
        <f t="shared" si="8"/>
        <v>10758.674259620229</v>
      </c>
      <c r="U82" s="571">
        <f t="shared" si="9"/>
        <v>10</v>
      </c>
      <c r="V82" s="293">
        <f>IF(U82=1,Adm!$AN$2,0)</f>
        <v>0</v>
      </c>
      <c r="X82" s="341">
        <f t="shared" si="17"/>
        <v>0</v>
      </c>
      <c r="Y82" s="345">
        <f t="shared" ca="1" si="10"/>
        <v>0</v>
      </c>
      <c r="AD82" s="172"/>
      <c r="AG82" s="151">
        <f t="shared" ca="1" si="3"/>
        <v>9</v>
      </c>
      <c r="AI82" s="178">
        <f t="shared" si="4"/>
        <v>0</v>
      </c>
      <c r="AJ82" s="178">
        <f t="shared" si="11"/>
        <v>0</v>
      </c>
      <c r="AK82" s="178">
        <f t="shared" si="30"/>
        <v>0</v>
      </c>
      <c r="AL82" s="178">
        <f t="shared" si="31"/>
        <v>0</v>
      </c>
      <c r="AM82" s="351">
        <f>IF(AS81&lt;0.01,0,IF(Resol!$G$19&gt;0,Resol!$G$19,IF(Resol!$F$19=Resol!$U$5,0,IF($AS$10=0,AS81*Adm!$Y$3,AS81*Adm!$X$3))))</f>
        <v>0</v>
      </c>
      <c r="AN82" s="351">
        <f>IF(AS81&lt;0.01,0,IF(Resol!$F$20=Resol!$V$3,0,IF(OR(Resol!$F$10=Resol!$T$16,Resol!$F$10=Resol!$T$17),0,IF(Resol!$F$10=Resol!$T$13,0,$AL$5*Adm!$AA$4/1.16))))</f>
        <v>0</v>
      </c>
      <c r="AO82" s="178">
        <f t="shared" si="18"/>
        <v>0</v>
      </c>
      <c r="AP82" s="178"/>
      <c r="AQ82" s="178">
        <f t="shared" si="5"/>
        <v>0</v>
      </c>
      <c r="AR82" s="178">
        <f t="shared" si="12"/>
        <v>0</v>
      </c>
      <c r="AS82" s="178">
        <f t="shared" si="26"/>
        <v>0</v>
      </c>
      <c r="AT82" s="348"/>
      <c r="AU82" s="348"/>
      <c r="AV82" s="176">
        <f t="shared" si="27"/>
        <v>0</v>
      </c>
      <c r="BB82" s="571">
        <f t="shared" si="15"/>
        <v>10</v>
      </c>
      <c r="BC82" s="293">
        <f>IF(BB82=1,Adm!$AN$2,0)</f>
        <v>0</v>
      </c>
      <c r="BE82" s="341">
        <f t="shared" si="19"/>
        <v>0</v>
      </c>
      <c r="BF82" s="345">
        <f t="shared" ca="1" si="16"/>
        <v>0</v>
      </c>
    </row>
    <row r="83" spans="1:58">
      <c r="A83" s="151">
        <f t="shared" ca="1" si="0"/>
        <v>10</v>
      </c>
      <c r="C83" s="178">
        <f t="shared" si="1"/>
        <v>59</v>
      </c>
      <c r="D83" s="178">
        <f t="shared" si="6"/>
        <v>7326.1201561636744</v>
      </c>
      <c r="E83" s="178">
        <f t="shared" si="28"/>
        <v>2289.1858988141985</v>
      </c>
      <c r="F83" s="178">
        <f t="shared" si="29"/>
        <v>9615.3060549778729</v>
      </c>
      <c r="G83" s="178">
        <f>IF(L82&lt;0.01,0,IF(Adm!$S$3=Adm!$S$13,Cal!$E$94,IF(Adm!$R$3=Adm!$R$6,0,IF(Cal!$E$91=0,L82*Adm!$Y$3,L82*Adm!$X$3))))</f>
        <v>397.92400006110063</v>
      </c>
      <c r="H83" s="178">
        <f>IF(L82&lt;0.01,0,IF(Adm!$R$4=Adm!$R$6,0,IF(Adm!$B$3=Adm!$B$12,0,Cal!$E$89*Adm!$AA$3/1.16)))</f>
        <v>494.46758620689661</v>
      </c>
      <c r="I83" s="178">
        <f>IF(L82&lt;0.01,0,Adm!$O$3)</f>
        <v>250</v>
      </c>
      <c r="J83" s="178">
        <f t="shared" si="2"/>
        <v>10757.69764124587</v>
      </c>
      <c r="K83" s="178">
        <f>IF(Adm!$F$3="si",MIN(L82+D83+G83+H83+I83-J83,Y83),0)</f>
        <v>0</v>
      </c>
      <c r="L83" s="178">
        <f t="shared" si="7"/>
        <v>923115.46540607093</v>
      </c>
      <c r="M83" s="348"/>
      <c r="N83" s="348"/>
      <c r="O83" s="348">
        <f t="shared" si="8"/>
        <v>10757.69764124587</v>
      </c>
      <c r="U83" s="571">
        <f t="shared" si="9"/>
        <v>11</v>
      </c>
      <c r="V83" s="293">
        <f>IF(U83=1,Adm!$AN$2,0)</f>
        <v>0</v>
      </c>
      <c r="X83" s="341">
        <f t="shared" si="17"/>
        <v>0</v>
      </c>
      <c r="Y83" s="345">
        <f t="shared" ca="1" si="10"/>
        <v>0</v>
      </c>
      <c r="AD83" s="172"/>
      <c r="AG83" s="151">
        <f t="shared" ca="1" si="3"/>
        <v>10</v>
      </c>
      <c r="AI83" s="178">
        <f t="shared" si="4"/>
        <v>0</v>
      </c>
      <c r="AJ83" s="178">
        <f t="shared" si="11"/>
        <v>0</v>
      </c>
      <c r="AK83" s="178">
        <f t="shared" si="30"/>
        <v>0</v>
      </c>
      <c r="AL83" s="178">
        <f t="shared" si="31"/>
        <v>0</v>
      </c>
      <c r="AM83" s="351">
        <f>IF(AS82&lt;0.01,0,IF(Resol!$G$19&gt;0,Resol!$G$19,IF(Resol!$F$19=Resol!$U$5,0,IF($AS$10=0,AS82*Adm!$Y$3,AS82*Adm!$X$3))))</f>
        <v>0</v>
      </c>
      <c r="AN83" s="351">
        <f>IF(AS82&lt;0.01,0,IF(Resol!$F$20=Resol!$V$3,0,IF(OR(Resol!$F$10=Resol!$T$16,Resol!$F$10=Resol!$T$17),0,IF(Resol!$F$10=Resol!$T$13,0,$AL$5*Adm!$AA$4/1.16))))</f>
        <v>0</v>
      </c>
      <c r="AO83" s="178">
        <f t="shared" si="18"/>
        <v>0</v>
      </c>
      <c r="AP83" s="178"/>
      <c r="AQ83" s="178">
        <f t="shared" si="5"/>
        <v>0</v>
      </c>
      <c r="AR83" s="178">
        <f t="shared" si="12"/>
        <v>0</v>
      </c>
      <c r="AS83" s="178">
        <f t="shared" si="26"/>
        <v>0</v>
      </c>
      <c r="AT83" s="348"/>
      <c r="AU83" s="348"/>
      <c r="AV83" s="176">
        <f t="shared" si="27"/>
        <v>0</v>
      </c>
      <c r="BB83" s="571">
        <f t="shared" si="15"/>
        <v>11</v>
      </c>
      <c r="BC83" s="293">
        <f>IF(BB83=1,Adm!$AN$2,0)</f>
        <v>0</v>
      </c>
      <c r="BE83" s="341">
        <f t="shared" si="19"/>
        <v>0</v>
      </c>
      <c r="BF83" s="345">
        <f t="shared" ca="1" si="16"/>
        <v>0</v>
      </c>
    </row>
    <row r="84" spans="1:58">
      <c r="A84" s="151">
        <f t="shared" ca="1" si="0"/>
        <v>11</v>
      </c>
      <c r="C84" s="178">
        <f t="shared" si="1"/>
        <v>60</v>
      </c>
      <c r="D84" s="178">
        <f t="shared" si="6"/>
        <v>7307.997434464728</v>
      </c>
      <c r="E84" s="178">
        <f t="shared" si="28"/>
        <v>2307.3086205131449</v>
      </c>
      <c r="F84" s="178">
        <f t="shared" si="29"/>
        <v>9615.3060549778729</v>
      </c>
      <c r="G84" s="178">
        <f>IF(L83&lt;0.01,0,IF(Adm!$S$3=Adm!$S$13,Cal!$E$94,IF(Adm!$R$3=Adm!$R$6,0,IF(Cal!$E$91=0,L83*Adm!$Y$3,L83*Adm!$X$3))))</f>
        <v>396.93965012461047</v>
      </c>
      <c r="H84" s="178">
        <f>IF(L83&lt;0.01,0,IF(Adm!$R$4=Adm!$R$6,0,IF(Adm!$B$3=Adm!$B$12,0,Cal!$E$89*Adm!$AA$3/1.16)))</f>
        <v>494.46758620689661</v>
      </c>
      <c r="I84" s="178">
        <f>IF(L83&lt;0.01,0,Adm!$O$3)</f>
        <v>250</v>
      </c>
      <c r="J84" s="178">
        <f t="shared" si="2"/>
        <v>10756.713291309379</v>
      </c>
      <c r="K84" s="178">
        <f>IF(Adm!$F$3="si",MIN(L83+D84+G84+H84+I84-J84,Y84),0)</f>
        <v>0</v>
      </c>
      <c r="L84" s="178">
        <f t="shared" si="7"/>
        <v>920808.15678555775</v>
      </c>
      <c r="M84" s="348"/>
      <c r="N84" s="348"/>
      <c r="O84" s="348">
        <f t="shared" si="8"/>
        <v>10756.713291309379</v>
      </c>
      <c r="U84" s="571">
        <f t="shared" si="9"/>
        <v>12</v>
      </c>
      <c r="V84" s="293">
        <f>IF(U84=1,Adm!$AN$2,0)</f>
        <v>0</v>
      </c>
      <c r="X84" s="341">
        <f t="shared" si="17"/>
        <v>0</v>
      </c>
      <c r="Y84" s="345">
        <f t="shared" ca="1" si="10"/>
        <v>0</v>
      </c>
      <c r="AD84" s="172"/>
      <c r="AG84" s="151">
        <f t="shared" ca="1" si="3"/>
        <v>11</v>
      </c>
      <c r="AI84" s="178">
        <f t="shared" si="4"/>
        <v>0</v>
      </c>
      <c r="AJ84" s="178">
        <f t="shared" si="11"/>
        <v>0</v>
      </c>
      <c r="AK84" s="178">
        <f t="shared" si="30"/>
        <v>0</v>
      </c>
      <c r="AL84" s="178">
        <f t="shared" si="31"/>
        <v>0</v>
      </c>
      <c r="AM84" s="351">
        <f>IF(AS83&lt;0.01,0,IF(Resol!$G$19&gt;0,Resol!$G$19,IF(Resol!$F$19=Resol!$U$5,0,IF($AS$10=0,AS83*Adm!$Y$3,AS83*Adm!$X$3))))</f>
        <v>0</v>
      </c>
      <c r="AN84" s="351">
        <f>IF(AS83&lt;0.01,0,IF(Resol!$F$20=Resol!$V$3,0,IF(OR(Resol!$F$10=Resol!$T$16,Resol!$F$10=Resol!$T$17),0,IF(Resol!$F$10=Resol!$T$13,0,$AL$5*Adm!$AA$4/1.16))))</f>
        <v>0</v>
      </c>
      <c r="AO84" s="178">
        <f t="shared" si="18"/>
        <v>0</v>
      </c>
      <c r="AP84" s="178"/>
      <c r="AQ84" s="178">
        <f t="shared" si="5"/>
        <v>0</v>
      </c>
      <c r="AR84" s="178">
        <f t="shared" si="12"/>
        <v>0</v>
      </c>
      <c r="AS84" s="178">
        <f t="shared" si="26"/>
        <v>0</v>
      </c>
      <c r="AT84" s="348"/>
      <c r="AU84" s="348"/>
      <c r="AV84" s="176">
        <f t="shared" si="27"/>
        <v>0</v>
      </c>
      <c r="BB84" s="571">
        <f t="shared" si="15"/>
        <v>12</v>
      </c>
      <c r="BC84" s="293">
        <f>IF(BB84=1,Adm!$AN$2,0)</f>
        <v>0</v>
      </c>
      <c r="BE84" s="341">
        <f t="shared" si="19"/>
        <v>0</v>
      </c>
      <c r="BF84" s="345">
        <f t="shared" ca="1" si="16"/>
        <v>0</v>
      </c>
    </row>
    <row r="85" spans="1:58">
      <c r="A85" s="151">
        <f t="shared" ca="1" si="0"/>
        <v>12</v>
      </c>
      <c r="C85" s="178">
        <f t="shared" si="1"/>
        <v>61</v>
      </c>
      <c r="D85" s="178">
        <f t="shared" si="6"/>
        <v>7289.7312412189995</v>
      </c>
      <c r="E85" s="178">
        <f t="shared" si="28"/>
        <v>2325.5748137588735</v>
      </c>
      <c r="F85" s="178">
        <f t="shared" si="29"/>
        <v>9615.3060549778729</v>
      </c>
      <c r="G85" s="178">
        <f>IF(L84&lt;0.01,0,IF(Adm!$S$3=Adm!$S$13,Cal!$E$94,IF(Adm!$R$3=Adm!$R$6,0,IF(Cal!$E$91=0,L84*Adm!$Y$3,L84*Adm!$X$3))))</f>
        <v>395.94750741778984</v>
      </c>
      <c r="H85" s="178">
        <f>IF(L84&lt;0.01,0,IF(Adm!$R$4=Adm!$R$6,0,IF(Adm!$B$3=Adm!$B$12,0,Cal!$E$89*Adm!$AA$3/1.16)))</f>
        <v>494.46758620689661</v>
      </c>
      <c r="I85" s="178">
        <f>IF(L84&lt;0.01,0,Adm!$O$3)</f>
        <v>250</v>
      </c>
      <c r="J85" s="178">
        <f t="shared" si="2"/>
        <v>10755.721148602559</v>
      </c>
      <c r="K85" s="178">
        <f>IF(Adm!$F$3="si",MIN(L84+D85+G85+H85+I85-J85,Y85),0)</f>
        <v>0</v>
      </c>
      <c r="L85" s="178">
        <f t="shared" si="7"/>
        <v>918482.58197179891</v>
      </c>
      <c r="M85" s="348"/>
      <c r="N85" s="348"/>
      <c r="O85" s="348">
        <f t="shared" si="8"/>
        <v>10755.721148602559</v>
      </c>
      <c r="U85" s="571">
        <f t="shared" si="9"/>
        <v>1</v>
      </c>
      <c r="V85" s="293">
        <f>IF(U85=1,Adm!$AN$2,0)</f>
        <v>0</v>
      </c>
      <c r="X85" s="341">
        <f t="shared" si="17"/>
        <v>0</v>
      </c>
      <c r="Y85" s="345">
        <f t="shared" ca="1" si="10"/>
        <v>0</v>
      </c>
      <c r="AD85" s="172"/>
      <c r="AG85" s="151">
        <f t="shared" ca="1" si="3"/>
        <v>12</v>
      </c>
      <c r="AI85" s="178">
        <f t="shared" si="4"/>
        <v>0</v>
      </c>
      <c r="AJ85" s="178">
        <f t="shared" si="11"/>
        <v>0</v>
      </c>
      <c r="AK85" s="178">
        <f t="shared" si="30"/>
        <v>0</v>
      </c>
      <c r="AL85" s="178">
        <f t="shared" si="31"/>
        <v>0</v>
      </c>
      <c r="AM85" s="351">
        <f>IF(AS84&lt;0.01,0,IF(Resol!$G$19&gt;0,Resol!$G$19,IF(Resol!$F$19=Resol!$U$5,0,IF($AS$10=0,AS84*Adm!$Y$3,AS84*Adm!$X$3))))</f>
        <v>0</v>
      </c>
      <c r="AN85" s="351">
        <f>IF(AS84&lt;0.01,0,IF(Resol!$F$20=Resol!$V$3,0,IF(OR(Resol!$F$10=Resol!$T$16,Resol!$F$10=Resol!$T$17),0,IF(Resol!$F$10=Resol!$T$13,0,$AL$5*Adm!$AA$4/1.16))))</f>
        <v>0</v>
      </c>
      <c r="AO85" s="178">
        <f t="shared" si="18"/>
        <v>0</v>
      </c>
      <c r="AP85" s="178"/>
      <c r="AQ85" s="178">
        <f t="shared" si="5"/>
        <v>0</v>
      </c>
      <c r="AR85" s="178">
        <f t="shared" si="12"/>
        <v>0</v>
      </c>
      <c r="AS85" s="178">
        <f t="shared" si="26"/>
        <v>0</v>
      </c>
      <c r="AT85" s="348"/>
      <c r="AU85" s="348"/>
      <c r="AV85" s="176">
        <f t="shared" si="27"/>
        <v>0</v>
      </c>
      <c r="BB85" s="571">
        <f t="shared" si="15"/>
        <v>1</v>
      </c>
      <c r="BC85" s="293">
        <f>IF(BB85=1,Adm!$AN$2,0)</f>
        <v>0</v>
      </c>
      <c r="BE85" s="341">
        <f t="shared" si="19"/>
        <v>0</v>
      </c>
      <c r="BF85" s="345">
        <f t="shared" ca="1" si="16"/>
        <v>0</v>
      </c>
    </row>
    <row r="86" spans="1:58">
      <c r="A86" s="151">
        <f t="shared" ca="1" si="0"/>
        <v>1</v>
      </c>
      <c r="C86" s="178">
        <f t="shared" si="1"/>
        <v>62</v>
      </c>
      <c r="D86" s="178">
        <f t="shared" si="6"/>
        <v>7271.3204406100749</v>
      </c>
      <c r="E86" s="178">
        <f t="shared" si="28"/>
        <v>2343.985614367798</v>
      </c>
      <c r="F86" s="178">
        <f t="shared" si="29"/>
        <v>9615.3060549778729</v>
      </c>
      <c r="G86" s="178">
        <f>IF(L85&lt;0.01,0,IF(Adm!$S$3=Adm!$S$13,Cal!$E$94,IF(Adm!$R$3=Adm!$R$6,0,IF(Cal!$E$91=0,L85*Adm!$Y$3,L85*Adm!$X$3))))</f>
        <v>394.94751024787354</v>
      </c>
      <c r="H86" s="178">
        <f>IF(L85&lt;0.01,0,IF(Adm!$R$4=Adm!$R$6,0,IF(Adm!$B$3=Adm!$B$12,0,Cal!$E$89*Adm!$AA$3/1.16)))</f>
        <v>494.46758620689661</v>
      </c>
      <c r="I86" s="178">
        <f>IF(L85&lt;0.01,0,Adm!$O$3)</f>
        <v>250</v>
      </c>
      <c r="J86" s="178">
        <f t="shared" si="2"/>
        <v>10754.721151432643</v>
      </c>
      <c r="K86" s="178">
        <f>IF(Adm!$F$3="si",MIN(L85+D86+G86+H86+I86-J86,Y86),0)</f>
        <v>0</v>
      </c>
      <c r="L86" s="178">
        <f t="shared" si="7"/>
        <v>916138.59635743115</v>
      </c>
      <c r="M86" s="348"/>
      <c r="N86" s="348"/>
      <c r="O86" s="348">
        <f t="shared" si="8"/>
        <v>10754.721151432643</v>
      </c>
      <c r="U86" s="571">
        <f t="shared" si="9"/>
        <v>2</v>
      </c>
      <c r="V86" s="293">
        <f>IF(U86=1,Adm!$AN$2,0)</f>
        <v>0</v>
      </c>
      <c r="X86" s="341">
        <f t="shared" si="17"/>
        <v>0</v>
      </c>
      <c r="Y86" s="345">
        <f t="shared" ca="1" si="10"/>
        <v>0</v>
      </c>
      <c r="AD86" s="172"/>
      <c r="AG86" s="151">
        <f t="shared" ca="1" si="3"/>
        <v>1</v>
      </c>
      <c r="AI86" s="178">
        <f t="shared" si="4"/>
        <v>0</v>
      </c>
      <c r="AJ86" s="178">
        <f t="shared" si="11"/>
        <v>0</v>
      </c>
      <c r="AK86" s="178">
        <f t="shared" si="30"/>
        <v>0</v>
      </c>
      <c r="AL86" s="178">
        <f t="shared" si="31"/>
        <v>0</v>
      </c>
      <c r="AM86" s="351">
        <f>IF(AS85&lt;0.01,0,IF(Resol!$G$19&gt;0,Resol!$G$19,IF(Resol!$F$19=Resol!$U$5,0,IF($AS$10=0,AS85*Adm!$Y$3,AS85*Adm!$X$3))))</f>
        <v>0</v>
      </c>
      <c r="AN86" s="351">
        <f>IF(AS85&lt;0.01,0,IF(Resol!$F$20=Resol!$V$3,0,IF(OR(Resol!$F$10=Resol!$T$16,Resol!$F$10=Resol!$T$17),0,IF(Resol!$F$10=Resol!$T$13,0,$AL$5*Adm!$AA$4/1.16))))</f>
        <v>0</v>
      </c>
      <c r="AO86" s="178">
        <f t="shared" si="18"/>
        <v>0</v>
      </c>
      <c r="AP86" s="178"/>
      <c r="AQ86" s="178">
        <f t="shared" si="5"/>
        <v>0</v>
      </c>
      <c r="AR86" s="178">
        <f t="shared" si="12"/>
        <v>0</v>
      </c>
      <c r="AS86" s="178">
        <f t="shared" si="26"/>
        <v>0</v>
      </c>
      <c r="AT86" s="348"/>
      <c r="AU86" s="348"/>
      <c r="AV86" s="176">
        <f t="shared" si="27"/>
        <v>0</v>
      </c>
      <c r="BB86" s="571">
        <f t="shared" si="15"/>
        <v>2</v>
      </c>
      <c r="BC86" s="293">
        <f>IF(BB86=1,Adm!$AN$2,0)</f>
        <v>0</v>
      </c>
      <c r="BE86" s="341">
        <f t="shared" si="19"/>
        <v>0</v>
      </c>
      <c r="BF86" s="345">
        <f t="shared" ca="1" si="16"/>
        <v>0</v>
      </c>
    </row>
    <row r="87" spans="1:58">
      <c r="A87" s="151">
        <f t="shared" ca="1" si="0"/>
        <v>2</v>
      </c>
      <c r="C87" s="178">
        <f t="shared" si="1"/>
        <v>63</v>
      </c>
      <c r="D87" s="178">
        <f t="shared" si="6"/>
        <v>7252.7638878296639</v>
      </c>
      <c r="E87" s="178">
        <f t="shared" si="28"/>
        <v>2362.542167148209</v>
      </c>
      <c r="F87" s="178">
        <f t="shared" si="29"/>
        <v>9615.3060549778729</v>
      </c>
      <c r="G87" s="178">
        <f>IF(L86&lt;0.01,0,IF(Adm!$S$3=Adm!$S$13,Cal!$E$94,IF(Adm!$R$3=Adm!$R$6,0,IF(Cal!$E$91=0,L86*Adm!$Y$3,L86*Adm!$X$3))))</f>
        <v>393.93959643369539</v>
      </c>
      <c r="H87" s="178">
        <f>IF(L86&lt;0.01,0,IF(Adm!$R$4=Adm!$R$6,0,IF(Adm!$B$3=Adm!$B$12,0,Cal!$E$89*Adm!$AA$3/1.16)))</f>
        <v>494.46758620689661</v>
      </c>
      <c r="I87" s="178">
        <f>IF(L86&lt;0.01,0,Adm!$O$3)</f>
        <v>250</v>
      </c>
      <c r="J87" s="178">
        <f t="shared" si="2"/>
        <v>10753.713237618464</v>
      </c>
      <c r="K87" s="178">
        <f>IF(Adm!$F$3="si",MIN(L86+D87+G87+H87+I87-J87,Y87),0)</f>
        <v>0</v>
      </c>
      <c r="L87" s="178">
        <f t="shared" si="7"/>
        <v>913776.05419028294</v>
      </c>
      <c r="M87" s="348"/>
      <c r="N87" s="348"/>
      <c r="O87" s="348">
        <f t="shared" si="8"/>
        <v>10753.713237618464</v>
      </c>
      <c r="U87" s="571">
        <f t="shared" si="9"/>
        <v>3</v>
      </c>
      <c r="V87" s="293">
        <f>IF(U87=1,Adm!$AN$2,0)</f>
        <v>0</v>
      </c>
      <c r="X87" s="341">
        <f t="shared" si="17"/>
        <v>0</v>
      </c>
      <c r="Y87" s="345">
        <f t="shared" ca="1" si="10"/>
        <v>0</v>
      </c>
      <c r="AD87" s="172"/>
      <c r="AG87" s="151">
        <f t="shared" ca="1" si="3"/>
        <v>2</v>
      </c>
      <c r="AI87" s="178">
        <f t="shared" si="4"/>
        <v>0</v>
      </c>
      <c r="AJ87" s="178">
        <f t="shared" si="11"/>
        <v>0</v>
      </c>
      <c r="AK87" s="178">
        <f t="shared" si="30"/>
        <v>0</v>
      </c>
      <c r="AL87" s="178">
        <f t="shared" si="31"/>
        <v>0</v>
      </c>
      <c r="AM87" s="351">
        <f>IF(AS86&lt;0.01,0,IF(Resol!$G$19&gt;0,Resol!$G$19,IF(Resol!$F$19=Resol!$U$5,0,IF($AS$10=0,AS86*Adm!$Y$3,AS86*Adm!$X$3))))</f>
        <v>0</v>
      </c>
      <c r="AN87" s="351">
        <f>IF(AS86&lt;0.01,0,IF(Resol!$F$20=Resol!$V$3,0,IF(OR(Resol!$F$10=Resol!$T$16,Resol!$F$10=Resol!$T$17),0,IF(Resol!$F$10=Resol!$T$13,0,$AL$5*Adm!$AA$4/1.16))))</f>
        <v>0</v>
      </c>
      <c r="AO87" s="178">
        <f t="shared" si="18"/>
        <v>0</v>
      </c>
      <c r="AP87" s="178"/>
      <c r="AQ87" s="178">
        <f t="shared" si="5"/>
        <v>0</v>
      </c>
      <c r="AR87" s="178">
        <f t="shared" si="12"/>
        <v>0</v>
      </c>
      <c r="AS87" s="178">
        <f t="shared" si="26"/>
        <v>0</v>
      </c>
      <c r="AT87" s="348"/>
      <c r="AU87" s="348"/>
      <c r="AV87" s="176">
        <f t="shared" si="27"/>
        <v>0</v>
      </c>
      <c r="BB87" s="571">
        <f t="shared" si="15"/>
        <v>3</v>
      </c>
      <c r="BC87" s="293">
        <f>IF(BB87=1,Adm!$AN$2,0)</f>
        <v>0</v>
      </c>
      <c r="BE87" s="341">
        <f t="shared" si="19"/>
        <v>0</v>
      </c>
      <c r="BF87" s="345">
        <f t="shared" ca="1" si="16"/>
        <v>0</v>
      </c>
    </row>
    <row r="88" spans="1:58">
      <c r="A88" s="151">
        <f t="shared" ca="1" si="0"/>
        <v>3</v>
      </c>
      <c r="C88" s="178">
        <f t="shared" si="1"/>
        <v>64</v>
      </c>
      <c r="D88" s="178">
        <f t="shared" si="6"/>
        <v>7234.0604290064066</v>
      </c>
      <c r="E88" s="178">
        <f t="shared" si="28"/>
        <v>2381.2456259714663</v>
      </c>
      <c r="F88" s="178">
        <f t="shared" si="29"/>
        <v>9615.3060549778729</v>
      </c>
      <c r="G88" s="178">
        <f>IF(L87&lt;0.01,0,IF(Adm!$S$3=Adm!$S$13,Cal!$E$94,IF(Adm!$R$3=Adm!$R$6,0,IF(Cal!$E$91=0,L87*Adm!$Y$3,L87*Adm!$X$3))))</f>
        <v>392.92370330182166</v>
      </c>
      <c r="H88" s="178">
        <f>IF(L87&lt;0.01,0,IF(Adm!$R$4=Adm!$R$6,0,IF(Adm!$B$3=Adm!$B$12,0,Cal!$E$89*Adm!$AA$3/1.16)))</f>
        <v>494.46758620689661</v>
      </c>
      <c r="I88" s="178">
        <f>IF(L87&lt;0.01,0,Adm!$O$3)</f>
        <v>250</v>
      </c>
      <c r="J88" s="178">
        <f t="shared" si="2"/>
        <v>10752.697344486591</v>
      </c>
      <c r="K88" s="178">
        <f>IF(Adm!$F$3="si",MIN(L87+D88+G88+H88+I88-J88,Y88),0)</f>
        <v>0</v>
      </c>
      <c r="L88" s="178">
        <f t="shared" si="7"/>
        <v>911394.80856431148</v>
      </c>
      <c r="M88" s="348"/>
      <c r="N88" s="348"/>
      <c r="O88" s="348">
        <f t="shared" si="8"/>
        <v>10752.697344486591</v>
      </c>
      <c r="U88" s="571">
        <f t="shared" si="9"/>
        <v>4</v>
      </c>
      <c r="V88" s="293">
        <f>IF(U88=1,Adm!$AN$2,0)</f>
        <v>0</v>
      </c>
      <c r="X88" s="341">
        <f t="shared" si="17"/>
        <v>0</v>
      </c>
      <c r="Y88" s="345">
        <f t="shared" ca="1" si="10"/>
        <v>0</v>
      </c>
      <c r="AD88" s="172"/>
      <c r="AG88" s="151">
        <f t="shared" ca="1" si="3"/>
        <v>3</v>
      </c>
      <c r="AI88" s="178">
        <f t="shared" si="4"/>
        <v>0</v>
      </c>
      <c r="AJ88" s="178">
        <f t="shared" si="11"/>
        <v>0</v>
      </c>
      <c r="AK88" s="178">
        <f t="shared" si="30"/>
        <v>0</v>
      </c>
      <c r="AL88" s="178">
        <f t="shared" si="31"/>
        <v>0</v>
      </c>
      <c r="AM88" s="351">
        <f>IF(AS87&lt;0.01,0,IF(Resol!$G$19&gt;0,Resol!$G$19,IF(Resol!$F$19=Resol!$U$5,0,IF($AS$10=0,AS87*Adm!$Y$3,AS87*Adm!$X$3))))</f>
        <v>0</v>
      </c>
      <c r="AN88" s="351">
        <f>IF(AS87&lt;0.01,0,IF(Resol!$F$20=Resol!$V$3,0,IF(OR(Resol!$F$10=Resol!$T$16,Resol!$F$10=Resol!$T$17),0,IF(Resol!$F$10=Resol!$T$13,0,$AL$5*Adm!$AA$4/1.16))))</f>
        <v>0</v>
      </c>
      <c r="AO88" s="178">
        <f t="shared" si="18"/>
        <v>0</v>
      </c>
      <c r="AP88" s="178"/>
      <c r="AQ88" s="178">
        <f t="shared" si="5"/>
        <v>0</v>
      </c>
      <c r="AR88" s="178">
        <f t="shared" si="12"/>
        <v>0</v>
      </c>
      <c r="AS88" s="178">
        <f t="shared" si="26"/>
        <v>0</v>
      </c>
      <c r="AT88" s="348"/>
      <c r="AU88" s="348"/>
      <c r="AV88" s="176">
        <f t="shared" si="27"/>
        <v>0</v>
      </c>
      <c r="BB88" s="571">
        <f t="shared" si="15"/>
        <v>4</v>
      </c>
      <c r="BC88" s="293">
        <f>IF(BB88=1,Adm!$AN$2,0)</f>
        <v>0</v>
      </c>
      <c r="BE88" s="341">
        <f t="shared" si="19"/>
        <v>0</v>
      </c>
      <c r="BF88" s="345">
        <f t="shared" ca="1" si="16"/>
        <v>0</v>
      </c>
    </row>
    <row r="89" spans="1:58">
      <c r="A89" s="151">
        <f t="shared" ref="A89:A152" ca="1" si="32">IF(A88=12,1,A88+1)</f>
        <v>4</v>
      </c>
      <c r="C89" s="178">
        <f t="shared" ref="C89:C152" si="33">IF(L88&lt;0.01,0,C88+1)</f>
        <v>65</v>
      </c>
      <c r="D89" s="178">
        <f t="shared" si="6"/>
        <v>7215.2089011341332</v>
      </c>
      <c r="E89" s="178">
        <f t="shared" si="28"/>
        <v>2400.0971538437398</v>
      </c>
      <c r="F89" s="178">
        <f t="shared" si="29"/>
        <v>9615.3060549778729</v>
      </c>
      <c r="G89" s="178">
        <f>IF(L88&lt;0.01,0,IF(Adm!$S$3=Adm!$S$13,Cal!$E$94,IF(Adm!$R$3=Adm!$R$6,0,IF(Cal!$E$91=0,L88*Adm!$Y$3,L88*Adm!$X$3))))</f>
        <v>391.89976768265393</v>
      </c>
      <c r="H89" s="178">
        <f>IF(L88&lt;0.01,0,IF(Adm!$R$4=Adm!$R$6,0,IF(Adm!$B$3=Adm!$B$12,0,Cal!$E$89*Adm!$AA$3/1.16)))</f>
        <v>494.46758620689661</v>
      </c>
      <c r="I89" s="178">
        <f>IF(L88&lt;0.01,0,Adm!$O$3)</f>
        <v>250</v>
      </c>
      <c r="J89" s="178">
        <f t="shared" ref="J89:J152" si="34">IF(L88&lt;0.01,0,F89+G89+H89+I89)</f>
        <v>10751.673408867424</v>
      </c>
      <c r="K89" s="178">
        <f>IF(Adm!$F$3="si",MIN(L88+D89+G89+H89+I89-J89,Y89),0)</f>
        <v>0</v>
      </c>
      <c r="L89" s="178">
        <f t="shared" si="7"/>
        <v>908994.71141046775</v>
      </c>
      <c r="M89" s="348"/>
      <c r="N89" s="348"/>
      <c r="O89" s="348">
        <f t="shared" si="8"/>
        <v>10751.673408867424</v>
      </c>
      <c r="U89" s="571">
        <f t="shared" si="9"/>
        <v>5</v>
      </c>
      <c r="V89" s="293">
        <f>IF(U89=1,Adm!$AN$2,0)</f>
        <v>0</v>
      </c>
      <c r="X89" s="341">
        <f t="shared" si="17"/>
        <v>0</v>
      </c>
      <c r="Y89" s="345">
        <f t="shared" ca="1" si="10"/>
        <v>0</v>
      </c>
      <c r="AD89" s="172"/>
      <c r="AG89" s="151">
        <f t="shared" ref="AG89:AG152" ca="1" si="35">IF(AG88=12,1,AG88+1)</f>
        <v>4</v>
      </c>
      <c r="AI89" s="178">
        <f t="shared" ref="AI89:AI152" si="36">IF(AS88&lt;0.01,0,AI88+1)</f>
        <v>0</v>
      </c>
      <c r="AJ89" s="178">
        <f t="shared" si="11"/>
        <v>0</v>
      </c>
      <c r="AK89" s="178">
        <f t="shared" si="30"/>
        <v>0</v>
      </c>
      <c r="AL89" s="178">
        <f t="shared" si="31"/>
        <v>0</v>
      </c>
      <c r="AM89" s="351">
        <f>IF(AS88&lt;0.01,0,IF(Resol!$G$19&gt;0,Resol!$G$19,IF(Resol!$F$19=Resol!$U$5,0,IF($AS$10=0,AS88*Adm!$Y$3,AS88*Adm!$X$3))))</f>
        <v>0</v>
      </c>
      <c r="AN89" s="351">
        <f>IF(AS88&lt;0.01,0,IF(Resol!$F$20=Resol!$V$3,0,IF(OR(Resol!$F$10=Resol!$T$16,Resol!$F$10=Resol!$T$17),0,IF(Resol!$F$10=Resol!$T$13,0,$AL$5*Adm!$AA$4/1.16))))</f>
        <v>0</v>
      </c>
      <c r="AO89" s="178">
        <f t="shared" si="18"/>
        <v>0</v>
      </c>
      <c r="AP89" s="178"/>
      <c r="AQ89" s="178">
        <f t="shared" ref="AQ89:AQ152" si="37">IF(AS88&lt;0.01,0,AL89+AM89+AN89+AO89)</f>
        <v>0</v>
      </c>
      <c r="AR89" s="178">
        <f t="shared" si="12"/>
        <v>0</v>
      </c>
      <c r="AS89" s="178">
        <f t="shared" si="26"/>
        <v>0</v>
      </c>
      <c r="AT89" s="348"/>
      <c r="AU89" s="348"/>
      <c r="AV89" s="176">
        <f t="shared" si="27"/>
        <v>0</v>
      </c>
      <c r="BB89" s="571">
        <f t="shared" si="15"/>
        <v>5</v>
      </c>
      <c r="BC89" s="293">
        <f>IF(BB89=1,Adm!$AN$2,0)</f>
        <v>0</v>
      </c>
      <c r="BE89" s="341">
        <f t="shared" si="19"/>
        <v>0</v>
      </c>
      <c r="BF89" s="345">
        <f t="shared" ca="1" si="16"/>
        <v>0</v>
      </c>
    </row>
    <row r="90" spans="1:58">
      <c r="A90" s="151">
        <f t="shared" ca="1" si="32"/>
        <v>5</v>
      </c>
      <c r="C90" s="178">
        <f t="shared" si="33"/>
        <v>66</v>
      </c>
      <c r="D90" s="178">
        <f t="shared" ref="D90:D153" si="38">IF(L89&lt;0.01,0,L89*$F$9/12)</f>
        <v>7196.2081319995368</v>
      </c>
      <c r="E90" s="178">
        <f t="shared" si="28"/>
        <v>2419.0979229783361</v>
      </c>
      <c r="F90" s="178">
        <f t="shared" si="29"/>
        <v>9615.3060549778729</v>
      </c>
      <c r="G90" s="178">
        <f>IF(L89&lt;0.01,0,IF(Adm!$S$3=Adm!$S$13,Cal!$E$94,IF(Adm!$R$3=Adm!$R$6,0,IF(Cal!$E$91=0,L89*Adm!$Y$3,L89*Adm!$X$3))))</f>
        <v>390.86772590650111</v>
      </c>
      <c r="H90" s="178">
        <f>IF(L89&lt;0.01,0,IF(Adm!$R$4=Adm!$R$6,0,IF(Adm!$B$3=Adm!$B$12,0,Cal!$E$89*Adm!$AA$3/1.16)))</f>
        <v>494.46758620689661</v>
      </c>
      <c r="I90" s="178">
        <f>IF(L89&lt;0.01,0,Adm!$O$3)</f>
        <v>250</v>
      </c>
      <c r="J90" s="178">
        <f t="shared" si="34"/>
        <v>10750.64136709127</v>
      </c>
      <c r="K90" s="178">
        <f>IF(Adm!$F$3="si",MIN(L89+D90+G90+H90+I90-J90,Y90),0)</f>
        <v>0</v>
      </c>
      <c r="L90" s="178">
        <f t="shared" ref="L90:L153" si="39">IF(L89&lt;0.01,0,L89-E90-K90)</f>
        <v>906575.61348748941</v>
      </c>
      <c r="M90" s="348"/>
      <c r="N90" s="348"/>
      <c r="O90" s="348">
        <f t="shared" ref="O90:O153" si="40">J90+K90</f>
        <v>10750.64136709127</v>
      </c>
      <c r="U90" s="571">
        <f t="shared" ref="U90:U153" si="41">IF(U89=12,1,U89+1)</f>
        <v>6</v>
      </c>
      <c r="V90" s="293">
        <f>IF(U90=1,Adm!$AN$2,0)</f>
        <v>0</v>
      </c>
      <c r="X90" s="341">
        <f t="shared" si="17"/>
        <v>0</v>
      </c>
      <c r="Y90" s="345">
        <f t="shared" ref="Y90:Y153" ca="1" si="42">IF(MOD(A90,2)=0,X90*0.05*2,0)</f>
        <v>0</v>
      </c>
      <c r="AD90" s="172"/>
      <c r="AG90" s="151">
        <f t="shared" ca="1" si="35"/>
        <v>5</v>
      </c>
      <c r="AI90" s="178">
        <f t="shared" si="36"/>
        <v>0</v>
      </c>
      <c r="AJ90" s="178">
        <f t="shared" ref="AJ90:AJ153" si="43">IF(AS89&lt;0.01,0,AS89*$AL$9/12)</f>
        <v>0</v>
      </c>
      <c r="AK90" s="178">
        <f t="shared" si="30"/>
        <v>0</v>
      </c>
      <c r="AL90" s="178">
        <f t="shared" si="31"/>
        <v>0</v>
      </c>
      <c r="AM90" s="351">
        <f>IF(AS89&lt;0.01,0,IF(Resol!$G$19&gt;0,Resol!$G$19,IF(Resol!$F$19=Resol!$U$5,0,IF($AS$10=0,AS89*Adm!$Y$3,AS89*Adm!$X$3))))</f>
        <v>0</v>
      </c>
      <c r="AN90" s="351">
        <f>IF(AS89&lt;0.01,0,IF(Resol!$F$20=Resol!$V$3,0,IF(OR(Resol!$F$10=Resol!$T$16,Resol!$F$10=Resol!$T$17),0,IF(Resol!$F$10=Resol!$T$13,0,$AL$5*Adm!$AA$4/1.16))))</f>
        <v>0</v>
      </c>
      <c r="AO90" s="178">
        <f t="shared" si="18"/>
        <v>0</v>
      </c>
      <c r="AP90" s="178"/>
      <c r="AQ90" s="178">
        <f t="shared" si="37"/>
        <v>0</v>
      </c>
      <c r="AR90" s="178">
        <f t="shared" ref="AR90:AR153" si="44">IF($AR$23&gt;"",MIN(AS89+AJ90+AM90+AN90+AO90-AQ90,BF90),0)</f>
        <v>0</v>
      </c>
      <c r="AS90" s="178">
        <f t="shared" si="26"/>
        <v>0</v>
      </c>
      <c r="AT90" s="348"/>
      <c r="AU90" s="348"/>
      <c r="AV90" s="176">
        <f t="shared" si="27"/>
        <v>0</v>
      </c>
      <c r="BB90" s="571">
        <f t="shared" ref="BB90:BB153" si="45">IF(BB89=12,1,BB89+1)</f>
        <v>6</v>
      </c>
      <c r="BC90" s="293">
        <f>IF(BB90=1,Adm!$AN$2,0)</f>
        <v>0</v>
      </c>
      <c r="BE90" s="341">
        <f t="shared" si="19"/>
        <v>0</v>
      </c>
      <c r="BF90" s="345">
        <f t="shared" ref="BF90:BF153" ca="1" si="46">IF(MOD(AG90,2)=0,BE90*0.05*2,0)</f>
        <v>0</v>
      </c>
    </row>
    <row r="91" spans="1:58">
      <c r="A91" s="151">
        <f t="shared" ca="1" si="32"/>
        <v>6</v>
      </c>
      <c r="C91" s="178">
        <f t="shared" si="33"/>
        <v>67</v>
      </c>
      <c r="D91" s="178">
        <f t="shared" si="38"/>
        <v>7177.0569401092907</v>
      </c>
      <c r="E91" s="178">
        <f t="shared" si="28"/>
        <v>2438.2491148685822</v>
      </c>
      <c r="F91" s="178">
        <f t="shared" ref="F91:F154" si="47">IF(L90&lt;0.1,0,MIN(L90+D91,F90*(1+V91)))</f>
        <v>9615.3060549778729</v>
      </c>
      <c r="G91" s="178">
        <f>IF(L90&lt;0.01,0,IF(Adm!$S$3=Adm!$S$13,Cal!$E$94,IF(Adm!$R$3=Adm!$R$6,0,IF(Cal!$E$91=0,L90*Adm!$Y$3,L90*Adm!$X$3))))</f>
        <v>389.82751379962042</v>
      </c>
      <c r="H91" s="178">
        <f>IF(L90&lt;0.01,0,IF(Adm!$R$4=Adm!$R$6,0,IF(Adm!$B$3=Adm!$B$12,0,Cal!$E$89*Adm!$AA$3/1.16)))</f>
        <v>494.46758620689661</v>
      </c>
      <c r="I91" s="178">
        <f>IF(L90&lt;0.01,0,Adm!$O$3)</f>
        <v>250</v>
      </c>
      <c r="J91" s="178">
        <f t="shared" si="34"/>
        <v>10749.60115498439</v>
      </c>
      <c r="K91" s="178">
        <f>IF(Adm!$F$3="si",MIN(L90+D91+G91+H91+I91-J91,Y91),0)</f>
        <v>0</v>
      </c>
      <c r="L91" s="178">
        <f t="shared" si="39"/>
        <v>904137.36437262082</v>
      </c>
      <c r="M91" s="348"/>
      <c r="N91" s="348"/>
      <c r="O91" s="348">
        <f t="shared" si="40"/>
        <v>10749.60115498439</v>
      </c>
      <c r="U91" s="571">
        <f t="shared" si="41"/>
        <v>7</v>
      </c>
      <c r="V91" s="293">
        <f>IF(U91=1,Adm!$AN$2,0)</f>
        <v>0</v>
      </c>
      <c r="X91" s="341">
        <f t="shared" ref="X91:X154" si="48">X90</f>
        <v>0</v>
      </c>
      <c r="Y91" s="345">
        <f t="shared" ca="1" si="42"/>
        <v>0</v>
      </c>
      <c r="AD91" s="172"/>
      <c r="AG91" s="151">
        <f t="shared" ca="1" si="35"/>
        <v>6</v>
      </c>
      <c r="AI91" s="178">
        <f t="shared" si="36"/>
        <v>0</v>
      </c>
      <c r="AJ91" s="178">
        <f t="shared" si="43"/>
        <v>0</v>
      </c>
      <c r="AK91" s="178">
        <f t="shared" si="30"/>
        <v>0</v>
      </c>
      <c r="AL91" s="178">
        <f t="shared" si="31"/>
        <v>0</v>
      </c>
      <c r="AM91" s="351">
        <f>IF(AS90&lt;0.01,0,IF(Resol!$G$19&gt;0,Resol!$G$19,IF(Resol!$F$19=Resol!$U$5,0,IF($AS$10=0,AS90*Adm!$Y$3,AS90*Adm!$X$3))))</f>
        <v>0</v>
      </c>
      <c r="AN91" s="351">
        <f>IF(AS90&lt;0.01,0,IF(Resol!$F$20=Resol!$V$3,0,IF(OR(Resol!$F$10=Resol!$T$16,Resol!$F$10=Resol!$T$17),0,IF(Resol!$F$10=Resol!$T$13,0,$AL$5*Adm!$AA$4/1.16))))</f>
        <v>0</v>
      </c>
      <c r="AO91" s="178">
        <f t="shared" ref="AO91:AO154" si="49">IF(AS90&lt;0.01,0,AO90)</f>
        <v>0</v>
      </c>
      <c r="AP91" s="178"/>
      <c r="AQ91" s="178">
        <f t="shared" si="37"/>
        <v>0</v>
      </c>
      <c r="AR91" s="178">
        <f t="shared" si="44"/>
        <v>0</v>
      </c>
      <c r="AS91" s="178">
        <f t="shared" si="26"/>
        <v>0</v>
      </c>
      <c r="AT91" s="348"/>
      <c r="AU91" s="348"/>
      <c r="AV91" s="176">
        <f t="shared" si="27"/>
        <v>0</v>
      </c>
      <c r="BB91" s="571">
        <f t="shared" si="45"/>
        <v>7</v>
      </c>
      <c r="BC91" s="293">
        <f>IF(BB91=1,Adm!$AN$2,0)</f>
        <v>0</v>
      </c>
      <c r="BE91" s="341">
        <f t="shared" ref="BE91:BE154" si="50">BE90</f>
        <v>0</v>
      </c>
      <c r="BF91" s="345">
        <f t="shared" ca="1" si="46"/>
        <v>0</v>
      </c>
    </row>
    <row r="92" spans="1:58">
      <c r="A92" s="151">
        <f t="shared" ca="1" si="32"/>
        <v>7</v>
      </c>
      <c r="C92" s="178">
        <f t="shared" si="33"/>
        <v>68</v>
      </c>
      <c r="D92" s="178">
        <f t="shared" si="38"/>
        <v>7157.7541346165817</v>
      </c>
      <c r="E92" s="178">
        <f t="shared" si="28"/>
        <v>2457.5519203612912</v>
      </c>
      <c r="F92" s="178">
        <f t="shared" si="47"/>
        <v>9615.3060549778729</v>
      </c>
      <c r="G92" s="178">
        <f>IF(L91&lt;0.01,0,IF(Adm!$S$3=Adm!$S$13,Cal!$E$94,IF(Adm!$R$3=Adm!$R$6,0,IF(Cal!$E$91=0,L91*Adm!$Y$3,L91*Adm!$X$3))))</f>
        <v>388.77906668022695</v>
      </c>
      <c r="H92" s="178">
        <f>IF(L91&lt;0.01,0,IF(Adm!$R$4=Adm!$R$6,0,IF(Adm!$B$3=Adm!$B$12,0,Cal!$E$89*Adm!$AA$3/1.16)))</f>
        <v>494.46758620689661</v>
      </c>
      <c r="I92" s="178">
        <f>IF(L91&lt;0.01,0,Adm!$O$3)</f>
        <v>250</v>
      </c>
      <c r="J92" s="178">
        <f t="shared" si="34"/>
        <v>10748.552707864996</v>
      </c>
      <c r="K92" s="178">
        <f>IF(Adm!$F$3="si",MIN(L91+D92+G92+H92+I92-J92,Y92),0)</f>
        <v>0</v>
      </c>
      <c r="L92" s="178">
        <f t="shared" si="39"/>
        <v>901679.81245225959</v>
      </c>
      <c r="M92" s="348"/>
      <c r="N92" s="348"/>
      <c r="O92" s="348">
        <f t="shared" si="40"/>
        <v>10748.552707864996</v>
      </c>
      <c r="U92" s="571">
        <f t="shared" si="41"/>
        <v>8</v>
      </c>
      <c r="V92" s="293">
        <f>IF(U92=1,Adm!$AN$2,0)</f>
        <v>0</v>
      </c>
      <c r="X92" s="341">
        <f t="shared" si="48"/>
        <v>0</v>
      </c>
      <c r="Y92" s="345">
        <f t="shared" ca="1" si="42"/>
        <v>0</v>
      </c>
      <c r="AD92" s="172"/>
      <c r="AG92" s="151">
        <f t="shared" ca="1" si="35"/>
        <v>7</v>
      </c>
      <c r="AI92" s="178">
        <f t="shared" si="36"/>
        <v>0</v>
      </c>
      <c r="AJ92" s="178">
        <f t="shared" si="43"/>
        <v>0</v>
      </c>
      <c r="AK92" s="178">
        <f t="shared" si="30"/>
        <v>0</v>
      </c>
      <c r="AL92" s="178">
        <f t="shared" si="31"/>
        <v>0</v>
      </c>
      <c r="AM92" s="351">
        <f>IF(AS91&lt;0.01,0,IF(Resol!$G$19&gt;0,Resol!$G$19,IF(Resol!$F$19=Resol!$U$5,0,IF($AS$10=0,AS91*Adm!$Y$3,AS91*Adm!$X$3))))</f>
        <v>0</v>
      </c>
      <c r="AN92" s="351">
        <f>IF(AS91&lt;0.01,0,IF(Resol!$F$20=Resol!$V$3,0,IF(OR(Resol!$F$10=Resol!$T$16,Resol!$F$10=Resol!$T$17),0,IF(Resol!$F$10=Resol!$T$13,0,$AL$5*Adm!$AA$4/1.16))))</f>
        <v>0</v>
      </c>
      <c r="AO92" s="178">
        <f t="shared" si="49"/>
        <v>0</v>
      </c>
      <c r="AP92" s="178"/>
      <c r="AQ92" s="178">
        <f t="shared" si="37"/>
        <v>0</v>
      </c>
      <c r="AR92" s="178">
        <f t="shared" si="44"/>
        <v>0</v>
      </c>
      <c r="AS92" s="178">
        <f t="shared" si="26"/>
        <v>0</v>
      </c>
      <c r="AT92" s="348"/>
      <c r="AU92" s="348"/>
      <c r="AV92" s="176">
        <f t="shared" si="27"/>
        <v>0</v>
      </c>
      <c r="BB92" s="571">
        <f t="shared" si="45"/>
        <v>8</v>
      </c>
      <c r="BC92" s="293">
        <f>IF(BB92=1,Adm!$AN$2,0)</f>
        <v>0</v>
      </c>
      <c r="BE92" s="341">
        <f t="shared" si="50"/>
        <v>0</v>
      </c>
      <c r="BF92" s="345">
        <f t="shared" ca="1" si="46"/>
        <v>0</v>
      </c>
    </row>
    <row r="93" spans="1:58">
      <c r="A93" s="151">
        <f t="shared" ca="1" si="32"/>
        <v>8</v>
      </c>
      <c r="C93" s="178">
        <f t="shared" si="33"/>
        <v>69</v>
      </c>
      <c r="D93" s="178">
        <f t="shared" si="38"/>
        <v>7138.2985152470546</v>
      </c>
      <c r="E93" s="178">
        <f t="shared" si="28"/>
        <v>2477.0075397308183</v>
      </c>
      <c r="F93" s="178">
        <f t="shared" si="47"/>
        <v>9615.3060549778729</v>
      </c>
      <c r="G93" s="178">
        <f>IF(L92&lt;0.01,0,IF(Adm!$S$3=Adm!$S$13,Cal!$E$94,IF(Adm!$R$3=Adm!$R$6,0,IF(Cal!$E$91=0,L92*Adm!$Y$3,L92*Adm!$X$3))))</f>
        <v>387.72231935447161</v>
      </c>
      <c r="H93" s="178">
        <f>IF(L92&lt;0.01,0,IF(Adm!$R$4=Adm!$R$6,0,IF(Adm!$B$3=Adm!$B$12,0,Cal!$E$89*Adm!$AA$3/1.16)))</f>
        <v>494.46758620689661</v>
      </c>
      <c r="I93" s="178">
        <f>IF(L92&lt;0.01,0,Adm!$O$3)</f>
        <v>250</v>
      </c>
      <c r="J93" s="178">
        <f t="shared" si="34"/>
        <v>10747.495960539241</v>
      </c>
      <c r="K93" s="178">
        <f>IF(Adm!$F$3="si",MIN(L92+D93+G93+H93+I93-J93,Y93),0)</f>
        <v>0</v>
      </c>
      <c r="L93" s="178">
        <f t="shared" si="39"/>
        <v>899202.80491252872</v>
      </c>
      <c r="M93" s="348"/>
      <c r="N93" s="348"/>
      <c r="O93" s="348">
        <f t="shared" si="40"/>
        <v>10747.495960539241</v>
      </c>
      <c r="U93" s="571">
        <f t="shared" si="41"/>
        <v>9</v>
      </c>
      <c r="V93" s="293">
        <f>IF(U93=1,Adm!$AN$2,0)</f>
        <v>0</v>
      </c>
      <c r="X93" s="341">
        <f t="shared" si="48"/>
        <v>0</v>
      </c>
      <c r="Y93" s="345">
        <f t="shared" ca="1" si="42"/>
        <v>0</v>
      </c>
      <c r="AD93" s="172"/>
      <c r="AG93" s="151">
        <f t="shared" ca="1" si="35"/>
        <v>8</v>
      </c>
      <c r="AI93" s="178">
        <f t="shared" si="36"/>
        <v>0</v>
      </c>
      <c r="AJ93" s="178">
        <f t="shared" si="43"/>
        <v>0</v>
      </c>
      <c r="AK93" s="178">
        <f t="shared" si="30"/>
        <v>0</v>
      </c>
      <c r="AL93" s="178">
        <f t="shared" si="31"/>
        <v>0</v>
      </c>
      <c r="AM93" s="351">
        <f>IF(AS92&lt;0.01,0,IF(Resol!$G$19&gt;0,Resol!$G$19,IF(Resol!$F$19=Resol!$U$5,0,IF($AS$10=0,AS92*Adm!$Y$3,AS92*Adm!$X$3))))</f>
        <v>0</v>
      </c>
      <c r="AN93" s="351">
        <f>IF(AS92&lt;0.01,0,IF(Resol!$F$20=Resol!$V$3,0,IF(OR(Resol!$F$10=Resol!$T$16,Resol!$F$10=Resol!$T$17),0,IF(Resol!$F$10=Resol!$T$13,0,$AL$5*Adm!$AA$4/1.16))))</f>
        <v>0</v>
      </c>
      <c r="AO93" s="178">
        <f t="shared" si="49"/>
        <v>0</v>
      </c>
      <c r="AP93" s="178"/>
      <c r="AQ93" s="178">
        <f t="shared" si="37"/>
        <v>0</v>
      </c>
      <c r="AR93" s="178">
        <f t="shared" si="44"/>
        <v>0</v>
      </c>
      <c r="AS93" s="178">
        <f t="shared" si="26"/>
        <v>0</v>
      </c>
      <c r="AT93" s="348"/>
      <c r="AU93" s="348"/>
      <c r="AV93" s="176">
        <f t="shared" si="27"/>
        <v>0</v>
      </c>
      <c r="BB93" s="571">
        <f t="shared" si="45"/>
        <v>9</v>
      </c>
      <c r="BC93" s="293">
        <f>IF(BB93=1,Adm!$AN$2,0)</f>
        <v>0</v>
      </c>
      <c r="BE93" s="341">
        <f t="shared" si="50"/>
        <v>0</v>
      </c>
      <c r="BF93" s="345">
        <f t="shared" ca="1" si="46"/>
        <v>0</v>
      </c>
    </row>
    <row r="94" spans="1:58">
      <c r="A94" s="151">
        <f t="shared" ca="1" si="32"/>
        <v>9</v>
      </c>
      <c r="C94" s="178">
        <f t="shared" si="33"/>
        <v>70</v>
      </c>
      <c r="D94" s="178">
        <f t="shared" si="38"/>
        <v>7118.6888722241856</v>
      </c>
      <c r="E94" s="178">
        <f t="shared" si="28"/>
        <v>2496.6171827536873</v>
      </c>
      <c r="F94" s="178">
        <f t="shared" si="47"/>
        <v>9615.3060549778729</v>
      </c>
      <c r="G94" s="178">
        <f>IF(L93&lt;0.01,0,IF(Adm!$S$3=Adm!$S$13,Cal!$E$94,IF(Adm!$R$3=Adm!$R$6,0,IF(Cal!$E$91=0,L93*Adm!$Y$3,L93*Adm!$X$3))))</f>
        <v>386.65720611238731</v>
      </c>
      <c r="H94" s="178">
        <f>IF(L93&lt;0.01,0,IF(Adm!$R$4=Adm!$R$6,0,IF(Adm!$B$3=Adm!$B$12,0,Cal!$E$89*Adm!$AA$3/1.16)))</f>
        <v>494.46758620689661</v>
      </c>
      <c r="I94" s="178">
        <f>IF(L93&lt;0.01,0,Adm!$O$3)</f>
        <v>250</v>
      </c>
      <c r="J94" s="178">
        <f t="shared" si="34"/>
        <v>10746.430847297157</v>
      </c>
      <c r="K94" s="178">
        <f>IF(Adm!$F$3="si",MIN(L93+D94+G94+H94+I94-J94,Y94),0)</f>
        <v>0</v>
      </c>
      <c r="L94" s="178">
        <f t="shared" si="39"/>
        <v>896706.18772977509</v>
      </c>
      <c r="M94" s="348"/>
      <c r="N94" s="348"/>
      <c r="O94" s="348">
        <f t="shared" si="40"/>
        <v>10746.430847297157</v>
      </c>
      <c r="U94" s="571">
        <f t="shared" si="41"/>
        <v>10</v>
      </c>
      <c r="V94" s="293">
        <f>IF(U94=1,Adm!$AN$2,0)</f>
        <v>0</v>
      </c>
      <c r="X94" s="341">
        <f t="shared" si="48"/>
        <v>0</v>
      </c>
      <c r="Y94" s="345">
        <f t="shared" ca="1" si="42"/>
        <v>0</v>
      </c>
      <c r="AD94" s="172"/>
      <c r="AG94" s="151">
        <f t="shared" ca="1" si="35"/>
        <v>9</v>
      </c>
      <c r="AI94" s="178">
        <f t="shared" si="36"/>
        <v>0</v>
      </c>
      <c r="AJ94" s="178">
        <f t="shared" si="43"/>
        <v>0</v>
      </c>
      <c r="AK94" s="178">
        <f t="shared" si="30"/>
        <v>0</v>
      </c>
      <c r="AL94" s="178">
        <f t="shared" si="31"/>
        <v>0</v>
      </c>
      <c r="AM94" s="351">
        <f>IF(AS93&lt;0.01,0,IF(Resol!$G$19&gt;0,Resol!$G$19,IF(Resol!$F$19=Resol!$U$5,0,IF($AS$10=0,AS93*Adm!$Y$3,AS93*Adm!$X$3))))</f>
        <v>0</v>
      </c>
      <c r="AN94" s="351">
        <f>IF(AS93&lt;0.01,0,IF(Resol!$F$20=Resol!$V$3,0,IF(OR(Resol!$F$10=Resol!$T$16,Resol!$F$10=Resol!$T$17),0,IF(Resol!$F$10=Resol!$T$13,0,$AL$5*Adm!$AA$4/1.16))))</f>
        <v>0</v>
      </c>
      <c r="AO94" s="178">
        <f t="shared" si="49"/>
        <v>0</v>
      </c>
      <c r="AP94" s="178"/>
      <c r="AQ94" s="178">
        <f t="shared" si="37"/>
        <v>0</v>
      </c>
      <c r="AR94" s="178">
        <f t="shared" si="44"/>
        <v>0</v>
      </c>
      <c r="AS94" s="178">
        <f t="shared" si="26"/>
        <v>0</v>
      </c>
      <c r="AT94" s="348"/>
      <c r="AU94" s="348"/>
      <c r="AV94" s="176">
        <f t="shared" si="27"/>
        <v>0</v>
      </c>
      <c r="BB94" s="571">
        <f t="shared" si="45"/>
        <v>10</v>
      </c>
      <c r="BC94" s="293">
        <f>IF(BB94=1,Adm!$AN$2,0)</f>
        <v>0</v>
      </c>
      <c r="BE94" s="341">
        <f t="shared" si="50"/>
        <v>0</v>
      </c>
      <c r="BF94" s="345">
        <f t="shared" ca="1" si="46"/>
        <v>0</v>
      </c>
    </row>
    <row r="95" spans="1:58">
      <c r="A95" s="151">
        <f t="shared" ca="1" si="32"/>
        <v>10</v>
      </c>
      <c r="C95" s="178">
        <f t="shared" si="33"/>
        <v>71</v>
      </c>
      <c r="D95" s="178">
        <f t="shared" si="38"/>
        <v>7098.9239861940523</v>
      </c>
      <c r="E95" s="178">
        <f t="shared" si="28"/>
        <v>2516.3820687838206</v>
      </c>
      <c r="F95" s="178">
        <f t="shared" si="47"/>
        <v>9615.3060549778729</v>
      </c>
      <c r="G95" s="178">
        <f>IF(L94&lt;0.01,0,IF(Adm!$S$3=Adm!$S$13,Cal!$E$94,IF(Adm!$R$3=Adm!$R$6,0,IF(Cal!$E$91=0,L94*Adm!$Y$3,L94*Adm!$X$3))))</f>
        <v>385.58366072380329</v>
      </c>
      <c r="H95" s="178">
        <f>IF(L94&lt;0.01,0,IF(Adm!$R$4=Adm!$R$6,0,IF(Adm!$B$3=Adm!$B$12,0,Cal!$E$89*Adm!$AA$3/1.16)))</f>
        <v>494.46758620689661</v>
      </c>
      <c r="I95" s="178">
        <f>IF(L94&lt;0.01,0,Adm!$O$3)</f>
        <v>250</v>
      </c>
      <c r="J95" s="178">
        <f t="shared" si="34"/>
        <v>10745.357301908572</v>
      </c>
      <c r="K95" s="178">
        <f>IF(Adm!$F$3="si",MIN(L94+D95+G95+H95+I95-J95,Y95),0)</f>
        <v>0</v>
      </c>
      <c r="L95" s="178">
        <f t="shared" si="39"/>
        <v>894189.80566099123</v>
      </c>
      <c r="M95" s="348"/>
      <c r="N95" s="348"/>
      <c r="O95" s="348">
        <f t="shared" si="40"/>
        <v>10745.357301908572</v>
      </c>
      <c r="U95" s="571">
        <f t="shared" si="41"/>
        <v>11</v>
      </c>
      <c r="V95" s="293">
        <f>IF(U95=1,Adm!$AN$2,0)</f>
        <v>0</v>
      </c>
      <c r="X95" s="341">
        <f t="shared" si="48"/>
        <v>0</v>
      </c>
      <c r="Y95" s="345">
        <f t="shared" ca="1" si="42"/>
        <v>0</v>
      </c>
      <c r="AD95" s="172"/>
      <c r="AG95" s="151">
        <f t="shared" ca="1" si="35"/>
        <v>10</v>
      </c>
      <c r="AI95" s="178">
        <f t="shared" si="36"/>
        <v>0</v>
      </c>
      <c r="AJ95" s="178">
        <f t="shared" si="43"/>
        <v>0</v>
      </c>
      <c r="AK95" s="178">
        <f t="shared" si="30"/>
        <v>0</v>
      </c>
      <c r="AL95" s="178">
        <f t="shared" si="31"/>
        <v>0</v>
      </c>
      <c r="AM95" s="351">
        <f>IF(AS94&lt;0.01,0,IF(Resol!$G$19&gt;0,Resol!$G$19,IF(Resol!$F$19=Resol!$U$5,0,IF($AS$10=0,AS94*Adm!$Y$3,AS94*Adm!$X$3))))</f>
        <v>0</v>
      </c>
      <c r="AN95" s="351">
        <f>IF(AS94&lt;0.01,0,IF(Resol!$F$20=Resol!$V$3,0,IF(OR(Resol!$F$10=Resol!$T$16,Resol!$F$10=Resol!$T$17),0,IF(Resol!$F$10=Resol!$T$13,0,$AL$5*Adm!$AA$4/1.16))))</f>
        <v>0</v>
      </c>
      <c r="AO95" s="178">
        <f t="shared" si="49"/>
        <v>0</v>
      </c>
      <c r="AP95" s="178"/>
      <c r="AQ95" s="178">
        <f t="shared" si="37"/>
        <v>0</v>
      </c>
      <c r="AR95" s="178">
        <f t="shared" si="44"/>
        <v>0</v>
      </c>
      <c r="AS95" s="178">
        <f t="shared" si="26"/>
        <v>0</v>
      </c>
      <c r="AT95" s="348"/>
      <c r="AU95" s="348"/>
      <c r="AV95" s="176">
        <f t="shared" si="27"/>
        <v>0</v>
      </c>
      <c r="BB95" s="571">
        <f t="shared" si="45"/>
        <v>11</v>
      </c>
      <c r="BC95" s="293">
        <f>IF(BB95=1,Adm!$AN$2,0)</f>
        <v>0</v>
      </c>
      <c r="BE95" s="341">
        <f t="shared" si="50"/>
        <v>0</v>
      </c>
      <c r="BF95" s="345">
        <f t="shared" ca="1" si="46"/>
        <v>0</v>
      </c>
    </row>
    <row r="96" spans="1:58">
      <c r="A96" s="151">
        <f t="shared" ca="1" si="32"/>
        <v>11</v>
      </c>
      <c r="C96" s="178">
        <f t="shared" si="33"/>
        <v>72</v>
      </c>
      <c r="D96" s="178">
        <f t="shared" si="38"/>
        <v>7079.0026281495147</v>
      </c>
      <c r="E96" s="178">
        <f t="shared" si="28"/>
        <v>2536.3034268283582</v>
      </c>
      <c r="F96" s="178">
        <f t="shared" si="47"/>
        <v>9615.3060549778729</v>
      </c>
      <c r="G96" s="178">
        <f>IF(L95&lt;0.01,0,IF(Adm!$S$3=Adm!$S$13,Cal!$E$94,IF(Adm!$R$3=Adm!$R$6,0,IF(Cal!$E$91=0,L95*Adm!$Y$3,L95*Adm!$X$3))))</f>
        <v>384.50161643422621</v>
      </c>
      <c r="H96" s="178">
        <f>IF(L95&lt;0.01,0,IF(Adm!$R$4=Adm!$R$6,0,IF(Adm!$B$3=Adm!$B$12,0,Cal!$E$89*Adm!$AA$3/1.16)))</f>
        <v>494.46758620689661</v>
      </c>
      <c r="I96" s="178">
        <f>IF(L95&lt;0.01,0,Adm!$O$3)</f>
        <v>250</v>
      </c>
      <c r="J96" s="178">
        <f t="shared" si="34"/>
        <v>10744.275257618996</v>
      </c>
      <c r="K96" s="178">
        <f>IF(Adm!$F$3="si",MIN(L95+D96+G96+H96+I96-J96,Y96),0)</f>
        <v>0</v>
      </c>
      <c r="L96" s="178">
        <f t="shared" si="39"/>
        <v>891653.50223416288</v>
      </c>
      <c r="M96" s="348"/>
      <c r="N96" s="348"/>
      <c r="O96" s="348">
        <f t="shared" si="40"/>
        <v>10744.275257618996</v>
      </c>
      <c r="U96" s="571">
        <f t="shared" si="41"/>
        <v>12</v>
      </c>
      <c r="V96" s="293">
        <f>IF(U96=1,Adm!$AN$2,0)</f>
        <v>0</v>
      </c>
      <c r="X96" s="341">
        <f t="shared" si="48"/>
        <v>0</v>
      </c>
      <c r="Y96" s="345">
        <f t="shared" ca="1" si="42"/>
        <v>0</v>
      </c>
      <c r="AD96" s="172"/>
      <c r="AG96" s="151">
        <f t="shared" ca="1" si="35"/>
        <v>11</v>
      </c>
      <c r="AI96" s="178">
        <f t="shared" si="36"/>
        <v>0</v>
      </c>
      <c r="AJ96" s="178">
        <f t="shared" si="43"/>
        <v>0</v>
      </c>
      <c r="AK96" s="178">
        <f t="shared" si="30"/>
        <v>0</v>
      </c>
      <c r="AL96" s="178">
        <f t="shared" si="31"/>
        <v>0</v>
      </c>
      <c r="AM96" s="351">
        <f>IF(AS95&lt;0.01,0,IF(Resol!$G$19&gt;0,Resol!$G$19,IF(Resol!$F$19=Resol!$U$5,0,IF($AS$10=0,AS95*Adm!$Y$3,AS95*Adm!$X$3))))</f>
        <v>0</v>
      </c>
      <c r="AN96" s="351">
        <f>IF(AS95&lt;0.01,0,IF(Resol!$F$20=Resol!$V$3,0,IF(OR(Resol!$F$10=Resol!$T$16,Resol!$F$10=Resol!$T$17),0,IF(Resol!$F$10=Resol!$T$13,0,$AL$5*Adm!$AA$4/1.16))))</f>
        <v>0</v>
      </c>
      <c r="AO96" s="178">
        <f t="shared" si="49"/>
        <v>0</v>
      </c>
      <c r="AP96" s="178"/>
      <c r="AQ96" s="178">
        <f t="shared" si="37"/>
        <v>0</v>
      </c>
      <c r="AR96" s="178">
        <f t="shared" si="44"/>
        <v>0</v>
      </c>
      <c r="AS96" s="178">
        <f t="shared" si="26"/>
        <v>0</v>
      </c>
      <c r="AT96" s="348"/>
      <c r="AU96" s="348"/>
      <c r="AV96" s="176">
        <f t="shared" si="27"/>
        <v>0</v>
      </c>
      <c r="BB96" s="571">
        <f t="shared" si="45"/>
        <v>12</v>
      </c>
      <c r="BC96" s="293">
        <f>IF(BB96=1,Adm!$AN$2,0)</f>
        <v>0</v>
      </c>
      <c r="BE96" s="341">
        <f t="shared" si="50"/>
        <v>0</v>
      </c>
      <c r="BF96" s="345">
        <f t="shared" ca="1" si="46"/>
        <v>0</v>
      </c>
    </row>
    <row r="97" spans="1:58">
      <c r="A97" s="151">
        <f t="shared" ca="1" si="32"/>
        <v>12</v>
      </c>
      <c r="C97" s="178">
        <f t="shared" si="33"/>
        <v>73</v>
      </c>
      <c r="D97" s="178">
        <f t="shared" si="38"/>
        <v>7058.9235593537896</v>
      </c>
      <c r="E97" s="178">
        <f t="shared" si="28"/>
        <v>2556.3824956240833</v>
      </c>
      <c r="F97" s="178">
        <f t="shared" si="47"/>
        <v>9615.3060549778729</v>
      </c>
      <c r="G97" s="178">
        <f>IF(L96&lt;0.01,0,IF(Adm!$S$3=Adm!$S$13,Cal!$E$94,IF(Adm!$R$3=Adm!$R$6,0,IF(Cal!$E$91=0,L96*Adm!$Y$3,L96*Adm!$X$3))))</f>
        <v>383.41100596069003</v>
      </c>
      <c r="H97" s="178">
        <f>IF(L96&lt;0.01,0,IF(Adm!$R$4=Adm!$R$6,0,IF(Adm!$B$3=Adm!$B$12,0,Cal!$E$89*Adm!$AA$3/1.16)))</f>
        <v>494.46758620689661</v>
      </c>
      <c r="I97" s="178">
        <f>IF(L96&lt;0.01,0,Adm!$O$3)</f>
        <v>250</v>
      </c>
      <c r="J97" s="178">
        <f t="shared" si="34"/>
        <v>10743.184647145459</v>
      </c>
      <c r="K97" s="178">
        <f>IF(Adm!$F$3="si",MIN(L96+D97+G97+H97+I97-J97,Y97),0)</f>
        <v>0</v>
      </c>
      <c r="L97" s="178">
        <f t="shared" si="39"/>
        <v>889097.11973853875</v>
      </c>
      <c r="M97" s="348"/>
      <c r="N97" s="348"/>
      <c r="O97" s="348">
        <f t="shared" si="40"/>
        <v>10743.184647145459</v>
      </c>
      <c r="U97" s="571">
        <f t="shared" si="41"/>
        <v>1</v>
      </c>
      <c r="V97" s="293">
        <f>IF(U97=1,Adm!$AN$2,0)</f>
        <v>0</v>
      </c>
      <c r="X97" s="341">
        <f t="shared" si="48"/>
        <v>0</v>
      </c>
      <c r="Y97" s="345">
        <f t="shared" ca="1" si="42"/>
        <v>0</v>
      </c>
      <c r="AD97" s="172"/>
      <c r="AG97" s="151">
        <f t="shared" ca="1" si="35"/>
        <v>12</v>
      </c>
      <c r="AI97" s="178">
        <f t="shared" si="36"/>
        <v>0</v>
      </c>
      <c r="AJ97" s="178">
        <f t="shared" si="43"/>
        <v>0</v>
      </c>
      <c r="AK97" s="178">
        <f t="shared" si="30"/>
        <v>0</v>
      </c>
      <c r="AL97" s="178">
        <f t="shared" si="31"/>
        <v>0</v>
      </c>
      <c r="AM97" s="351">
        <f>IF(AS96&lt;0.01,0,IF(Resol!$G$19&gt;0,Resol!$G$19,IF(Resol!$F$19=Resol!$U$5,0,IF($AS$10=0,AS96*Adm!$Y$3,AS96*Adm!$X$3))))</f>
        <v>0</v>
      </c>
      <c r="AN97" s="351">
        <f>IF(AS96&lt;0.01,0,IF(Resol!$F$20=Resol!$V$3,0,IF(OR(Resol!$F$10=Resol!$T$16,Resol!$F$10=Resol!$T$17),0,IF(Resol!$F$10=Resol!$T$13,0,$AL$5*Adm!$AA$4/1.16))))</f>
        <v>0</v>
      </c>
      <c r="AO97" s="178">
        <f t="shared" si="49"/>
        <v>0</v>
      </c>
      <c r="AP97" s="178"/>
      <c r="AQ97" s="178">
        <f t="shared" si="37"/>
        <v>0</v>
      </c>
      <c r="AR97" s="178">
        <f t="shared" si="44"/>
        <v>0</v>
      </c>
      <c r="AS97" s="178">
        <f t="shared" si="26"/>
        <v>0</v>
      </c>
      <c r="AT97" s="348"/>
      <c r="AU97" s="348"/>
      <c r="AV97" s="176">
        <f t="shared" si="27"/>
        <v>0</v>
      </c>
      <c r="BB97" s="571">
        <f t="shared" si="45"/>
        <v>1</v>
      </c>
      <c r="BC97" s="293">
        <f>IF(BB97=1,Adm!$AN$2,0)</f>
        <v>0</v>
      </c>
      <c r="BE97" s="341">
        <f t="shared" si="50"/>
        <v>0</v>
      </c>
      <c r="BF97" s="345">
        <f t="shared" ca="1" si="46"/>
        <v>0</v>
      </c>
    </row>
    <row r="98" spans="1:58">
      <c r="A98" s="151">
        <f t="shared" ca="1" si="32"/>
        <v>1</v>
      </c>
      <c r="C98" s="178">
        <f t="shared" si="33"/>
        <v>74</v>
      </c>
      <c r="D98" s="178">
        <f t="shared" si="38"/>
        <v>7038.6855312634316</v>
      </c>
      <c r="E98" s="178">
        <f t="shared" si="28"/>
        <v>2576.6205237144413</v>
      </c>
      <c r="F98" s="178">
        <f t="shared" si="47"/>
        <v>9615.3060549778729</v>
      </c>
      <c r="G98" s="178">
        <f>IF(L97&lt;0.01,0,IF(Adm!$S$3=Adm!$S$13,Cal!$E$94,IF(Adm!$R$3=Adm!$R$6,0,IF(Cal!$E$91=0,L97*Adm!$Y$3,L97*Adm!$X$3))))</f>
        <v>382.31176148757163</v>
      </c>
      <c r="H98" s="178">
        <f>IF(L97&lt;0.01,0,IF(Adm!$R$4=Adm!$R$6,0,IF(Adm!$B$3=Adm!$B$12,0,Cal!$E$89*Adm!$AA$3/1.16)))</f>
        <v>494.46758620689661</v>
      </c>
      <c r="I98" s="178">
        <f>IF(L97&lt;0.01,0,Adm!$O$3)</f>
        <v>250</v>
      </c>
      <c r="J98" s="178">
        <f t="shared" si="34"/>
        <v>10742.085402672341</v>
      </c>
      <c r="K98" s="178">
        <f>IF(Adm!$F$3="si",MIN(L97+D98+G98+H98+I98-J98,Y98),0)</f>
        <v>0</v>
      </c>
      <c r="L98" s="178">
        <f t="shared" si="39"/>
        <v>886520.49921482429</v>
      </c>
      <c r="M98" s="348"/>
      <c r="N98" s="348"/>
      <c r="O98" s="348">
        <f t="shared" si="40"/>
        <v>10742.085402672341</v>
      </c>
      <c r="U98" s="571">
        <f t="shared" si="41"/>
        <v>2</v>
      </c>
      <c r="V98" s="293">
        <f>IF(U98=1,Adm!$AN$2,0)</f>
        <v>0</v>
      </c>
      <c r="X98" s="341">
        <f t="shared" si="48"/>
        <v>0</v>
      </c>
      <c r="Y98" s="345">
        <f t="shared" ca="1" si="42"/>
        <v>0</v>
      </c>
      <c r="AD98" s="172"/>
      <c r="AG98" s="151">
        <f t="shared" ca="1" si="35"/>
        <v>1</v>
      </c>
      <c r="AI98" s="178">
        <f t="shared" si="36"/>
        <v>0</v>
      </c>
      <c r="AJ98" s="178">
        <f t="shared" si="43"/>
        <v>0</v>
      </c>
      <c r="AK98" s="178">
        <f t="shared" si="30"/>
        <v>0</v>
      </c>
      <c r="AL98" s="178">
        <f t="shared" si="31"/>
        <v>0</v>
      </c>
      <c r="AM98" s="351">
        <f>IF(AS97&lt;0.01,0,IF(Resol!$G$19&gt;0,Resol!$G$19,IF(Resol!$F$19=Resol!$U$5,0,IF($AS$10=0,AS97*Adm!$Y$3,AS97*Adm!$X$3))))</f>
        <v>0</v>
      </c>
      <c r="AN98" s="351">
        <f>IF(AS97&lt;0.01,0,IF(Resol!$F$20=Resol!$V$3,0,IF(OR(Resol!$F$10=Resol!$T$16,Resol!$F$10=Resol!$T$17),0,IF(Resol!$F$10=Resol!$T$13,0,$AL$5*Adm!$AA$4/1.16))))</f>
        <v>0</v>
      </c>
      <c r="AO98" s="178">
        <f t="shared" si="49"/>
        <v>0</v>
      </c>
      <c r="AP98" s="178"/>
      <c r="AQ98" s="178">
        <f t="shared" si="37"/>
        <v>0</v>
      </c>
      <c r="AR98" s="178">
        <f t="shared" si="44"/>
        <v>0</v>
      </c>
      <c r="AS98" s="178">
        <f t="shared" ref="AS98:AS161" si="51">IF(AS97&lt;0.01,0,AS97-AK98-AR98)</f>
        <v>0</v>
      </c>
      <c r="AT98" s="348"/>
      <c r="AU98" s="348"/>
      <c r="AV98" s="176">
        <f t="shared" ref="AV98:AV161" si="52">AQ98+AR98</f>
        <v>0</v>
      </c>
      <c r="BB98" s="571">
        <f t="shared" si="45"/>
        <v>2</v>
      </c>
      <c r="BC98" s="293">
        <f>IF(BB98=1,Adm!$AN$2,0)</f>
        <v>0</v>
      </c>
      <c r="BE98" s="341">
        <f t="shared" si="50"/>
        <v>0</v>
      </c>
      <c r="BF98" s="345">
        <f t="shared" ca="1" si="46"/>
        <v>0</v>
      </c>
    </row>
    <row r="99" spans="1:58">
      <c r="A99" s="151">
        <f t="shared" ca="1" si="32"/>
        <v>2</v>
      </c>
      <c r="C99" s="178">
        <f t="shared" si="33"/>
        <v>75</v>
      </c>
      <c r="D99" s="178">
        <f t="shared" si="38"/>
        <v>7018.2872854506923</v>
      </c>
      <c r="E99" s="178">
        <f t="shared" si="28"/>
        <v>2597.0187695271807</v>
      </c>
      <c r="F99" s="178">
        <f t="shared" si="47"/>
        <v>9615.3060549778729</v>
      </c>
      <c r="G99" s="178">
        <f>IF(L98&lt;0.01,0,IF(Adm!$S$3=Adm!$S$13,Cal!$E$94,IF(Adm!$R$3=Adm!$R$6,0,IF(Cal!$E$91=0,L98*Adm!$Y$3,L98*Adm!$X$3))))</f>
        <v>381.20381466237444</v>
      </c>
      <c r="H99" s="178">
        <f>IF(L98&lt;0.01,0,IF(Adm!$R$4=Adm!$R$6,0,IF(Adm!$B$3=Adm!$B$12,0,Cal!$E$89*Adm!$AA$3/1.16)))</f>
        <v>494.46758620689661</v>
      </c>
      <c r="I99" s="178">
        <f>IF(L98&lt;0.01,0,Adm!$O$3)</f>
        <v>250</v>
      </c>
      <c r="J99" s="178">
        <f t="shared" si="34"/>
        <v>10740.977455847144</v>
      </c>
      <c r="K99" s="178">
        <f>IF(Adm!$F$3="si",MIN(L98+D99+G99+H99+I99-J99,Y99),0)</f>
        <v>0</v>
      </c>
      <c r="L99" s="178">
        <f t="shared" si="39"/>
        <v>883923.48044529709</v>
      </c>
      <c r="M99" s="348"/>
      <c r="N99" s="348"/>
      <c r="O99" s="348">
        <f t="shared" si="40"/>
        <v>10740.977455847144</v>
      </c>
      <c r="U99" s="571">
        <f t="shared" si="41"/>
        <v>3</v>
      </c>
      <c r="V99" s="293">
        <f>IF(U99=1,Adm!$AN$2,0)</f>
        <v>0</v>
      </c>
      <c r="X99" s="341">
        <f t="shared" si="48"/>
        <v>0</v>
      </c>
      <c r="Y99" s="345">
        <f t="shared" ca="1" si="42"/>
        <v>0</v>
      </c>
      <c r="AD99" s="172"/>
      <c r="AG99" s="151">
        <f t="shared" ca="1" si="35"/>
        <v>2</v>
      </c>
      <c r="AI99" s="178">
        <f t="shared" si="36"/>
        <v>0</v>
      </c>
      <c r="AJ99" s="178">
        <f t="shared" si="43"/>
        <v>0</v>
      </c>
      <c r="AK99" s="178">
        <f t="shared" si="30"/>
        <v>0</v>
      </c>
      <c r="AL99" s="178">
        <f t="shared" si="31"/>
        <v>0</v>
      </c>
      <c r="AM99" s="351">
        <f>IF(AS98&lt;0.01,0,IF(Resol!$G$19&gt;0,Resol!$G$19,IF(Resol!$F$19=Resol!$U$5,0,IF($AS$10=0,AS98*Adm!$Y$3,AS98*Adm!$X$3))))</f>
        <v>0</v>
      </c>
      <c r="AN99" s="351">
        <f>IF(AS98&lt;0.01,0,IF(Resol!$F$20=Resol!$V$3,0,IF(OR(Resol!$F$10=Resol!$T$16,Resol!$F$10=Resol!$T$17),0,IF(Resol!$F$10=Resol!$T$13,0,$AL$5*Adm!$AA$4/1.16))))</f>
        <v>0</v>
      </c>
      <c r="AO99" s="178">
        <f t="shared" si="49"/>
        <v>0</v>
      </c>
      <c r="AP99" s="178"/>
      <c r="AQ99" s="178">
        <f t="shared" si="37"/>
        <v>0</v>
      </c>
      <c r="AR99" s="178">
        <f t="shared" si="44"/>
        <v>0</v>
      </c>
      <c r="AS99" s="178">
        <f t="shared" si="51"/>
        <v>0</v>
      </c>
      <c r="AT99" s="348"/>
      <c r="AU99" s="348"/>
      <c r="AV99" s="176">
        <f t="shared" si="52"/>
        <v>0</v>
      </c>
      <c r="BB99" s="571">
        <f t="shared" si="45"/>
        <v>3</v>
      </c>
      <c r="BC99" s="293">
        <f>IF(BB99=1,Adm!$AN$2,0)</f>
        <v>0</v>
      </c>
      <c r="BE99" s="341">
        <f t="shared" si="50"/>
        <v>0</v>
      </c>
      <c r="BF99" s="345">
        <f t="shared" ca="1" si="46"/>
        <v>0</v>
      </c>
    </row>
    <row r="100" spans="1:58">
      <c r="A100" s="151">
        <f t="shared" ca="1" si="32"/>
        <v>3</v>
      </c>
      <c r="C100" s="178">
        <f t="shared" si="33"/>
        <v>76</v>
      </c>
      <c r="D100" s="178">
        <f t="shared" si="38"/>
        <v>6997.7275535252693</v>
      </c>
      <c r="E100" s="178">
        <f t="shared" si="28"/>
        <v>2617.5785014526036</v>
      </c>
      <c r="F100" s="178">
        <f t="shared" si="47"/>
        <v>9615.3060549778729</v>
      </c>
      <c r="G100" s="178">
        <f>IF(L99&lt;0.01,0,IF(Adm!$S$3=Adm!$S$13,Cal!$E$94,IF(Adm!$R$3=Adm!$R$6,0,IF(Cal!$E$91=0,L99*Adm!$Y$3,L99*Adm!$X$3))))</f>
        <v>380.08709659147775</v>
      </c>
      <c r="H100" s="178">
        <f>IF(L99&lt;0.01,0,IF(Adm!$R$4=Adm!$R$6,0,IF(Adm!$B$3=Adm!$B$12,0,Cal!$E$89*Adm!$AA$3/1.16)))</f>
        <v>494.46758620689661</v>
      </c>
      <c r="I100" s="178">
        <f>IF(L99&lt;0.01,0,Adm!$O$3)</f>
        <v>250</v>
      </c>
      <c r="J100" s="178">
        <f t="shared" si="34"/>
        <v>10739.860737776247</v>
      </c>
      <c r="K100" s="178">
        <f>IF(Adm!$F$3="si",MIN(L99+D100+G100+H100+I100-J100,Y100),0)</f>
        <v>0</v>
      </c>
      <c r="L100" s="178">
        <f t="shared" si="39"/>
        <v>881305.90194384451</v>
      </c>
      <c r="M100" s="348"/>
      <c r="N100" s="348"/>
      <c r="O100" s="348">
        <f t="shared" si="40"/>
        <v>10739.860737776247</v>
      </c>
      <c r="U100" s="571">
        <f t="shared" si="41"/>
        <v>4</v>
      </c>
      <c r="V100" s="293">
        <f>IF(U100=1,Adm!$AN$2,0)</f>
        <v>0</v>
      </c>
      <c r="X100" s="341">
        <f t="shared" si="48"/>
        <v>0</v>
      </c>
      <c r="Y100" s="345">
        <f t="shared" ca="1" si="42"/>
        <v>0</v>
      </c>
      <c r="AD100" s="172"/>
      <c r="AG100" s="151">
        <f t="shared" ca="1" si="35"/>
        <v>3</v>
      </c>
      <c r="AI100" s="178">
        <f t="shared" si="36"/>
        <v>0</v>
      </c>
      <c r="AJ100" s="178">
        <f t="shared" si="43"/>
        <v>0</v>
      </c>
      <c r="AK100" s="178">
        <f t="shared" si="30"/>
        <v>0</v>
      </c>
      <c r="AL100" s="178">
        <f t="shared" si="31"/>
        <v>0</v>
      </c>
      <c r="AM100" s="351">
        <f>IF(AS99&lt;0.01,0,IF(Resol!$G$19&gt;0,Resol!$G$19,IF(Resol!$F$19=Resol!$U$5,0,IF($AS$10=0,AS99*Adm!$Y$3,AS99*Adm!$X$3))))</f>
        <v>0</v>
      </c>
      <c r="AN100" s="351">
        <f>IF(AS99&lt;0.01,0,IF(Resol!$F$20=Resol!$V$3,0,IF(OR(Resol!$F$10=Resol!$T$16,Resol!$F$10=Resol!$T$17),0,IF(Resol!$F$10=Resol!$T$13,0,$AL$5*Adm!$AA$4/1.16))))</f>
        <v>0</v>
      </c>
      <c r="AO100" s="178">
        <f t="shared" si="49"/>
        <v>0</v>
      </c>
      <c r="AP100" s="178"/>
      <c r="AQ100" s="178">
        <f t="shared" si="37"/>
        <v>0</v>
      </c>
      <c r="AR100" s="178">
        <f t="shared" si="44"/>
        <v>0</v>
      </c>
      <c r="AS100" s="178">
        <f t="shared" si="51"/>
        <v>0</v>
      </c>
      <c r="AT100" s="348"/>
      <c r="AU100" s="348"/>
      <c r="AV100" s="176">
        <f t="shared" si="52"/>
        <v>0</v>
      </c>
      <c r="BB100" s="571">
        <f t="shared" si="45"/>
        <v>4</v>
      </c>
      <c r="BC100" s="293">
        <f>IF(BB100=1,Adm!$AN$2,0)</f>
        <v>0</v>
      </c>
      <c r="BE100" s="341">
        <f t="shared" si="50"/>
        <v>0</v>
      </c>
      <c r="BF100" s="345">
        <f t="shared" ca="1" si="46"/>
        <v>0</v>
      </c>
    </row>
    <row r="101" spans="1:58">
      <c r="A101" s="151">
        <f t="shared" ca="1" si="32"/>
        <v>4</v>
      </c>
      <c r="C101" s="178">
        <f t="shared" si="33"/>
        <v>77</v>
      </c>
      <c r="D101" s="178">
        <f t="shared" si="38"/>
        <v>6977.0050570554349</v>
      </c>
      <c r="E101" s="178">
        <f t="shared" si="28"/>
        <v>2638.300997922438</v>
      </c>
      <c r="F101" s="178">
        <f t="shared" si="47"/>
        <v>9615.3060549778729</v>
      </c>
      <c r="G101" s="178">
        <f>IF(L100&lt;0.01,0,IF(Adm!$S$3=Adm!$S$13,Cal!$E$94,IF(Adm!$R$3=Adm!$R$6,0,IF(Cal!$E$91=0,L100*Adm!$Y$3,L100*Adm!$X$3))))</f>
        <v>378.96153783585311</v>
      </c>
      <c r="H101" s="178">
        <f>IF(L100&lt;0.01,0,IF(Adm!$R$4=Adm!$R$6,0,IF(Adm!$B$3=Adm!$B$12,0,Cal!$E$89*Adm!$AA$3/1.16)))</f>
        <v>494.46758620689661</v>
      </c>
      <c r="I101" s="178">
        <f>IF(L100&lt;0.01,0,Adm!$O$3)</f>
        <v>250</v>
      </c>
      <c r="J101" s="178">
        <f t="shared" si="34"/>
        <v>10738.735179020623</v>
      </c>
      <c r="K101" s="178">
        <f>IF(Adm!$F$3="si",MIN(L100+D101+G101+H101+I101-J101,Y101),0)</f>
        <v>0</v>
      </c>
      <c r="L101" s="178">
        <f t="shared" si="39"/>
        <v>878667.60094592208</v>
      </c>
      <c r="M101" s="348"/>
      <c r="N101" s="348"/>
      <c r="O101" s="348">
        <f t="shared" si="40"/>
        <v>10738.735179020623</v>
      </c>
      <c r="U101" s="571">
        <f t="shared" si="41"/>
        <v>5</v>
      </c>
      <c r="V101" s="293">
        <f>IF(U101=1,Adm!$AN$2,0)</f>
        <v>0</v>
      </c>
      <c r="X101" s="341">
        <f t="shared" si="48"/>
        <v>0</v>
      </c>
      <c r="Y101" s="345">
        <f t="shared" ca="1" si="42"/>
        <v>0</v>
      </c>
      <c r="AD101" s="172"/>
      <c r="AG101" s="151">
        <f t="shared" ca="1" si="35"/>
        <v>4</v>
      </c>
      <c r="AI101" s="178">
        <f t="shared" si="36"/>
        <v>0</v>
      </c>
      <c r="AJ101" s="178">
        <f t="shared" si="43"/>
        <v>0</v>
      </c>
      <c r="AK101" s="178">
        <f t="shared" si="30"/>
        <v>0</v>
      </c>
      <c r="AL101" s="178">
        <f t="shared" si="31"/>
        <v>0</v>
      </c>
      <c r="AM101" s="351">
        <f>IF(AS100&lt;0.01,0,IF(Resol!$G$19&gt;0,Resol!$G$19,IF(Resol!$F$19=Resol!$U$5,0,IF($AS$10=0,AS100*Adm!$Y$3,AS100*Adm!$X$3))))</f>
        <v>0</v>
      </c>
      <c r="AN101" s="351">
        <f>IF(AS100&lt;0.01,0,IF(Resol!$F$20=Resol!$V$3,0,IF(OR(Resol!$F$10=Resol!$T$16,Resol!$F$10=Resol!$T$17),0,IF(Resol!$F$10=Resol!$T$13,0,$AL$5*Adm!$AA$4/1.16))))</f>
        <v>0</v>
      </c>
      <c r="AO101" s="178">
        <f t="shared" si="49"/>
        <v>0</v>
      </c>
      <c r="AP101" s="178"/>
      <c r="AQ101" s="178">
        <f t="shared" si="37"/>
        <v>0</v>
      </c>
      <c r="AR101" s="178">
        <f t="shared" si="44"/>
        <v>0</v>
      </c>
      <c r="AS101" s="178">
        <f t="shared" si="51"/>
        <v>0</v>
      </c>
      <c r="AT101" s="348"/>
      <c r="AU101" s="348"/>
      <c r="AV101" s="176">
        <f t="shared" si="52"/>
        <v>0</v>
      </c>
      <c r="BB101" s="571">
        <f t="shared" si="45"/>
        <v>5</v>
      </c>
      <c r="BC101" s="293">
        <f>IF(BB101=1,Adm!$AN$2,0)</f>
        <v>0</v>
      </c>
      <c r="BE101" s="341">
        <f t="shared" si="50"/>
        <v>0</v>
      </c>
      <c r="BF101" s="345">
        <f t="shared" ca="1" si="46"/>
        <v>0</v>
      </c>
    </row>
    <row r="102" spans="1:58">
      <c r="A102" s="151">
        <f t="shared" ca="1" si="32"/>
        <v>5</v>
      </c>
      <c r="C102" s="178">
        <f t="shared" si="33"/>
        <v>78</v>
      </c>
      <c r="D102" s="178">
        <f t="shared" si="38"/>
        <v>6956.1185074885498</v>
      </c>
      <c r="E102" s="178">
        <f t="shared" ref="E102:E165" si="53">IF(L101&lt;0.01,0,F102-D102)</f>
        <v>2659.1875474893232</v>
      </c>
      <c r="F102" s="178">
        <f t="shared" si="47"/>
        <v>9615.3060549778729</v>
      </c>
      <c r="G102" s="178">
        <f>IF(L101&lt;0.01,0,IF(Adm!$S$3=Adm!$S$13,Cal!$E$94,IF(Adm!$R$3=Adm!$R$6,0,IF(Cal!$E$91=0,L101*Adm!$Y$3,L101*Adm!$X$3))))</f>
        <v>377.82706840674649</v>
      </c>
      <c r="H102" s="178">
        <f>IF(L101&lt;0.01,0,IF(Adm!$R$4=Adm!$R$6,0,IF(Adm!$B$3=Adm!$B$12,0,Cal!$E$89*Adm!$AA$3/1.16)))</f>
        <v>494.46758620689661</v>
      </c>
      <c r="I102" s="178">
        <f>IF(L101&lt;0.01,0,Adm!$O$3)</f>
        <v>250</v>
      </c>
      <c r="J102" s="178">
        <f t="shared" si="34"/>
        <v>10737.600709591516</v>
      </c>
      <c r="K102" s="178">
        <f>IF(Adm!$F$3="si",MIN(L101+D102+G102+H102+I102-J102,Y102),0)</f>
        <v>0</v>
      </c>
      <c r="L102" s="178">
        <f t="shared" si="39"/>
        <v>876008.41339843278</v>
      </c>
      <c r="M102" s="348"/>
      <c r="N102" s="348"/>
      <c r="O102" s="348">
        <f t="shared" si="40"/>
        <v>10737.600709591516</v>
      </c>
      <c r="U102" s="571">
        <f t="shared" si="41"/>
        <v>6</v>
      </c>
      <c r="V102" s="293">
        <f>IF(U102=1,Adm!$AN$2,0)</f>
        <v>0</v>
      </c>
      <c r="X102" s="341">
        <f t="shared" si="48"/>
        <v>0</v>
      </c>
      <c r="Y102" s="345">
        <f t="shared" ca="1" si="42"/>
        <v>0</v>
      </c>
      <c r="AD102" s="172"/>
      <c r="AG102" s="151">
        <f t="shared" ca="1" si="35"/>
        <v>5</v>
      </c>
      <c r="AI102" s="178">
        <f t="shared" si="36"/>
        <v>0</v>
      </c>
      <c r="AJ102" s="178">
        <f t="shared" si="43"/>
        <v>0</v>
      </c>
      <c r="AK102" s="178">
        <f t="shared" ref="AK102:AK165" si="54">IF(AS101&lt;0.01,0,AL102-AJ102)</f>
        <v>0</v>
      </c>
      <c r="AL102" s="178">
        <f t="shared" ref="AL102:AL165" si="55">IF(AS101&lt;0.1,0,MIN(AS101+AJ102,AL101*(1+BC102)))</f>
        <v>0</v>
      </c>
      <c r="AM102" s="351">
        <f>IF(AS101&lt;0.01,0,IF(Resol!$G$19&gt;0,Resol!$G$19,IF(Resol!$F$19=Resol!$U$5,0,IF($AS$10=0,AS101*Adm!$Y$3,AS101*Adm!$X$3))))</f>
        <v>0</v>
      </c>
      <c r="AN102" s="351">
        <f>IF(AS101&lt;0.01,0,IF(Resol!$F$20=Resol!$V$3,0,IF(OR(Resol!$F$10=Resol!$T$16,Resol!$F$10=Resol!$T$17),0,IF(Resol!$F$10=Resol!$T$13,0,$AL$5*Adm!$AA$4/1.16))))</f>
        <v>0</v>
      </c>
      <c r="AO102" s="178">
        <f t="shared" si="49"/>
        <v>0</v>
      </c>
      <c r="AP102" s="178"/>
      <c r="AQ102" s="178">
        <f t="shared" si="37"/>
        <v>0</v>
      </c>
      <c r="AR102" s="178">
        <f t="shared" si="44"/>
        <v>0</v>
      </c>
      <c r="AS102" s="178">
        <f t="shared" si="51"/>
        <v>0</v>
      </c>
      <c r="AT102" s="348"/>
      <c r="AU102" s="348"/>
      <c r="AV102" s="176">
        <f t="shared" si="52"/>
        <v>0</v>
      </c>
      <c r="BB102" s="571">
        <f t="shared" si="45"/>
        <v>6</v>
      </c>
      <c r="BC102" s="293">
        <f>IF(BB102=1,Adm!$AN$2,0)</f>
        <v>0</v>
      </c>
      <c r="BE102" s="341">
        <f t="shared" si="50"/>
        <v>0</v>
      </c>
      <c r="BF102" s="345">
        <f t="shared" ca="1" si="46"/>
        <v>0</v>
      </c>
    </row>
    <row r="103" spans="1:58">
      <c r="A103" s="151">
        <f t="shared" ca="1" si="32"/>
        <v>6</v>
      </c>
      <c r="C103" s="178">
        <f t="shared" si="33"/>
        <v>79</v>
      </c>
      <c r="D103" s="178">
        <f t="shared" si="38"/>
        <v>6935.0666060709264</v>
      </c>
      <c r="E103" s="178">
        <f t="shared" si="53"/>
        <v>2680.2394489069466</v>
      </c>
      <c r="F103" s="178">
        <f t="shared" si="47"/>
        <v>9615.3060549778729</v>
      </c>
      <c r="G103" s="178">
        <f>IF(L102&lt;0.01,0,IF(Adm!$S$3=Adm!$S$13,Cal!$E$94,IF(Adm!$R$3=Adm!$R$6,0,IF(Cal!$E$91=0,L102*Adm!$Y$3,L102*Adm!$X$3))))</f>
        <v>376.6836177613261</v>
      </c>
      <c r="H103" s="178">
        <f>IF(L102&lt;0.01,0,IF(Adm!$R$4=Adm!$R$6,0,IF(Adm!$B$3=Adm!$B$12,0,Cal!$E$89*Adm!$AA$3/1.16)))</f>
        <v>494.46758620689661</v>
      </c>
      <c r="I103" s="178">
        <f>IF(L102&lt;0.01,0,Adm!$O$3)</f>
        <v>250</v>
      </c>
      <c r="J103" s="178">
        <f t="shared" si="34"/>
        <v>10736.457258946095</v>
      </c>
      <c r="K103" s="178">
        <f>IF(Adm!$F$3="si",MIN(L102+D103+G103+H103+I103-J103,Y103),0)</f>
        <v>0</v>
      </c>
      <c r="L103" s="178">
        <f t="shared" si="39"/>
        <v>873328.17394952581</v>
      </c>
      <c r="M103" s="348"/>
      <c r="N103" s="348"/>
      <c r="O103" s="348">
        <f t="shared" si="40"/>
        <v>10736.457258946095</v>
      </c>
      <c r="U103" s="571">
        <f t="shared" si="41"/>
        <v>7</v>
      </c>
      <c r="V103" s="293">
        <f>IF(U103=1,Adm!$AN$2,0)</f>
        <v>0</v>
      </c>
      <c r="X103" s="341">
        <f t="shared" si="48"/>
        <v>0</v>
      </c>
      <c r="Y103" s="345">
        <f t="shared" ca="1" si="42"/>
        <v>0</v>
      </c>
      <c r="AD103" s="172"/>
      <c r="AG103" s="151">
        <f t="shared" ca="1" si="35"/>
        <v>6</v>
      </c>
      <c r="AI103" s="178">
        <f t="shared" si="36"/>
        <v>0</v>
      </c>
      <c r="AJ103" s="178">
        <f t="shared" si="43"/>
        <v>0</v>
      </c>
      <c r="AK103" s="178">
        <f t="shared" si="54"/>
        <v>0</v>
      </c>
      <c r="AL103" s="178">
        <f t="shared" si="55"/>
        <v>0</v>
      </c>
      <c r="AM103" s="351">
        <f>IF(AS102&lt;0.01,0,IF(Resol!$G$19&gt;0,Resol!$G$19,IF(Resol!$F$19=Resol!$U$5,0,IF($AS$10=0,AS102*Adm!$Y$3,AS102*Adm!$X$3))))</f>
        <v>0</v>
      </c>
      <c r="AN103" s="351">
        <f>IF(AS102&lt;0.01,0,IF(Resol!$F$20=Resol!$V$3,0,IF(OR(Resol!$F$10=Resol!$T$16,Resol!$F$10=Resol!$T$17),0,IF(Resol!$F$10=Resol!$T$13,0,$AL$5*Adm!$AA$4/1.16))))</f>
        <v>0</v>
      </c>
      <c r="AO103" s="178">
        <f t="shared" si="49"/>
        <v>0</v>
      </c>
      <c r="AP103" s="178"/>
      <c r="AQ103" s="178">
        <f t="shared" si="37"/>
        <v>0</v>
      </c>
      <c r="AR103" s="178">
        <f t="shared" si="44"/>
        <v>0</v>
      </c>
      <c r="AS103" s="178">
        <f t="shared" si="51"/>
        <v>0</v>
      </c>
      <c r="AT103" s="348"/>
      <c r="AU103" s="348"/>
      <c r="AV103" s="176">
        <f t="shared" si="52"/>
        <v>0</v>
      </c>
      <c r="BB103" s="571">
        <f t="shared" si="45"/>
        <v>7</v>
      </c>
      <c r="BC103" s="293">
        <f>IF(BB103=1,Adm!$AN$2,0)</f>
        <v>0</v>
      </c>
      <c r="BE103" s="341">
        <f t="shared" si="50"/>
        <v>0</v>
      </c>
      <c r="BF103" s="345">
        <f t="shared" ca="1" si="46"/>
        <v>0</v>
      </c>
    </row>
    <row r="104" spans="1:58">
      <c r="A104" s="151">
        <f t="shared" ca="1" si="32"/>
        <v>7</v>
      </c>
      <c r="C104" s="178">
        <f t="shared" si="33"/>
        <v>80</v>
      </c>
      <c r="D104" s="178">
        <f t="shared" si="38"/>
        <v>6913.8480437670796</v>
      </c>
      <c r="E104" s="178">
        <f t="shared" si="53"/>
        <v>2701.4580112107933</v>
      </c>
      <c r="F104" s="178">
        <f t="shared" si="47"/>
        <v>9615.3060549778729</v>
      </c>
      <c r="G104" s="178">
        <f>IF(L103&lt;0.01,0,IF(Adm!$S$3=Adm!$S$13,Cal!$E$94,IF(Adm!$R$3=Adm!$R$6,0,IF(Cal!$E$91=0,L103*Adm!$Y$3,L103*Adm!$X$3))))</f>
        <v>375.53111479829607</v>
      </c>
      <c r="H104" s="178">
        <f>IF(L103&lt;0.01,0,IF(Adm!$R$4=Adm!$R$6,0,IF(Adm!$B$3=Adm!$B$12,0,Cal!$E$89*Adm!$AA$3/1.16)))</f>
        <v>494.46758620689661</v>
      </c>
      <c r="I104" s="178">
        <f>IF(L103&lt;0.01,0,Adm!$O$3)</f>
        <v>250</v>
      </c>
      <c r="J104" s="178">
        <f t="shared" si="34"/>
        <v>10735.304755983065</v>
      </c>
      <c r="K104" s="178">
        <f>IF(Adm!$F$3="si",MIN(L103+D104+G104+H104+I104-J104,Y104),0)</f>
        <v>0</v>
      </c>
      <c r="L104" s="178">
        <f t="shared" si="39"/>
        <v>870626.71593831503</v>
      </c>
      <c r="M104" s="348"/>
      <c r="N104" s="348"/>
      <c r="O104" s="348">
        <f t="shared" si="40"/>
        <v>10735.304755983065</v>
      </c>
      <c r="U104" s="571">
        <f t="shared" si="41"/>
        <v>8</v>
      </c>
      <c r="V104" s="293">
        <f>IF(U104=1,Adm!$AN$2,0)</f>
        <v>0</v>
      </c>
      <c r="X104" s="341">
        <f t="shared" si="48"/>
        <v>0</v>
      </c>
      <c r="Y104" s="345">
        <f t="shared" ca="1" si="42"/>
        <v>0</v>
      </c>
      <c r="AD104" s="172"/>
      <c r="AG104" s="151">
        <f t="shared" ca="1" si="35"/>
        <v>7</v>
      </c>
      <c r="AI104" s="178">
        <f t="shared" si="36"/>
        <v>0</v>
      </c>
      <c r="AJ104" s="178">
        <f t="shared" si="43"/>
        <v>0</v>
      </c>
      <c r="AK104" s="178">
        <f t="shared" si="54"/>
        <v>0</v>
      </c>
      <c r="AL104" s="178">
        <f t="shared" si="55"/>
        <v>0</v>
      </c>
      <c r="AM104" s="351">
        <f>IF(AS103&lt;0.01,0,IF(Resol!$G$19&gt;0,Resol!$G$19,IF(Resol!$F$19=Resol!$U$5,0,IF($AS$10=0,AS103*Adm!$Y$3,AS103*Adm!$X$3))))</f>
        <v>0</v>
      </c>
      <c r="AN104" s="351">
        <f>IF(AS103&lt;0.01,0,IF(Resol!$F$20=Resol!$V$3,0,IF(OR(Resol!$F$10=Resol!$T$16,Resol!$F$10=Resol!$T$17),0,IF(Resol!$F$10=Resol!$T$13,0,$AL$5*Adm!$AA$4/1.16))))</f>
        <v>0</v>
      </c>
      <c r="AO104" s="178">
        <f t="shared" si="49"/>
        <v>0</v>
      </c>
      <c r="AP104" s="178"/>
      <c r="AQ104" s="178">
        <f t="shared" si="37"/>
        <v>0</v>
      </c>
      <c r="AR104" s="178">
        <f t="shared" si="44"/>
        <v>0</v>
      </c>
      <c r="AS104" s="178">
        <f t="shared" si="51"/>
        <v>0</v>
      </c>
      <c r="AT104" s="348"/>
      <c r="AU104" s="348"/>
      <c r="AV104" s="176">
        <f t="shared" si="52"/>
        <v>0</v>
      </c>
      <c r="BB104" s="571">
        <f t="shared" si="45"/>
        <v>8</v>
      </c>
      <c r="BC104" s="293">
        <f>IF(BB104=1,Adm!$AN$2,0)</f>
        <v>0</v>
      </c>
      <c r="BE104" s="341">
        <f t="shared" si="50"/>
        <v>0</v>
      </c>
      <c r="BF104" s="345">
        <f t="shared" ca="1" si="46"/>
        <v>0</v>
      </c>
    </row>
    <row r="105" spans="1:58">
      <c r="A105" s="151">
        <f t="shared" ca="1" si="32"/>
        <v>8</v>
      </c>
      <c r="C105" s="178">
        <f t="shared" si="33"/>
        <v>81</v>
      </c>
      <c r="D105" s="178">
        <f t="shared" si="38"/>
        <v>6892.4615011783271</v>
      </c>
      <c r="E105" s="178">
        <f t="shared" si="53"/>
        <v>2722.8445537995458</v>
      </c>
      <c r="F105" s="178">
        <f t="shared" si="47"/>
        <v>9615.3060549778729</v>
      </c>
      <c r="G105" s="178">
        <f>IF(L104&lt;0.01,0,IF(Adm!$S$3=Adm!$S$13,Cal!$E$94,IF(Adm!$R$3=Adm!$R$6,0,IF(Cal!$E$91=0,L104*Adm!$Y$3,L104*Adm!$X$3))))</f>
        <v>374.36948785347545</v>
      </c>
      <c r="H105" s="178">
        <f>IF(L104&lt;0.01,0,IF(Adm!$R$4=Adm!$R$6,0,IF(Adm!$B$3=Adm!$B$12,0,Cal!$E$89*Adm!$AA$3/1.16)))</f>
        <v>494.46758620689661</v>
      </c>
      <c r="I105" s="178">
        <f>IF(L104&lt;0.01,0,Adm!$O$3)</f>
        <v>250</v>
      </c>
      <c r="J105" s="178">
        <f t="shared" si="34"/>
        <v>10734.143129038244</v>
      </c>
      <c r="K105" s="178">
        <f>IF(Adm!$F$3="si",MIN(L104+D105+G105+H105+I105-J105,Y105),0)</f>
        <v>0</v>
      </c>
      <c r="L105" s="178">
        <f t="shared" si="39"/>
        <v>867903.87138451543</v>
      </c>
      <c r="M105" s="348"/>
      <c r="N105" s="348"/>
      <c r="O105" s="348">
        <f t="shared" si="40"/>
        <v>10734.143129038244</v>
      </c>
      <c r="U105" s="571">
        <f t="shared" si="41"/>
        <v>9</v>
      </c>
      <c r="V105" s="293">
        <f>IF(U105=1,Adm!$AN$2,0)</f>
        <v>0</v>
      </c>
      <c r="X105" s="341">
        <f t="shared" si="48"/>
        <v>0</v>
      </c>
      <c r="Y105" s="345">
        <f t="shared" ca="1" si="42"/>
        <v>0</v>
      </c>
      <c r="AD105" s="172"/>
      <c r="AG105" s="151">
        <f t="shared" ca="1" si="35"/>
        <v>8</v>
      </c>
      <c r="AI105" s="178">
        <f t="shared" si="36"/>
        <v>0</v>
      </c>
      <c r="AJ105" s="178">
        <f t="shared" si="43"/>
        <v>0</v>
      </c>
      <c r="AK105" s="178">
        <f t="shared" si="54"/>
        <v>0</v>
      </c>
      <c r="AL105" s="178">
        <f t="shared" si="55"/>
        <v>0</v>
      </c>
      <c r="AM105" s="351">
        <f>IF(AS104&lt;0.01,0,IF(Resol!$G$19&gt;0,Resol!$G$19,IF(Resol!$F$19=Resol!$U$5,0,IF($AS$10=0,AS104*Adm!$Y$3,AS104*Adm!$X$3))))</f>
        <v>0</v>
      </c>
      <c r="AN105" s="351">
        <f>IF(AS104&lt;0.01,0,IF(Resol!$F$20=Resol!$V$3,0,IF(OR(Resol!$F$10=Resol!$T$16,Resol!$F$10=Resol!$T$17),0,IF(Resol!$F$10=Resol!$T$13,0,$AL$5*Adm!$AA$4/1.16))))</f>
        <v>0</v>
      </c>
      <c r="AO105" s="178">
        <f t="shared" si="49"/>
        <v>0</v>
      </c>
      <c r="AP105" s="178"/>
      <c r="AQ105" s="178">
        <f t="shared" si="37"/>
        <v>0</v>
      </c>
      <c r="AR105" s="178">
        <f t="shared" si="44"/>
        <v>0</v>
      </c>
      <c r="AS105" s="178">
        <f t="shared" si="51"/>
        <v>0</v>
      </c>
      <c r="AT105" s="348"/>
      <c r="AU105" s="348"/>
      <c r="AV105" s="176">
        <f t="shared" si="52"/>
        <v>0</v>
      </c>
      <c r="BB105" s="571">
        <f t="shared" si="45"/>
        <v>9</v>
      </c>
      <c r="BC105" s="293">
        <f>IF(BB105=1,Adm!$AN$2,0)</f>
        <v>0</v>
      </c>
      <c r="BE105" s="341">
        <f t="shared" si="50"/>
        <v>0</v>
      </c>
      <c r="BF105" s="345">
        <f t="shared" ca="1" si="46"/>
        <v>0</v>
      </c>
    </row>
    <row r="106" spans="1:58">
      <c r="A106" s="151">
        <f t="shared" ca="1" si="32"/>
        <v>9</v>
      </c>
      <c r="C106" s="178">
        <f t="shared" si="33"/>
        <v>82</v>
      </c>
      <c r="D106" s="178">
        <f t="shared" si="38"/>
        <v>6870.9056484607472</v>
      </c>
      <c r="E106" s="178">
        <f t="shared" si="53"/>
        <v>2744.4004065171257</v>
      </c>
      <c r="F106" s="178">
        <f t="shared" si="47"/>
        <v>9615.3060549778729</v>
      </c>
      <c r="G106" s="178">
        <f>IF(L105&lt;0.01,0,IF(Adm!$S$3=Adm!$S$13,Cal!$E$94,IF(Adm!$R$3=Adm!$R$6,0,IF(Cal!$E$91=0,L105*Adm!$Y$3,L105*Adm!$X$3))))</f>
        <v>373.19866469534162</v>
      </c>
      <c r="H106" s="178">
        <f>IF(L105&lt;0.01,0,IF(Adm!$R$4=Adm!$R$6,0,IF(Adm!$B$3=Adm!$B$12,0,Cal!$E$89*Adm!$AA$3/1.16)))</f>
        <v>494.46758620689661</v>
      </c>
      <c r="I106" s="178">
        <f>IF(L105&lt;0.01,0,Adm!$O$3)</f>
        <v>250</v>
      </c>
      <c r="J106" s="178">
        <f t="shared" si="34"/>
        <v>10732.97230588011</v>
      </c>
      <c r="K106" s="178">
        <f>IF(Adm!$F$3="si",MIN(L105+D106+G106+H106+I106-J106,Y106),0)</f>
        <v>0</v>
      </c>
      <c r="L106" s="178">
        <f t="shared" si="39"/>
        <v>865159.47097799834</v>
      </c>
      <c r="M106" s="348"/>
      <c r="N106" s="348"/>
      <c r="O106" s="348">
        <f t="shared" si="40"/>
        <v>10732.97230588011</v>
      </c>
      <c r="U106" s="571">
        <f t="shared" si="41"/>
        <v>10</v>
      </c>
      <c r="V106" s="293">
        <f>IF(U106=1,Adm!$AN$2,0)</f>
        <v>0</v>
      </c>
      <c r="X106" s="341">
        <f t="shared" si="48"/>
        <v>0</v>
      </c>
      <c r="Y106" s="345">
        <f t="shared" ca="1" si="42"/>
        <v>0</v>
      </c>
      <c r="AD106" s="172"/>
      <c r="AG106" s="151">
        <f t="shared" ca="1" si="35"/>
        <v>9</v>
      </c>
      <c r="AI106" s="178">
        <f t="shared" si="36"/>
        <v>0</v>
      </c>
      <c r="AJ106" s="178">
        <f t="shared" si="43"/>
        <v>0</v>
      </c>
      <c r="AK106" s="178">
        <f t="shared" si="54"/>
        <v>0</v>
      </c>
      <c r="AL106" s="178">
        <f t="shared" si="55"/>
        <v>0</v>
      </c>
      <c r="AM106" s="351">
        <f>IF(AS105&lt;0.01,0,IF(Resol!$G$19&gt;0,Resol!$G$19,IF(Resol!$F$19=Resol!$U$5,0,IF($AS$10=0,AS105*Adm!$Y$3,AS105*Adm!$X$3))))</f>
        <v>0</v>
      </c>
      <c r="AN106" s="351">
        <f>IF(AS105&lt;0.01,0,IF(Resol!$F$20=Resol!$V$3,0,IF(OR(Resol!$F$10=Resol!$T$16,Resol!$F$10=Resol!$T$17),0,IF(Resol!$F$10=Resol!$T$13,0,$AL$5*Adm!$AA$4/1.16))))</f>
        <v>0</v>
      </c>
      <c r="AO106" s="178">
        <f t="shared" si="49"/>
        <v>0</v>
      </c>
      <c r="AP106" s="178"/>
      <c r="AQ106" s="178">
        <f t="shared" si="37"/>
        <v>0</v>
      </c>
      <c r="AR106" s="178">
        <f t="shared" si="44"/>
        <v>0</v>
      </c>
      <c r="AS106" s="178">
        <f t="shared" si="51"/>
        <v>0</v>
      </c>
      <c r="AT106" s="348"/>
      <c r="AU106" s="348"/>
      <c r="AV106" s="176">
        <f t="shared" si="52"/>
        <v>0</v>
      </c>
      <c r="BB106" s="571">
        <f t="shared" si="45"/>
        <v>10</v>
      </c>
      <c r="BC106" s="293">
        <f>IF(BB106=1,Adm!$AN$2,0)</f>
        <v>0</v>
      </c>
      <c r="BE106" s="341">
        <f t="shared" si="50"/>
        <v>0</v>
      </c>
      <c r="BF106" s="345">
        <f t="shared" ca="1" si="46"/>
        <v>0</v>
      </c>
    </row>
    <row r="107" spans="1:58">
      <c r="A107" s="151">
        <f t="shared" ca="1" si="32"/>
        <v>10</v>
      </c>
      <c r="C107" s="178">
        <f t="shared" si="33"/>
        <v>83</v>
      </c>
      <c r="D107" s="178">
        <f t="shared" si="38"/>
        <v>6849.1791452424868</v>
      </c>
      <c r="E107" s="178">
        <f t="shared" si="53"/>
        <v>2766.1269097353861</v>
      </c>
      <c r="F107" s="178">
        <f t="shared" si="47"/>
        <v>9615.3060549778729</v>
      </c>
      <c r="G107" s="178">
        <f>IF(L106&lt;0.01,0,IF(Adm!$S$3=Adm!$S$13,Cal!$E$94,IF(Adm!$R$3=Adm!$R$6,0,IF(Cal!$E$91=0,L106*Adm!$Y$3,L106*Adm!$X$3))))</f>
        <v>372.01857252053929</v>
      </c>
      <c r="H107" s="178">
        <f>IF(L106&lt;0.01,0,IF(Adm!$R$4=Adm!$R$6,0,IF(Adm!$B$3=Adm!$B$12,0,Cal!$E$89*Adm!$AA$3/1.16)))</f>
        <v>494.46758620689661</v>
      </c>
      <c r="I107" s="178">
        <f>IF(L106&lt;0.01,0,Adm!$O$3)</f>
        <v>250</v>
      </c>
      <c r="J107" s="178">
        <f t="shared" si="34"/>
        <v>10731.792213705308</v>
      </c>
      <c r="K107" s="178">
        <f>IF(Adm!$F$3="si",MIN(L106+D107+G107+H107+I107-J107,Y107),0)</f>
        <v>0</v>
      </c>
      <c r="L107" s="178">
        <f t="shared" si="39"/>
        <v>862393.34406826296</v>
      </c>
      <c r="M107" s="348"/>
      <c r="N107" s="348"/>
      <c r="O107" s="348">
        <f t="shared" si="40"/>
        <v>10731.792213705308</v>
      </c>
      <c r="U107" s="571">
        <f t="shared" si="41"/>
        <v>11</v>
      </c>
      <c r="V107" s="293">
        <f>IF(U107=1,Adm!$AN$2,0)</f>
        <v>0</v>
      </c>
      <c r="X107" s="341">
        <f t="shared" si="48"/>
        <v>0</v>
      </c>
      <c r="Y107" s="345">
        <f t="shared" ca="1" si="42"/>
        <v>0</v>
      </c>
      <c r="AD107" s="172"/>
      <c r="AG107" s="151">
        <f t="shared" ca="1" si="35"/>
        <v>10</v>
      </c>
      <c r="AI107" s="178">
        <f t="shared" si="36"/>
        <v>0</v>
      </c>
      <c r="AJ107" s="178">
        <f t="shared" si="43"/>
        <v>0</v>
      </c>
      <c r="AK107" s="178">
        <f t="shared" si="54"/>
        <v>0</v>
      </c>
      <c r="AL107" s="178">
        <f t="shared" si="55"/>
        <v>0</v>
      </c>
      <c r="AM107" s="351">
        <f>IF(AS106&lt;0.01,0,IF(Resol!$G$19&gt;0,Resol!$G$19,IF(Resol!$F$19=Resol!$U$5,0,IF($AS$10=0,AS106*Adm!$Y$3,AS106*Adm!$X$3))))</f>
        <v>0</v>
      </c>
      <c r="AN107" s="351">
        <f>IF(AS106&lt;0.01,0,IF(Resol!$F$20=Resol!$V$3,0,IF(OR(Resol!$F$10=Resol!$T$16,Resol!$F$10=Resol!$T$17),0,IF(Resol!$F$10=Resol!$T$13,0,$AL$5*Adm!$AA$4/1.16))))</f>
        <v>0</v>
      </c>
      <c r="AO107" s="178">
        <f t="shared" si="49"/>
        <v>0</v>
      </c>
      <c r="AP107" s="178"/>
      <c r="AQ107" s="178">
        <f t="shared" si="37"/>
        <v>0</v>
      </c>
      <c r="AR107" s="178">
        <f t="shared" si="44"/>
        <v>0</v>
      </c>
      <c r="AS107" s="178">
        <f t="shared" si="51"/>
        <v>0</v>
      </c>
      <c r="AT107" s="348"/>
      <c r="AU107" s="348"/>
      <c r="AV107" s="176">
        <f t="shared" si="52"/>
        <v>0</v>
      </c>
      <c r="BB107" s="571">
        <f t="shared" si="45"/>
        <v>11</v>
      </c>
      <c r="BC107" s="293">
        <f>IF(BB107=1,Adm!$AN$2,0)</f>
        <v>0</v>
      </c>
      <c r="BE107" s="341">
        <f t="shared" si="50"/>
        <v>0</v>
      </c>
      <c r="BF107" s="345">
        <f t="shared" ca="1" si="46"/>
        <v>0</v>
      </c>
    </row>
    <row r="108" spans="1:58">
      <c r="A108" s="151">
        <f t="shared" ca="1" si="32"/>
        <v>11</v>
      </c>
      <c r="C108" s="178">
        <f t="shared" si="33"/>
        <v>84</v>
      </c>
      <c r="D108" s="178">
        <f t="shared" si="38"/>
        <v>6827.2806405404153</v>
      </c>
      <c r="E108" s="178">
        <f t="shared" si="53"/>
        <v>2788.0254144374576</v>
      </c>
      <c r="F108" s="178">
        <f t="shared" si="47"/>
        <v>9615.3060549778729</v>
      </c>
      <c r="G108" s="178">
        <f>IF(L107&lt;0.01,0,IF(Adm!$S$3=Adm!$S$13,Cal!$E$94,IF(Adm!$R$3=Adm!$R$6,0,IF(Cal!$E$91=0,L107*Adm!$Y$3,L107*Adm!$X$3))))</f>
        <v>370.82913794935308</v>
      </c>
      <c r="H108" s="178">
        <f>IF(L107&lt;0.01,0,IF(Adm!$R$4=Adm!$R$6,0,IF(Adm!$B$3=Adm!$B$12,0,Cal!$E$89*Adm!$AA$3/1.16)))</f>
        <v>494.46758620689661</v>
      </c>
      <c r="I108" s="178">
        <f>IF(L107&lt;0.01,0,Adm!$O$3)</f>
        <v>250</v>
      </c>
      <c r="J108" s="178">
        <f t="shared" si="34"/>
        <v>10730.602779134122</v>
      </c>
      <c r="K108" s="178">
        <f>IF(Adm!$F$3="si",MIN(L107+D108+G108+H108+I108-J108,Y108),0)</f>
        <v>0</v>
      </c>
      <c r="L108" s="178">
        <f t="shared" si="39"/>
        <v>859605.31865382555</v>
      </c>
      <c r="M108" s="348"/>
      <c r="N108" s="348"/>
      <c r="O108" s="348">
        <f t="shared" si="40"/>
        <v>10730.602779134122</v>
      </c>
      <c r="U108" s="571">
        <f t="shared" si="41"/>
        <v>12</v>
      </c>
      <c r="V108" s="293">
        <f>IF(U108=1,Adm!$AN$2,0)</f>
        <v>0</v>
      </c>
      <c r="X108" s="341">
        <f t="shared" si="48"/>
        <v>0</v>
      </c>
      <c r="Y108" s="345">
        <f t="shared" ca="1" si="42"/>
        <v>0</v>
      </c>
      <c r="AD108" s="172"/>
      <c r="AG108" s="151">
        <f t="shared" ca="1" si="35"/>
        <v>11</v>
      </c>
      <c r="AI108" s="178">
        <f t="shared" si="36"/>
        <v>0</v>
      </c>
      <c r="AJ108" s="178">
        <f t="shared" si="43"/>
        <v>0</v>
      </c>
      <c r="AK108" s="178">
        <f t="shared" si="54"/>
        <v>0</v>
      </c>
      <c r="AL108" s="178">
        <f t="shared" si="55"/>
        <v>0</v>
      </c>
      <c r="AM108" s="351">
        <f>IF(AS107&lt;0.01,0,IF(Resol!$G$19&gt;0,Resol!$G$19,IF(Resol!$F$19=Resol!$U$5,0,IF($AS$10=0,AS107*Adm!$Y$3,AS107*Adm!$X$3))))</f>
        <v>0</v>
      </c>
      <c r="AN108" s="351">
        <f>IF(AS107&lt;0.01,0,IF(Resol!$F$20=Resol!$V$3,0,IF(OR(Resol!$F$10=Resol!$T$16,Resol!$F$10=Resol!$T$17),0,IF(Resol!$F$10=Resol!$T$13,0,$AL$5*Adm!$AA$4/1.16))))</f>
        <v>0</v>
      </c>
      <c r="AO108" s="178">
        <f t="shared" si="49"/>
        <v>0</v>
      </c>
      <c r="AP108" s="178"/>
      <c r="AQ108" s="178">
        <f t="shared" si="37"/>
        <v>0</v>
      </c>
      <c r="AR108" s="178">
        <f t="shared" si="44"/>
        <v>0</v>
      </c>
      <c r="AS108" s="178">
        <f t="shared" si="51"/>
        <v>0</v>
      </c>
      <c r="AT108" s="348"/>
      <c r="AU108" s="348"/>
      <c r="AV108" s="176">
        <f t="shared" si="52"/>
        <v>0</v>
      </c>
      <c r="BB108" s="571">
        <f t="shared" si="45"/>
        <v>12</v>
      </c>
      <c r="BC108" s="293">
        <f>IF(BB108=1,Adm!$AN$2,0)</f>
        <v>0</v>
      </c>
      <c r="BE108" s="341">
        <f t="shared" si="50"/>
        <v>0</v>
      </c>
      <c r="BF108" s="345">
        <f t="shared" ca="1" si="46"/>
        <v>0</v>
      </c>
    </row>
    <row r="109" spans="1:58">
      <c r="A109" s="151">
        <f t="shared" ca="1" si="32"/>
        <v>12</v>
      </c>
      <c r="C109" s="178">
        <f t="shared" si="33"/>
        <v>85</v>
      </c>
      <c r="D109" s="178">
        <f t="shared" si="38"/>
        <v>6805.2087726761192</v>
      </c>
      <c r="E109" s="178">
        <f t="shared" si="53"/>
        <v>2810.0972823017537</v>
      </c>
      <c r="F109" s="178">
        <f t="shared" si="47"/>
        <v>9615.3060549778729</v>
      </c>
      <c r="G109" s="178">
        <f>IF(L108&lt;0.01,0,IF(Adm!$S$3=Adm!$S$13,Cal!$E$94,IF(Adm!$R$3=Adm!$R$6,0,IF(Cal!$E$91=0,L108*Adm!$Y$3,L108*Adm!$X$3))))</f>
        <v>369.63028702114497</v>
      </c>
      <c r="H109" s="178">
        <f>IF(L108&lt;0.01,0,IF(Adm!$R$4=Adm!$R$6,0,IF(Adm!$B$3=Adm!$B$12,0,Cal!$E$89*Adm!$AA$3/1.16)))</f>
        <v>494.46758620689661</v>
      </c>
      <c r="I109" s="178">
        <f>IF(L108&lt;0.01,0,Adm!$O$3)</f>
        <v>250</v>
      </c>
      <c r="J109" s="178">
        <f t="shared" si="34"/>
        <v>10729.403928205915</v>
      </c>
      <c r="K109" s="178">
        <f>IF(Adm!$F$3="si",MIN(L108+D109+G109+H109+I109-J109,Y109),0)</f>
        <v>0</v>
      </c>
      <c r="L109" s="178">
        <f t="shared" si="39"/>
        <v>856795.2213715238</v>
      </c>
      <c r="M109" s="348"/>
      <c r="N109" s="348"/>
      <c r="O109" s="348">
        <f t="shared" si="40"/>
        <v>10729.403928205915</v>
      </c>
      <c r="U109" s="571">
        <f t="shared" si="41"/>
        <v>1</v>
      </c>
      <c r="V109" s="293">
        <f>IF(U109=1,Adm!$AN$2,0)</f>
        <v>0</v>
      </c>
      <c r="X109" s="341">
        <f t="shared" si="48"/>
        <v>0</v>
      </c>
      <c r="Y109" s="345">
        <f t="shared" ca="1" si="42"/>
        <v>0</v>
      </c>
      <c r="AD109" s="172"/>
      <c r="AG109" s="151">
        <f t="shared" ca="1" si="35"/>
        <v>12</v>
      </c>
      <c r="AI109" s="178">
        <f t="shared" si="36"/>
        <v>0</v>
      </c>
      <c r="AJ109" s="178">
        <f t="shared" si="43"/>
        <v>0</v>
      </c>
      <c r="AK109" s="178">
        <f t="shared" si="54"/>
        <v>0</v>
      </c>
      <c r="AL109" s="178">
        <f t="shared" si="55"/>
        <v>0</v>
      </c>
      <c r="AM109" s="351">
        <f>IF(AS108&lt;0.01,0,IF(Resol!$G$19&gt;0,Resol!$G$19,IF(Resol!$F$19=Resol!$U$5,0,IF($AS$10=0,AS108*Adm!$Y$3,AS108*Adm!$X$3))))</f>
        <v>0</v>
      </c>
      <c r="AN109" s="351">
        <f>IF(AS108&lt;0.01,0,IF(Resol!$F$20=Resol!$V$3,0,IF(OR(Resol!$F$10=Resol!$T$16,Resol!$F$10=Resol!$T$17),0,IF(Resol!$F$10=Resol!$T$13,0,$AL$5*Adm!$AA$4/1.16))))</f>
        <v>0</v>
      </c>
      <c r="AO109" s="178">
        <f t="shared" si="49"/>
        <v>0</v>
      </c>
      <c r="AP109" s="178"/>
      <c r="AQ109" s="178">
        <f t="shared" si="37"/>
        <v>0</v>
      </c>
      <c r="AR109" s="178">
        <f t="shared" si="44"/>
        <v>0</v>
      </c>
      <c r="AS109" s="178">
        <f t="shared" si="51"/>
        <v>0</v>
      </c>
      <c r="AT109" s="348"/>
      <c r="AU109" s="348"/>
      <c r="AV109" s="176">
        <f t="shared" si="52"/>
        <v>0</v>
      </c>
      <c r="BB109" s="571">
        <f t="shared" si="45"/>
        <v>1</v>
      </c>
      <c r="BC109" s="293">
        <f>IF(BB109=1,Adm!$AN$2,0)</f>
        <v>0</v>
      </c>
      <c r="BE109" s="341">
        <f t="shared" si="50"/>
        <v>0</v>
      </c>
      <c r="BF109" s="345">
        <f t="shared" ca="1" si="46"/>
        <v>0</v>
      </c>
    </row>
    <row r="110" spans="1:58">
      <c r="A110" s="151">
        <f t="shared" ca="1" si="32"/>
        <v>1</v>
      </c>
      <c r="C110" s="178">
        <f t="shared" si="33"/>
        <v>86</v>
      </c>
      <c r="D110" s="178">
        <f t="shared" si="38"/>
        <v>6782.9621691912298</v>
      </c>
      <c r="E110" s="178">
        <f t="shared" si="53"/>
        <v>2832.3438857866431</v>
      </c>
      <c r="F110" s="178">
        <f t="shared" si="47"/>
        <v>9615.3060549778729</v>
      </c>
      <c r="G110" s="178">
        <f>IF(L109&lt;0.01,0,IF(Adm!$S$3=Adm!$S$13,Cal!$E$94,IF(Adm!$R$3=Adm!$R$6,0,IF(Cal!$E$91=0,L109*Adm!$Y$3,L109*Adm!$X$3))))</f>
        <v>368.42194518975521</v>
      </c>
      <c r="H110" s="178">
        <f>IF(L109&lt;0.01,0,IF(Adm!$R$4=Adm!$R$6,0,IF(Adm!$B$3=Adm!$B$12,0,Cal!$E$89*Adm!$AA$3/1.16)))</f>
        <v>494.46758620689661</v>
      </c>
      <c r="I110" s="178">
        <f>IF(L109&lt;0.01,0,Adm!$O$3)</f>
        <v>250</v>
      </c>
      <c r="J110" s="178">
        <f t="shared" si="34"/>
        <v>10728.195586374524</v>
      </c>
      <c r="K110" s="178">
        <f>IF(Adm!$F$3="si",MIN(L109+D110+G110+H110+I110-J110,Y110),0)</f>
        <v>0</v>
      </c>
      <c r="L110" s="178">
        <f t="shared" si="39"/>
        <v>853962.8774857372</v>
      </c>
      <c r="M110" s="348"/>
      <c r="N110" s="348"/>
      <c r="O110" s="348">
        <f t="shared" si="40"/>
        <v>10728.195586374524</v>
      </c>
      <c r="U110" s="571">
        <f t="shared" si="41"/>
        <v>2</v>
      </c>
      <c r="V110" s="293">
        <f>IF(U110=1,Adm!$AN$2,0)</f>
        <v>0</v>
      </c>
      <c r="X110" s="341">
        <f t="shared" si="48"/>
        <v>0</v>
      </c>
      <c r="Y110" s="345">
        <f t="shared" ca="1" si="42"/>
        <v>0</v>
      </c>
      <c r="AD110" s="172"/>
      <c r="AG110" s="151">
        <f t="shared" ca="1" si="35"/>
        <v>1</v>
      </c>
      <c r="AI110" s="178">
        <f t="shared" si="36"/>
        <v>0</v>
      </c>
      <c r="AJ110" s="178">
        <f t="shared" si="43"/>
        <v>0</v>
      </c>
      <c r="AK110" s="178">
        <f t="shared" si="54"/>
        <v>0</v>
      </c>
      <c r="AL110" s="178">
        <f t="shared" si="55"/>
        <v>0</v>
      </c>
      <c r="AM110" s="351">
        <f>IF(AS109&lt;0.01,0,IF(Resol!$G$19&gt;0,Resol!$G$19,IF(Resol!$F$19=Resol!$U$5,0,IF($AS$10=0,AS109*Adm!$Y$3,AS109*Adm!$X$3))))</f>
        <v>0</v>
      </c>
      <c r="AN110" s="351">
        <f>IF(AS109&lt;0.01,0,IF(Resol!$F$20=Resol!$V$3,0,IF(OR(Resol!$F$10=Resol!$T$16,Resol!$F$10=Resol!$T$17),0,IF(Resol!$F$10=Resol!$T$13,0,$AL$5*Adm!$AA$4/1.16))))</f>
        <v>0</v>
      </c>
      <c r="AO110" s="178">
        <f t="shared" si="49"/>
        <v>0</v>
      </c>
      <c r="AP110" s="178"/>
      <c r="AQ110" s="178">
        <f t="shared" si="37"/>
        <v>0</v>
      </c>
      <c r="AR110" s="178">
        <f t="shared" si="44"/>
        <v>0</v>
      </c>
      <c r="AS110" s="178">
        <f t="shared" si="51"/>
        <v>0</v>
      </c>
      <c r="AT110" s="348"/>
      <c r="AU110" s="348"/>
      <c r="AV110" s="176">
        <f t="shared" si="52"/>
        <v>0</v>
      </c>
      <c r="BB110" s="571">
        <f t="shared" si="45"/>
        <v>2</v>
      </c>
      <c r="BC110" s="293">
        <f>IF(BB110=1,Adm!$AN$2,0)</f>
        <v>0</v>
      </c>
      <c r="BE110" s="341">
        <f t="shared" si="50"/>
        <v>0</v>
      </c>
      <c r="BF110" s="345">
        <f t="shared" ca="1" si="46"/>
        <v>0</v>
      </c>
    </row>
    <row r="111" spans="1:58">
      <c r="A111" s="151">
        <f t="shared" ca="1" si="32"/>
        <v>2</v>
      </c>
      <c r="C111" s="178">
        <f t="shared" si="33"/>
        <v>87</v>
      </c>
      <c r="D111" s="178">
        <f t="shared" si="38"/>
        <v>6760.5394467620863</v>
      </c>
      <c r="E111" s="178">
        <f t="shared" si="53"/>
        <v>2854.7666082157866</v>
      </c>
      <c r="F111" s="178">
        <f t="shared" si="47"/>
        <v>9615.3060549778729</v>
      </c>
      <c r="G111" s="178">
        <f>IF(L110&lt;0.01,0,IF(Adm!$S$3=Adm!$S$13,Cal!$E$94,IF(Adm!$R$3=Adm!$R$6,0,IF(Cal!$E$91=0,L110*Adm!$Y$3,L110*Adm!$X$3))))</f>
        <v>367.20403731886699</v>
      </c>
      <c r="H111" s="178">
        <f>IF(L110&lt;0.01,0,IF(Adm!$R$4=Adm!$R$6,0,IF(Adm!$B$3=Adm!$B$12,0,Cal!$E$89*Adm!$AA$3/1.16)))</f>
        <v>494.46758620689661</v>
      </c>
      <c r="I111" s="178">
        <f>IF(L110&lt;0.01,0,Adm!$O$3)</f>
        <v>250</v>
      </c>
      <c r="J111" s="178">
        <f t="shared" si="34"/>
        <v>10726.977678503636</v>
      </c>
      <c r="K111" s="178">
        <f>IF(Adm!$F$3="si",MIN(L110+D111+G111+H111+I111-J111,Y111),0)</f>
        <v>0</v>
      </c>
      <c r="L111" s="178">
        <f t="shared" si="39"/>
        <v>851108.11087752145</v>
      </c>
      <c r="M111" s="348"/>
      <c r="N111" s="348"/>
      <c r="O111" s="348">
        <f t="shared" si="40"/>
        <v>10726.977678503636</v>
      </c>
      <c r="U111" s="571">
        <f t="shared" si="41"/>
        <v>3</v>
      </c>
      <c r="V111" s="293">
        <f>IF(U111=1,Adm!$AN$2,0)</f>
        <v>0</v>
      </c>
      <c r="X111" s="341">
        <f t="shared" si="48"/>
        <v>0</v>
      </c>
      <c r="Y111" s="345">
        <f t="shared" ca="1" si="42"/>
        <v>0</v>
      </c>
      <c r="AD111" s="172"/>
      <c r="AG111" s="151">
        <f t="shared" ca="1" si="35"/>
        <v>2</v>
      </c>
      <c r="AI111" s="178">
        <f t="shared" si="36"/>
        <v>0</v>
      </c>
      <c r="AJ111" s="178">
        <f t="shared" si="43"/>
        <v>0</v>
      </c>
      <c r="AK111" s="178">
        <f t="shared" si="54"/>
        <v>0</v>
      </c>
      <c r="AL111" s="178">
        <f t="shared" si="55"/>
        <v>0</v>
      </c>
      <c r="AM111" s="351">
        <f>IF(AS110&lt;0.01,0,IF(Resol!$G$19&gt;0,Resol!$G$19,IF(Resol!$F$19=Resol!$U$5,0,IF($AS$10=0,AS110*Adm!$Y$3,AS110*Adm!$X$3))))</f>
        <v>0</v>
      </c>
      <c r="AN111" s="351">
        <f>IF(AS110&lt;0.01,0,IF(Resol!$F$20=Resol!$V$3,0,IF(OR(Resol!$F$10=Resol!$T$16,Resol!$F$10=Resol!$T$17),0,IF(Resol!$F$10=Resol!$T$13,0,$AL$5*Adm!$AA$4/1.16))))</f>
        <v>0</v>
      </c>
      <c r="AO111" s="178">
        <f t="shared" si="49"/>
        <v>0</v>
      </c>
      <c r="AP111" s="178"/>
      <c r="AQ111" s="178">
        <f t="shared" si="37"/>
        <v>0</v>
      </c>
      <c r="AR111" s="178">
        <f t="shared" si="44"/>
        <v>0</v>
      </c>
      <c r="AS111" s="178">
        <f t="shared" si="51"/>
        <v>0</v>
      </c>
      <c r="AT111" s="348"/>
      <c r="AU111" s="348"/>
      <c r="AV111" s="176">
        <f t="shared" si="52"/>
        <v>0</v>
      </c>
      <c r="BB111" s="571">
        <f t="shared" si="45"/>
        <v>3</v>
      </c>
      <c r="BC111" s="293">
        <f>IF(BB111=1,Adm!$AN$2,0)</f>
        <v>0</v>
      </c>
      <c r="BE111" s="341">
        <f t="shared" si="50"/>
        <v>0</v>
      </c>
      <c r="BF111" s="345">
        <f t="shared" ca="1" si="46"/>
        <v>0</v>
      </c>
    </row>
    <row r="112" spans="1:58">
      <c r="A112" s="151">
        <f t="shared" ca="1" si="32"/>
        <v>3</v>
      </c>
      <c r="C112" s="178">
        <f t="shared" si="33"/>
        <v>88</v>
      </c>
      <c r="D112" s="178">
        <f t="shared" si="38"/>
        <v>6737.9392111137122</v>
      </c>
      <c r="E112" s="178">
        <f t="shared" si="53"/>
        <v>2877.3668438641607</v>
      </c>
      <c r="F112" s="178">
        <f t="shared" si="47"/>
        <v>9615.3060549778729</v>
      </c>
      <c r="G112" s="178">
        <f>IF(L111&lt;0.01,0,IF(Adm!$S$3=Adm!$S$13,Cal!$E$94,IF(Adm!$R$3=Adm!$R$6,0,IF(Cal!$E$91=0,L111*Adm!$Y$3,L111*Adm!$X$3))))</f>
        <v>365.97648767733421</v>
      </c>
      <c r="H112" s="178">
        <f>IF(L111&lt;0.01,0,IF(Adm!$R$4=Adm!$R$6,0,IF(Adm!$B$3=Adm!$B$12,0,Cal!$E$89*Adm!$AA$3/1.16)))</f>
        <v>494.46758620689661</v>
      </c>
      <c r="I112" s="178">
        <f>IF(L111&lt;0.01,0,Adm!$O$3)</f>
        <v>250</v>
      </c>
      <c r="J112" s="178">
        <f t="shared" si="34"/>
        <v>10725.750128862102</v>
      </c>
      <c r="K112" s="178">
        <f>IF(Adm!$F$3="si",MIN(L111+D112+G112+H112+I112-J112,Y112),0)</f>
        <v>0</v>
      </c>
      <c r="L112" s="178">
        <f t="shared" si="39"/>
        <v>848230.74403365725</v>
      </c>
      <c r="M112" s="348"/>
      <c r="N112" s="348"/>
      <c r="O112" s="348">
        <f t="shared" si="40"/>
        <v>10725.750128862102</v>
      </c>
      <c r="U112" s="571">
        <f t="shared" si="41"/>
        <v>4</v>
      </c>
      <c r="V112" s="293">
        <f>IF(U112=1,Adm!$AN$2,0)</f>
        <v>0</v>
      </c>
      <c r="X112" s="341">
        <f t="shared" si="48"/>
        <v>0</v>
      </c>
      <c r="Y112" s="345">
        <f t="shared" ca="1" si="42"/>
        <v>0</v>
      </c>
      <c r="AD112" s="172"/>
      <c r="AG112" s="151">
        <f t="shared" ca="1" si="35"/>
        <v>3</v>
      </c>
      <c r="AI112" s="178">
        <f t="shared" si="36"/>
        <v>0</v>
      </c>
      <c r="AJ112" s="178">
        <f t="shared" si="43"/>
        <v>0</v>
      </c>
      <c r="AK112" s="178">
        <f t="shared" si="54"/>
        <v>0</v>
      </c>
      <c r="AL112" s="178">
        <f t="shared" si="55"/>
        <v>0</v>
      </c>
      <c r="AM112" s="351">
        <f>IF(AS111&lt;0.01,0,IF(Resol!$G$19&gt;0,Resol!$G$19,IF(Resol!$F$19=Resol!$U$5,0,IF($AS$10=0,AS111*Adm!$Y$3,AS111*Adm!$X$3))))</f>
        <v>0</v>
      </c>
      <c r="AN112" s="351">
        <f>IF(AS111&lt;0.01,0,IF(Resol!$F$20=Resol!$V$3,0,IF(OR(Resol!$F$10=Resol!$T$16,Resol!$F$10=Resol!$T$17),0,IF(Resol!$F$10=Resol!$T$13,0,$AL$5*Adm!$AA$4/1.16))))</f>
        <v>0</v>
      </c>
      <c r="AO112" s="178">
        <f t="shared" si="49"/>
        <v>0</v>
      </c>
      <c r="AP112" s="178"/>
      <c r="AQ112" s="178">
        <f t="shared" si="37"/>
        <v>0</v>
      </c>
      <c r="AR112" s="178">
        <f t="shared" si="44"/>
        <v>0</v>
      </c>
      <c r="AS112" s="178">
        <f t="shared" si="51"/>
        <v>0</v>
      </c>
      <c r="AT112" s="348"/>
      <c r="AU112" s="348"/>
      <c r="AV112" s="176">
        <f t="shared" si="52"/>
        <v>0</v>
      </c>
      <c r="BB112" s="571">
        <f t="shared" si="45"/>
        <v>4</v>
      </c>
      <c r="BC112" s="293">
        <f>IF(BB112=1,Adm!$AN$2,0)</f>
        <v>0</v>
      </c>
      <c r="BE112" s="341">
        <f t="shared" si="50"/>
        <v>0</v>
      </c>
      <c r="BF112" s="345">
        <f t="shared" ca="1" si="46"/>
        <v>0</v>
      </c>
    </row>
    <row r="113" spans="1:58">
      <c r="A113" s="151">
        <f t="shared" ca="1" si="32"/>
        <v>4</v>
      </c>
      <c r="C113" s="178">
        <f t="shared" si="33"/>
        <v>89</v>
      </c>
      <c r="D113" s="178">
        <f t="shared" si="38"/>
        <v>6715.1600569331204</v>
      </c>
      <c r="E113" s="178">
        <f t="shared" si="53"/>
        <v>2900.1459980447526</v>
      </c>
      <c r="F113" s="178">
        <f t="shared" si="47"/>
        <v>9615.3060549778729</v>
      </c>
      <c r="G113" s="178">
        <f>IF(L112&lt;0.01,0,IF(Adm!$S$3=Adm!$S$13,Cal!$E$94,IF(Adm!$R$3=Adm!$R$6,0,IF(Cal!$E$91=0,L112*Adm!$Y$3,L112*Adm!$X$3))))</f>
        <v>364.7392199344726</v>
      </c>
      <c r="H113" s="178">
        <f>IF(L112&lt;0.01,0,IF(Adm!$R$4=Adm!$R$6,0,IF(Adm!$B$3=Adm!$B$12,0,Cal!$E$89*Adm!$AA$3/1.16)))</f>
        <v>494.46758620689661</v>
      </c>
      <c r="I113" s="178">
        <f>IF(L112&lt;0.01,0,Adm!$O$3)</f>
        <v>250</v>
      </c>
      <c r="J113" s="178">
        <f t="shared" si="34"/>
        <v>10724.512861119241</v>
      </c>
      <c r="K113" s="178">
        <f>IF(Adm!$F$3="si",MIN(L112+D113+G113+H113+I113-J113,Y113),0)</f>
        <v>0</v>
      </c>
      <c r="L113" s="178">
        <f t="shared" si="39"/>
        <v>845330.59803561249</v>
      </c>
      <c r="M113" s="348"/>
      <c r="N113" s="348"/>
      <c r="O113" s="348">
        <f t="shared" si="40"/>
        <v>10724.512861119241</v>
      </c>
      <c r="U113" s="571">
        <f t="shared" si="41"/>
        <v>5</v>
      </c>
      <c r="V113" s="293">
        <f>IF(U113=1,Adm!$AN$2,0)</f>
        <v>0</v>
      </c>
      <c r="X113" s="341">
        <f t="shared" si="48"/>
        <v>0</v>
      </c>
      <c r="Y113" s="345">
        <f t="shared" ca="1" si="42"/>
        <v>0</v>
      </c>
      <c r="AD113" s="172"/>
      <c r="AG113" s="151">
        <f t="shared" ca="1" si="35"/>
        <v>4</v>
      </c>
      <c r="AI113" s="178">
        <f t="shared" si="36"/>
        <v>0</v>
      </c>
      <c r="AJ113" s="178">
        <f t="shared" si="43"/>
        <v>0</v>
      </c>
      <c r="AK113" s="178">
        <f t="shared" si="54"/>
        <v>0</v>
      </c>
      <c r="AL113" s="178">
        <f t="shared" si="55"/>
        <v>0</v>
      </c>
      <c r="AM113" s="351">
        <f>IF(AS112&lt;0.01,0,IF(Resol!$G$19&gt;0,Resol!$G$19,IF(Resol!$F$19=Resol!$U$5,0,IF($AS$10=0,AS112*Adm!$Y$3,AS112*Adm!$X$3))))</f>
        <v>0</v>
      </c>
      <c r="AN113" s="351">
        <f>IF(AS112&lt;0.01,0,IF(Resol!$F$20=Resol!$V$3,0,IF(OR(Resol!$F$10=Resol!$T$16,Resol!$F$10=Resol!$T$17),0,IF(Resol!$F$10=Resol!$T$13,0,$AL$5*Adm!$AA$4/1.16))))</f>
        <v>0</v>
      </c>
      <c r="AO113" s="178">
        <f t="shared" si="49"/>
        <v>0</v>
      </c>
      <c r="AP113" s="178"/>
      <c r="AQ113" s="178">
        <f t="shared" si="37"/>
        <v>0</v>
      </c>
      <c r="AR113" s="178">
        <f t="shared" si="44"/>
        <v>0</v>
      </c>
      <c r="AS113" s="178">
        <f t="shared" si="51"/>
        <v>0</v>
      </c>
      <c r="AT113" s="348"/>
      <c r="AU113" s="348"/>
      <c r="AV113" s="176">
        <f t="shared" si="52"/>
        <v>0</v>
      </c>
      <c r="BB113" s="571">
        <f t="shared" si="45"/>
        <v>5</v>
      </c>
      <c r="BC113" s="293">
        <f>IF(BB113=1,Adm!$AN$2,0)</f>
        <v>0</v>
      </c>
      <c r="BE113" s="341">
        <f t="shared" si="50"/>
        <v>0</v>
      </c>
      <c r="BF113" s="345">
        <f t="shared" ca="1" si="46"/>
        <v>0</v>
      </c>
    </row>
    <row r="114" spans="1:58">
      <c r="A114" s="151">
        <f t="shared" ca="1" si="32"/>
        <v>5</v>
      </c>
      <c r="C114" s="178">
        <f t="shared" si="33"/>
        <v>90</v>
      </c>
      <c r="D114" s="178">
        <f t="shared" si="38"/>
        <v>6692.2005677819325</v>
      </c>
      <c r="E114" s="178">
        <f t="shared" si="53"/>
        <v>2923.1054871959404</v>
      </c>
      <c r="F114" s="178">
        <f t="shared" si="47"/>
        <v>9615.3060549778729</v>
      </c>
      <c r="G114" s="178">
        <f>IF(L113&lt;0.01,0,IF(Adm!$S$3=Adm!$S$13,Cal!$E$94,IF(Adm!$R$3=Adm!$R$6,0,IF(Cal!$E$91=0,L113*Adm!$Y$3,L113*Adm!$X$3))))</f>
        <v>363.49215715531335</v>
      </c>
      <c r="H114" s="178">
        <f>IF(L113&lt;0.01,0,IF(Adm!$R$4=Adm!$R$6,0,IF(Adm!$B$3=Adm!$B$12,0,Cal!$E$89*Adm!$AA$3/1.16)))</f>
        <v>494.46758620689661</v>
      </c>
      <c r="I114" s="178">
        <f>IF(L113&lt;0.01,0,Adm!$O$3)</f>
        <v>250</v>
      </c>
      <c r="J114" s="178">
        <f t="shared" si="34"/>
        <v>10723.265798340082</v>
      </c>
      <c r="K114" s="178">
        <f>IF(Adm!$F$3="si",MIN(L113+D114+G114+H114+I114-J114,Y114),0)</f>
        <v>0</v>
      </c>
      <c r="L114" s="178">
        <f t="shared" si="39"/>
        <v>842407.4925484166</v>
      </c>
      <c r="M114" s="348"/>
      <c r="N114" s="348"/>
      <c r="O114" s="348">
        <f t="shared" si="40"/>
        <v>10723.265798340082</v>
      </c>
      <c r="U114" s="571">
        <f t="shared" si="41"/>
        <v>6</v>
      </c>
      <c r="V114" s="293">
        <f>IF(U114=1,Adm!$AN$2,0)</f>
        <v>0</v>
      </c>
      <c r="X114" s="341">
        <f t="shared" si="48"/>
        <v>0</v>
      </c>
      <c r="Y114" s="345">
        <f t="shared" ca="1" si="42"/>
        <v>0</v>
      </c>
      <c r="AD114" s="172"/>
      <c r="AG114" s="151">
        <f t="shared" ca="1" si="35"/>
        <v>5</v>
      </c>
      <c r="AI114" s="178">
        <f t="shared" si="36"/>
        <v>0</v>
      </c>
      <c r="AJ114" s="178">
        <f t="shared" si="43"/>
        <v>0</v>
      </c>
      <c r="AK114" s="178">
        <f t="shared" si="54"/>
        <v>0</v>
      </c>
      <c r="AL114" s="178">
        <f t="shared" si="55"/>
        <v>0</v>
      </c>
      <c r="AM114" s="351">
        <f>IF(AS113&lt;0.01,0,IF(Resol!$G$19&gt;0,Resol!$G$19,IF(Resol!$F$19=Resol!$U$5,0,IF($AS$10=0,AS113*Adm!$Y$3,AS113*Adm!$X$3))))</f>
        <v>0</v>
      </c>
      <c r="AN114" s="351">
        <f>IF(AS113&lt;0.01,0,IF(Resol!$F$20=Resol!$V$3,0,IF(OR(Resol!$F$10=Resol!$T$16,Resol!$F$10=Resol!$T$17),0,IF(Resol!$F$10=Resol!$T$13,0,$AL$5*Adm!$AA$4/1.16))))</f>
        <v>0</v>
      </c>
      <c r="AO114" s="178">
        <f t="shared" si="49"/>
        <v>0</v>
      </c>
      <c r="AP114" s="178"/>
      <c r="AQ114" s="178">
        <f t="shared" si="37"/>
        <v>0</v>
      </c>
      <c r="AR114" s="178">
        <f t="shared" si="44"/>
        <v>0</v>
      </c>
      <c r="AS114" s="178">
        <f t="shared" si="51"/>
        <v>0</v>
      </c>
      <c r="AT114" s="348"/>
      <c r="AU114" s="348"/>
      <c r="AV114" s="176">
        <f t="shared" si="52"/>
        <v>0</v>
      </c>
      <c r="BB114" s="571">
        <f t="shared" si="45"/>
        <v>6</v>
      </c>
      <c r="BC114" s="293">
        <f>IF(BB114=1,Adm!$AN$2,0)</f>
        <v>0</v>
      </c>
      <c r="BE114" s="341">
        <f t="shared" si="50"/>
        <v>0</v>
      </c>
      <c r="BF114" s="345">
        <f t="shared" ca="1" si="46"/>
        <v>0</v>
      </c>
    </row>
    <row r="115" spans="1:58">
      <c r="A115" s="151">
        <f t="shared" ca="1" si="32"/>
        <v>6</v>
      </c>
      <c r="C115" s="178">
        <f t="shared" si="33"/>
        <v>91</v>
      </c>
      <c r="D115" s="178">
        <f t="shared" si="38"/>
        <v>6669.0593160082981</v>
      </c>
      <c r="E115" s="178">
        <f t="shared" si="53"/>
        <v>2946.2467389695748</v>
      </c>
      <c r="F115" s="178">
        <f t="shared" si="47"/>
        <v>9615.3060549778729</v>
      </c>
      <c r="G115" s="178">
        <f>IF(L114&lt;0.01,0,IF(Adm!$S$3=Adm!$S$13,Cal!$E$94,IF(Adm!$R$3=Adm!$R$6,0,IF(Cal!$E$91=0,L114*Adm!$Y$3,L114*Adm!$X$3))))</f>
        <v>362.23522179581914</v>
      </c>
      <c r="H115" s="178">
        <f>IF(L114&lt;0.01,0,IF(Adm!$R$4=Adm!$R$6,0,IF(Adm!$B$3=Adm!$B$12,0,Cal!$E$89*Adm!$AA$3/1.16)))</f>
        <v>494.46758620689661</v>
      </c>
      <c r="I115" s="178">
        <f>IF(L114&lt;0.01,0,Adm!$O$3)</f>
        <v>250</v>
      </c>
      <c r="J115" s="178">
        <f t="shared" si="34"/>
        <v>10722.008862980589</v>
      </c>
      <c r="K115" s="178">
        <f>IF(Adm!$F$3="si",MIN(L114+D115+G115+H115+I115-J115,Y115),0)</f>
        <v>0</v>
      </c>
      <c r="L115" s="178">
        <f t="shared" si="39"/>
        <v>839461.24580944702</v>
      </c>
      <c r="M115" s="348"/>
      <c r="N115" s="348"/>
      <c r="O115" s="348">
        <f t="shared" si="40"/>
        <v>10722.008862980589</v>
      </c>
      <c r="U115" s="571">
        <f t="shared" si="41"/>
        <v>7</v>
      </c>
      <c r="V115" s="293">
        <f>IF(U115=1,Adm!$AN$2,0)</f>
        <v>0</v>
      </c>
      <c r="X115" s="341">
        <f t="shared" si="48"/>
        <v>0</v>
      </c>
      <c r="Y115" s="345">
        <f t="shared" ca="1" si="42"/>
        <v>0</v>
      </c>
      <c r="AD115" s="172"/>
      <c r="AG115" s="151">
        <f t="shared" ca="1" si="35"/>
        <v>6</v>
      </c>
      <c r="AI115" s="178">
        <f t="shared" si="36"/>
        <v>0</v>
      </c>
      <c r="AJ115" s="178">
        <f t="shared" si="43"/>
        <v>0</v>
      </c>
      <c r="AK115" s="178">
        <f t="shared" si="54"/>
        <v>0</v>
      </c>
      <c r="AL115" s="178">
        <f t="shared" si="55"/>
        <v>0</v>
      </c>
      <c r="AM115" s="351">
        <f>IF(AS114&lt;0.01,0,IF(Resol!$G$19&gt;0,Resol!$G$19,IF(Resol!$F$19=Resol!$U$5,0,IF($AS$10=0,AS114*Adm!$Y$3,AS114*Adm!$X$3))))</f>
        <v>0</v>
      </c>
      <c r="AN115" s="351">
        <f>IF(AS114&lt;0.01,0,IF(Resol!$F$20=Resol!$V$3,0,IF(OR(Resol!$F$10=Resol!$T$16,Resol!$F$10=Resol!$T$17),0,IF(Resol!$F$10=Resol!$T$13,0,$AL$5*Adm!$AA$4/1.16))))</f>
        <v>0</v>
      </c>
      <c r="AO115" s="178">
        <f t="shared" si="49"/>
        <v>0</v>
      </c>
      <c r="AP115" s="178"/>
      <c r="AQ115" s="178">
        <f t="shared" si="37"/>
        <v>0</v>
      </c>
      <c r="AR115" s="178">
        <f t="shared" si="44"/>
        <v>0</v>
      </c>
      <c r="AS115" s="178">
        <f t="shared" si="51"/>
        <v>0</v>
      </c>
      <c r="AT115" s="348"/>
      <c r="AU115" s="348"/>
      <c r="AV115" s="176">
        <f t="shared" si="52"/>
        <v>0</v>
      </c>
      <c r="BB115" s="571">
        <f t="shared" si="45"/>
        <v>7</v>
      </c>
      <c r="BC115" s="293">
        <f>IF(BB115=1,Adm!$AN$2,0)</f>
        <v>0</v>
      </c>
      <c r="BE115" s="341">
        <f t="shared" si="50"/>
        <v>0</v>
      </c>
      <c r="BF115" s="345">
        <f t="shared" ca="1" si="46"/>
        <v>0</v>
      </c>
    </row>
    <row r="116" spans="1:58">
      <c r="A116" s="151">
        <f t="shared" ca="1" si="32"/>
        <v>7</v>
      </c>
      <c r="C116" s="178">
        <f t="shared" si="33"/>
        <v>92</v>
      </c>
      <c r="D116" s="178">
        <f t="shared" si="38"/>
        <v>6645.7348626581224</v>
      </c>
      <c r="E116" s="178">
        <f t="shared" si="53"/>
        <v>2969.5711923197505</v>
      </c>
      <c r="F116" s="178">
        <f t="shared" si="47"/>
        <v>9615.3060549778729</v>
      </c>
      <c r="G116" s="178">
        <f>IF(L115&lt;0.01,0,IF(Adm!$S$3=Adm!$S$13,Cal!$E$94,IF(Adm!$R$3=Adm!$R$6,0,IF(Cal!$E$91=0,L115*Adm!$Y$3,L115*Adm!$X$3))))</f>
        <v>360.96833569806222</v>
      </c>
      <c r="H116" s="178">
        <f>IF(L115&lt;0.01,0,IF(Adm!$R$4=Adm!$R$6,0,IF(Adm!$B$3=Adm!$B$12,0,Cal!$E$89*Adm!$AA$3/1.16)))</f>
        <v>494.46758620689661</v>
      </c>
      <c r="I116" s="178">
        <f>IF(L115&lt;0.01,0,Adm!$O$3)</f>
        <v>250</v>
      </c>
      <c r="J116" s="178">
        <f t="shared" si="34"/>
        <v>10720.741976882831</v>
      </c>
      <c r="K116" s="178">
        <f>IF(Adm!$F$3="si",MIN(L115+D116+G116+H116+I116-J116,Y116),0)</f>
        <v>0</v>
      </c>
      <c r="L116" s="178">
        <f t="shared" si="39"/>
        <v>836491.67461712728</v>
      </c>
      <c r="M116" s="348"/>
      <c r="N116" s="348"/>
      <c r="O116" s="348">
        <f t="shared" si="40"/>
        <v>10720.741976882831</v>
      </c>
      <c r="U116" s="571">
        <f t="shared" si="41"/>
        <v>8</v>
      </c>
      <c r="V116" s="293">
        <f>IF(U116=1,Adm!$AN$2,0)</f>
        <v>0</v>
      </c>
      <c r="X116" s="341">
        <f t="shared" si="48"/>
        <v>0</v>
      </c>
      <c r="Y116" s="345">
        <f t="shared" ca="1" si="42"/>
        <v>0</v>
      </c>
      <c r="AD116" s="172"/>
      <c r="AG116" s="151">
        <f t="shared" ca="1" si="35"/>
        <v>7</v>
      </c>
      <c r="AI116" s="178">
        <f t="shared" si="36"/>
        <v>0</v>
      </c>
      <c r="AJ116" s="178">
        <f t="shared" si="43"/>
        <v>0</v>
      </c>
      <c r="AK116" s="178">
        <f t="shared" si="54"/>
        <v>0</v>
      </c>
      <c r="AL116" s="178">
        <f t="shared" si="55"/>
        <v>0</v>
      </c>
      <c r="AM116" s="351">
        <f>IF(AS115&lt;0.01,0,IF(Resol!$G$19&gt;0,Resol!$G$19,IF(Resol!$F$19=Resol!$U$5,0,IF($AS$10=0,AS115*Adm!$Y$3,AS115*Adm!$X$3))))</f>
        <v>0</v>
      </c>
      <c r="AN116" s="351">
        <f>IF(AS115&lt;0.01,0,IF(Resol!$F$20=Resol!$V$3,0,IF(OR(Resol!$F$10=Resol!$T$16,Resol!$F$10=Resol!$T$17),0,IF(Resol!$F$10=Resol!$T$13,0,$AL$5*Adm!$AA$4/1.16))))</f>
        <v>0</v>
      </c>
      <c r="AO116" s="178">
        <f t="shared" si="49"/>
        <v>0</v>
      </c>
      <c r="AP116" s="178"/>
      <c r="AQ116" s="178">
        <f t="shared" si="37"/>
        <v>0</v>
      </c>
      <c r="AR116" s="178">
        <f t="shared" si="44"/>
        <v>0</v>
      </c>
      <c r="AS116" s="178">
        <f t="shared" si="51"/>
        <v>0</v>
      </c>
      <c r="AT116" s="348"/>
      <c r="AU116" s="348"/>
      <c r="AV116" s="176">
        <f t="shared" si="52"/>
        <v>0</v>
      </c>
      <c r="BB116" s="571">
        <f t="shared" si="45"/>
        <v>8</v>
      </c>
      <c r="BC116" s="293">
        <f>IF(BB116=1,Adm!$AN$2,0)</f>
        <v>0</v>
      </c>
      <c r="BE116" s="341">
        <f t="shared" si="50"/>
        <v>0</v>
      </c>
      <c r="BF116" s="345">
        <f t="shared" ca="1" si="46"/>
        <v>0</v>
      </c>
    </row>
    <row r="117" spans="1:58">
      <c r="A117" s="151">
        <f t="shared" ca="1" si="32"/>
        <v>8</v>
      </c>
      <c r="C117" s="178">
        <f t="shared" si="33"/>
        <v>93</v>
      </c>
      <c r="D117" s="178">
        <f t="shared" si="38"/>
        <v>6622.2257573855904</v>
      </c>
      <c r="E117" s="178">
        <f t="shared" si="53"/>
        <v>2993.0802975922825</v>
      </c>
      <c r="F117" s="178">
        <f t="shared" si="47"/>
        <v>9615.3060549778729</v>
      </c>
      <c r="G117" s="178">
        <f>IF(L116&lt;0.01,0,IF(Adm!$S$3=Adm!$S$13,Cal!$E$94,IF(Adm!$R$3=Adm!$R$6,0,IF(Cal!$E$91=0,L116*Adm!$Y$3,L116*Adm!$X$3))))</f>
        <v>359.69142008536471</v>
      </c>
      <c r="H117" s="178">
        <f>IF(L116&lt;0.01,0,IF(Adm!$R$4=Adm!$R$6,0,IF(Adm!$B$3=Adm!$B$12,0,Cal!$E$89*Adm!$AA$3/1.16)))</f>
        <v>494.46758620689661</v>
      </c>
      <c r="I117" s="178">
        <f>IF(L116&lt;0.01,0,Adm!$O$3)</f>
        <v>250</v>
      </c>
      <c r="J117" s="178">
        <f t="shared" si="34"/>
        <v>10719.465061270133</v>
      </c>
      <c r="K117" s="178">
        <f>IF(Adm!$F$3="si",MIN(L116+D117+G117+H117+I117-J117,Y117),0)</f>
        <v>0</v>
      </c>
      <c r="L117" s="178">
        <f t="shared" si="39"/>
        <v>833498.59431953495</v>
      </c>
      <c r="M117" s="348"/>
      <c r="N117" s="348"/>
      <c r="O117" s="348">
        <f t="shared" si="40"/>
        <v>10719.465061270133</v>
      </c>
      <c r="U117" s="571">
        <f t="shared" si="41"/>
        <v>9</v>
      </c>
      <c r="V117" s="293">
        <f>IF(U117=1,Adm!$AN$2,0)</f>
        <v>0</v>
      </c>
      <c r="X117" s="341">
        <f t="shared" si="48"/>
        <v>0</v>
      </c>
      <c r="Y117" s="345">
        <f t="shared" ca="1" si="42"/>
        <v>0</v>
      </c>
      <c r="AD117" s="172"/>
      <c r="AG117" s="151">
        <f t="shared" ca="1" si="35"/>
        <v>8</v>
      </c>
      <c r="AI117" s="178">
        <f t="shared" si="36"/>
        <v>0</v>
      </c>
      <c r="AJ117" s="178">
        <f t="shared" si="43"/>
        <v>0</v>
      </c>
      <c r="AK117" s="178">
        <f t="shared" si="54"/>
        <v>0</v>
      </c>
      <c r="AL117" s="178">
        <f t="shared" si="55"/>
        <v>0</v>
      </c>
      <c r="AM117" s="351">
        <f>IF(AS116&lt;0.01,0,IF(Resol!$G$19&gt;0,Resol!$G$19,IF(Resol!$F$19=Resol!$U$5,0,IF($AS$10=0,AS116*Adm!$Y$3,AS116*Adm!$X$3))))</f>
        <v>0</v>
      </c>
      <c r="AN117" s="351">
        <f>IF(AS116&lt;0.01,0,IF(Resol!$F$20=Resol!$V$3,0,IF(OR(Resol!$F$10=Resol!$T$16,Resol!$F$10=Resol!$T$17),0,IF(Resol!$F$10=Resol!$T$13,0,$AL$5*Adm!$AA$4/1.16))))</f>
        <v>0</v>
      </c>
      <c r="AO117" s="178">
        <f t="shared" si="49"/>
        <v>0</v>
      </c>
      <c r="AP117" s="178"/>
      <c r="AQ117" s="178">
        <f t="shared" si="37"/>
        <v>0</v>
      </c>
      <c r="AR117" s="178">
        <f t="shared" si="44"/>
        <v>0</v>
      </c>
      <c r="AS117" s="178">
        <f t="shared" si="51"/>
        <v>0</v>
      </c>
      <c r="AT117" s="348"/>
      <c r="AU117" s="348"/>
      <c r="AV117" s="176">
        <f t="shared" si="52"/>
        <v>0</v>
      </c>
      <c r="BB117" s="571">
        <f t="shared" si="45"/>
        <v>9</v>
      </c>
      <c r="BC117" s="293">
        <f>IF(BB117=1,Adm!$AN$2,0)</f>
        <v>0</v>
      </c>
      <c r="BE117" s="341">
        <f t="shared" si="50"/>
        <v>0</v>
      </c>
      <c r="BF117" s="345">
        <f t="shared" ca="1" si="46"/>
        <v>0</v>
      </c>
    </row>
    <row r="118" spans="1:58">
      <c r="A118" s="151">
        <f t="shared" ca="1" si="32"/>
        <v>9</v>
      </c>
      <c r="C118" s="178">
        <f t="shared" si="33"/>
        <v>94</v>
      </c>
      <c r="D118" s="178">
        <f t="shared" si="38"/>
        <v>6598.5305383629857</v>
      </c>
      <c r="E118" s="178">
        <f t="shared" si="53"/>
        <v>3016.7755166148872</v>
      </c>
      <c r="F118" s="178">
        <f t="shared" si="47"/>
        <v>9615.3060549778729</v>
      </c>
      <c r="G118" s="178">
        <f>IF(L117&lt;0.01,0,IF(Adm!$S$3=Adm!$S$13,Cal!$E$94,IF(Adm!$R$3=Adm!$R$6,0,IF(Cal!$E$91=0,L117*Adm!$Y$3,L117*Adm!$X$3))))</f>
        <v>358.40439555739999</v>
      </c>
      <c r="H118" s="178">
        <f>IF(L117&lt;0.01,0,IF(Adm!$R$4=Adm!$R$6,0,IF(Adm!$B$3=Adm!$B$12,0,Cal!$E$89*Adm!$AA$3/1.16)))</f>
        <v>494.46758620689661</v>
      </c>
      <c r="I118" s="178">
        <f>IF(L117&lt;0.01,0,Adm!$O$3)</f>
        <v>250</v>
      </c>
      <c r="J118" s="178">
        <f t="shared" si="34"/>
        <v>10718.178036742169</v>
      </c>
      <c r="K118" s="178">
        <f>IF(Adm!$F$3="si",MIN(L117+D118+G118+H118+I118-J118,Y118),0)</f>
        <v>0</v>
      </c>
      <c r="L118" s="178">
        <f t="shared" si="39"/>
        <v>830481.81880292005</v>
      </c>
      <c r="M118" s="348"/>
      <c r="N118" s="348"/>
      <c r="O118" s="348">
        <f t="shared" si="40"/>
        <v>10718.178036742169</v>
      </c>
      <c r="U118" s="571">
        <f t="shared" si="41"/>
        <v>10</v>
      </c>
      <c r="V118" s="293">
        <f>IF(U118=1,Adm!$AN$2,0)</f>
        <v>0</v>
      </c>
      <c r="X118" s="341">
        <f t="shared" si="48"/>
        <v>0</v>
      </c>
      <c r="Y118" s="345">
        <f t="shared" ca="1" si="42"/>
        <v>0</v>
      </c>
      <c r="AD118" s="172"/>
      <c r="AG118" s="151">
        <f t="shared" ca="1" si="35"/>
        <v>9</v>
      </c>
      <c r="AI118" s="178">
        <f t="shared" si="36"/>
        <v>0</v>
      </c>
      <c r="AJ118" s="178">
        <f t="shared" si="43"/>
        <v>0</v>
      </c>
      <c r="AK118" s="178">
        <f t="shared" si="54"/>
        <v>0</v>
      </c>
      <c r="AL118" s="178">
        <f t="shared" si="55"/>
        <v>0</v>
      </c>
      <c r="AM118" s="351">
        <f>IF(AS117&lt;0.01,0,IF(Resol!$G$19&gt;0,Resol!$G$19,IF(Resol!$F$19=Resol!$U$5,0,IF($AS$10=0,AS117*Adm!$Y$3,AS117*Adm!$X$3))))</f>
        <v>0</v>
      </c>
      <c r="AN118" s="351">
        <f>IF(AS117&lt;0.01,0,IF(Resol!$F$20=Resol!$V$3,0,IF(OR(Resol!$F$10=Resol!$T$16,Resol!$F$10=Resol!$T$17),0,IF(Resol!$F$10=Resol!$T$13,0,$AL$5*Adm!$AA$4/1.16))))</f>
        <v>0</v>
      </c>
      <c r="AO118" s="178">
        <f t="shared" si="49"/>
        <v>0</v>
      </c>
      <c r="AP118" s="178"/>
      <c r="AQ118" s="178">
        <f t="shared" si="37"/>
        <v>0</v>
      </c>
      <c r="AR118" s="178">
        <f t="shared" si="44"/>
        <v>0</v>
      </c>
      <c r="AS118" s="178">
        <f t="shared" si="51"/>
        <v>0</v>
      </c>
      <c r="AT118" s="348"/>
      <c r="AU118" s="348"/>
      <c r="AV118" s="176">
        <f t="shared" si="52"/>
        <v>0</v>
      </c>
      <c r="BB118" s="571">
        <f t="shared" si="45"/>
        <v>10</v>
      </c>
      <c r="BC118" s="293">
        <f>IF(BB118=1,Adm!$AN$2,0)</f>
        <v>0</v>
      </c>
      <c r="BE118" s="341">
        <f t="shared" si="50"/>
        <v>0</v>
      </c>
      <c r="BF118" s="345">
        <f t="shared" ca="1" si="46"/>
        <v>0</v>
      </c>
    </row>
    <row r="119" spans="1:58">
      <c r="A119" s="151">
        <f t="shared" ca="1" si="32"/>
        <v>10</v>
      </c>
      <c r="C119" s="178">
        <f t="shared" si="33"/>
        <v>95</v>
      </c>
      <c r="D119" s="178">
        <f t="shared" si="38"/>
        <v>6574.6477321897837</v>
      </c>
      <c r="E119" s="178">
        <f t="shared" si="53"/>
        <v>3040.6583227880892</v>
      </c>
      <c r="F119" s="178">
        <f t="shared" si="47"/>
        <v>9615.3060549778729</v>
      </c>
      <c r="G119" s="178">
        <f>IF(L118&lt;0.01,0,IF(Adm!$S$3=Adm!$S$13,Cal!$E$94,IF(Adm!$R$3=Adm!$R$6,0,IF(Cal!$E$91=0,L118*Adm!$Y$3,L118*Adm!$X$3))))</f>
        <v>357.1071820852556</v>
      </c>
      <c r="H119" s="178">
        <f>IF(L118&lt;0.01,0,IF(Adm!$R$4=Adm!$R$6,0,IF(Adm!$B$3=Adm!$B$12,0,Cal!$E$89*Adm!$AA$3/1.16)))</f>
        <v>494.46758620689661</v>
      </c>
      <c r="I119" s="178">
        <f>IF(L118&lt;0.01,0,Adm!$O$3)</f>
        <v>250</v>
      </c>
      <c r="J119" s="178">
        <f t="shared" si="34"/>
        <v>10716.880823270025</v>
      </c>
      <c r="K119" s="178">
        <f>IF(Adm!$F$3="si",MIN(L118+D119+G119+H119+I119-J119,Y119),0)</f>
        <v>0</v>
      </c>
      <c r="L119" s="178">
        <f t="shared" si="39"/>
        <v>827441.16048013198</v>
      </c>
      <c r="M119" s="348"/>
      <c r="N119" s="348"/>
      <c r="O119" s="348">
        <f t="shared" si="40"/>
        <v>10716.880823270025</v>
      </c>
      <c r="U119" s="571">
        <f t="shared" si="41"/>
        <v>11</v>
      </c>
      <c r="V119" s="293">
        <f>IF(U119=1,Adm!$AN$2,0)</f>
        <v>0</v>
      </c>
      <c r="X119" s="341">
        <f t="shared" si="48"/>
        <v>0</v>
      </c>
      <c r="Y119" s="345">
        <f t="shared" ca="1" si="42"/>
        <v>0</v>
      </c>
      <c r="AD119" s="172"/>
      <c r="AG119" s="151">
        <f t="shared" ca="1" si="35"/>
        <v>10</v>
      </c>
      <c r="AI119" s="178">
        <f t="shared" si="36"/>
        <v>0</v>
      </c>
      <c r="AJ119" s="178">
        <f t="shared" si="43"/>
        <v>0</v>
      </c>
      <c r="AK119" s="178">
        <f t="shared" si="54"/>
        <v>0</v>
      </c>
      <c r="AL119" s="178">
        <f t="shared" si="55"/>
        <v>0</v>
      </c>
      <c r="AM119" s="351">
        <f>IF(AS118&lt;0.01,0,IF(Resol!$G$19&gt;0,Resol!$G$19,IF(Resol!$F$19=Resol!$U$5,0,IF($AS$10=0,AS118*Adm!$Y$3,AS118*Adm!$X$3))))</f>
        <v>0</v>
      </c>
      <c r="AN119" s="351">
        <f>IF(AS118&lt;0.01,0,IF(Resol!$F$20=Resol!$V$3,0,IF(OR(Resol!$F$10=Resol!$T$16,Resol!$F$10=Resol!$T$17),0,IF(Resol!$F$10=Resol!$T$13,0,$AL$5*Adm!$AA$4/1.16))))</f>
        <v>0</v>
      </c>
      <c r="AO119" s="178">
        <f t="shared" si="49"/>
        <v>0</v>
      </c>
      <c r="AP119" s="178"/>
      <c r="AQ119" s="178">
        <f t="shared" si="37"/>
        <v>0</v>
      </c>
      <c r="AR119" s="178">
        <f t="shared" si="44"/>
        <v>0</v>
      </c>
      <c r="AS119" s="178">
        <f t="shared" si="51"/>
        <v>0</v>
      </c>
      <c r="AT119" s="348"/>
      <c r="AU119" s="348"/>
      <c r="AV119" s="176">
        <f t="shared" si="52"/>
        <v>0</v>
      </c>
      <c r="BB119" s="571">
        <f t="shared" si="45"/>
        <v>11</v>
      </c>
      <c r="BC119" s="293">
        <f>IF(BB119=1,Adm!$AN$2,0)</f>
        <v>0</v>
      </c>
      <c r="BE119" s="341">
        <f t="shared" si="50"/>
        <v>0</v>
      </c>
      <c r="BF119" s="345">
        <f t="shared" ca="1" si="46"/>
        <v>0</v>
      </c>
    </row>
    <row r="120" spans="1:58">
      <c r="A120" s="151">
        <f t="shared" ca="1" si="32"/>
        <v>11</v>
      </c>
      <c r="C120" s="178">
        <f t="shared" si="33"/>
        <v>96</v>
      </c>
      <c r="D120" s="178">
        <f t="shared" si="38"/>
        <v>6550.575853801045</v>
      </c>
      <c r="E120" s="178">
        <f t="shared" si="53"/>
        <v>3064.7302011768279</v>
      </c>
      <c r="F120" s="178">
        <f t="shared" si="47"/>
        <v>9615.3060549778729</v>
      </c>
      <c r="G120" s="178">
        <f>IF(L119&lt;0.01,0,IF(Adm!$S$3=Adm!$S$13,Cal!$E$94,IF(Adm!$R$3=Adm!$R$6,0,IF(Cal!$E$91=0,L119*Adm!$Y$3,L119*Adm!$X$3))))</f>
        <v>355.79969900645676</v>
      </c>
      <c r="H120" s="178">
        <f>IF(L119&lt;0.01,0,IF(Adm!$R$4=Adm!$R$6,0,IF(Adm!$B$3=Adm!$B$12,0,Cal!$E$89*Adm!$AA$3/1.16)))</f>
        <v>494.46758620689661</v>
      </c>
      <c r="I120" s="178">
        <f>IF(L119&lt;0.01,0,Adm!$O$3)</f>
        <v>250</v>
      </c>
      <c r="J120" s="178">
        <f t="shared" si="34"/>
        <v>10715.573340191226</v>
      </c>
      <c r="K120" s="178">
        <f>IF(Adm!$F$3="si",MIN(L119+D120+G120+H120+I120-J120,Y120),0)</f>
        <v>0</v>
      </c>
      <c r="L120" s="178">
        <f t="shared" si="39"/>
        <v>824376.43027895514</v>
      </c>
      <c r="M120" s="348"/>
      <c r="N120" s="348"/>
      <c r="O120" s="348">
        <f t="shared" si="40"/>
        <v>10715.573340191226</v>
      </c>
      <c r="U120" s="571">
        <f t="shared" si="41"/>
        <v>12</v>
      </c>
      <c r="V120" s="293">
        <f>IF(U120=1,Adm!$AN$2,0)</f>
        <v>0</v>
      </c>
      <c r="X120" s="341">
        <f t="shared" si="48"/>
        <v>0</v>
      </c>
      <c r="Y120" s="345">
        <f t="shared" ca="1" si="42"/>
        <v>0</v>
      </c>
      <c r="AD120" s="172"/>
      <c r="AG120" s="151">
        <f t="shared" ca="1" si="35"/>
        <v>11</v>
      </c>
      <c r="AI120" s="178">
        <f t="shared" si="36"/>
        <v>0</v>
      </c>
      <c r="AJ120" s="178">
        <f t="shared" si="43"/>
        <v>0</v>
      </c>
      <c r="AK120" s="178">
        <f t="shared" si="54"/>
        <v>0</v>
      </c>
      <c r="AL120" s="178">
        <f t="shared" si="55"/>
        <v>0</v>
      </c>
      <c r="AM120" s="351">
        <f>IF(AS119&lt;0.01,0,IF(Resol!$G$19&gt;0,Resol!$G$19,IF(Resol!$F$19=Resol!$U$5,0,IF($AS$10=0,AS119*Adm!$Y$3,AS119*Adm!$X$3))))</f>
        <v>0</v>
      </c>
      <c r="AN120" s="351">
        <f>IF(AS119&lt;0.01,0,IF(Resol!$F$20=Resol!$V$3,0,IF(OR(Resol!$F$10=Resol!$T$16,Resol!$F$10=Resol!$T$17),0,IF(Resol!$F$10=Resol!$T$13,0,$AL$5*Adm!$AA$4/1.16))))</f>
        <v>0</v>
      </c>
      <c r="AO120" s="178">
        <f t="shared" si="49"/>
        <v>0</v>
      </c>
      <c r="AP120" s="178"/>
      <c r="AQ120" s="178">
        <f t="shared" si="37"/>
        <v>0</v>
      </c>
      <c r="AR120" s="178">
        <f t="shared" si="44"/>
        <v>0</v>
      </c>
      <c r="AS120" s="178">
        <f t="shared" si="51"/>
        <v>0</v>
      </c>
      <c r="AT120" s="348"/>
      <c r="AU120" s="348"/>
      <c r="AV120" s="176">
        <f t="shared" si="52"/>
        <v>0</v>
      </c>
      <c r="BB120" s="571">
        <f t="shared" si="45"/>
        <v>12</v>
      </c>
      <c r="BC120" s="293">
        <f>IF(BB120=1,Adm!$AN$2,0)</f>
        <v>0</v>
      </c>
      <c r="BE120" s="341">
        <f t="shared" si="50"/>
        <v>0</v>
      </c>
      <c r="BF120" s="345">
        <f t="shared" ca="1" si="46"/>
        <v>0</v>
      </c>
    </row>
    <row r="121" spans="1:58">
      <c r="A121" s="151">
        <f t="shared" ca="1" si="32"/>
        <v>12</v>
      </c>
      <c r="C121" s="178">
        <f t="shared" si="33"/>
        <v>97</v>
      </c>
      <c r="D121" s="178">
        <f t="shared" si="38"/>
        <v>6526.3134063750622</v>
      </c>
      <c r="E121" s="178">
        <f t="shared" si="53"/>
        <v>3088.9926486028107</v>
      </c>
      <c r="F121" s="178">
        <f t="shared" si="47"/>
        <v>9615.3060549778729</v>
      </c>
      <c r="G121" s="178">
        <f>IF(L120&lt;0.01,0,IF(Adm!$S$3=Adm!$S$13,Cal!$E$94,IF(Adm!$R$3=Adm!$R$6,0,IF(Cal!$E$91=0,L120*Adm!$Y$3,L120*Adm!$X$3))))</f>
        <v>354.4818650199507</v>
      </c>
      <c r="H121" s="178">
        <f>IF(L120&lt;0.01,0,IF(Adm!$R$4=Adm!$R$6,0,IF(Adm!$B$3=Adm!$B$12,0,Cal!$E$89*Adm!$AA$3/1.16)))</f>
        <v>494.46758620689661</v>
      </c>
      <c r="I121" s="178">
        <f>IF(L120&lt;0.01,0,Adm!$O$3)</f>
        <v>250</v>
      </c>
      <c r="J121" s="178">
        <f t="shared" si="34"/>
        <v>10714.255506204719</v>
      </c>
      <c r="K121" s="178">
        <f>IF(Adm!$F$3="si",MIN(L120+D121+G121+H121+I121-J121,Y121),0)</f>
        <v>0</v>
      </c>
      <c r="L121" s="178">
        <f t="shared" si="39"/>
        <v>821287.43763035233</v>
      </c>
      <c r="M121" s="348"/>
      <c r="N121" s="348"/>
      <c r="O121" s="348">
        <f t="shared" si="40"/>
        <v>10714.255506204719</v>
      </c>
      <c r="U121" s="571">
        <f t="shared" si="41"/>
        <v>1</v>
      </c>
      <c r="V121" s="293">
        <f>IF(U121=1,Adm!$AN$2,0)</f>
        <v>0</v>
      </c>
      <c r="X121" s="341">
        <f t="shared" si="48"/>
        <v>0</v>
      </c>
      <c r="Y121" s="345">
        <f t="shared" ca="1" si="42"/>
        <v>0</v>
      </c>
      <c r="AD121" s="172"/>
      <c r="AG121" s="151">
        <f t="shared" ca="1" si="35"/>
        <v>12</v>
      </c>
      <c r="AI121" s="178">
        <f t="shared" si="36"/>
        <v>0</v>
      </c>
      <c r="AJ121" s="178">
        <f t="shared" si="43"/>
        <v>0</v>
      </c>
      <c r="AK121" s="178">
        <f t="shared" si="54"/>
        <v>0</v>
      </c>
      <c r="AL121" s="178">
        <f t="shared" si="55"/>
        <v>0</v>
      </c>
      <c r="AM121" s="351">
        <f>IF(AS120&lt;0.01,0,IF(Resol!$G$19&gt;0,Resol!$G$19,IF(Resol!$F$19=Resol!$U$5,0,IF($AS$10=0,AS120*Adm!$Y$3,AS120*Adm!$X$3))))</f>
        <v>0</v>
      </c>
      <c r="AN121" s="351">
        <f>IF(AS120&lt;0.01,0,IF(Resol!$F$20=Resol!$V$3,0,IF(OR(Resol!$F$10=Resol!$T$16,Resol!$F$10=Resol!$T$17),0,IF(Resol!$F$10=Resol!$T$13,0,$AL$5*Adm!$AA$4/1.16))))</f>
        <v>0</v>
      </c>
      <c r="AO121" s="178">
        <f t="shared" si="49"/>
        <v>0</v>
      </c>
      <c r="AP121" s="178"/>
      <c r="AQ121" s="178">
        <f t="shared" si="37"/>
        <v>0</v>
      </c>
      <c r="AR121" s="178">
        <f t="shared" si="44"/>
        <v>0</v>
      </c>
      <c r="AS121" s="178">
        <f t="shared" si="51"/>
        <v>0</v>
      </c>
      <c r="AT121" s="348"/>
      <c r="AU121" s="348"/>
      <c r="AV121" s="176">
        <f t="shared" si="52"/>
        <v>0</v>
      </c>
      <c r="BB121" s="571">
        <f t="shared" si="45"/>
        <v>1</v>
      </c>
      <c r="BC121" s="293">
        <f>IF(BB121=1,Adm!$AN$2,0)</f>
        <v>0</v>
      </c>
      <c r="BE121" s="341">
        <f t="shared" si="50"/>
        <v>0</v>
      </c>
      <c r="BF121" s="345">
        <f t="shared" ca="1" si="46"/>
        <v>0</v>
      </c>
    </row>
    <row r="122" spans="1:58">
      <c r="A122" s="151">
        <f t="shared" ca="1" si="32"/>
        <v>1</v>
      </c>
      <c r="C122" s="178">
        <f t="shared" si="33"/>
        <v>98</v>
      </c>
      <c r="D122" s="178">
        <f t="shared" si="38"/>
        <v>6501.8588812402895</v>
      </c>
      <c r="E122" s="178">
        <f t="shared" si="53"/>
        <v>3113.4471737375834</v>
      </c>
      <c r="F122" s="178">
        <f t="shared" si="47"/>
        <v>9615.3060549778729</v>
      </c>
      <c r="G122" s="178">
        <f>IF(L121&lt;0.01,0,IF(Adm!$S$3=Adm!$S$13,Cal!$E$94,IF(Adm!$R$3=Adm!$R$6,0,IF(Cal!$E$91=0,L121*Adm!$Y$3,L121*Adm!$X$3))))</f>
        <v>353.15359818105151</v>
      </c>
      <c r="H122" s="178">
        <f>IF(L121&lt;0.01,0,IF(Adm!$R$4=Adm!$R$6,0,IF(Adm!$B$3=Adm!$B$12,0,Cal!$E$89*Adm!$AA$3/1.16)))</f>
        <v>494.46758620689661</v>
      </c>
      <c r="I122" s="178">
        <f>IF(L121&lt;0.01,0,Adm!$O$3)</f>
        <v>250</v>
      </c>
      <c r="J122" s="178">
        <f t="shared" si="34"/>
        <v>10712.927239365821</v>
      </c>
      <c r="K122" s="178">
        <f>IF(Adm!$F$3="si",MIN(L121+D122+G122+H122+I122-J122,Y122),0)</f>
        <v>0</v>
      </c>
      <c r="L122" s="178">
        <f t="shared" si="39"/>
        <v>818173.99045661476</v>
      </c>
      <c r="M122" s="348"/>
      <c r="N122" s="348"/>
      <c r="O122" s="348">
        <f t="shared" si="40"/>
        <v>10712.927239365821</v>
      </c>
      <c r="U122" s="571">
        <f t="shared" si="41"/>
        <v>2</v>
      </c>
      <c r="V122" s="293">
        <f>IF(U122=1,Adm!$AN$2,0)</f>
        <v>0</v>
      </c>
      <c r="X122" s="341">
        <f t="shared" si="48"/>
        <v>0</v>
      </c>
      <c r="Y122" s="345">
        <f t="shared" ca="1" si="42"/>
        <v>0</v>
      </c>
      <c r="AD122" s="172"/>
      <c r="AG122" s="151">
        <f t="shared" ca="1" si="35"/>
        <v>1</v>
      </c>
      <c r="AI122" s="178">
        <f t="shared" si="36"/>
        <v>0</v>
      </c>
      <c r="AJ122" s="178">
        <f t="shared" si="43"/>
        <v>0</v>
      </c>
      <c r="AK122" s="178">
        <f t="shared" si="54"/>
        <v>0</v>
      </c>
      <c r="AL122" s="178">
        <f t="shared" si="55"/>
        <v>0</v>
      </c>
      <c r="AM122" s="351">
        <f>IF(AS121&lt;0.01,0,IF(Resol!$G$19&gt;0,Resol!$G$19,IF(Resol!$F$19=Resol!$U$5,0,IF($AS$10=0,AS121*Adm!$Y$3,AS121*Adm!$X$3))))</f>
        <v>0</v>
      </c>
      <c r="AN122" s="351">
        <f>IF(AS121&lt;0.01,0,IF(Resol!$F$20=Resol!$V$3,0,IF(OR(Resol!$F$10=Resol!$T$16,Resol!$F$10=Resol!$T$17),0,IF(Resol!$F$10=Resol!$T$13,0,$AL$5*Adm!$AA$4/1.16))))</f>
        <v>0</v>
      </c>
      <c r="AO122" s="178">
        <f t="shared" si="49"/>
        <v>0</v>
      </c>
      <c r="AP122" s="178"/>
      <c r="AQ122" s="178">
        <f t="shared" si="37"/>
        <v>0</v>
      </c>
      <c r="AR122" s="178">
        <f t="shared" si="44"/>
        <v>0</v>
      </c>
      <c r="AS122" s="178">
        <f t="shared" si="51"/>
        <v>0</v>
      </c>
      <c r="AT122" s="348"/>
      <c r="AU122" s="348"/>
      <c r="AV122" s="176">
        <f t="shared" si="52"/>
        <v>0</v>
      </c>
      <c r="BB122" s="571">
        <f t="shared" si="45"/>
        <v>2</v>
      </c>
      <c r="BC122" s="293">
        <f>IF(BB122=1,Adm!$AN$2,0)</f>
        <v>0</v>
      </c>
      <c r="BE122" s="341">
        <f t="shared" si="50"/>
        <v>0</v>
      </c>
      <c r="BF122" s="345">
        <f t="shared" ca="1" si="46"/>
        <v>0</v>
      </c>
    </row>
    <row r="123" spans="1:58">
      <c r="A123" s="151">
        <f t="shared" ca="1" si="32"/>
        <v>2</v>
      </c>
      <c r="C123" s="178">
        <f t="shared" si="33"/>
        <v>99</v>
      </c>
      <c r="D123" s="178">
        <f t="shared" si="38"/>
        <v>6477.2107577815332</v>
      </c>
      <c r="E123" s="178">
        <f t="shared" si="53"/>
        <v>3138.0952971963397</v>
      </c>
      <c r="F123" s="178">
        <f t="shared" si="47"/>
        <v>9615.3060549778729</v>
      </c>
      <c r="G123" s="178">
        <f>IF(L122&lt;0.01,0,IF(Adm!$S$3=Adm!$S$13,Cal!$E$94,IF(Adm!$R$3=Adm!$R$6,0,IF(Cal!$E$91=0,L122*Adm!$Y$3,L122*Adm!$X$3))))</f>
        <v>351.81481589634433</v>
      </c>
      <c r="H123" s="178">
        <f>IF(L122&lt;0.01,0,IF(Adm!$R$4=Adm!$R$6,0,IF(Adm!$B$3=Adm!$B$12,0,Cal!$E$89*Adm!$AA$3/1.16)))</f>
        <v>494.46758620689661</v>
      </c>
      <c r="I123" s="178">
        <f>IF(L122&lt;0.01,0,Adm!$O$3)</f>
        <v>250</v>
      </c>
      <c r="J123" s="178">
        <f t="shared" si="34"/>
        <v>10711.588457081114</v>
      </c>
      <c r="K123" s="178">
        <f>IF(Adm!$F$3="si",MIN(L122+D123+G123+H123+I123-J123,Y123),0)</f>
        <v>0</v>
      </c>
      <c r="L123" s="178">
        <f t="shared" si="39"/>
        <v>815035.89515941846</v>
      </c>
      <c r="M123" s="348"/>
      <c r="N123" s="348"/>
      <c r="O123" s="348">
        <f t="shared" si="40"/>
        <v>10711.588457081114</v>
      </c>
      <c r="U123" s="571">
        <f t="shared" si="41"/>
        <v>3</v>
      </c>
      <c r="V123" s="293">
        <f>IF(U123=1,Adm!$AN$2,0)</f>
        <v>0</v>
      </c>
      <c r="X123" s="341">
        <f t="shared" si="48"/>
        <v>0</v>
      </c>
      <c r="Y123" s="345">
        <f t="shared" ca="1" si="42"/>
        <v>0</v>
      </c>
      <c r="AD123" s="172"/>
      <c r="AG123" s="151">
        <f t="shared" ca="1" si="35"/>
        <v>2</v>
      </c>
      <c r="AI123" s="178">
        <f t="shared" si="36"/>
        <v>0</v>
      </c>
      <c r="AJ123" s="178">
        <f t="shared" si="43"/>
        <v>0</v>
      </c>
      <c r="AK123" s="178">
        <f t="shared" si="54"/>
        <v>0</v>
      </c>
      <c r="AL123" s="178">
        <f t="shared" si="55"/>
        <v>0</v>
      </c>
      <c r="AM123" s="351">
        <f>IF(AS122&lt;0.01,0,IF(Resol!$G$19&gt;0,Resol!$G$19,IF(Resol!$F$19=Resol!$U$5,0,IF($AS$10=0,AS122*Adm!$Y$3,AS122*Adm!$X$3))))</f>
        <v>0</v>
      </c>
      <c r="AN123" s="351">
        <f>IF(AS122&lt;0.01,0,IF(Resol!$F$20=Resol!$V$3,0,IF(OR(Resol!$F$10=Resol!$T$16,Resol!$F$10=Resol!$T$17),0,IF(Resol!$F$10=Resol!$T$13,0,$AL$5*Adm!$AA$4/1.16))))</f>
        <v>0</v>
      </c>
      <c r="AO123" s="178">
        <f t="shared" si="49"/>
        <v>0</v>
      </c>
      <c r="AP123" s="178"/>
      <c r="AQ123" s="178">
        <f t="shared" si="37"/>
        <v>0</v>
      </c>
      <c r="AR123" s="178">
        <f t="shared" si="44"/>
        <v>0</v>
      </c>
      <c r="AS123" s="178">
        <f t="shared" si="51"/>
        <v>0</v>
      </c>
      <c r="AT123" s="348"/>
      <c r="AU123" s="348"/>
      <c r="AV123" s="176">
        <f t="shared" si="52"/>
        <v>0</v>
      </c>
      <c r="BB123" s="571">
        <f t="shared" si="45"/>
        <v>3</v>
      </c>
      <c r="BC123" s="293">
        <f>IF(BB123=1,Adm!$AN$2,0)</f>
        <v>0</v>
      </c>
      <c r="BE123" s="341">
        <f t="shared" si="50"/>
        <v>0</v>
      </c>
      <c r="BF123" s="345">
        <f t="shared" ca="1" si="46"/>
        <v>0</v>
      </c>
    </row>
    <row r="124" spans="1:58">
      <c r="A124" s="151">
        <f t="shared" ca="1" si="32"/>
        <v>3</v>
      </c>
      <c r="C124" s="178">
        <f t="shared" si="33"/>
        <v>100</v>
      </c>
      <c r="D124" s="178">
        <f t="shared" si="38"/>
        <v>6452.3675033453956</v>
      </c>
      <c r="E124" s="178">
        <f t="shared" si="53"/>
        <v>3162.9385516324774</v>
      </c>
      <c r="F124" s="178">
        <f t="shared" si="47"/>
        <v>9615.3060549778729</v>
      </c>
      <c r="G124" s="178">
        <f>IF(L123&lt;0.01,0,IF(Adm!$S$3=Adm!$S$13,Cal!$E$94,IF(Adm!$R$3=Adm!$R$6,0,IF(Cal!$E$91=0,L123*Adm!$Y$3,L123*Adm!$X$3))))</f>
        <v>350.46543491854993</v>
      </c>
      <c r="H124" s="178">
        <f>IF(L123&lt;0.01,0,IF(Adm!$R$4=Adm!$R$6,0,IF(Adm!$B$3=Adm!$B$12,0,Cal!$E$89*Adm!$AA$3/1.16)))</f>
        <v>494.46758620689661</v>
      </c>
      <c r="I124" s="178">
        <f>IF(L123&lt;0.01,0,Adm!$O$3)</f>
        <v>250</v>
      </c>
      <c r="J124" s="178">
        <f t="shared" si="34"/>
        <v>10710.239076103318</v>
      </c>
      <c r="K124" s="178">
        <f>IF(Adm!$F$3="si",MIN(L123+D124+G124+H124+I124-J124,Y124),0)</f>
        <v>0</v>
      </c>
      <c r="L124" s="178">
        <f t="shared" si="39"/>
        <v>811872.95660778601</v>
      </c>
      <c r="M124" s="348"/>
      <c r="N124" s="348"/>
      <c r="O124" s="348">
        <f t="shared" si="40"/>
        <v>10710.239076103318</v>
      </c>
      <c r="U124" s="571">
        <f t="shared" si="41"/>
        <v>4</v>
      </c>
      <c r="V124" s="293">
        <f>IF(U124=1,Adm!$AN$2,0)</f>
        <v>0</v>
      </c>
      <c r="X124" s="341">
        <f t="shared" si="48"/>
        <v>0</v>
      </c>
      <c r="Y124" s="345">
        <f t="shared" ca="1" si="42"/>
        <v>0</v>
      </c>
      <c r="AD124" s="172"/>
      <c r="AG124" s="151">
        <f t="shared" ca="1" si="35"/>
        <v>3</v>
      </c>
      <c r="AI124" s="178">
        <f t="shared" si="36"/>
        <v>0</v>
      </c>
      <c r="AJ124" s="178">
        <f t="shared" si="43"/>
        <v>0</v>
      </c>
      <c r="AK124" s="178">
        <f t="shared" si="54"/>
        <v>0</v>
      </c>
      <c r="AL124" s="178">
        <f t="shared" si="55"/>
        <v>0</v>
      </c>
      <c r="AM124" s="351">
        <f>IF(AS123&lt;0.01,0,IF(Resol!$G$19&gt;0,Resol!$G$19,IF(Resol!$F$19=Resol!$U$5,0,IF($AS$10=0,AS123*Adm!$Y$3,AS123*Adm!$X$3))))</f>
        <v>0</v>
      </c>
      <c r="AN124" s="351">
        <f>IF(AS123&lt;0.01,0,IF(Resol!$F$20=Resol!$V$3,0,IF(OR(Resol!$F$10=Resol!$T$16,Resol!$F$10=Resol!$T$17),0,IF(Resol!$F$10=Resol!$T$13,0,$AL$5*Adm!$AA$4/1.16))))</f>
        <v>0</v>
      </c>
      <c r="AO124" s="178">
        <f t="shared" si="49"/>
        <v>0</v>
      </c>
      <c r="AP124" s="178"/>
      <c r="AQ124" s="178">
        <f t="shared" si="37"/>
        <v>0</v>
      </c>
      <c r="AR124" s="178">
        <f t="shared" si="44"/>
        <v>0</v>
      </c>
      <c r="AS124" s="178">
        <f t="shared" si="51"/>
        <v>0</v>
      </c>
      <c r="AT124" s="348"/>
      <c r="AU124" s="348"/>
      <c r="AV124" s="176">
        <f t="shared" si="52"/>
        <v>0</v>
      </c>
      <c r="BB124" s="571">
        <f t="shared" si="45"/>
        <v>4</v>
      </c>
      <c r="BC124" s="293">
        <f>IF(BB124=1,Adm!$AN$2,0)</f>
        <v>0</v>
      </c>
      <c r="BE124" s="341">
        <f t="shared" si="50"/>
        <v>0</v>
      </c>
      <c r="BF124" s="345">
        <f t="shared" ca="1" si="46"/>
        <v>0</v>
      </c>
    </row>
    <row r="125" spans="1:58">
      <c r="A125" s="151">
        <f t="shared" ca="1" si="32"/>
        <v>4</v>
      </c>
      <c r="C125" s="178">
        <f t="shared" si="33"/>
        <v>101</v>
      </c>
      <c r="D125" s="178">
        <f t="shared" si="38"/>
        <v>6427.3275731449721</v>
      </c>
      <c r="E125" s="178">
        <f t="shared" si="53"/>
        <v>3187.9784818329008</v>
      </c>
      <c r="F125" s="178">
        <f t="shared" si="47"/>
        <v>9615.3060549778729</v>
      </c>
      <c r="G125" s="178">
        <f>IF(L124&lt;0.01,0,IF(Adm!$S$3=Adm!$S$13,Cal!$E$94,IF(Adm!$R$3=Adm!$R$6,0,IF(Cal!$E$91=0,L124*Adm!$Y$3,L124*Adm!$X$3))))</f>
        <v>349.10537134134796</v>
      </c>
      <c r="H125" s="178">
        <f>IF(L124&lt;0.01,0,IF(Adm!$R$4=Adm!$R$6,0,IF(Adm!$B$3=Adm!$B$12,0,Cal!$E$89*Adm!$AA$3/1.16)))</f>
        <v>494.46758620689661</v>
      </c>
      <c r="I125" s="178">
        <f>IF(L124&lt;0.01,0,Adm!$O$3)</f>
        <v>250</v>
      </c>
      <c r="J125" s="178">
        <f t="shared" si="34"/>
        <v>10708.879012526117</v>
      </c>
      <c r="K125" s="178">
        <f>IF(Adm!$F$3="si",MIN(L124+D125+G125+H125+I125-J125,Y125),0)</f>
        <v>0</v>
      </c>
      <c r="L125" s="178">
        <f t="shared" si="39"/>
        <v>808684.97812595312</v>
      </c>
      <c r="M125" s="348"/>
      <c r="N125" s="348"/>
      <c r="O125" s="348">
        <f t="shared" si="40"/>
        <v>10708.879012526117</v>
      </c>
      <c r="U125" s="571">
        <f t="shared" si="41"/>
        <v>5</v>
      </c>
      <c r="V125" s="293">
        <f>IF(U125=1,Adm!$AN$2,0)</f>
        <v>0</v>
      </c>
      <c r="X125" s="341">
        <f t="shared" si="48"/>
        <v>0</v>
      </c>
      <c r="Y125" s="345">
        <f t="shared" ca="1" si="42"/>
        <v>0</v>
      </c>
      <c r="AD125" s="172"/>
      <c r="AG125" s="151">
        <f t="shared" ca="1" si="35"/>
        <v>4</v>
      </c>
      <c r="AI125" s="178">
        <f t="shared" si="36"/>
        <v>0</v>
      </c>
      <c r="AJ125" s="178">
        <f t="shared" si="43"/>
        <v>0</v>
      </c>
      <c r="AK125" s="178">
        <f t="shared" si="54"/>
        <v>0</v>
      </c>
      <c r="AL125" s="178">
        <f t="shared" si="55"/>
        <v>0</v>
      </c>
      <c r="AM125" s="351">
        <f>IF(AS124&lt;0.01,0,IF(Resol!$G$19&gt;0,Resol!$G$19,IF(Resol!$F$19=Resol!$U$5,0,IF($AS$10=0,AS124*Adm!$Y$3,AS124*Adm!$X$3))))</f>
        <v>0</v>
      </c>
      <c r="AN125" s="351">
        <f>IF(AS124&lt;0.01,0,IF(Resol!$F$20=Resol!$V$3,0,IF(OR(Resol!$F$10=Resol!$T$16,Resol!$F$10=Resol!$T$17),0,IF(Resol!$F$10=Resol!$T$13,0,$AL$5*Adm!$AA$4/1.16))))</f>
        <v>0</v>
      </c>
      <c r="AO125" s="178">
        <f t="shared" si="49"/>
        <v>0</v>
      </c>
      <c r="AP125" s="178"/>
      <c r="AQ125" s="178">
        <f t="shared" si="37"/>
        <v>0</v>
      </c>
      <c r="AR125" s="178">
        <f t="shared" si="44"/>
        <v>0</v>
      </c>
      <c r="AS125" s="178">
        <f t="shared" si="51"/>
        <v>0</v>
      </c>
      <c r="AT125" s="348"/>
      <c r="AU125" s="348"/>
      <c r="AV125" s="176">
        <f t="shared" si="52"/>
        <v>0</v>
      </c>
      <c r="BB125" s="571">
        <f t="shared" si="45"/>
        <v>5</v>
      </c>
      <c r="BC125" s="293">
        <f>IF(BB125=1,Adm!$AN$2,0)</f>
        <v>0</v>
      </c>
      <c r="BE125" s="341">
        <f t="shared" si="50"/>
        <v>0</v>
      </c>
      <c r="BF125" s="345">
        <f t="shared" ca="1" si="46"/>
        <v>0</v>
      </c>
    </row>
    <row r="126" spans="1:58">
      <c r="A126" s="151">
        <f t="shared" ca="1" si="32"/>
        <v>5</v>
      </c>
      <c r="C126" s="178">
        <f t="shared" si="33"/>
        <v>102</v>
      </c>
      <c r="D126" s="178">
        <f t="shared" si="38"/>
        <v>6402.0894101637959</v>
      </c>
      <c r="E126" s="178">
        <f t="shared" si="53"/>
        <v>3213.216644814077</v>
      </c>
      <c r="F126" s="178">
        <f t="shared" si="47"/>
        <v>9615.3060549778729</v>
      </c>
      <c r="G126" s="178">
        <f>IF(L125&lt;0.01,0,IF(Adm!$S$3=Adm!$S$13,Cal!$E$94,IF(Adm!$R$3=Adm!$R$6,0,IF(Cal!$E$91=0,L125*Adm!$Y$3,L125*Adm!$X$3))))</f>
        <v>347.73454059415985</v>
      </c>
      <c r="H126" s="178">
        <f>IF(L125&lt;0.01,0,IF(Adm!$R$4=Adm!$R$6,0,IF(Adm!$B$3=Adm!$B$12,0,Cal!$E$89*Adm!$AA$3/1.16)))</f>
        <v>494.46758620689661</v>
      </c>
      <c r="I126" s="178">
        <f>IF(L125&lt;0.01,0,Adm!$O$3)</f>
        <v>250</v>
      </c>
      <c r="J126" s="178">
        <f t="shared" si="34"/>
        <v>10707.508181778929</v>
      </c>
      <c r="K126" s="178">
        <f>IF(Adm!$F$3="si",MIN(L125+D126+G126+H126+I126-J126,Y126),0)</f>
        <v>0</v>
      </c>
      <c r="L126" s="178">
        <f t="shared" si="39"/>
        <v>805471.76148113899</v>
      </c>
      <c r="M126" s="348"/>
      <c r="N126" s="348"/>
      <c r="O126" s="348">
        <f t="shared" si="40"/>
        <v>10707.508181778929</v>
      </c>
      <c r="U126" s="571">
        <f t="shared" si="41"/>
        <v>6</v>
      </c>
      <c r="V126" s="293">
        <f>IF(U126=1,Adm!$AN$2,0)</f>
        <v>0</v>
      </c>
      <c r="X126" s="341">
        <f t="shared" si="48"/>
        <v>0</v>
      </c>
      <c r="Y126" s="345">
        <f t="shared" ca="1" si="42"/>
        <v>0</v>
      </c>
      <c r="AD126" s="172"/>
      <c r="AG126" s="151">
        <f t="shared" ca="1" si="35"/>
        <v>5</v>
      </c>
      <c r="AI126" s="178">
        <f t="shared" si="36"/>
        <v>0</v>
      </c>
      <c r="AJ126" s="178">
        <f t="shared" si="43"/>
        <v>0</v>
      </c>
      <c r="AK126" s="178">
        <f t="shared" si="54"/>
        <v>0</v>
      </c>
      <c r="AL126" s="178">
        <f t="shared" si="55"/>
        <v>0</v>
      </c>
      <c r="AM126" s="351">
        <f>IF(AS125&lt;0.01,0,IF(Resol!$G$19&gt;0,Resol!$G$19,IF(Resol!$F$19=Resol!$U$5,0,IF($AS$10=0,AS125*Adm!$Y$3,AS125*Adm!$X$3))))</f>
        <v>0</v>
      </c>
      <c r="AN126" s="351">
        <f>IF(AS125&lt;0.01,0,IF(Resol!$F$20=Resol!$V$3,0,IF(OR(Resol!$F$10=Resol!$T$16,Resol!$F$10=Resol!$T$17),0,IF(Resol!$F$10=Resol!$T$13,0,$AL$5*Adm!$AA$4/1.16))))</f>
        <v>0</v>
      </c>
      <c r="AO126" s="178">
        <f t="shared" si="49"/>
        <v>0</v>
      </c>
      <c r="AP126" s="178"/>
      <c r="AQ126" s="178">
        <f t="shared" si="37"/>
        <v>0</v>
      </c>
      <c r="AR126" s="178">
        <f t="shared" si="44"/>
        <v>0</v>
      </c>
      <c r="AS126" s="178">
        <f t="shared" si="51"/>
        <v>0</v>
      </c>
      <c r="AT126" s="348"/>
      <c r="AU126" s="348"/>
      <c r="AV126" s="176">
        <f t="shared" si="52"/>
        <v>0</v>
      </c>
      <c r="BB126" s="571">
        <f t="shared" si="45"/>
        <v>6</v>
      </c>
      <c r="BC126" s="293">
        <f>IF(BB126=1,Adm!$AN$2,0)</f>
        <v>0</v>
      </c>
      <c r="BE126" s="341">
        <f t="shared" si="50"/>
        <v>0</v>
      </c>
      <c r="BF126" s="345">
        <f t="shared" ca="1" si="46"/>
        <v>0</v>
      </c>
    </row>
    <row r="127" spans="1:58">
      <c r="A127" s="151">
        <f t="shared" ca="1" si="32"/>
        <v>6</v>
      </c>
      <c r="C127" s="178">
        <f t="shared" si="33"/>
        <v>103</v>
      </c>
      <c r="D127" s="178">
        <f t="shared" si="38"/>
        <v>6376.6514450590175</v>
      </c>
      <c r="E127" s="178">
        <f t="shared" si="53"/>
        <v>3238.6546099188554</v>
      </c>
      <c r="F127" s="178">
        <f t="shared" si="47"/>
        <v>9615.3060549778729</v>
      </c>
      <c r="G127" s="178">
        <f>IF(L126&lt;0.01,0,IF(Adm!$S$3=Adm!$S$13,Cal!$E$94,IF(Adm!$R$3=Adm!$R$6,0,IF(Cal!$E$91=0,L126*Adm!$Y$3,L126*Adm!$X$3))))</f>
        <v>346.35285743688974</v>
      </c>
      <c r="H127" s="178">
        <f>IF(L126&lt;0.01,0,IF(Adm!$R$4=Adm!$R$6,0,IF(Adm!$B$3=Adm!$B$12,0,Cal!$E$89*Adm!$AA$3/1.16)))</f>
        <v>494.46758620689661</v>
      </c>
      <c r="I127" s="178">
        <f>IF(L126&lt;0.01,0,Adm!$O$3)</f>
        <v>250</v>
      </c>
      <c r="J127" s="178">
        <f t="shared" si="34"/>
        <v>10706.126498621659</v>
      </c>
      <c r="K127" s="178">
        <f>IF(Adm!$F$3="si",MIN(L126+D127+G127+H127+I127-J127,Y127),0)</f>
        <v>0</v>
      </c>
      <c r="L127" s="178">
        <f t="shared" si="39"/>
        <v>802233.10687122017</v>
      </c>
      <c r="M127" s="348"/>
      <c r="N127" s="348"/>
      <c r="O127" s="348">
        <f t="shared" si="40"/>
        <v>10706.126498621659</v>
      </c>
      <c r="U127" s="571">
        <f t="shared" si="41"/>
        <v>7</v>
      </c>
      <c r="V127" s="293">
        <f>IF(U127=1,Adm!$AN$2,0)</f>
        <v>0</v>
      </c>
      <c r="X127" s="341">
        <f t="shared" si="48"/>
        <v>0</v>
      </c>
      <c r="Y127" s="345">
        <f t="shared" ca="1" si="42"/>
        <v>0</v>
      </c>
      <c r="AD127" s="172"/>
      <c r="AG127" s="151">
        <f t="shared" ca="1" si="35"/>
        <v>6</v>
      </c>
      <c r="AI127" s="178">
        <f t="shared" si="36"/>
        <v>0</v>
      </c>
      <c r="AJ127" s="178">
        <f t="shared" si="43"/>
        <v>0</v>
      </c>
      <c r="AK127" s="178">
        <f t="shared" si="54"/>
        <v>0</v>
      </c>
      <c r="AL127" s="178">
        <f t="shared" si="55"/>
        <v>0</v>
      </c>
      <c r="AM127" s="351">
        <f>IF(AS126&lt;0.01,0,IF(Resol!$G$19&gt;0,Resol!$G$19,IF(Resol!$F$19=Resol!$U$5,0,IF($AS$10=0,AS126*Adm!$Y$3,AS126*Adm!$X$3))))</f>
        <v>0</v>
      </c>
      <c r="AN127" s="351">
        <f>IF(AS126&lt;0.01,0,IF(Resol!$F$20=Resol!$V$3,0,IF(OR(Resol!$F$10=Resol!$T$16,Resol!$F$10=Resol!$T$17),0,IF(Resol!$F$10=Resol!$T$13,0,$AL$5*Adm!$AA$4/1.16))))</f>
        <v>0</v>
      </c>
      <c r="AO127" s="178">
        <f t="shared" si="49"/>
        <v>0</v>
      </c>
      <c r="AP127" s="178"/>
      <c r="AQ127" s="178">
        <f t="shared" si="37"/>
        <v>0</v>
      </c>
      <c r="AR127" s="178">
        <f t="shared" si="44"/>
        <v>0</v>
      </c>
      <c r="AS127" s="178">
        <f t="shared" si="51"/>
        <v>0</v>
      </c>
      <c r="AT127" s="348"/>
      <c r="AU127" s="348"/>
      <c r="AV127" s="176">
        <f t="shared" si="52"/>
        <v>0</v>
      </c>
      <c r="BB127" s="571">
        <f t="shared" si="45"/>
        <v>7</v>
      </c>
      <c r="BC127" s="293">
        <f>IF(BB127=1,Adm!$AN$2,0)</f>
        <v>0</v>
      </c>
      <c r="BE127" s="341">
        <f t="shared" si="50"/>
        <v>0</v>
      </c>
      <c r="BF127" s="345">
        <f t="shared" ca="1" si="46"/>
        <v>0</v>
      </c>
    </row>
    <row r="128" spans="1:58">
      <c r="A128" s="151">
        <f t="shared" ca="1" si="32"/>
        <v>7</v>
      </c>
      <c r="C128" s="178">
        <f t="shared" si="33"/>
        <v>104</v>
      </c>
      <c r="D128" s="178">
        <f t="shared" si="38"/>
        <v>6351.0120960638269</v>
      </c>
      <c r="E128" s="178">
        <f t="shared" si="53"/>
        <v>3264.293958914046</v>
      </c>
      <c r="F128" s="178">
        <f t="shared" si="47"/>
        <v>9615.3060549778729</v>
      </c>
      <c r="G128" s="178">
        <f>IF(L127&lt;0.01,0,IF(Adm!$S$3=Adm!$S$13,Cal!$E$94,IF(Adm!$R$3=Adm!$R$6,0,IF(Cal!$E$91=0,L127*Adm!$Y$3,L127*Adm!$X$3))))</f>
        <v>344.96023595462464</v>
      </c>
      <c r="H128" s="178">
        <f>IF(L127&lt;0.01,0,IF(Adm!$R$4=Adm!$R$6,0,IF(Adm!$B$3=Adm!$B$12,0,Cal!$E$89*Adm!$AA$3/1.16)))</f>
        <v>494.46758620689661</v>
      </c>
      <c r="I128" s="178">
        <f>IF(L127&lt;0.01,0,Adm!$O$3)</f>
        <v>250</v>
      </c>
      <c r="J128" s="178">
        <f t="shared" si="34"/>
        <v>10704.733877139393</v>
      </c>
      <c r="K128" s="178">
        <f>IF(Adm!$F$3="si",MIN(L127+D128+G128+H128+I128-J128,Y128),0)</f>
        <v>0</v>
      </c>
      <c r="L128" s="178">
        <f t="shared" si="39"/>
        <v>798968.81291230617</v>
      </c>
      <c r="M128" s="348"/>
      <c r="N128" s="348"/>
      <c r="O128" s="348">
        <f t="shared" si="40"/>
        <v>10704.733877139393</v>
      </c>
      <c r="U128" s="571">
        <f t="shared" si="41"/>
        <v>8</v>
      </c>
      <c r="V128" s="293">
        <f>IF(U128=1,Adm!$AN$2,0)</f>
        <v>0</v>
      </c>
      <c r="X128" s="341">
        <f t="shared" si="48"/>
        <v>0</v>
      </c>
      <c r="Y128" s="345">
        <f t="shared" ca="1" si="42"/>
        <v>0</v>
      </c>
      <c r="AD128" s="172"/>
      <c r="AG128" s="151">
        <f t="shared" ca="1" si="35"/>
        <v>7</v>
      </c>
      <c r="AI128" s="178">
        <f t="shared" si="36"/>
        <v>0</v>
      </c>
      <c r="AJ128" s="178">
        <f t="shared" si="43"/>
        <v>0</v>
      </c>
      <c r="AK128" s="178">
        <f t="shared" si="54"/>
        <v>0</v>
      </c>
      <c r="AL128" s="178">
        <f t="shared" si="55"/>
        <v>0</v>
      </c>
      <c r="AM128" s="351">
        <f>IF(AS127&lt;0.01,0,IF(Resol!$G$19&gt;0,Resol!$G$19,IF(Resol!$F$19=Resol!$U$5,0,IF($AS$10=0,AS127*Adm!$Y$3,AS127*Adm!$X$3))))</f>
        <v>0</v>
      </c>
      <c r="AN128" s="351">
        <f>IF(AS127&lt;0.01,0,IF(Resol!$F$20=Resol!$V$3,0,IF(OR(Resol!$F$10=Resol!$T$16,Resol!$F$10=Resol!$T$17),0,IF(Resol!$F$10=Resol!$T$13,0,$AL$5*Adm!$AA$4/1.16))))</f>
        <v>0</v>
      </c>
      <c r="AO128" s="178">
        <f t="shared" si="49"/>
        <v>0</v>
      </c>
      <c r="AP128" s="178"/>
      <c r="AQ128" s="178">
        <f t="shared" si="37"/>
        <v>0</v>
      </c>
      <c r="AR128" s="178">
        <f t="shared" si="44"/>
        <v>0</v>
      </c>
      <c r="AS128" s="178">
        <f t="shared" si="51"/>
        <v>0</v>
      </c>
      <c r="AT128" s="348"/>
      <c r="AU128" s="348"/>
      <c r="AV128" s="176">
        <f t="shared" si="52"/>
        <v>0</v>
      </c>
      <c r="BB128" s="571">
        <f t="shared" si="45"/>
        <v>8</v>
      </c>
      <c r="BC128" s="293">
        <f>IF(BB128=1,Adm!$AN$2,0)</f>
        <v>0</v>
      </c>
      <c r="BE128" s="341">
        <f t="shared" si="50"/>
        <v>0</v>
      </c>
      <c r="BF128" s="345">
        <f t="shared" ca="1" si="46"/>
        <v>0</v>
      </c>
    </row>
    <row r="129" spans="1:58">
      <c r="A129" s="151">
        <f t="shared" ca="1" si="32"/>
        <v>8</v>
      </c>
      <c r="C129" s="178">
        <f t="shared" si="33"/>
        <v>105</v>
      </c>
      <c r="D129" s="178">
        <f t="shared" si="38"/>
        <v>6325.1697688890899</v>
      </c>
      <c r="E129" s="178">
        <f t="shared" si="53"/>
        <v>3290.136286088783</v>
      </c>
      <c r="F129" s="178">
        <f t="shared" si="47"/>
        <v>9615.3060549778729</v>
      </c>
      <c r="G129" s="178">
        <f>IF(L128&lt;0.01,0,IF(Adm!$S$3=Adm!$S$13,Cal!$E$94,IF(Adm!$R$3=Adm!$R$6,0,IF(Cal!$E$91=0,L128*Adm!$Y$3,L128*Adm!$X$3))))</f>
        <v>343.55658955229165</v>
      </c>
      <c r="H129" s="178">
        <f>IF(L128&lt;0.01,0,IF(Adm!$R$4=Adm!$R$6,0,IF(Adm!$B$3=Adm!$B$12,0,Cal!$E$89*Adm!$AA$3/1.16)))</f>
        <v>494.46758620689661</v>
      </c>
      <c r="I129" s="178">
        <f>IF(L128&lt;0.01,0,Adm!$O$3)</f>
        <v>250</v>
      </c>
      <c r="J129" s="178">
        <f t="shared" si="34"/>
        <v>10703.330230737061</v>
      </c>
      <c r="K129" s="178">
        <f>IF(Adm!$F$3="si",MIN(L128+D129+G129+H129+I129-J129,Y129),0)</f>
        <v>0</v>
      </c>
      <c r="L129" s="178">
        <f t="shared" si="39"/>
        <v>795678.67662621744</v>
      </c>
      <c r="M129" s="348"/>
      <c r="N129" s="348"/>
      <c r="O129" s="348">
        <f t="shared" si="40"/>
        <v>10703.330230737061</v>
      </c>
      <c r="U129" s="571">
        <f t="shared" si="41"/>
        <v>9</v>
      </c>
      <c r="V129" s="293">
        <f>IF(U129=1,Adm!$AN$2,0)</f>
        <v>0</v>
      </c>
      <c r="X129" s="341">
        <f t="shared" si="48"/>
        <v>0</v>
      </c>
      <c r="Y129" s="345">
        <f t="shared" ca="1" si="42"/>
        <v>0</v>
      </c>
      <c r="AD129" s="172"/>
      <c r="AG129" s="151">
        <f t="shared" ca="1" si="35"/>
        <v>8</v>
      </c>
      <c r="AI129" s="178">
        <f t="shared" si="36"/>
        <v>0</v>
      </c>
      <c r="AJ129" s="178">
        <f t="shared" si="43"/>
        <v>0</v>
      </c>
      <c r="AK129" s="178">
        <f t="shared" si="54"/>
        <v>0</v>
      </c>
      <c r="AL129" s="178">
        <f t="shared" si="55"/>
        <v>0</v>
      </c>
      <c r="AM129" s="351">
        <f>IF(AS128&lt;0.01,0,IF(Resol!$G$19&gt;0,Resol!$G$19,IF(Resol!$F$19=Resol!$U$5,0,IF($AS$10=0,AS128*Adm!$Y$3,AS128*Adm!$X$3))))</f>
        <v>0</v>
      </c>
      <c r="AN129" s="351">
        <f>IF(AS128&lt;0.01,0,IF(Resol!$F$20=Resol!$V$3,0,IF(OR(Resol!$F$10=Resol!$T$16,Resol!$F$10=Resol!$T$17),0,IF(Resol!$F$10=Resol!$T$13,0,$AL$5*Adm!$AA$4/1.16))))</f>
        <v>0</v>
      </c>
      <c r="AO129" s="178">
        <f t="shared" si="49"/>
        <v>0</v>
      </c>
      <c r="AP129" s="178"/>
      <c r="AQ129" s="178">
        <f t="shared" si="37"/>
        <v>0</v>
      </c>
      <c r="AR129" s="178">
        <f t="shared" si="44"/>
        <v>0</v>
      </c>
      <c r="AS129" s="178">
        <f t="shared" si="51"/>
        <v>0</v>
      </c>
      <c r="AT129" s="348"/>
      <c r="AU129" s="348"/>
      <c r="AV129" s="176">
        <f t="shared" si="52"/>
        <v>0</v>
      </c>
      <c r="BB129" s="571">
        <f t="shared" si="45"/>
        <v>9</v>
      </c>
      <c r="BC129" s="293">
        <f>IF(BB129=1,Adm!$AN$2,0)</f>
        <v>0</v>
      </c>
      <c r="BE129" s="341">
        <f t="shared" si="50"/>
        <v>0</v>
      </c>
      <c r="BF129" s="345">
        <f t="shared" ca="1" si="46"/>
        <v>0</v>
      </c>
    </row>
    <row r="130" spans="1:58">
      <c r="A130" s="151">
        <f t="shared" ca="1" si="32"/>
        <v>9</v>
      </c>
      <c r="C130" s="178">
        <f t="shared" si="33"/>
        <v>106</v>
      </c>
      <c r="D130" s="178">
        <f t="shared" si="38"/>
        <v>6299.1228566242216</v>
      </c>
      <c r="E130" s="178">
        <f t="shared" si="53"/>
        <v>3316.1831983536513</v>
      </c>
      <c r="F130" s="178">
        <f t="shared" si="47"/>
        <v>9615.3060549778729</v>
      </c>
      <c r="G130" s="178">
        <f>IF(L129&lt;0.01,0,IF(Adm!$S$3=Adm!$S$13,Cal!$E$94,IF(Adm!$R$3=Adm!$R$6,0,IF(Cal!$E$91=0,L129*Adm!$Y$3,L129*Adm!$X$3))))</f>
        <v>342.14183094927347</v>
      </c>
      <c r="H130" s="178">
        <f>IF(L129&lt;0.01,0,IF(Adm!$R$4=Adm!$R$6,0,IF(Adm!$B$3=Adm!$B$12,0,Cal!$E$89*Adm!$AA$3/1.16)))</f>
        <v>494.46758620689661</v>
      </c>
      <c r="I130" s="178">
        <f>IF(L129&lt;0.01,0,Adm!$O$3)</f>
        <v>250</v>
      </c>
      <c r="J130" s="178">
        <f t="shared" si="34"/>
        <v>10701.915472134042</v>
      </c>
      <c r="K130" s="178">
        <f>IF(Adm!$F$3="si",MIN(L129+D130+G130+H130+I130-J130,Y130),0)</f>
        <v>0</v>
      </c>
      <c r="L130" s="178">
        <f t="shared" si="39"/>
        <v>792362.49342786381</v>
      </c>
      <c r="M130" s="348"/>
      <c r="N130" s="348"/>
      <c r="O130" s="348">
        <f t="shared" si="40"/>
        <v>10701.915472134042</v>
      </c>
      <c r="U130" s="571">
        <f t="shared" si="41"/>
        <v>10</v>
      </c>
      <c r="V130" s="293">
        <f>IF(U130=1,Adm!$AN$2,0)</f>
        <v>0</v>
      </c>
      <c r="X130" s="341">
        <f t="shared" si="48"/>
        <v>0</v>
      </c>
      <c r="Y130" s="345">
        <f t="shared" ca="1" si="42"/>
        <v>0</v>
      </c>
      <c r="AD130" s="172"/>
      <c r="AG130" s="151">
        <f t="shared" ca="1" si="35"/>
        <v>9</v>
      </c>
      <c r="AI130" s="178">
        <f t="shared" si="36"/>
        <v>0</v>
      </c>
      <c r="AJ130" s="178">
        <f t="shared" si="43"/>
        <v>0</v>
      </c>
      <c r="AK130" s="178">
        <f t="shared" si="54"/>
        <v>0</v>
      </c>
      <c r="AL130" s="178">
        <f t="shared" si="55"/>
        <v>0</v>
      </c>
      <c r="AM130" s="351">
        <f>IF(AS129&lt;0.01,0,IF(Resol!$G$19&gt;0,Resol!$G$19,IF(Resol!$F$19=Resol!$U$5,0,IF($AS$10=0,AS129*Adm!$Y$3,AS129*Adm!$X$3))))</f>
        <v>0</v>
      </c>
      <c r="AN130" s="351">
        <f>IF(AS129&lt;0.01,0,IF(Resol!$F$20=Resol!$V$3,0,IF(OR(Resol!$F$10=Resol!$T$16,Resol!$F$10=Resol!$T$17),0,IF(Resol!$F$10=Resol!$T$13,0,$AL$5*Adm!$AA$4/1.16))))</f>
        <v>0</v>
      </c>
      <c r="AO130" s="178">
        <f t="shared" si="49"/>
        <v>0</v>
      </c>
      <c r="AP130" s="178"/>
      <c r="AQ130" s="178">
        <f t="shared" si="37"/>
        <v>0</v>
      </c>
      <c r="AR130" s="178">
        <f t="shared" si="44"/>
        <v>0</v>
      </c>
      <c r="AS130" s="178">
        <f t="shared" si="51"/>
        <v>0</v>
      </c>
      <c r="AT130" s="348"/>
      <c r="AU130" s="348"/>
      <c r="AV130" s="176">
        <f t="shared" si="52"/>
        <v>0</v>
      </c>
      <c r="BB130" s="571">
        <f t="shared" si="45"/>
        <v>10</v>
      </c>
      <c r="BC130" s="293">
        <f>IF(BB130=1,Adm!$AN$2,0)</f>
        <v>0</v>
      </c>
      <c r="BE130" s="341">
        <f t="shared" si="50"/>
        <v>0</v>
      </c>
      <c r="BF130" s="345">
        <f t="shared" ca="1" si="46"/>
        <v>0</v>
      </c>
    </row>
    <row r="131" spans="1:58">
      <c r="A131" s="151">
        <f t="shared" ca="1" si="32"/>
        <v>10</v>
      </c>
      <c r="C131" s="178">
        <f t="shared" si="33"/>
        <v>107</v>
      </c>
      <c r="D131" s="178">
        <f t="shared" si="38"/>
        <v>6272.8697396372554</v>
      </c>
      <c r="E131" s="178">
        <f t="shared" si="53"/>
        <v>3342.4363153406175</v>
      </c>
      <c r="F131" s="178">
        <f t="shared" si="47"/>
        <v>9615.3060549778729</v>
      </c>
      <c r="G131" s="178">
        <f>IF(L130&lt;0.01,0,IF(Adm!$S$3=Adm!$S$13,Cal!$E$94,IF(Adm!$R$3=Adm!$R$6,0,IF(Cal!$E$91=0,L130*Adm!$Y$3,L130*Adm!$X$3))))</f>
        <v>340.71587217398144</v>
      </c>
      <c r="H131" s="178">
        <f>IF(L130&lt;0.01,0,IF(Adm!$R$4=Adm!$R$6,0,IF(Adm!$B$3=Adm!$B$12,0,Cal!$E$89*Adm!$AA$3/1.16)))</f>
        <v>494.46758620689661</v>
      </c>
      <c r="I131" s="178">
        <f>IF(L130&lt;0.01,0,Adm!$O$3)</f>
        <v>250</v>
      </c>
      <c r="J131" s="178">
        <f t="shared" si="34"/>
        <v>10700.489513358751</v>
      </c>
      <c r="K131" s="178">
        <f>IF(Adm!$F$3="si",MIN(L130+D131+G131+H131+I131-J131,Y131),0)</f>
        <v>0</v>
      </c>
      <c r="L131" s="178">
        <f t="shared" si="39"/>
        <v>789020.05711252324</v>
      </c>
      <c r="M131" s="348"/>
      <c r="N131" s="348"/>
      <c r="O131" s="348">
        <f t="shared" si="40"/>
        <v>10700.489513358751</v>
      </c>
      <c r="U131" s="571">
        <f t="shared" si="41"/>
        <v>11</v>
      </c>
      <c r="V131" s="293">
        <f>IF(U131=1,Adm!$AN$2,0)</f>
        <v>0</v>
      </c>
      <c r="X131" s="341">
        <f t="shared" si="48"/>
        <v>0</v>
      </c>
      <c r="Y131" s="345">
        <f t="shared" ca="1" si="42"/>
        <v>0</v>
      </c>
      <c r="AD131" s="172"/>
      <c r="AG131" s="151">
        <f t="shared" ca="1" si="35"/>
        <v>10</v>
      </c>
      <c r="AI131" s="178">
        <f t="shared" si="36"/>
        <v>0</v>
      </c>
      <c r="AJ131" s="178">
        <f t="shared" si="43"/>
        <v>0</v>
      </c>
      <c r="AK131" s="178">
        <f t="shared" si="54"/>
        <v>0</v>
      </c>
      <c r="AL131" s="178">
        <f t="shared" si="55"/>
        <v>0</v>
      </c>
      <c r="AM131" s="351">
        <f>IF(AS130&lt;0.01,0,IF(Resol!$G$19&gt;0,Resol!$G$19,IF(Resol!$F$19=Resol!$U$5,0,IF($AS$10=0,AS130*Adm!$Y$3,AS130*Adm!$X$3))))</f>
        <v>0</v>
      </c>
      <c r="AN131" s="351">
        <f>IF(AS130&lt;0.01,0,IF(Resol!$F$20=Resol!$V$3,0,IF(OR(Resol!$F$10=Resol!$T$16,Resol!$F$10=Resol!$T$17),0,IF(Resol!$F$10=Resol!$T$13,0,$AL$5*Adm!$AA$4/1.16))))</f>
        <v>0</v>
      </c>
      <c r="AO131" s="178">
        <f t="shared" si="49"/>
        <v>0</v>
      </c>
      <c r="AP131" s="178"/>
      <c r="AQ131" s="178">
        <f t="shared" si="37"/>
        <v>0</v>
      </c>
      <c r="AR131" s="178">
        <f t="shared" si="44"/>
        <v>0</v>
      </c>
      <c r="AS131" s="178">
        <f t="shared" si="51"/>
        <v>0</v>
      </c>
      <c r="AT131" s="348"/>
      <c r="AU131" s="348"/>
      <c r="AV131" s="176">
        <f t="shared" si="52"/>
        <v>0</v>
      </c>
      <c r="BB131" s="571">
        <f t="shared" si="45"/>
        <v>11</v>
      </c>
      <c r="BC131" s="293">
        <f>IF(BB131=1,Adm!$AN$2,0)</f>
        <v>0</v>
      </c>
      <c r="BE131" s="341">
        <f t="shared" si="50"/>
        <v>0</v>
      </c>
      <c r="BF131" s="345">
        <f t="shared" ca="1" si="46"/>
        <v>0</v>
      </c>
    </row>
    <row r="132" spans="1:58">
      <c r="A132" s="151">
        <f t="shared" ca="1" si="32"/>
        <v>11</v>
      </c>
      <c r="C132" s="178">
        <f t="shared" si="33"/>
        <v>108</v>
      </c>
      <c r="D132" s="178">
        <f t="shared" si="38"/>
        <v>6246.408785474142</v>
      </c>
      <c r="E132" s="178">
        <f t="shared" si="53"/>
        <v>3368.897269503731</v>
      </c>
      <c r="F132" s="178">
        <f t="shared" si="47"/>
        <v>9615.3060549778729</v>
      </c>
      <c r="G132" s="178">
        <f>IF(L131&lt;0.01,0,IF(Adm!$S$3=Adm!$S$13,Cal!$E$94,IF(Adm!$R$3=Adm!$R$6,0,IF(Cal!$E$91=0,L131*Adm!$Y$3,L131*Adm!$X$3))))</f>
        <v>339.27862455838499</v>
      </c>
      <c r="H132" s="178">
        <f>IF(L131&lt;0.01,0,IF(Adm!$R$4=Adm!$R$6,0,IF(Adm!$B$3=Adm!$B$12,0,Cal!$E$89*Adm!$AA$3/1.16)))</f>
        <v>494.46758620689661</v>
      </c>
      <c r="I132" s="178">
        <f>IF(L131&lt;0.01,0,Adm!$O$3)</f>
        <v>250</v>
      </c>
      <c r="J132" s="178">
        <f t="shared" si="34"/>
        <v>10699.052265743154</v>
      </c>
      <c r="K132" s="178">
        <f>IF(Adm!$F$3="si",MIN(L131+D132+G132+H132+I132-J132,Y132),0)</f>
        <v>0</v>
      </c>
      <c r="L132" s="178">
        <f t="shared" si="39"/>
        <v>785651.15984301956</v>
      </c>
      <c r="M132" s="348"/>
      <c r="N132" s="348"/>
      <c r="O132" s="348">
        <f t="shared" si="40"/>
        <v>10699.052265743154</v>
      </c>
      <c r="U132" s="571">
        <f t="shared" si="41"/>
        <v>12</v>
      </c>
      <c r="V132" s="293">
        <f>IF(U132=1,Adm!$AN$2,0)</f>
        <v>0</v>
      </c>
      <c r="X132" s="341">
        <f t="shared" si="48"/>
        <v>0</v>
      </c>
      <c r="Y132" s="345">
        <f t="shared" ca="1" si="42"/>
        <v>0</v>
      </c>
      <c r="AD132" s="172"/>
      <c r="AG132" s="151">
        <f t="shared" ca="1" si="35"/>
        <v>11</v>
      </c>
      <c r="AI132" s="178">
        <f t="shared" si="36"/>
        <v>0</v>
      </c>
      <c r="AJ132" s="178">
        <f t="shared" si="43"/>
        <v>0</v>
      </c>
      <c r="AK132" s="178">
        <f t="shared" si="54"/>
        <v>0</v>
      </c>
      <c r="AL132" s="178">
        <f t="shared" si="55"/>
        <v>0</v>
      </c>
      <c r="AM132" s="351">
        <f>IF(AS131&lt;0.01,0,IF(Resol!$G$19&gt;0,Resol!$G$19,IF(Resol!$F$19=Resol!$U$5,0,IF($AS$10=0,AS131*Adm!$Y$3,AS131*Adm!$X$3))))</f>
        <v>0</v>
      </c>
      <c r="AN132" s="351">
        <f>IF(AS131&lt;0.01,0,IF(Resol!$F$20=Resol!$V$3,0,IF(OR(Resol!$F$10=Resol!$T$16,Resol!$F$10=Resol!$T$17),0,IF(Resol!$F$10=Resol!$T$13,0,$AL$5*Adm!$AA$4/1.16))))</f>
        <v>0</v>
      </c>
      <c r="AO132" s="178">
        <f t="shared" si="49"/>
        <v>0</v>
      </c>
      <c r="AP132" s="178"/>
      <c r="AQ132" s="178">
        <f t="shared" si="37"/>
        <v>0</v>
      </c>
      <c r="AR132" s="178">
        <f t="shared" si="44"/>
        <v>0</v>
      </c>
      <c r="AS132" s="178">
        <f t="shared" si="51"/>
        <v>0</v>
      </c>
      <c r="AT132" s="348"/>
      <c r="AU132" s="348"/>
      <c r="AV132" s="176">
        <f t="shared" si="52"/>
        <v>0</v>
      </c>
      <c r="BB132" s="571">
        <f t="shared" si="45"/>
        <v>12</v>
      </c>
      <c r="BC132" s="293">
        <f>IF(BB132=1,Adm!$AN$2,0)</f>
        <v>0</v>
      </c>
      <c r="BE132" s="341">
        <f t="shared" si="50"/>
        <v>0</v>
      </c>
      <c r="BF132" s="345">
        <f t="shared" ca="1" si="46"/>
        <v>0</v>
      </c>
    </row>
    <row r="133" spans="1:58">
      <c r="A133" s="151">
        <f t="shared" ca="1" si="32"/>
        <v>12</v>
      </c>
      <c r="C133" s="178">
        <f t="shared" si="33"/>
        <v>109</v>
      </c>
      <c r="D133" s="178">
        <f t="shared" si="38"/>
        <v>6219.7383487572379</v>
      </c>
      <c r="E133" s="178">
        <f t="shared" si="53"/>
        <v>3395.567706220635</v>
      </c>
      <c r="F133" s="178">
        <f t="shared" si="47"/>
        <v>9615.3060549778729</v>
      </c>
      <c r="G133" s="178">
        <f>IF(L132&lt;0.01,0,IF(Adm!$S$3=Adm!$S$13,Cal!$E$94,IF(Adm!$R$3=Adm!$R$6,0,IF(Cal!$E$91=0,L132*Adm!$Y$3,L132*Adm!$X$3))))</f>
        <v>337.82999873249838</v>
      </c>
      <c r="H133" s="178">
        <f>IF(L132&lt;0.01,0,IF(Adm!$R$4=Adm!$R$6,0,IF(Adm!$B$3=Adm!$B$12,0,Cal!$E$89*Adm!$AA$3/1.16)))</f>
        <v>494.46758620689661</v>
      </c>
      <c r="I133" s="178">
        <f>IF(L132&lt;0.01,0,Adm!$O$3)</f>
        <v>250</v>
      </c>
      <c r="J133" s="178">
        <f t="shared" si="34"/>
        <v>10697.603639917268</v>
      </c>
      <c r="K133" s="178">
        <f>IF(Adm!$F$3="si",MIN(L132+D133+G133+H133+I133-J133,Y133),0)</f>
        <v>0</v>
      </c>
      <c r="L133" s="178">
        <f t="shared" si="39"/>
        <v>782255.59213679889</v>
      </c>
      <c r="M133" s="348"/>
      <c r="N133" s="348"/>
      <c r="O133" s="348">
        <f t="shared" si="40"/>
        <v>10697.603639917268</v>
      </c>
      <c r="U133" s="571">
        <f t="shared" si="41"/>
        <v>1</v>
      </c>
      <c r="V133" s="293">
        <f>IF(U133=1,Adm!$AN$2,0)</f>
        <v>0</v>
      </c>
      <c r="X133" s="341">
        <f t="shared" si="48"/>
        <v>0</v>
      </c>
      <c r="Y133" s="345">
        <f t="shared" ca="1" si="42"/>
        <v>0</v>
      </c>
      <c r="AD133" s="172"/>
      <c r="AG133" s="151">
        <f t="shared" ca="1" si="35"/>
        <v>12</v>
      </c>
      <c r="AI133" s="178">
        <f t="shared" si="36"/>
        <v>0</v>
      </c>
      <c r="AJ133" s="178">
        <f t="shared" si="43"/>
        <v>0</v>
      </c>
      <c r="AK133" s="178">
        <f t="shared" si="54"/>
        <v>0</v>
      </c>
      <c r="AL133" s="178">
        <f t="shared" si="55"/>
        <v>0</v>
      </c>
      <c r="AM133" s="351">
        <f>IF(AS132&lt;0.01,0,IF(Resol!$G$19&gt;0,Resol!$G$19,IF(Resol!$F$19=Resol!$U$5,0,IF($AS$10=0,AS132*Adm!$Y$3,AS132*Adm!$X$3))))</f>
        <v>0</v>
      </c>
      <c r="AN133" s="351">
        <f>IF(AS132&lt;0.01,0,IF(Resol!$F$20=Resol!$V$3,0,IF(OR(Resol!$F$10=Resol!$T$16,Resol!$F$10=Resol!$T$17),0,IF(Resol!$F$10=Resol!$T$13,0,$AL$5*Adm!$AA$4/1.16))))</f>
        <v>0</v>
      </c>
      <c r="AO133" s="178">
        <f t="shared" si="49"/>
        <v>0</v>
      </c>
      <c r="AP133" s="178"/>
      <c r="AQ133" s="178">
        <f t="shared" si="37"/>
        <v>0</v>
      </c>
      <c r="AR133" s="178">
        <f t="shared" si="44"/>
        <v>0</v>
      </c>
      <c r="AS133" s="178">
        <f t="shared" si="51"/>
        <v>0</v>
      </c>
      <c r="AT133" s="348"/>
      <c r="AU133" s="348"/>
      <c r="AV133" s="176">
        <f t="shared" si="52"/>
        <v>0</v>
      </c>
      <c r="BB133" s="571">
        <f t="shared" si="45"/>
        <v>1</v>
      </c>
      <c r="BC133" s="293">
        <f>IF(BB133=1,Adm!$AN$2,0)</f>
        <v>0</v>
      </c>
      <c r="BE133" s="341">
        <f t="shared" si="50"/>
        <v>0</v>
      </c>
      <c r="BF133" s="345">
        <f t="shared" ca="1" si="46"/>
        <v>0</v>
      </c>
    </row>
    <row r="134" spans="1:58">
      <c r="A134" s="151">
        <f t="shared" ca="1" si="32"/>
        <v>1</v>
      </c>
      <c r="C134" s="178">
        <f t="shared" si="33"/>
        <v>110</v>
      </c>
      <c r="D134" s="178">
        <f t="shared" si="38"/>
        <v>6192.8567710829911</v>
      </c>
      <c r="E134" s="178">
        <f t="shared" si="53"/>
        <v>3422.4492838948818</v>
      </c>
      <c r="F134" s="178">
        <f t="shared" si="47"/>
        <v>9615.3060549778729</v>
      </c>
      <c r="G134" s="178">
        <f>IF(L133&lt;0.01,0,IF(Adm!$S$3=Adm!$S$13,Cal!$E$94,IF(Adm!$R$3=Adm!$R$6,0,IF(Cal!$E$91=0,L133*Adm!$Y$3,L133*Adm!$X$3))))</f>
        <v>336.36990461882351</v>
      </c>
      <c r="H134" s="178">
        <f>IF(L133&lt;0.01,0,IF(Adm!$R$4=Adm!$R$6,0,IF(Adm!$B$3=Adm!$B$12,0,Cal!$E$89*Adm!$AA$3/1.16)))</f>
        <v>494.46758620689661</v>
      </c>
      <c r="I134" s="178">
        <f>IF(L133&lt;0.01,0,Adm!$O$3)</f>
        <v>250</v>
      </c>
      <c r="J134" s="178">
        <f t="shared" si="34"/>
        <v>10696.143545803592</v>
      </c>
      <c r="K134" s="178">
        <f>IF(Adm!$F$3="si",MIN(L133+D134+G134+H134+I134-J134,Y134),0)</f>
        <v>0</v>
      </c>
      <c r="L134" s="178">
        <f t="shared" si="39"/>
        <v>778833.14285290404</v>
      </c>
      <c r="M134" s="348"/>
      <c r="N134" s="348"/>
      <c r="O134" s="348">
        <f t="shared" si="40"/>
        <v>10696.143545803592</v>
      </c>
      <c r="U134" s="571">
        <f t="shared" si="41"/>
        <v>2</v>
      </c>
      <c r="V134" s="293">
        <f>IF(U134=1,Adm!$AN$2,0)</f>
        <v>0</v>
      </c>
      <c r="X134" s="341">
        <f t="shared" si="48"/>
        <v>0</v>
      </c>
      <c r="Y134" s="345">
        <f t="shared" ca="1" si="42"/>
        <v>0</v>
      </c>
      <c r="AD134" s="172"/>
      <c r="AG134" s="151">
        <f t="shared" ca="1" si="35"/>
        <v>1</v>
      </c>
      <c r="AI134" s="178">
        <f t="shared" si="36"/>
        <v>0</v>
      </c>
      <c r="AJ134" s="178">
        <f t="shared" si="43"/>
        <v>0</v>
      </c>
      <c r="AK134" s="178">
        <f t="shared" si="54"/>
        <v>0</v>
      </c>
      <c r="AL134" s="178">
        <f t="shared" si="55"/>
        <v>0</v>
      </c>
      <c r="AM134" s="351">
        <f>IF(AS133&lt;0.01,0,IF(Resol!$G$19&gt;0,Resol!$G$19,IF(Resol!$F$19=Resol!$U$5,0,IF($AS$10=0,AS133*Adm!$Y$3,AS133*Adm!$X$3))))</f>
        <v>0</v>
      </c>
      <c r="AN134" s="351">
        <f>IF(AS133&lt;0.01,0,IF(Resol!$F$20=Resol!$V$3,0,IF(OR(Resol!$F$10=Resol!$T$16,Resol!$F$10=Resol!$T$17),0,IF(Resol!$F$10=Resol!$T$13,0,$AL$5*Adm!$AA$4/1.16))))</f>
        <v>0</v>
      </c>
      <c r="AO134" s="178">
        <f t="shared" si="49"/>
        <v>0</v>
      </c>
      <c r="AP134" s="178"/>
      <c r="AQ134" s="178">
        <f t="shared" si="37"/>
        <v>0</v>
      </c>
      <c r="AR134" s="178">
        <f t="shared" si="44"/>
        <v>0</v>
      </c>
      <c r="AS134" s="178">
        <f t="shared" si="51"/>
        <v>0</v>
      </c>
      <c r="AT134" s="348"/>
      <c r="AU134" s="348"/>
      <c r="AV134" s="176">
        <f t="shared" si="52"/>
        <v>0</v>
      </c>
      <c r="BB134" s="571">
        <f t="shared" si="45"/>
        <v>2</v>
      </c>
      <c r="BC134" s="293">
        <f>IF(BB134=1,Adm!$AN$2,0)</f>
        <v>0</v>
      </c>
      <c r="BE134" s="341">
        <f t="shared" si="50"/>
        <v>0</v>
      </c>
      <c r="BF134" s="345">
        <f t="shared" ca="1" si="46"/>
        <v>0</v>
      </c>
    </row>
    <row r="135" spans="1:58">
      <c r="A135" s="151">
        <f t="shared" ca="1" si="32"/>
        <v>2</v>
      </c>
      <c r="C135" s="178">
        <f t="shared" si="33"/>
        <v>111</v>
      </c>
      <c r="D135" s="178">
        <f t="shared" si="38"/>
        <v>6165.7623809188235</v>
      </c>
      <c r="E135" s="178">
        <f t="shared" si="53"/>
        <v>3449.5436740590494</v>
      </c>
      <c r="F135" s="178">
        <f t="shared" si="47"/>
        <v>9615.3060549778729</v>
      </c>
      <c r="G135" s="178">
        <f>IF(L134&lt;0.01,0,IF(Adm!$S$3=Adm!$S$13,Cal!$E$94,IF(Adm!$R$3=Adm!$R$6,0,IF(Cal!$E$91=0,L134*Adm!$Y$3,L134*Adm!$X$3))))</f>
        <v>334.89825142674874</v>
      </c>
      <c r="H135" s="178">
        <f>IF(L134&lt;0.01,0,IF(Adm!$R$4=Adm!$R$6,0,IF(Adm!$B$3=Adm!$B$12,0,Cal!$E$89*Adm!$AA$3/1.16)))</f>
        <v>494.46758620689661</v>
      </c>
      <c r="I135" s="178">
        <f>IF(L134&lt;0.01,0,Adm!$O$3)</f>
        <v>250</v>
      </c>
      <c r="J135" s="178">
        <f t="shared" si="34"/>
        <v>10694.671892611517</v>
      </c>
      <c r="K135" s="178">
        <f>IF(Adm!$F$3="si",MIN(L134+D135+G135+H135+I135-J135,Y135),0)</f>
        <v>0</v>
      </c>
      <c r="L135" s="178">
        <f t="shared" si="39"/>
        <v>775383.59917884495</v>
      </c>
      <c r="M135" s="348"/>
      <c r="N135" s="348"/>
      <c r="O135" s="348">
        <f t="shared" si="40"/>
        <v>10694.671892611517</v>
      </c>
      <c r="U135" s="571">
        <f t="shared" si="41"/>
        <v>3</v>
      </c>
      <c r="V135" s="293">
        <f>IF(U135=1,Adm!$AN$2,0)</f>
        <v>0</v>
      </c>
      <c r="X135" s="341">
        <f t="shared" si="48"/>
        <v>0</v>
      </c>
      <c r="Y135" s="345">
        <f t="shared" ca="1" si="42"/>
        <v>0</v>
      </c>
      <c r="AD135" s="172"/>
      <c r="AG135" s="151">
        <f t="shared" ca="1" si="35"/>
        <v>2</v>
      </c>
      <c r="AI135" s="178">
        <f t="shared" si="36"/>
        <v>0</v>
      </c>
      <c r="AJ135" s="178">
        <f t="shared" si="43"/>
        <v>0</v>
      </c>
      <c r="AK135" s="178">
        <f t="shared" si="54"/>
        <v>0</v>
      </c>
      <c r="AL135" s="178">
        <f t="shared" si="55"/>
        <v>0</v>
      </c>
      <c r="AM135" s="351">
        <f>IF(AS134&lt;0.01,0,IF(Resol!$G$19&gt;0,Resol!$G$19,IF(Resol!$F$19=Resol!$U$5,0,IF($AS$10=0,AS134*Adm!$Y$3,AS134*Adm!$X$3))))</f>
        <v>0</v>
      </c>
      <c r="AN135" s="351">
        <f>IF(AS134&lt;0.01,0,IF(Resol!$F$20=Resol!$V$3,0,IF(OR(Resol!$F$10=Resol!$T$16,Resol!$F$10=Resol!$T$17),0,IF(Resol!$F$10=Resol!$T$13,0,$AL$5*Adm!$AA$4/1.16))))</f>
        <v>0</v>
      </c>
      <c r="AO135" s="178">
        <f t="shared" si="49"/>
        <v>0</v>
      </c>
      <c r="AP135" s="178"/>
      <c r="AQ135" s="178">
        <f t="shared" si="37"/>
        <v>0</v>
      </c>
      <c r="AR135" s="178">
        <f t="shared" si="44"/>
        <v>0</v>
      </c>
      <c r="AS135" s="178">
        <f t="shared" si="51"/>
        <v>0</v>
      </c>
      <c r="AT135" s="348"/>
      <c r="AU135" s="348"/>
      <c r="AV135" s="176">
        <f t="shared" si="52"/>
        <v>0</v>
      </c>
      <c r="BB135" s="571">
        <f t="shared" si="45"/>
        <v>3</v>
      </c>
      <c r="BC135" s="293">
        <f>IF(BB135=1,Adm!$AN$2,0)</f>
        <v>0</v>
      </c>
      <c r="BE135" s="341">
        <f t="shared" si="50"/>
        <v>0</v>
      </c>
      <c r="BF135" s="345">
        <f t="shared" ca="1" si="46"/>
        <v>0</v>
      </c>
    </row>
    <row r="136" spans="1:58">
      <c r="A136" s="151">
        <f t="shared" ca="1" si="32"/>
        <v>3</v>
      </c>
      <c r="C136" s="178">
        <f t="shared" si="33"/>
        <v>112</v>
      </c>
      <c r="D136" s="178">
        <f t="shared" si="38"/>
        <v>6138.4534934991898</v>
      </c>
      <c r="E136" s="178">
        <f t="shared" si="53"/>
        <v>3476.8525614786831</v>
      </c>
      <c r="F136" s="178">
        <f t="shared" si="47"/>
        <v>9615.3060549778729</v>
      </c>
      <c r="G136" s="178">
        <f>IF(L135&lt;0.01,0,IF(Adm!$S$3=Adm!$S$13,Cal!$E$94,IF(Adm!$R$3=Adm!$R$6,0,IF(Cal!$E$91=0,L135*Adm!$Y$3,L135*Adm!$X$3))))</f>
        <v>333.41494764690333</v>
      </c>
      <c r="H136" s="178">
        <f>IF(L135&lt;0.01,0,IF(Adm!$R$4=Adm!$R$6,0,IF(Adm!$B$3=Adm!$B$12,0,Cal!$E$89*Adm!$AA$3/1.16)))</f>
        <v>494.46758620689661</v>
      </c>
      <c r="I136" s="178">
        <f>IF(L135&lt;0.01,0,Adm!$O$3)</f>
        <v>250</v>
      </c>
      <c r="J136" s="178">
        <f t="shared" si="34"/>
        <v>10693.188588831672</v>
      </c>
      <c r="K136" s="178">
        <f>IF(Adm!$F$3="si",MIN(L135+D136+G136+H136+I136-J136,Y136),0)</f>
        <v>0</v>
      </c>
      <c r="L136" s="178">
        <f t="shared" si="39"/>
        <v>771906.74661736621</v>
      </c>
      <c r="M136" s="348"/>
      <c r="N136" s="348"/>
      <c r="O136" s="348">
        <f t="shared" si="40"/>
        <v>10693.188588831672</v>
      </c>
      <c r="U136" s="571">
        <f t="shared" si="41"/>
        <v>4</v>
      </c>
      <c r="V136" s="293">
        <f>IF(U136=1,Adm!$AN$2,0)</f>
        <v>0</v>
      </c>
      <c r="X136" s="341">
        <f t="shared" si="48"/>
        <v>0</v>
      </c>
      <c r="Y136" s="345">
        <f t="shared" ca="1" si="42"/>
        <v>0</v>
      </c>
      <c r="AD136" s="172"/>
      <c r="AG136" s="151">
        <f t="shared" ca="1" si="35"/>
        <v>3</v>
      </c>
      <c r="AI136" s="178">
        <f t="shared" si="36"/>
        <v>0</v>
      </c>
      <c r="AJ136" s="178">
        <f t="shared" si="43"/>
        <v>0</v>
      </c>
      <c r="AK136" s="178">
        <f t="shared" si="54"/>
        <v>0</v>
      </c>
      <c r="AL136" s="178">
        <f t="shared" si="55"/>
        <v>0</v>
      </c>
      <c r="AM136" s="351">
        <f>IF(AS135&lt;0.01,0,IF(Resol!$G$19&gt;0,Resol!$G$19,IF(Resol!$F$19=Resol!$U$5,0,IF($AS$10=0,AS135*Adm!$Y$3,AS135*Adm!$X$3))))</f>
        <v>0</v>
      </c>
      <c r="AN136" s="351">
        <f>IF(AS135&lt;0.01,0,IF(Resol!$F$20=Resol!$V$3,0,IF(OR(Resol!$F$10=Resol!$T$16,Resol!$F$10=Resol!$T$17),0,IF(Resol!$F$10=Resol!$T$13,0,$AL$5*Adm!$AA$4/1.16))))</f>
        <v>0</v>
      </c>
      <c r="AO136" s="178">
        <f t="shared" si="49"/>
        <v>0</v>
      </c>
      <c r="AP136" s="178"/>
      <c r="AQ136" s="178">
        <f t="shared" si="37"/>
        <v>0</v>
      </c>
      <c r="AR136" s="178">
        <f t="shared" si="44"/>
        <v>0</v>
      </c>
      <c r="AS136" s="178">
        <f t="shared" si="51"/>
        <v>0</v>
      </c>
      <c r="AT136" s="348"/>
      <c r="AU136" s="348"/>
      <c r="AV136" s="176">
        <f t="shared" si="52"/>
        <v>0</v>
      </c>
      <c r="BB136" s="571">
        <f t="shared" si="45"/>
        <v>4</v>
      </c>
      <c r="BC136" s="293">
        <f>IF(BB136=1,Adm!$AN$2,0)</f>
        <v>0</v>
      </c>
      <c r="BE136" s="341">
        <f t="shared" si="50"/>
        <v>0</v>
      </c>
      <c r="BF136" s="345">
        <f t="shared" ca="1" si="46"/>
        <v>0</v>
      </c>
    </row>
    <row r="137" spans="1:58">
      <c r="A137" s="151">
        <f t="shared" ca="1" si="32"/>
        <v>4</v>
      </c>
      <c r="C137" s="178">
        <f t="shared" si="33"/>
        <v>113</v>
      </c>
      <c r="D137" s="178">
        <f t="shared" si="38"/>
        <v>6110.9284107208159</v>
      </c>
      <c r="E137" s="178">
        <f t="shared" si="53"/>
        <v>3504.377644257057</v>
      </c>
      <c r="F137" s="178">
        <f t="shared" si="47"/>
        <v>9615.3060549778729</v>
      </c>
      <c r="G137" s="178">
        <f>IF(L136&lt;0.01,0,IF(Adm!$S$3=Adm!$S$13,Cal!$E$94,IF(Adm!$R$3=Adm!$R$6,0,IF(Cal!$E$91=0,L136*Adm!$Y$3,L136*Adm!$X$3))))</f>
        <v>331.91990104546744</v>
      </c>
      <c r="H137" s="178">
        <f>IF(L136&lt;0.01,0,IF(Adm!$R$4=Adm!$R$6,0,IF(Adm!$B$3=Adm!$B$12,0,Cal!$E$89*Adm!$AA$3/1.16)))</f>
        <v>494.46758620689661</v>
      </c>
      <c r="I137" s="178">
        <f>IF(L136&lt;0.01,0,Adm!$O$3)</f>
        <v>250</v>
      </c>
      <c r="J137" s="178">
        <f t="shared" si="34"/>
        <v>10691.693542230236</v>
      </c>
      <c r="K137" s="178">
        <f>IF(Adm!$F$3="si",MIN(L136+D137+G137+H137+I137-J137,Y137),0)</f>
        <v>0</v>
      </c>
      <c r="L137" s="178">
        <f t="shared" si="39"/>
        <v>768402.36897310917</v>
      </c>
      <c r="M137" s="348"/>
      <c r="N137" s="348"/>
      <c r="O137" s="348">
        <f t="shared" si="40"/>
        <v>10691.693542230236</v>
      </c>
      <c r="U137" s="571">
        <f t="shared" si="41"/>
        <v>5</v>
      </c>
      <c r="V137" s="293">
        <f>IF(U137=1,Adm!$AN$2,0)</f>
        <v>0</v>
      </c>
      <c r="X137" s="341">
        <f t="shared" si="48"/>
        <v>0</v>
      </c>
      <c r="Y137" s="345">
        <f t="shared" ca="1" si="42"/>
        <v>0</v>
      </c>
      <c r="AD137" s="172"/>
      <c r="AG137" s="151">
        <f t="shared" ca="1" si="35"/>
        <v>4</v>
      </c>
      <c r="AI137" s="178">
        <f t="shared" si="36"/>
        <v>0</v>
      </c>
      <c r="AJ137" s="178">
        <f t="shared" si="43"/>
        <v>0</v>
      </c>
      <c r="AK137" s="178">
        <f t="shared" si="54"/>
        <v>0</v>
      </c>
      <c r="AL137" s="178">
        <f t="shared" si="55"/>
        <v>0</v>
      </c>
      <c r="AM137" s="351">
        <f>IF(AS136&lt;0.01,0,IF(Resol!$G$19&gt;0,Resol!$G$19,IF(Resol!$F$19=Resol!$U$5,0,IF($AS$10=0,AS136*Adm!$Y$3,AS136*Adm!$X$3))))</f>
        <v>0</v>
      </c>
      <c r="AN137" s="351">
        <f>IF(AS136&lt;0.01,0,IF(Resol!$F$20=Resol!$V$3,0,IF(OR(Resol!$F$10=Resol!$T$16,Resol!$F$10=Resol!$T$17),0,IF(Resol!$F$10=Resol!$T$13,0,$AL$5*Adm!$AA$4/1.16))))</f>
        <v>0</v>
      </c>
      <c r="AO137" s="178">
        <f t="shared" si="49"/>
        <v>0</v>
      </c>
      <c r="AP137" s="178"/>
      <c r="AQ137" s="178">
        <f t="shared" si="37"/>
        <v>0</v>
      </c>
      <c r="AR137" s="178">
        <f t="shared" si="44"/>
        <v>0</v>
      </c>
      <c r="AS137" s="178">
        <f t="shared" si="51"/>
        <v>0</v>
      </c>
      <c r="AT137" s="348"/>
      <c r="AU137" s="348"/>
      <c r="AV137" s="176">
        <f t="shared" si="52"/>
        <v>0</v>
      </c>
      <c r="BB137" s="571">
        <f t="shared" si="45"/>
        <v>5</v>
      </c>
      <c r="BC137" s="293">
        <f>IF(BB137=1,Adm!$AN$2,0)</f>
        <v>0</v>
      </c>
      <c r="BE137" s="341">
        <f t="shared" si="50"/>
        <v>0</v>
      </c>
      <c r="BF137" s="345">
        <f t="shared" ca="1" si="46"/>
        <v>0</v>
      </c>
    </row>
    <row r="138" spans="1:58">
      <c r="A138" s="151">
        <f t="shared" ca="1" si="32"/>
        <v>5</v>
      </c>
      <c r="C138" s="178">
        <f t="shared" si="33"/>
        <v>114</v>
      </c>
      <c r="D138" s="178">
        <f t="shared" si="38"/>
        <v>6083.1854210371139</v>
      </c>
      <c r="E138" s="178">
        <f t="shared" si="53"/>
        <v>3532.120633940759</v>
      </c>
      <c r="F138" s="178">
        <f t="shared" si="47"/>
        <v>9615.3060549778729</v>
      </c>
      <c r="G138" s="178">
        <f>IF(L137&lt;0.01,0,IF(Adm!$S$3=Adm!$S$13,Cal!$E$94,IF(Adm!$R$3=Adm!$R$6,0,IF(Cal!$E$91=0,L137*Adm!$Y$3,L137*Adm!$X$3))))</f>
        <v>330.41301865843695</v>
      </c>
      <c r="H138" s="178">
        <f>IF(L137&lt;0.01,0,IF(Adm!$R$4=Adm!$R$6,0,IF(Adm!$B$3=Adm!$B$12,0,Cal!$E$89*Adm!$AA$3/1.16)))</f>
        <v>494.46758620689661</v>
      </c>
      <c r="I138" s="178">
        <f>IF(L137&lt;0.01,0,Adm!$O$3)</f>
        <v>250</v>
      </c>
      <c r="J138" s="178">
        <f t="shared" si="34"/>
        <v>10690.186659843206</v>
      </c>
      <c r="K138" s="178">
        <f>IF(Adm!$F$3="si",MIN(L137+D138+G138+H138+I138-J138,Y138),0)</f>
        <v>0</v>
      </c>
      <c r="L138" s="178">
        <f t="shared" si="39"/>
        <v>764870.24833916838</v>
      </c>
      <c r="M138" s="348"/>
      <c r="N138" s="348"/>
      <c r="O138" s="348">
        <f t="shared" si="40"/>
        <v>10690.186659843206</v>
      </c>
      <c r="U138" s="571">
        <f t="shared" si="41"/>
        <v>6</v>
      </c>
      <c r="V138" s="293">
        <f>IF(U138=1,Adm!$AN$2,0)</f>
        <v>0</v>
      </c>
      <c r="X138" s="341">
        <f t="shared" si="48"/>
        <v>0</v>
      </c>
      <c r="Y138" s="345">
        <f t="shared" ca="1" si="42"/>
        <v>0</v>
      </c>
      <c r="AD138" s="172"/>
      <c r="AG138" s="151">
        <f t="shared" ca="1" si="35"/>
        <v>5</v>
      </c>
      <c r="AI138" s="178">
        <f t="shared" si="36"/>
        <v>0</v>
      </c>
      <c r="AJ138" s="178">
        <f t="shared" si="43"/>
        <v>0</v>
      </c>
      <c r="AK138" s="178">
        <f t="shared" si="54"/>
        <v>0</v>
      </c>
      <c r="AL138" s="178">
        <f t="shared" si="55"/>
        <v>0</v>
      </c>
      <c r="AM138" s="351">
        <f>IF(AS137&lt;0.01,0,IF(Resol!$G$19&gt;0,Resol!$G$19,IF(Resol!$F$19=Resol!$U$5,0,IF($AS$10=0,AS137*Adm!$Y$3,AS137*Adm!$X$3))))</f>
        <v>0</v>
      </c>
      <c r="AN138" s="351">
        <f>IF(AS137&lt;0.01,0,IF(Resol!$F$20=Resol!$V$3,0,IF(OR(Resol!$F$10=Resol!$T$16,Resol!$F$10=Resol!$T$17),0,IF(Resol!$F$10=Resol!$T$13,0,$AL$5*Adm!$AA$4/1.16))))</f>
        <v>0</v>
      </c>
      <c r="AO138" s="178">
        <f t="shared" si="49"/>
        <v>0</v>
      </c>
      <c r="AP138" s="178"/>
      <c r="AQ138" s="178">
        <f t="shared" si="37"/>
        <v>0</v>
      </c>
      <c r="AR138" s="178">
        <f t="shared" si="44"/>
        <v>0</v>
      </c>
      <c r="AS138" s="178">
        <f t="shared" si="51"/>
        <v>0</v>
      </c>
      <c r="AT138" s="348"/>
      <c r="AU138" s="348"/>
      <c r="AV138" s="176">
        <f t="shared" si="52"/>
        <v>0</v>
      </c>
      <c r="BB138" s="571">
        <f t="shared" si="45"/>
        <v>6</v>
      </c>
      <c r="BC138" s="293">
        <f>IF(BB138=1,Adm!$AN$2,0)</f>
        <v>0</v>
      </c>
      <c r="BE138" s="341">
        <f t="shared" si="50"/>
        <v>0</v>
      </c>
      <c r="BF138" s="345">
        <f t="shared" ca="1" si="46"/>
        <v>0</v>
      </c>
    </row>
    <row r="139" spans="1:58">
      <c r="A139" s="151">
        <f t="shared" ca="1" si="32"/>
        <v>6</v>
      </c>
      <c r="C139" s="178">
        <f t="shared" si="33"/>
        <v>115</v>
      </c>
      <c r="D139" s="178">
        <f t="shared" si="38"/>
        <v>6055.222799351749</v>
      </c>
      <c r="E139" s="178">
        <f t="shared" si="53"/>
        <v>3560.0832556261239</v>
      </c>
      <c r="F139" s="178">
        <f t="shared" si="47"/>
        <v>9615.3060549778729</v>
      </c>
      <c r="G139" s="178">
        <f>IF(L138&lt;0.01,0,IF(Adm!$S$3=Adm!$S$13,Cal!$E$94,IF(Adm!$R$3=Adm!$R$6,0,IF(Cal!$E$91=0,L138*Adm!$Y$3,L138*Adm!$X$3))))</f>
        <v>328.89420678584241</v>
      </c>
      <c r="H139" s="178">
        <f>IF(L138&lt;0.01,0,IF(Adm!$R$4=Adm!$R$6,0,IF(Adm!$B$3=Adm!$B$12,0,Cal!$E$89*Adm!$AA$3/1.16)))</f>
        <v>494.46758620689661</v>
      </c>
      <c r="I139" s="178">
        <f>IF(L138&lt;0.01,0,Adm!$O$3)</f>
        <v>250</v>
      </c>
      <c r="J139" s="178">
        <f t="shared" si="34"/>
        <v>10688.667847970612</v>
      </c>
      <c r="K139" s="178">
        <f>IF(Adm!$F$3="si",MIN(L138+D139+G139+H139+I139-J139,Y139),0)</f>
        <v>0</v>
      </c>
      <c r="L139" s="178">
        <f t="shared" si="39"/>
        <v>761310.16508354223</v>
      </c>
      <c r="M139" s="348"/>
      <c r="N139" s="348"/>
      <c r="O139" s="348">
        <f t="shared" si="40"/>
        <v>10688.667847970612</v>
      </c>
      <c r="U139" s="571">
        <f t="shared" si="41"/>
        <v>7</v>
      </c>
      <c r="V139" s="293">
        <f>IF(U139=1,Adm!$AN$2,0)</f>
        <v>0</v>
      </c>
      <c r="X139" s="341">
        <f t="shared" si="48"/>
        <v>0</v>
      </c>
      <c r="Y139" s="345">
        <f t="shared" ca="1" si="42"/>
        <v>0</v>
      </c>
      <c r="AD139" s="172"/>
      <c r="AG139" s="151">
        <f t="shared" ca="1" si="35"/>
        <v>6</v>
      </c>
      <c r="AI139" s="178">
        <f t="shared" si="36"/>
        <v>0</v>
      </c>
      <c r="AJ139" s="178">
        <f t="shared" si="43"/>
        <v>0</v>
      </c>
      <c r="AK139" s="178">
        <f t="shared" si="54"/>
        <v>0</v>
      </c>
      <c r="AL139" s="178">
        <f t="shared" si="55"/>
        <v>0</v>
      </c>
      <c r="AM139" s="351">
        <f>IF(AS138&lt;0.01,0,IF(Resol!$G$19&gt;0,Resol!$G$19,IF(Resol!$F$19=Resol!$U$5,0,IF($AS$10=0,AS138*Adm!$Y$3,AS138*Adm!$X$3))))</f>
        <v>0</v>
      </c>
      <c r="AN139" s="351">
        <f>IF(AS138&lt;0.01,0,IF(Resol!$F$20=Resol!$V$3,0,IF(OR(Resol!$F$10=Resol!$T$16,Resol!$F$10=Resol!$T$17),0,IF(Resol!$F$10=Resol!$T$13,0,$AL$5*Adm!$AA$4/1.16))))</f>
        <v>0</v>
      </c>
      <c r="AO139" s="178">
        <f t="shared" si="49"/>
        <v>0</v>
      </c>
      <c r="AP139" s="178"/>
      <c r="AQ139" s="178">
        <f t="shared" si="37"/>
        <v>0</v>
      </c>
      <c r="AR139" s="178">
        <f t="shared" si="44"/>
        <v>0</v>
      </c>
      <c r="AS139" s="178">
        <f t="shared" si="51"/>
        <v>0</v>
      </c>
      <c r="AT139" s="348"/>
      <c r="AU139" s="348"/>
      <c r="AV139" s="176">
        <f t="shared" si="52"/>
        <v>0</v>
      </c>
      <c r="BB139" s="571">
        <f t="shared" si="45"/>
        <v>7</v>
      </c>
      <c r="BC139" s="293">
        <f>IF(BB139=1,Adm!$AN$2,0)</f>
        <v>0</v>
      </c>
      <c r="BE139" s="341">
        <f t="shared" si="50"/>
        <v>0</v>
      </c>
      <c r="BF139" s="345">
        <f t="shared" ca="1" si="46"/>
        <v>0</v>
      </c>
    </row>
    <row r="140" spans="1:58">
      <c r="A140" s="151">
        <f t="shared" ca="1" si="32"/>
        <v>7</v>
      </c>
      <c r="C140" s="178">
        <f t="shared" si="33"/>
        <v>116</v>
      </c>
      <c r="D140" s="178">
        <f t="shared" si="38"/>
        <v>6027.038806911376</v>
      </c>
      <c r="E140" s="178">
        <f t="shared" si="53"/>
        <v>3588.2672480664969</v>
      </c>
      <c r="F140" s="178">
        <f t="shared" si="47"/>
        <v>9615.3060549778729</v>
      </c>
      <c r="G140" s="178">
        <f>IF(L139&lt;0.01,0,IF(Adm!$S$3=Adm!$S$13,Cal!$E$94,IF(Adm!$R$3=Adm!$R$6,0,IF(Cal!$E$91=0,L139*Adm!$Y$3,L139*Adm!$X$3))))</f>
        <v>327.36337098592315</v>
      </c>
      <c r="H140" s="178">
        <f>IF(L139&lt;0.01,0,IF(Adm!$R$4=Adm!$R$6,0,IF(Adm!$B$3=Adm!$B$12,0,Cal!$E$89*Adm!$AA$3/1.16)))</f>
        <v>494.46758620689661</v>
      </c>
      <c r="I140" s="178">
        <f>IF(L139&lt;0.01,0,Adm!$O$3)</f>
        <v>250</v>
      </c>
      <c r="J140" s="178">
        <f t="shared" si="34"/>
        <v>10687.137012170691</v>
      </c>
      <c r="K140" s="178">
        <f>IF(Adm!$F$3="si",MIN(L139+D140+G140+H140+I140-J140,Y140),0)</f>
        <v>0</v>
      </c>
      <c r="L140" s="178">
        <f t="shared" si="39"/>
        <v>757721.89783547574</v>
      </c>
      <c r="M140" s="348"/>
      <c r="N140" s="348"/>
      <c r="O140" s="348">
        <f t="shared" si="40"/>
        <v>10687.137012170691</v>
      </c>
      <c r="U140" s="571">
        <f t="shared" si="41"/>
        <v>8</v>
      </c>
      <c r="V140" s="293">
        <f>IF(U140=1,Adm!$AN$2,0)</f>
        <v>0</v>
      </c>
      <c r="X140" s="341">
        <f t="shared" si="48"/>
        <v>0</v>
      </c>
      <c r="Y140" s="345">
        <f t="shared" ca="1" si="42"/>
        <v>0</v>
      </c>
      <c r="AD140" s="172"/>
      <c r="AG140" s="151">
        <f t="shared" ca="1" si="35"/>
        <v>7</v>
      </c>
      <c r="AI140" s="178">
        <f t="shared" si="36"/>
        <v>0</v>
      </c>
      <c r="AJ140" s="178">
        <f t="shared" si="43"/>
        <v>0</v>
      </c>
      <c r="AK140" s="178">
        <f t="shared" si="54"/>
        <v>0</v>
      </c>
      <c r="AL140" s="178">
        <f t="shared" si="55"/>
        <v>0</v>
      </c>
      <c r="AM140" s="351">
        <f>IF(AS139&lt;0.01,0,IF(Resol!$G$19&gt;0,Resol!$G$19,IF(Resol!$F$19=Resol!$U$5,0,IF($AS$10=0,AS139*Adm!$Y$3,AS139*Adm!$X$3))))</f>
        <v>0</v>
      </c>
      <c r="AN140" s="351">
        <f>IF(AS139&lt;0.01,0,IF(Resol!$F$20=Resol!$V$3,0,IF(OR(Resol!$F$10=Resol!$T$16,Resol!$F$10=Resol!$T$17),0,IF(Resol!$F$10=Resol!$T$13,0,$AL$5*Adm!$AA$4/1.16))))</f>
        <v>0</v>
      </c>
      <c r="AO140" s="178">
        <f t="shared" si="49"/>
        <v>0</v>
      </c>
      <c r="AP140" s="178"/>
      <c r="AQ140" s="178">
        <f t="shared" si="37"/>
        <v>0</v>
      </c>
      <c r="AR140" s="178">
        <f t="shared" si="44"/>
        <v>0</v>
      </c>
      <c r="AS140" s="178">
        <f t="shared" si="51"/>
        <v>0</v>
      </c>
      <c r="AT140" s="348"/>
      <c r="AU140" s="348"/>
      <c r="AV140" s="176">
        <f t="shared" si="52"/>
        <v>0</v>
      </c>
      <c r="BB140" s="571">
        <f t="shared" si="45"/>
        <v>8</v>
      </c>
      <c r="BC140" s="293">
        <f>IF(BB140=1,Adm!$AN$2,0)</f>
        <v>0</v>
      </c>
      <c r="BE140" s="341">
        <f t="shared" si="50"/>
        <v>0</v>
      </c>
      <c r="BF140" s="345">
        <f t="shared" ca="1" si="46"/>
        <v>0</v>
      </c>
    </row>
    <row r="141" spans="1:58">
      <c r="A141" s="151">
        <f t="shared" ca="1" si="32"/>
        <v>8</v>
      </c>
      <c r="C141" s="178">
        <f t="shared" si="33"/>
        <v>117</v>
      </c>
      <c r="D141" s="178">
        <f t="shared" si="38"/>
        <v>5998.6316911975164</v>
      </c>
      <c r="E141" s="178">
        <f t="shared" si="53"/>
        <v>3616.6743637803565</v>
      </c>
      <c r="F141" s="178">
        <f t="shared" si="47"/>
        <v>9615.3060549778729</v>
      </c>
      <c r="G141" s="178">
        <f>IF(L140&lt;0.01,0,IF(Adm!$S$3=Adm!$S$13,Cal!$E$94,IF(Adm!$R$3=Adm!$R$6,0,IF(Cal!$E$91=0,L140*Adm!$Y$3,L140*Adm!$X$3))))</f>
        <v>325.82041606925458</v>
      </c>
      <c r="H141" s="178">
        <f>IF(L140&lt;0.01,0,IF(Adm!$R$4=Adm!$R$6,0,IF(Adm!$B$3=Adm!$B$12,0,Cal!$E$89*Adm!$AA$3/1.16)))</f>
        <v>494.46758620689661</v>
      </c>
      <c r="I141" s="178">
        <f>IF(L140&lt;0.01,0,Adm!$O$3)</f>
        <v>250</v>
      </c>
      <c r="J141" s="178">
        <f t="shared" si="34"/>
        <v>10685.594057254024</v>
      </c>
      <c r="K141" s="178">
        <f>IF(Adm!$F$3="si",MIN(L140+D141+G141+H141+I141-J141,Y141),0)</f>
        <v>0</v>
      </c>
      <c r="L141" s="178">
        <f t="shared" si="39"/>
        <v>754105.22347169544</v>
      </c>
      <c r="M141" s="348"/>
      <c r="N141" s="348"/>
      <c r="O141" s="348">
        <f t="shared" si="40"/>
        <v>10685.594057254024</v>
      </c>
      <c r="U141" s="571">
        <f t="shared" si="41"/>
        <v>9</v>
      </c>
      <c r="V141" s="293">
        <f>IF(U141=1,Adm!$AN$2,0)</f>
        <v>0</v>
      </c>
      <c r="X141" s="341">
        <f t="shared" si="48"/>
        <v>0</v>
      </c>
      <c r="Y141" s="345">
        <f t="shared" ca="1" si="42"/>
        <v>0</v>
      </c>
      <c r="AD141" s="172"/>
      <c r="AG141" s="151">
        <f t="shared" ca="1" si="35"/>
        <v>8</v>
      </c>
      <c r="AI141" s="178">
        <f t="shared" si="36"/>
        <v>0</v>
      </c>
      <c r="AJ141" s="178">
        <f t="shared" si="43"/>
        <v>0</v>
      </c>
      <c r="AK141" s="178">
        <f t="shared" si="54"/>
        <v>0</v>
      </c>
      <c r="AL141" s="178">
        <f t="shared" si="55"/>
        <v>0</v>
      </c>
      <c r="AM141" s="351">
        <f>IF(AS140&lt;0.01,0,IF(Resol!$G$19&gt;0,Resol!$G$19,IF(Resol!$F$19=Resol!$U$5,0,IF($AS$10=0,AS140*Adm!$Y$3,AS140*Adm!$X$3))))</f>
        <v>0</v>
      </c>
      <c r="AN141" s="351">
        <f>IF(AS140&lt;0.01,0,IF(Resol!$F$20=Resol!$V$3,0,IF(OR(Resol!$F$10=Resol!$T$16,Resol!$F$10=Resol!$T$17),0,IF(Resol!$F$10=Resol!$T$13,0,$AL$5*Adm!$AA$4/1.16))))</f>
        <v>0</v>
      </c>
      <c r="AO141" s="178">
        <f t="shared" si="49"/>
        <v>0</v>
      </c>
      <c r="AP141" s="178"/>
      <c r="AQ141" s="178">
        <f t="shared" si="37"/>
        <v>0</v>
      </c>
      <c r="AR141" s="178">
        <f t="shared" si="44"/>
        <v>0</v>
      </c>
      <c r="AS141" s="178">
        <f t="shared" si="51"/>
        <v>0</v>
      </c>
      <c r="AT141" s="348"/>
      <c r="AU141" s="348"/>
      <c r="AV141" s="176">
        <f t="shared" si="52"/>
        <v>0</v>
      </c>
      <c r="BB141" s="571">
        <f t="shared" si="45"/>
        <v>9</v>
      </c>
      <c r="BC141" s="293">
        <f>IF(BB141=1,Adm!$AN$2,0)</f>
        <v>0</v>
      </c>
      <c r="BE141" s="341">
        <f t="shared" si="50"/>
        <v>0</v>
      </c>
      <c r="BF141" s="345">
        <f t="shared" ca="1" si="46"/>
        <v>0</v>
      </c>
    </row>
    <row r="142" spans="1:58">
      <c r="A142" s="151">
        <f t="shared" ca="1" si="32"/>
        <v>9</v>
      </c>
      <c r="C142" s="178">
        <f t="shared" si="33"/>
        <v>118</v>
      </c>
      <c r="D142" s="178">
        <f t="shared" si="38"/>
        <v>5969.9996858175882</v>
      </c>
      <c r="E142" s="178">
        <f t="shared" si="53"/>
        <v>3645.3063691602847</v>
      </c>
      <c r="F142" s="178">
        <f t="shared" si="47"/>
        <v>9615.3060549778729</v>
      </c>
      <c r="G142" s="178">
        <f>IF(L141&lt;0.01,0,IF(Adm!$S$3=Adm!$S$13,Cal!$E$94,IF(Adm!$R$3=Adm!$R$6,0,IF(Cal!$E$91=0,L141*Adm!$Y$3,L141*Adm!$X$3))))</f>
        <v>324.26524609282905</v>
      </c>
      <c r="H142" s="178">
        <f>IF(L141&lt;0.01,0,IF(Adm!$R$4=Adm!$R$6,0,IF(Adm!$B$3=Adm!$B$12,0,Cal!$E$89*Adm!$AA$3/1.16)))</f>
        <v>494.46758620689661</v>
      </c>
      <c r="I142" s="178">
        <f>IF(L141&lt;0.01,0,Adm!$O$3)</f>
        <v>250</v>
      </c>
      <c r="J142" s="178">
        <f t="shared" si="34"/>
        <v>10684.038887277598</v>
      </c>
      <c r="K142" s="178">
        <f>IF(Adm!$F$3="si",MIN(L141+D142+G142+H142+I142-J142,Y142),0)</f>
        <v>0</v>
      </c>
      <c r="L142" s="178">
        <f t="shared" si="39"/>
        <v>750459.91710253514</v>
      </c>
      <c r="M142" s="348"/>
      <c r="N142" s="348"/>
      <c r="O142" s="348">
        <f t="shared" si="40"/>
        <v>10684.038887277598</v>
      </c>
      <c r="U142" s="571">
        <f t="shared" si="41"/>
        <v>10</v>
      </c>
      <c r="V142" s="293">
        <f>IF(U142=1,Adm!$AN$2,0)</f>
        <v>0</v>
      </c>
      <c r="X142" s="341">
        <f t="shared" si="48"/>
        <v>0</v>
      </c>
      <c r="Y142" s="345">
        <f t="shared" ca="1" si="42"/>
        <v>0</v>
      </c>
      <c r="AD142" s="172"/>
      <c r="AG142" s="151">
        <f t="shared" ca="1" si="35"/>
        <v>9</v>
      </c>
      <c r="AI142" s="178">
        <f t="shared" si="36"/>
        <v>0</v>
      </c>
      <c r="AJ142" s="178">
        <f t="shared" si="43"/>
        <v>0</v>
      </c>
      <c r="AK142" s="178">
        <f t="shared" si="54"/>
        <v>0</v>
      </c>
      <c r="AL142" s="178">
        <f t="shared" si="55"/>
        <v>0</v>
      </c>
      <c r="AM142" s="351">
        <f>IF(AS141&lt;0.01,0,IF(Resol!$G$19&gt;0,Resol!$G$19,IF(Resol!$F$19=Resol!$U$5,0,IF($AS$10=0,AS141*Adm!$Y$3,AS141*Adm!$X$3))))</f>
        <v>0</v>
      </c>
      <c r="AN142" s="351">
        <f>IF(AS141&lt;0.01,0,IF(Resol!$F$20=Resol!$V$3,0,IF(OR(Resol!$F$10=Resol!$T$16,Resol!$F$10=Resol!$T$17),0,IF(Resol!$F$10=Resol!$T$13,0,$AL$5*Adm!$AA$4/1.16))))</f>
        <v>0</v>
      </c>
      <c r="AO142" s="178">
        <f t="shared" si="49"/>
        <v>0</v>
      </c>
      <c r="AP142" s="178"/>
      <c r="AQ142" s="178">
        <f t="shared" si="37"/>
        <v>0</v>
      </c>
      <c r="AR142" s="178">
        <f t="shared" si="44"/>
        <v>0</v>
      </c>
      <c r="AS142" s="178">
        <f t="shared" si="51"/>
        <v>0</v>
      </c>
      <c r="AT142" s="348"/>
      <c r="AU142" s="348"/>
      <c r="AV142" s="176">
        <f t="shared" si="52"/>
        <v>0</v>
      </c>
      <c r="BB142" s="571">
        <f t="shared" si="45"/>
        <v>10</v>
      </c>
      <c r="BC142" s="293">
        <f>IF(BB142=1,Adm!$AN$2,0)</f>
        <v>0</v>
      </c>
      <c r="BE142" s="341">
        <f t="shared" si="50"/>
        <v>0</v>
      </c>
      <c r="BF142" s="345">
        <f t="shared" ca="1" si="46"/>
        <v>0</v>
      </c>
    </row>
    <row r="143" spans="1:58">
      <c r="A143" s="151">
        <f t="shared" ca="1" si="32"/>
        <v>10</v>
      </c>
      <c r="C143" s="178">
        <f t="shared" si="33"/>
        <v>119</v>
      </c>
      <c r="D143" s="178">
        <f t="shared" si="38"/>
        <v>5941.1410103950693</v>
      </c>
      <c r="E143" s="178">
        <f t="shared" si="53"/>
        <v>3674.1650445828036</v>
      </c>
      <c r="F143" s="178">
        <f t="shared" si="47"/>
        <v>9615.3060549778729</v>
      </c>
      <c r="G143" s="178">
        <f>IF(L142&lt;0.01,0,IF(Adm!$S$3=Adm!$S$13,Cal!$E$94,IF(Adm!$R$3=Adm!$R$6,0,IF(Cal!$E$91=0,L142*Adm!$Y$3,L142*Adm!$X$3))))</f>
        <v>322.69776435409011</v>
      </c>
      <c r="H143" s="178">
        <f>IF(L142&lt;0.01,0,IF(Adm!$R$4=Adm!$R$6,0,IF(Adm!$B$3=Adm!$B$12,0,Cal!$E$89*Adm!$AA$3/1.16)))</f>
        <v>494.46758620689661</v>
      </c>
      <c r="I143" s="178">
        <f>IF(L142&lt;0.01,0,Adm!$O$3)</f>
        <v>250</v>
      </c>
      <c r="J143" s="178">
        <f t="shared" si="34"/>
        <v>10682.471405538859</v>
      </c>
      <c r="K143" s="178">
        <f>IF(Adm!$F$3="si",MIN(L142+D143+G143+H143+I143-J143,Y143),0)</f>
        <v>0</v>
      </c>
      <c r="L143" s="178">
        <f t="shared" si="39"/>
        <v>746785.75205795234</v>
      </c>
      <c r="M143" s="348"/>
      <c r="N143" s="348"/>
      <c r="O143" s="348">
        <f t="shared" si="40"/>
        <v>10682.471405538859</v>
      </c>
      <c r="U143" s="571">
        <f t="shared" si="41"/>
        <v>11</v>
      </c>
      <c r="V143" s="293">
        <f>IF(U143=1,Adm!$AN$2,0)</f>
        <v>0</v>
      </c>
      <c r="X143" s="341">
        <f t="shared" si="48"/>
        <v>0</v>
      </c>
      <c r="Y143" s="345">
        <f t="shared" ca="1" si="42"/>
        <v>0</v>
      </c>
      <c r="AD143" s="172"/>
      <c r="AG143" s="151">
        <f t="shared" ca="1" si="35"/>
        <v>10</v>
      </c>
      <c r="AI143" s="178">
        <f t="shared" si="36"/>
        <v>0</v>
      </c>
      <c r="AJ143" s="178">
        <f t="shared" si="43"/>
        <v>0</v>
      </c>
      <c r="AK143" s="178">
        <f t="shared" si="54"/>
        <v>0</v>
      </c>
      <c r="AL143" s="178">
        <f t="shared" si="55"/>
        <v>0</v>
      </c>
      <c r="AM143" s="351">
        <f>IF(AS142&lt;0.01,0,IF(Resol!$G$19&gt;0,Resol!$G$19,IF(Resol!$F$19=Resol!$U$5,0,IF($AS$10=0,AS142*Adm!$Y$3,AS142*Adm!$X$3))))</f>
        <v>0</v>
      </c>
      <c r="AN143" s="351">
        <f>IF(AS142&lt;0.01,0,IF(Resol!$F$20=Resol!$V$3,0,IF(OR(Resol!$F$10=Resol!$T$16,Resol!$F$10=Resol!$T$17),0,IF(Resol!$F$10=Resol!$T$13,0,$AL$5*Adm!$AA$4/1.16))))</f>
        <v>0</v>
      </c>
      <c r="AO143" s="178">
        <f t="shared" si="49"/>
        <v>0</v>
      </c>
      <c r="AP143" s="178"/>
      <c r="AQ143" s="178">
        <f t="shared" si="37"/>
        <v>0</v>
      </c>
      <c r="AR143" s="178">
        <f t="shared" si="44"/>
        <v>0</v>
      </c>
      <c r="AS143" s="178">
        <f t="shared" si="51"/>
        <v>0</v>
      </c>
      <c r="AT143" s="348"/>
      <c r="AU143" s="348"/>
      <c r="AV143" s="176">
        <f t="shared" si="52"/>
        <v>0</v>
      </c>
      <c r="BB143" s="571">
        <f t="shared" si="45"/>
        <v>11</v>
      </c>
      <c r="BC143" s="293">
        <f>IF(BB143=1,Adm!$AN$2,0)</f>
        <v>0</v>
      </c>
      <c r="BE143" s="341">
        <f t="shared" si="50"/>
        <v>0</v>
      </c>
      <c r="BF143" s="345">
        <f t="shared" ca="1" si="46"/>
        <v>0</v>
      </c>
    </row>
    <row r="144" spans="1:58">
      <c r="A144" s="151">
        <f t="shared" ca="1" si="32"/>
        <v>11</v>
      </c>
      <c r="C144" s="178">
        <f t="shared" si="33"/>
        <v>120</v>
      </c>
      <c r="D144" s="178">
        <f t="shared" si="38"/>
        <v>5912.0538704587889</v>
      </c>
      <c r="E144" s="178">
        <f t="shared" si="53"/>
        <v>3703.252184519084</v>
      </c>
      <c r="F144" s="178">
        <f t="shared" si="47"/>
        <v>9615.3060549778729</v>
      </c>
      <c r="G144" s="178">
        <f>IF(L143&lt;0.01,0,IF(Adm!$S$3=Adm!$S$13,Cal!$E$94,IF(Adm!$R$3=Adm!$R$6,0,IF(Cal!$E$91=0,L143*Adm!$Y$3,L143*Adm!$X$3))))</f>
        <v>321.11787338491951</v>
      </c>
      <c r="H144" s="178">
        <f>IF(L143&lt;0.01,0,IF(Adm!$R$4=Adm!$R$6,0,IF(Adm!$B$3=Adm!$B$12,0,Cal!$E$89*Adm!$AA$3/1.16)))</f>
        <v>494.46758620689661</v>
      </c>
      <c r="I144" s="178">
        <f>IF(L143&lt;0.01,0,Adm!$O$3)</f>
        <v>250</v>
      </c>
      <c r="J144" s="178">
        <f t="shared" si="34"/>
        <v>10680.891514569688</v>
      </c>
      <c r="K144" s="178">
        <f>IF(Adm!$F$3="si",MIN(L143+D144+G144+H144+I144-J144,Y144),0)</f>
        <v>0</v>
      </c>
      <c r="L144" s="178">
        <f t="shared" si="39"/>
        <v>743082.49987343326</v>
      </c>
      <c r="M144" s="348"/>
      <c r="N144" s="348"/>
      <c r="O144" s="348">
        <f t="shared" si="40"/>
        <v>10680.891514569688</v>
      </c>
      <c r="U144" s="571">
        <f t="shared" si="41"/>
        <v>12</v>
      </c>
      <c r="V144" s="293">
        <f>IF(U144=1,Adm!$AN$2,0)</f>
        <v>0</v>
      </c>
      <c r="X144" s="341">
        <f t="shared" si="48"/>
        <v>0</v>
      </c>
      <c r="Y144" s="345">
        <f t="shared" ca="1" si="42"/>
        <v>0</v>
      </c>
      <c r="AD144" s="172"/>
      <c r="AG144" s="151">
        <f t="shared" ca="1" si="35"/>
        <v>11</v>
      </c>
      <c r="AI144" s="178">
        <f t="shared" si="36"/>
        <v>0</v>
      </c>
      <c r="AJ144" s="178">
        <f t="shared" si="43"/>
        <v>0</v>
      </c>
      <c r="AK144" s="178">
        <f t="shared" si="54"/>
        <v>0</v>
      </c>
      <c r="AL144" s="178">
        <f t="shared" si="55"/>
        <v>0</v>
      </c>
      <c r="AM144" s="351">
        <f>IF(AS143&lt;0.01,0,IF(Resol!$G$19&gt;0,Resol!$G$19,IF(Resol!$F$19=Resol!$U$5,0,IF($AS$10=0,AS143*Adm!$Y$3,AS143*Adm!$X$3))))</f>
        <v>0</v>
      </c>
      <c r="AN144" s="351">
        <f>IF(AS143&lt;0.01,0,IF(Resol!$F$20=Resol!$V$3,0,IF(OR(Resol!$F$10=Resol!$T$16,Resol!$F$10=Resol!$T$17),0,IF(Resol!$F$10=Resol!$T$13,0,$AL$5*Adm!$AA$4/1.16))))</f>
        <v>0</v>
      </c>
      <c r="AO144" s="178">
        <f t="shared" si="49"/>
        <v>0</v>
      </c>
      <c r="AP144" s="178"/>
      <c r="AQ144" s="178">
        <f t="shared" si="37"/>
        <v>0</v>
      </c>
      <c r="AR144" s="178">
        <f t="shared" si="44"/>
        <v>0</v>
      </c>
      <c r="AS144" s="178">
        <f t="shared" si="51"/>
        <v>0</v>
      </c>
      <c r="AT144" s="348"/>
      <c r="AU144" s="348"/>
      <c r="AV144" s="176">
        <f t="shared" si="52"/>
        <v>0</v>
      </c>
      <c r="BB144" s="571">
        <f t="shared" si="45"/>
        <v>12</v>
      </c>
      <c r="BC144" s="293">
        <f>IF(BB144=1,Adm!$AN$2,0)</f>
        <v>0</v>
      </c>
      <c r="BE144" s="341">
        <f t="shared" si="50"/>
        <v>0</v>
      </c>
      <c r="BF144" s="345">
        <f t="shared" ca="1" si="46"/>
        <v>0</v>
      </c>
    </row>
    <row r="145" spans="1:58">
      <c r="A145" s="151">
        <f t="shared" ca="1" si="32"/>
        <v>12</v>
      </c>
      <c r="C145" s="178">
        <f t="shared" si="33"/>
        <v>121</v>
      </c>
      <c r="D145" s="178">
        <f t="shared" si="38"/>
        <v>5882.7364573313462</v>
      </c>
      <c r="E145" s="178">
        <f t="shared" si="53"/>
        <v>3732.5695976465267</v>
      </c>
      <c r="F145" s="178">
        <f t="shared" si="47"/>
        <v>9615.3060549778729</v>
      </c>
      <c r="G145" s="178">
        <f>IF(L144&lt;0.01,0,IF(Adm!$S$3=Adm!$S$13,Cal!$E$94,IF(Adm!$R$3=Adm!$R$6,0,IF(Cal!$E$91=0,L144*Adm!$Y$3,L144*Adm!$X$3))))</f>
        <v>319.52547494557632</v>
      </c>
      <c r="H145" s="178">
        <f>IF(L144&lt;0.01,0,IF(Adm!$R$4=Adm!$R$6,0,IF(Adm!$B$3=Adm!$B$12,0,Cal!$E$89*Adm!$AA$3/1.16)))</f>
        <v>494.46758620689661</v>
      </c>
      <c r="I145" s="178">
        <f>IF(L144&lt;0.01,0,Adm!$O$3)</f>
        <v>250</v>
      </c>
      <c r="J145" s="178">
        <f t="shared" si="34"/>
        <v>10679.299116130345</v>
      </c>
      <c r="K145" s="178">
        <f>IF(Adm!$F$3="si",MIN(L144+D145+G145+H145+I145-J145,Y145),0)</f>
        <v>0</v>
      </c>
      <c r="L145" s="178">
        <f t="shared" si="39"/>
        <v>739349.93027578678</v>
      </c>
      <c r="M145" s="348"/>
      <c r="N145" s="348"/>
      <c r="O145" s="348">
        <f t="shared" si="40"/>
        <v>10679.299116130345</v>
      </c>
      <c r="U145" s="571">
        <f t="shared" si="41"/>
        <v>1</v>
      </c>
      <c r="V145" s="293">
        <f>IF(U145=1,Adm!$AN$2,0)</f>
        <v>0</v>
      </c>
      <c r="X145" s="341">
        <f t="shared" si="48"/>
        <v>0</v>
      </c>
      <c r="Y145" s="345">
        <f t="shared" ca="1" si="42"/>
        <v>0</v>
      </c>
      <c r="AD145" s="172"/>
      <c r="AG145" s="151">
        <f t="shared" ca="1" si="35"/>
        <v>12</v>
      </c>
      <c r="AI145" s="178">
        <f t="shared" si="36"/>
        <v>0</v>
      </c>
      <c r="AJ145" s="178">
        <f t="shared" si="43"/>
        <v>0</v>
      </c>
      <c r="AK145" s="178">
        <f t="shared" si="54"/>
        <v>0</v>
      </c>
      <c r="AL145" s="178">
        <f t="shared" si="55"/>
        <v>0</v>
      </c>
      <c r="AM145" s="351">
        <f>IF(AS144&lt;0.01,0,IF(Resol!$G$19&gt;0,Resol!$G$19,IF(Resol!$F$19=Resol!$U$5,0,IF($AS$10=0,AS144*Adm!$Y$3,AS144*Adm!$X$3))))</f>
        <v>0</v>
      </c>
      <c r="AN145" s="351">
        <f>IF(AS144&lt;0.01,0,IF(Resol!$F$20=Resol!$V$3,0,IF(OR(Resol!$F$10=Resol!$T$16,Resol!$F$10=Resol!$T$17),0,IF(Resol!$F$10=Resol!$T$13,0,$AL$5*Adm!$AA$4/1.16))))</f>
        <v>0</v>
      </c>
      <c r="AO145" s="178">
        <f t="shared" si="49"/>
        <v>0</v>
      </c>
      <c r="AP145" s="178"/>
      <c r="AQ145" s="178">
        <f t="shared" si="37"/>
        <v>0</v>
      </c>
      <c r="AR145" s="178">
        <f t="shared" si="44"/>
        <v>0</v>
      </c>
      <c r="AS145" s="178">
        <f t="shared" si="51"/>
        <v>0</v>
      </c>
      <c r="AT145" s="348"/>
      <c r="AU145" s="348"/>
      <c r="AV145" s="176">
        <f t="shared" si="52"/>
        <v>0</v>
      </c>
      <c r="BB145" s="571">
        <f t="shared" si="45"/>
        <v>1</v>
      </c>
      <c r="BC145" s="293">
        <f>IF(BB145=1,Adm!$AN$2,0)</f>
        <v>0</v>
      </c>
      <c r="BE145" s="341">
        <f t="shared" si="50"/>
        <v>0</v>
      </c>
      <c r="BF145" s="345">
        <f t="shared" ca="1" si="46"/>
        <v>0</v>
      </c>
    </row>
    <row r="146" spans="1:58">
      <c r="A146" s="151">
        <f t="shared" ca="1" si="32"/>
        <v>1</v>
      </c>
      <c r="C146" s="178">
        <f t="shared" si="33"/>
        <v>122</v>
      </c>
      <c r="D146" s="178">
        <f t="shared" si="38"/>
        <v>5853.1869480166451</v>
      </c>
      <c r="E146" s="178">
        <f t="shared" si="53"/>
        <v>3762.1191069612278</v>
      </c>
      <c r="F146" s="178">
        <f t="shared" si="47"/>
        <v>9615.3060549778729</v>
      </c>
      <c r="G146" s="178">
        <f>IF(L145&lt;0.01,0,IF(Adm!$S$3=Adm!$S$13,Cal!$E$94,IF(Adm!$R$3=Adm!$R$6,0,IF(Cal!$E$91=0,L145*Adm!$Y$3,L145*Adm!$X$3))))</f>
        <v>317.92047001858833</v>
      </c>
      <c r="H146" s="178">
        <f>IF(L145&lt;0.01,0,IF(Adm!$R$4=Adm!$R$6,0,IF(Adm!$B$3=Adm!$B$12,0,Cal!$E$89*Adm!$AA$3/1.16)))</f>
        <v>494.46758620689661</v>
      </c>
      <c r="I146" s="178">
        <f>IF(L145&lt;0.01,0,Adm!$O$3)</f>
        <v>250</v>
      </c>
      <c r="J146" s="178">
        <f t="shared" si="34"/>
        <v>10677.694111203358</v>
      </c>
      <c r="K146" s="178">
        <f>IF(Adm!$F$3="si",MIN(L145+D146+G146+H146+I146-J146,Y146),0)</f>
        <v>0</v>
      </c>
      <c r="L146" s="178">
        <f t="shared" si="39"/>
        <v>735587.8111688256</v>
      </c>
      <c r="M146" s="348"/>
      <c r="N146" s="348"/>
      <c r="O146" s="348">
        <f t="shared" si="40"/>
        <v>10677.694111203358</v>
      </c>
      <c r="U146" s="571">
        <f t="shared" si="41"/>
        <v>2</v>
      </c>
      <c r="V146" s="293">
        <f>IF(U146=1,Adm!$AN$2,0)</f>
        <v>0</v>
      </c>
      <c r="X146" s="341">
        <f t="shared" si="48"/>
        <v>0</v>
      </c>
      <c r="Y146" s="345">
        <f t="shared" ca="1" si="42"/>
        <v>0</v>
      </c>
      <c r="AD146" s="172"/>
      <c r="AG146" s="151">
        <f t="shared" ca="1" si="35"/>
        <v>1</v>
      </c>
      <c r="AI146" s="178">
        <f t="shared" si="36"/>
        <v>0</v>
      </c>
      <c r="AJ146" s="178">
        <f t="shared" si="43"/>
        <v>0</v>
      </c>
      <c r="AK146" s="178">
        <f t="shared" si="54"/>
        <v>0</v>
      </c>
      <c r="AL146" s="178">
        <f t="shared" si="55"/>
        <v>0</v>
      </c>
      <c r="AM146" s="351">
        <f>IF(AS145&lt;0.01,0,IF(Resol!$G$19&gt;0,Resol!$G$19,IF(Resol!$F$19=Resol!$U$5,0,IF($AS$10=0,AS145*Adm!$Y$3,AS145*Adm!$X$3))))</f>
        <v>0</v>
      </c>
      <c r="AN146" s="351">
        <f>IF(AS145&lt;0.01,0,IF(Resol!$F$20=Resol!$V$3,0,IF(OR(Resol!$F$10=Resol!$T$16,Resol!$F$10=Resol!$T$17),0,IF(Resol!$F$10=Resol!$T$13,0,$AL$5*Adm!$AA$4/1.16))))</f>
        <v>0</v>
      </c>
      <c r="AO146" s="178">
        <f t="shared" si="49"/>
        <v>0</v>
      </c>
      <c r="AP146" s="178"/>
      <c r="AQ146" s="178">
        <f t="shared" si="37"/>
        <v>0</v>
      </c>
      <c r="AR146" s="178">
        <f t="shared" si="44"/>
        <v>0</v>
      </c>
      <c r="AS146" s="178">
        <f t="shared" si="51"/>
        <v>0</v>
      </c>
      <c r="AT146" s="348"/>
      <c r="AU146" s="348"/>
      <c r="AV146" s="176">
        <f t="shared" si="52"/>
        <v>0</v>
      </c>
      <c r="BB146" s="571">
        <f t="shared" si="45"/>
        <v>2</v>
      </c>
      <c r="BC146" s="293">
        <f>IF(BB146=1,Adm!$AN$2,0)</f>
        <v>0</v>
      </c>
      <c r="BE146" s="341">
        <f t="shared" si="50"/>
        <v>0</v>
      </c>
      <c r="BF146" s="345">
        <f t="shared" ca="1" si="46"/>
        <v>0</v>
      </c>
    </row>
    <row r="147" spans="1:58">
      <c r="A147" s="151">
        <f t="shared" ca="1" si="32"/>
        <v>2</v>
      </c>
      <c r="C147" s="178">
        <f t="shared" si="33"/>
        <v>123</v>
      </c>
      <c r="D147" s="178">
        <f t="shared" si="38"/>
        <v>5823.4035050865359</v>
      </c>
      <c r="E147" s="178">
        <f t="shared" si="53"/>
        <v>3791.902549891337</v>
      </c>
      <c r="F147" s="178">
        <f t="shared" si="47"/>
        <v>9615.3060549778729</v>
      </c>
      <c r="G147" s="178">
        <f>IF(L146&lt;0.01,0,IF(Adm!$S$3=Adm!$S$13,Cal!$E$94,IF(Adm!$R$3=Adm!$R$6,0,IF(Cal!$E$91=0,L146*Adm!$Y$3,L146*Adm!$X$3))))</f>
        <v>316.30275880259501</v>
      </c>
      <c r="H147" s="178">
        <f>IF(L146&lt;0.01,0,IF(Adm!$R$4=Adm!$R$6,0,IF(Adm!$B$3=Adm!$B$12,0,Cal!$E$89*Adm!$AA$3/1.16)))</f>
        <v>494.46758620689661</v>
      </c>
      <c r="I147" s="178">
        <f>IF(L146&lt;0.01,0,Adm!$O$3)</f>
        <v>250</v>
      </c>
      <c r="J147" s="178">
        <f t="shared" si="34"/>
        <v>10676.076399987363</v>
      </c>
      <c r="K147" s="178">
        <f>IF(Adm!$F$3="si",MIN(L146+D147+G147+H147+I147-J147,Y147),0)</f>
        <v>0</v>
      </c>
      <c r="L147" s="178">
        <f t="shared" si="39"/>
        <v>731795.90861893422</v>
      </c>
      <c r="M147" s="348"/>
      <c r="N147" s="348"/>
      <c r="O147" s="348">
        <f t="shared" si="40"/>
        <v>10676.076399987363</v>
      </c>
      <c r="U147" s="571">
        <f t="shared" si="41"/>
        <v>3</v>
      </c>
      <c r="V147" s="293">
        <f>IF(U147=1,Adm!$AN$2,0)</f>
        <v>0</v>
      </c>
      <c r="X147" s="341">
        <f t="shared" si="48"/>
        <v>0</v>
      </c>
      <c r="Y147" s="345">
        <f t="shared" ca="1" si="42"/>
        <v>0</v>
      </c>
      <c r="AD147" s="172"/>
      <c r="AG147" s="151">
        <f t="shared" ca="1" si="35"/>
        <v>2</v>
      </c>
      <c r="AI147" s="178">
        <f t="shared" si="36"/>
        <v>0</v>
      </c>
      <c r="AJ147" s="178">
        <f t="shared" si="43"/>
        <v>0</v>
      </c>
      <c r="AK147" s="178">
        <f t="shared" si="54"/>
        <v>0</v>
      </c>
      <c r="AL147" s="178">
        <f t="shared" si="55"/>
        <v>0</v>
      </c>
      <c r="AM147" s="351">
        <f>IF(AS146&lt;0.01,0,IF(Resol!$G$19&gt;0,Resol!$G$19,IF(Resol!$F$19=Resol!$U$5,0,IF($AS$10=0,AS146*Adm!$Y$3,AS146*Adm!$X$3))))</f>
        <v>0</v>
      </c>
      <c r="AN147" s="351">
        <f>IF(AS146&lt;0.01,0,IF(Resol!$F$20=Resol!$V$3,0,IF(OR(Resol!$F$10=Resol!$T$16,Resol!$F$10=Resol!$T$17),0,IF(Resol!$F$10=Resol!$T$13,0,$AL$5*Adm!$AA$4/1.16))))</f>
        <v>0</v>
      </c>
      <c r="AO147" s="178">
        <f t="shared" si="49"/>
        <v>0</v>
      </c>
      <c r="AP147" s="178"/>
      <c r="AQ147" s="178">
        <f t="shared" si="37"/>
        <v>0</v>
      </c>
      <c r="AR147" s="178">
        <f t="shared" si="44"/>
        <v>0</v>
      </c>
      <c r="AS147" s="178">
        <f t="shared" si="51"/>
        <v>0</v>
      </c>
      <c r="AT147" s="348"/>
      <c r="AU147" s="348"/>
      <c r="AV147" s="176">
        <f t="shared" si="52"/>
        <v>0</v>
      </c>
      <c r="BB147" s="571">
        <f t="shared" si="45"/>
        <v>3</v>
      </c>
      <c r="BC147" s="293">
        <f>IF(BB147=1,Adm!$AN$2,0)</f>
        <v>0</v>
      </c>
      <c r="BE147" s="341">
        <f t="shared" si="50"/>
        <v>0</v>
      </c>
      <c r="BF147" s="345">
        <f t="shared" ca="1" si="46"/>
        <v>0</v>
      </c>
    </row>
    <row r="148" spans="1:58">
      <c r="A148" s="151">
        <f t="shared" ca="1" si="32"/>
        <v>3</v>
      </c>
      <c r="C148" s="178">
        <f t="shared" si="33"/>
        <v>124</v>
      </c>
      <c r="D148" s="178">
        <f t="shared" si="38"/>
        <v>5793.3842765665622</v>
      </c>
      <c r="E148" s="178">
        <f t="shared" si="53"/>
        <v>3821.9217784113107</v>
      </c>
      <c r="F148" s="178">
        <f t="shared" si="47"/>
        <v>9615.3060549778729</v>
      </c>
      <c r="G148" s="178">
        <f>IF(L147&lt;0.01,0,IF(Adm!$S$3=Adm!$S$13,Cal!$E$94,IF(Adm!$R$3=Adm!$R$6,0,IF(Cal!$E$91=0,L147*Adm!$Y$3,L147*Adm!$X$3))))</f>
        <v>314.67224070614168</v>
      </c>
      <c r="H148" s="178">
        <f>IF(L147&lt;0.01,0,IF(Adm!$R$4=Adm!$R$6,0,IF(Adm!$B$3=Adm!$B$12,0,Cal!$E$89*Adm!$AA$3/1.16)))</f>
        <v>494.46758620689661</v>
      </c>
      <c r="I148" s="178">
        <f>IF(L147&lt;0.01,0,Adm!$O$3)</f>
        <v>250</v>
      </c>
      <c r="J148" s="178">
        <f t="shared" si="34"/>
        <v>10674.445881890912</v>
      </c>
      <c r="K148" s="178">
        <f>IF(Adm!$F$3="si",MIN(L147+D148+G148+H148+I148-J148,Y148),0)</f>
        <v>0</v>
      </c>
      <c r="L148" s="178">
        <f t="shared" si="39"/>
        <v>727973.98684052296</v>
      </c>
      <c r="M148" s="348"/>
      <c r="N148" s="348"/>
      <c r="O148" s="348">
        <f t="shared" si="40"/>
        <v>10674.445881890912</v>
      </c>
      <c r="U148" s="571">
        <f t="shared" si="41"/>
        <v>4</v>
      </c>
      <c r="V148" s="293">
        <f>IF(U148=1,Adm!$AN$2,0)</f>
        <v>0</v>
      </c>
      <c r="X148" s="341">
        <f t="shared" si="48"/>
        <v>0</v>
      </c>
      <c r="Y148" s="345">
        <f t="shared" ca="1" si="42"/>
        <v>0</v>
      </c>
      <c r="AD148" s="172"/>
      <c r="AG148" s="151">
        <f t="shared" ca="1" si="35"/>
        <v>3</v>
      </c>
      <c r="AI148" s="178">
        <f t="shared" si="36"/>
        <v>0</v>
      </c>
      <c r="AJ148" s="178">
        <f t="shared" si="43"/>
        <v>0</v>
      </c>
      <c r="AK148" s="178">
        <f t="shared" si="54"/>
        <v>0</v>
      </c>
      <c r="AL148" s="178">
        <f t="shared" si="55"/>
        <v>0</v>
      </c>
      <c r="AM148" s="351">
        <f>IF(AS147&lt;0.01,0,IF(Resol!$G$19&gt;0,Resol!$G$19,IF(Resol!$F$19=Resol!$U$5,0,IF($AS$10=0,AS147*Adm!$Y$3,AS147*Adm!$X$3))))</f>
        <v>0</v>
      </c>
      <c r="AN148" s="351">
        <f>IF(AS147&lt;0.01,0,IF(Resol!$F$20=Resol!$V$3,0,IF(OR(Resol!$F$10=Resol!$T$16,Resol!$F$10=Resol!$T$17),0,IF(Resol!$F$10=Resol!$T$13,0,$AL$5*Adm!$AA$4/1.16))))</f>
        <v>0</v>
      </c>
      <c r="AO148" s="178">
        <f t="shared" si="49"/>
        <v>0</v>
      </c>
      <c r="AP148" s="178"/>
      <c r="AQ148" s="178">
        <f t="shared" si="37"/>
        <v>0</v>
      </c>
      <c r="AR148" s="178">
        <f t="shared" si="44"/>
        <v>0</v>
      </c>
      <c r="AS148" s="178">
        <f t="shared" si="51"/>
        <v>0</v>
      </c>
      <c r="AT148" s="348"/>
      <c r="AU148" s="348"/>
      <c r="AV148" s="176">
        <f t="shared" si="52"/>
        <v>0</v>
      </c>
      <c r="BB148" s="571">
        <f t="shared" si="45"/>
        <v>4</v>
      </c>
      <c r="BC148" s="293">
        <f>IF(BB148=1,Adm!$AN$2,0)</f>
        <v>0</v>
      </c>
      <c r="BE148" s="341">
        <f t="shared" si="50"/>
        <v>0</v>
      </c>
      <c r="BF148" s="345">
        <f t="shared" ca="1" si="46"/>
        <v>0</v>
      </c>
    </row>
    <row r="149" spans="1:58">
      <c r="A149" s="151">
        <f t="shared" ca="1" si="32"/>
        <v>4</v>
      </c>
      <c r="C149" s="178">
        <f t="shared" si="33"/>
        <v>125</v>
      </c>
      <c r="D149" s="178">
        <f t="shared" si="38"/>
        <v>5763.1273958208067</v>
      </c>
      <c r="E149" s="178">
        <f t="shared" si="53"/>
        <v>3852.1786591570662</v>
      </c>
      <c r="F149" s="178">
        <f t="shared" si="47"/>
        <v>9615.3060549778729</v>
      </c>
      <c r="G149" s="178">
        <f>IF(L148&lt;0.01,0,IF(Adm!$S$3=Adm!$S$13,Cal!$E$94,IF(Adm!$R$3=Adm!$R$6,0,IF(Cal!$E$91=0,L148*Adm!$Y$3,L148*Adm!$X$3))))</f>
        <v>313.02881434142489</v>
      </c>
      <c r="H149" s="178">
        <f>IF(L148&lt;0.01,0,IF(Adm!$R$4=Adm!$R$6,0,IF(Adm!$B$3=Adm!$B$12,0,Cal!$E$89*Adm!$AA$3/1.16)))</f>
        <v>494.46758620689661</v>
      </c>
      <c r="I149" s="178">
        <f>IF(L148&lt;0.01,0,Adm!$O$3)</f>
        <v>250</v>
      </c>
      <c r="J149" s="178">
        <f t="shared" si="34"/>
        <v>10672.802455526195</v>
      </c>
      <c r="K149" s="178">
        <f>IF(Adm!$F$3="si",MIN(L148+D149+G149+H149+I149-J149,Y149),0)</f>
        <v>0</v>
      </c>
      <c r="L149" s="178">
        <f t="shared" si="39"/>
        <v>724121.80818136595</v>
      </c>
      <c r="M149" s="348"/>
      <c r="N149" s="348"/>
      <c r="O149" s="348">
        <f t="shared" si="40"/>
        <v>10672.802455526195</v>
      </c>
      <c r="U149" s="571">
        <f t="shared" si="41"/>
        <v>5</v>
      </c>
      <c r="V149" s="293">
        <f>IF(U149=1,Adm!$AN$2,0)</f>
        <v>0</v>
      </c>
      <c r="X149" s="341">
        <f t="shared" si="48"/>
        <v>0</v>
      </c>
      <c r="Y149" s="345">
        <f t="shared" ca="1" si="42"/>
        <v>0</v>
      </c>
      <c r="AD149" s="172"/>
      <c r="AG149" s="151">
        <f t="shared" ca="1" si="35"/>
        <v>4</v>
      </c>
      <c r="AI149" s="178">
        <f t="shared" si="36"/>
        <v>0</v>
      </c>
      <c r="AJ149" s="178">
        <f t="shared" si="43"/>
        <v>0</v>
      </c>
      <c r="AK149" s="178">
        <f t="shared" si="54"/>
        <v>0</v>
      </c>
      <c r="AL149" s="178">
        <f t="shared" si="55"/>
        <v>0</v>
      </c>
      <c r="AM149" s="351">
        <f>IF(AS148&lt;0.01,0,IF(Resol!$G$19&gt;0,Resol!$G$19,IF(Resol!$F$19=Resol!$U$5,0,IF($AS$10=0,AS148*Adm!$Y$3,AS148*Adm!$X$3))))</f>
        <v>0</v>
      </c>
      <c r="AN149" s="351">
        <f>IF(AS148&lt;0.01,0,IF(Resol!$F$20=Resol!$V$3,0,IF(OR(Resol!$F$10=Resol!$T$16,Resol!$F$10=Resol!$T$17),0,IF(Resol!$F$10=Resol!$T$13,0,$AL$5*Adm!$AA$4/1.16))))</f>
        <v>0</v>
      </c>
      <c r="AO149" s="178">
        <f t="shared" si="49"/>
        <v>0</v>
      </c>
      <c r="AP149" s="178"/>
      <c r="AQ149" s="178">
        <f t="shared" si="37"/>
        <v>0</v>
      </c>
      <c r="AR149" s="178">
        <f t="shared" si="44"/>
        <v>0</v>
      </c>
      <c r="AS149" s="178">
        <f t="shared" si="51"/>
        <v>0</v>
      </c>
      <c r="AT149" s="348"/>
      <c r="AU149" s="348"/>
      <c r="AV149" s="176">
        <f t="shared" si="52"/>
        <v>0</v>
      </c>
      <c r="BB149" s="571">
        <f t="shared" si="45"/>
        <v>5</v>
      </c>
      <c r="BC149" s="293">
        <f>IF(BB149=1,Adm!$AN$2,0)</f>
        <v>0</v>
      </c>
      <c r="BE149" s="341">
        <f t="shared" si="50"/>
        <v>0</v>
      </c>
      <c r="BF149" s="345">
        <f t="shared" ca="1" si="46"/>
        <v>0</v>
      </c>
    </row>
    <row r="150" spans="1:58">
      <c r="A150" s="151">
        <f t="shared" ca="1" si="32"/>
        <v>5</v>
      </c>
      <c r="C150" s="178">
        <f t="shared" si="33"/>
        <v>126</v>
      </c>
      <c r="D150" s="178">
        <f t="shared" si="38"/>
        <v>5732.6309814358137</v>
      </c>
      <c r="E150" s="178">
        <f t="shared" si="53"/>
        <v>3882.6750735420592</v>
      </c>
      <c r="F150" s="178">
        <f t="shared" si="47"/>
        <v>9615.3060549778729</v>
      </c>
      <c r="G150" s="178">
        <f>IF(L149&lt;0.01,0,IF(Adm!$S$3=Adm!$S$13,Cal!$E$94,IF(Adm!$R$3=Adm!$R$6,0,IF(Cal!$E$91=0,L149*Adm!$Y$3,L149*Adm!$X$3))))</f>
        <v>311.37237751798733</v>
      </c>
      <c r="H150" s="178">
        <f>IF(L149&lt;0.01,0,IF(Adm!$R$4=Adm!$R$6,0,IF(Adm!$B$3=Adm!$B$12,0,Cal!$E$89*Adm!$AA$3/1.16)))</f>
        <v>494.46758620689661</v>
      </c>
      <c r="I150" s="178">
        <f>IF(L149&lt;0.01,0,Adm!$O$3)</f>
        <v>250</v>
      </c>
      <c r="J150" s="178">
        <f t="shared" si="34"/>
        <v>10671.146018702757</v>
      </c>
      <c r="K150" s="178">
        <f>IF(Adm!$F$3="si",MIN(L149+D150+G150+H150+I150-J150,Y150),0)</f>
        <v>0</v>
      </c>
      <c r="L150" s="178">
        <f t="shared" si="39"/>
        <v>720239.1331078239</v>
      </c>
      <c r="M150" s="348"/>
      <c r="N150" s="348"/>
      <c r="O150" s="348">
        <f t="shared" si="40"/>
        <v>10671.146018702757</v>
      </c>
      <c r="U150" s="571">
        <f t="shared" si="41"/>
        <v>6</v>
      </c>
      <c r="V150" s="293">
        <f>IF(U150=1,Adm!$AN$2,0)</f>
        <v>0</v>
      </c>
      <c r="X150" s="341">
        <f t="shared" si="48"/>
        <v>0</v>
      </c>
      <c r="Y150" s="345">
        <f t="shared" ca="1" si="42"/>
        <v>0</v>
      </c>
      <c r="AD150" s="172"/>
      <c r="AG150" s="151">
        <f t="shared" ca="1" si="35"/>
        <v>5</v>
      </c>
      <c r="AI150" s="178">
        <f t="shared" si="36"/>
        <v>0</v>
      </c>
      <c r="AJ150" s="178">
        <f t="shared" si="43"/>
        <v>0</v>
      </c>
      <c r="AK150" s="178">
        <f t="shared" si="54"/>
        <v>0</v>
      </c>
      <c r="AL150" s="178">
        <f t="shared" si="55"/>
        <v>0</v>
      </c>
      <c r="AM150" s="351">
        <f>IF(AS149&lt;0.01,0,IF(Resol!$G$19&gt;0,Resol!$G$19,IF(Resol!$F$19=Resol!$U$5,0,IF($AS$10=0,AS149*Adm!$Y$3,AS149*Adm!$X$3))))</f>
        <v>0</v>
      </c>
      <c r="AN150" s="351">
        <f>IF(AS149&lt;0.01,0,IF(Resol!$F$20=Resol!$V$3,0,IF(OR(Resol!$F$10=Resol!$T$16,Resol!$F$10=Resol!$T$17),0,IF(Resol!$F$10=Resol!$T$13,0,$AL$5*Adm!$AA$4/1.16))))</f>
        <v>0</v>
      </c>
      <c r="AO150" s="178">
        <f t="shared" si="49"/>
        <v>0</v>
      </c>
      <c r="AP150" s="178"/>
      <c r="AQ150" s="178">
        <f t="shared" si="37"/>
        <v>0</v>
      </c>
      <c r="AR150" s="178">
        <f t="shared" si="44"/>
        <v>0</v>
      </c>
      <c r="AS150" s="178">
        <f t="shared" si="51"/>
        <v>0</v>
      </c>
      <c r="AT150" s="348"/>
      <c r="AU150" s="348"/>
      <c r="AV150" s="176">
        <f t="shared" si="52"/>
        <v>0</v>
      </c>
      <c r="BB150" s="571">
        <f t="shared" si="45"/>
        <v>6</v>
      </c>
      <c r="BC150" s="293">
        <f>IF(BB150=1,Adm!$AN$2,0)</f>
        <v>0</v>
      </c>
      <c r="BE150" s="341">
        <f t="shared" si="50"/>
        <v>0</v>
      </c>
      <c r="BF150" s="345">
        <f t="shared" ca="1" si="46"/>
        <v>0</v>
      </c>
    </row>
    <row r="151" spans="1:58">
      <c r="A151" s="151">
        <f t="shared" ca="1" si="32"/>
        <v>6</v>
      </c>
      <c r="C151" s="178">
        <f t="shared" si="33"/>
        <v>127</v>
      </c>
      <c r="D151" s="178">
        <f t="shared" si="38"/>
        <v>5701.893137103606</v>
      </c>
      <c r="E151" s="178">
        <f t="shared" si="53"/>
        <v>3913.4129178742669</v>
      </c>
      <c r="F151" s="178">
        <f t="shared" si="47"/>
        <v>9615.3060549778729</v>
      </c>
      <c r="G151" s="178">
        <f>IF(L150&lt;0.01,0,IF(Adm!$S$3=Adm!$S$13,Cal!$E$94,IF(Adm!$R$3=Adm!$R$6,0,IF(Cal!$E$91=0,L150*Adm!$Y$3,L150*Adm!$X$3))))</f>
        <v>309.70282723636427</v>
      </c>
      <c r="H151" s="178">
        <f>IF(L150&lt;0.01,0,IF(Adm!$R$4=Adm!$R$6,0,IF(Adm!$B$3=Adm!$B$12,0,Cal!$E$89*Adm!$AA$3/1.16)))</f>
        <v>494.46758620689661</v>
      </c>
      <c r="I151" s="178">
        <f>IF(L150&lt;0.01,0,Adm!$O$3)</f>
        <v>250</v>
      </c>
      <c r="J151" s="178">
        <f t="shared" si="34"/>
        <v>10669.476468421133</v>
      </c>
      <c r="K151" s="178">
        <f>IF(Adm!$F$3="si",MIN(L150+D151+G151+H151+I151-J151,Y151),0)</f>
        <v>0</v>
      </c>
      <c r="L151" s="178">
        <f t="shared" si="39"/>
        <v>716325.72018994961</v>
      </c>
      <c r="M151" s="348"/>
      <c r="N151" s="348"/>
      <c r="O151" s="348">
        <f t="shared" si="40"/>
        <v>10669.476468421133</v>
      </c>
      <c r="U151" s="571">
        <f t="shared" si="41"/>
        <v>7</v>
      </c>
      <c r="V151" s="293">
        <f>IF(U151=1,Adm!$AN$2,0)</f>
        <v>0</v>
      </c>
      <c r="X151" s="341">
        <f t="shared" si="48"/>
        <v>0</v>
      </c>
      <c r="Y151" s="345">
        <f t="shared" ca="1" si="42"/>
        <v>0</v>
      </c>
      <c r="AD151" s="172"/>
      <c r="AG151" s="151">
        <f t="shared" ca="1" si="35"/>
        <v>6</v>
      </c>
      <c r="AI151" s="178">
        <f t="shared" si="36"/>
        <v>0</v>
      </c>
      <c r="AJ151" s="178">
        <f t="shared" si="43"/>
        <v>0</v>
      </c>
      <c r="AK151" s="178">
        <f t="shared" si="54"/>
        <v>0</v>
      </c>
      <c r="AL151" s="178">
        <f t="shared" si="55"/>
        <v>0</v>
      </c>
      <c r="AM151" s="351">
        <f>IF(AS150&lt;0.01,0,IF(Resol!$G$19&gt;0,Resol!$G$19,IF(Resol!$F$19=Resol!$U$5,0,IF($AS$10=0,AS150*Adm!$Y$3,AS150*Adm!$X$3))))</f>
        <v>0</v>
      </c>
      <c r="AN151" s="351">
        <f>IF(AS150&lt;0.01,0,IF(Resol!$F$20=Resol!$V$3,0,IF(OR(Resol!$F$10=Resol!$T$16,Resol!$F$10=Resol!$T$17),0,IF(Resol!$F$10=Resol!$T$13,0,$AL$5*Adm!$AA$4/1.16))))</f>
        <v>0</v>
      </c>
      <c r="AO151" s="178">
        <f t="shared" si="49"/>
        <v>0</v>
      </c>
      <c r="AP151" s="178"/>
      <c r="AQ151" s="178">
        <f t="shared" si="37"/>
        <v>0</v>
      </c>
      <c r="AR151" s="178">
        <f t="shared" si="44"/>
        <v>0</v>
      </c>
      <c r="AS151" s="178">
        <f t="shared" si="51"/>
        <v>0</v>
      </c>
      <c r="AT151" s="348"/>
      <c r="AU151" s="348"/>
      <c r="AV151" s="176">
        <f t="shared" si="52"/>
        <v>0</v>
      </c>
      <c r="BB151" s="571">
        <f t="shared" si="45"/>
        <v>7</v>
      </c>
      <c r="BC151" s="293">
        <f>IF(BB151=1,Adm!$AN$2,0)</f>
        <v>0</v>
      </c>
      <c r="BE151" s="341">
        <f t="shared" si="50"/>
        <v>0</v>
      </c>
      <c r="BF151" s="345">
        <f t="shared" ca="1" si="46"/>
        <v>0</v>
      </c>
    </row>
    <row r="152" spans="1:58">
      <c r="A152" s="151">
        <f t="shared" ca="1" si="32"/>
        <v>7</v>
      </c>
      <c r="C152" s="178">
        <f t="shared" si="33"/>
        <v>128</v>
      </c>
      <c r="D152" s="178">
        <f t="shared" si="38"/>
        <v>5670.9119515037673</v>
      </c>
      <c r="E152" s="178">
        <f t="shared" si="53"/>
        <v>3944.3941034741056</v>
      </c>
      <c r="F152" s="178">
        <f t="shared" si="47"/>
        <v>9615.3060549778729</v>
      </c>
      <c r="G152" s="178">
        <f>IF(L151&lt;0.01,0,IF(Adm!$S$3=Adm!$S$13,Cal!$E$94,IF(Adm!$R$3=Adm!$R$6,0,IF(Cal!$E$91=0,L151*Adm!$Y$3,L151*Adm!$X$3))))</f>
        <v>308.02005968167833</v>
      </c>
      <c r="H152" s="178">
        <f>IF(L151&lt;0.01,0,IF(Adm!$R$4=Adm!$R$6,0,IF(Adm!$B$3=Adm!$B$12,0,Cal!$E$89*Adm!$AA$3/1.16)))</f>
        <v>494.46758620689661</v>
      </c>
      <c r="I152" s="178">
        <f>IF(L151&lt;0.01,0,Adm!$O$3)</f>
        <v>250</v>
      </c>
      <c r="J152" s="178">
        <f t="shared" si="34"/>
        <v>10667.793700866447</v>
      </c>
      <c r="K152" s="178">
        <f>IF(Adm!$F$3="si",MIN(L151+D152+G152+H152+I152-J152,Y152),0)</f>
        <v>0</v>
      </c>
      <c r="L152" s="178">
        <f t="shared" si="39"/>
        <v>712381.32608647551</v>
      </c>
      <c r="M152" s="348"/>
      <c r="N152" s="348"/>
      <c r="O152" s="348">
        <f t="shared" si="40"/>
        <v>10667.793700866447</v>
      </c>
      <c r="U152" s="571">
        <f t="shared" si="41"/>
        <v>8</v>
      </c>
      <c r="V152" s="293">
        <f>IF(U152=1,Adm!$AN$2,0)</f>
        <v>0</v>
      </c>
      <c r="X152" s="341">
        <f t="shared" si="48"/>
        <v>0</v>
      </c>
      <c r="Y152" s="345">
        <f t="shared" ca="1" si="42"/>
        <v>0</v>
      </c>
      <c r="AD152" s="172"/>
      <c r="AG152" s="151">
        <f t="shared" ca="1" si="35"/>
        <v>7</v>
      </c>
      <c r="AI152" s="178">
        <f t="shared" si="36"/>
        <v>0</v>
      </c>
      <c r="AJ152" s="178">
        <f t="shared" si="43"/>
        <v>0</v>
      </c>
      <c r="AK152" s="178">
        <f t="shared" si="54"/>
        <v>0</v>
      </c>
      <c r="AL152" s="178">
        <f t="shared" si="55"/>
        <v>0</v>
      </c>
      <c r="AM152" s="351">
        <f>IF(AS151&lt;0.01,0,IF(Resol!$G$19&gt;0,Resol!$G$19,IF(Resol!$F$19=Resol!$U$5,0,IF($AS$10=0,AS151*Adm!$Y$3,AS151*Adm!$X$3))))</f>
        <v>0</v>
      </c>
      <c r="AN152" s="351">
        <f>IF(AS151&lt;0.01,0,IF(Resol!$F$20=Resol!$V$3,0,IF(OR(Resol!$F$10=Resol!$T$16,Resol!$F$10=Resol!$T$17),0,IF(Resol!$F$10=Resol!$T$13,0,$AL$5*Adm!$AA$4/1.16))))</f>
        <v>0</v>
      </c>
      <c r="AO152" s="178">
        <f t="shared" si="49"/>
        <v>0</v>
      </c>
      <c r="AP152" s="178"/>
      <c r="AQ152" s="178">
        <f t="shared" si="37"/>
        <v>0</v>
      </c>
      <c r="AR152" s="178">
        <f t="shared" si="44"/>
        <v>0</v>
      </c>
      <c r="AS152" s="178">
        <f t="shared" si="51"/>
        <v>0</v>
      </c>
      <c r="AT152" s="348"/>
      <c r="AU152" s="348"/>
      <c r="AV152" s="176">
        <f t="shared" si="52"/>
        <v>0</v>
      </c>
      <c r="BB152" s="571">
        <f t="shared" si="45"/>
        <v>8</v>
      </c>
      <c r="BC152" s="293">
        <f>IF(BB152=1,Adm!$AN$2,0)</f>
        <v>0</v>
      </c>
      <c r="BE152" s="341">
        <f t="shared" si="50"/>
        <v>0</v>
      </c>
      <c r="BF152" s="345">
        <f t="shared" ca="1" si="46"/>
        <v>0</v>
      </c>
    </row>
    <row r="153" spans="1:58">
      <c r="A153" s="151">
        <f t="shared" ref="A153:A216" ca="1" si="56">IF(A152=12,1,A152+1)</f>
        <v>8</v>
      </c>
      <c r="C153" s="178">
        <f t="shared" ref="C153:C216" si="57">IF(L152&lt;0.01,0,C152+1)</f>
        <v>129</v>
      </c>
      <c r="D153" s="178">
        <f t="shared" si="38"/>
        <v>5639.6854981845981</v>
      </c>
      <c r="E153" s="178">
        <f t="shared" si="53"/>
        <v>3975.6205567932748</v>
      </c>
      <c r="F153" s="178">
        <f t="shared" si="47"/>
        <v>9615.3060549778729</v>
      </c>
      <c r="G153" s="178">
        <f>IF(L152&lt;0.01,0,IF(Adm!$S$3=Adm!$S$13,Cal!$E$94,IF(Adm!$R$3=Adm!$R$6,0,IF(Cal!$E$91=0,L152*Adm!$Y$3,L152*Adm!$X$3))))</f>
        <v>306.32397021718447</v>
      </c>
      <c r="H153" s="178">
        <f>IF(L152&lt;0.01,0,IF(Adm!$R$4=Adm!$R$6,0,IF(Adm!$B$3=Adm!$B$12,0,Cal!$E$89*Adm!$AA$3/1.16)))</f>
        <v>494.46758620689661</v>
      </c>
      <c r="I153" s="178">
        <f>IF(L152&lt;0.01,0,Adm!$O$3)</f>
        <v>250</v>
      </c>
      <c r="J153" s="178">
        <f t="shared" ref="J153:J216" si="58">IF(L152&lt;0.01,0,F153+G153+H153+I153)</f>
        <v>10666.097611401954</v>
      </c>
      <c r="K153" s="178">
        <f>IF(Adm!$F$3="si",MIN(L152+D153+G153+H153+I153-J153,Y153),0)</f>
        <v>0</v>
      </c>
      <c r="L153" s="178">
        <f t="shared" si="39"/>
        <v>708405.70552968222</v>
      </c>
      <c r="M153" s="348"/>
      <c r="N153" s="348"/>
      <c r="O153" s="348">
        <f t="shared" si="40"/>
        <v>10666.097611401954</v>
      </c>
      <c r="U153" s="571">
        <f t="shared" si="41"/>
        <v>9</v>
      </c>
      <c r="V153" s="293">
        <f>IF(U153=1,Adm!$AN$2,0)</f>
        <v>0</v>
      </c>
      <c r="X153" s="341">
        <f t="shared" si="48"/>
        <v>0</v>
      </c>
      <c r="Y153" s="345">
        <f t="shared" ca="1" si="42"/>
        <v>0</v>
      </c>
      <c r="AD153" s="172"/>
      <c r="AG153" s="151">
        <f t="shared" ref="AG153:AG216" ca="1" si="59">IF(AG152=12,1,AG152+1)</f>
        <v>8</v>
      </c>
      <c r="AI153" s="178">
        <f t="shared" ref="AI153:AI216" si="60">IF(AS152&lt;0.01,0,AI152+1)</f>
        <v>0</v>
      </c>
      <c r="AJ153" s="178">
        <f t="shared" si="43"/>
        <v>0</v>
      </c>
      <c r="AK153" s="178">
        <f t="shared" si="54"/>
        <v>0</v>
      </c>
      <c r="AL153" s="178">
        <f t="shared" si="55"/>
        <v>0</v>
      </c>
      <c r="AM153" s="351">
        <f>IF(AS152&lt;0.01,0,IF(Resol!$G$19&gt;0,Resol!$G$19,IF(Resol!$F$19=Resol!$U$5,0,IF($AS$10=0,AS152*Adm!$Y$3,AS152*Adm!$X$3))))</f>
        <v>0</v>
      </c>
      <c r="AN153" s="351">
        <f>IF(AS152&lt;0.01,0,IF(Resol!$F$20=Resol!$V$3,0,IF(OR(Resol!$F$10=Resol!$T$16,Resol!$F$10=Resol!$T$17),0,IF(Resol!$F$10=Resol!$T$13,0,$AL$5*Adm!$AA$4/1.16))))</f>
        <v>0</v>
      </c>
      <c r="AO153" s="178">
        <f t="shared" si="49"/>
        <v>0</v>
      </c>
      <c r="AP153" s="178"/>
      <c r="AQ153" s="178">
        <f t="shared" ref="AQ153:AQ216" si="61">IF(AS152&lt;0.01,0,AL153+AM153+AN153+AO153)</f>
        <v>0</v>
      </c>
      <c r="AR153" s="178">
        <f t="shared" si="44"/>
        <v>0</v>
      </c>
      <c r="AS153" s="178">
        <f t="shared" si="51"/>
        <v>0</v>
      </c>
      <c r="AT153" s="348"/>
      <c r="AU153" s="348"/>
      <c r="AV153" s="176">
        <f t="shared" si="52"/>
        <v>0</v>
      </c>
      <c r="BB153" s="571">
        <f t="shared" si="45"/>
        <v>9</v>
      </c>
      <c r="BC153" s="293">
        <f>IF(BB153=1,Adm!$AN$2,0)</f>
        <v>0</v>
      </c>
      <c r="BE153" s="341">
        <f t="shared" si="50"/>
        <v>0</v>
      </c>
      <c r="BF153" s="345">
        <f t="shared" ca="1" si="46"/>
        <v>0</v>
      </c>
    </row>
    <row r="154" spans="1:58">
      <c r="A154" s="151">
        <f t="shared" ca="1" si="56"/>
        <v>9</v>
      </c>
      <c r="C154" s="178">
        <f t="shared" si="57"/>
        <v>130</v>
      </c>
      <c r="D154" s="178">
        <f t="shared" ref="D154:D217" si="62">IF(L153&lt;0.01,0,L153*$F$9/12)</f>
        <v>5608.2118354433178</v>
      </c>
      <c r="E154" s="178">
        <f t="shared" si="53"/>
        <v>4007.0942195345551</v>
      </c>
      <c r="F154" s="178">
        <f t="shared" si="47"/>
        <v>9615.3060549778729</v>
      </c>
      <c r="G154" s="178">
        <f>IF(L153&lt;0.01,0,IF(Adm!$S$3=Adm!$S$13,Cal!$E$94,IF(Adm!$R$3=Adm!$R$6,0,IF(Cal!$E$91=0,L153*Adm!$Y$3,L153*Adm!$X$3))))</f>
        <v>304.61445337776337</v>
      </c>
      <c r="H154" s="178">
        <f>IF(L153&lt;0.01,0,IF(Adm!$R$4=Adm!$R$6,0,IF(Adm!$B$3=Adm!$B$12,0,Cal!$E$89*Adm!$AA$3/1.16)))</f>
        <v>494.46758620689661</v>
      </c>
      <c r="I154" s="178">
        <f>IF(L153&lt;0.01,0,Adm!$O$3)</f>
        <v>250</v>
      </c>
      <c r="J154" s="178">
        <f t="shared" si="58"/>
        <v>10664.388094562533</v>
      </c>
      <c r="K154" s="178">
        <f>IF(Adm!$F$3="si",MIN(L153+D154+G154+H154+I154-J154,Y154),0)</f>
        <v>0</v>
      </c>
      <c r="L154" s="178">
        <f t="shared" ref="L154:L217" si="63">IF(L153&lt;0.01,0,L153-E154-K154)</f>
        <v>704398.61131014768</v>
      </c>
      <c r="M154" s="348"/>
      <c r="N154" s="348"/>
      <c r="O154" s="348">
        <f t="shared" ref="O154:O217" si="64">J154+K154</f>
        <v>10664.388094562533</v>
      </c>
      <c r="U154" s="571">
        <f t="shared" ref="U154:U217" si="65">IF(U153=12,1,U153+1)</f>
        <v>10</v>
      </c>
      <c r="V154" s="293">
        <f>IF(U154=1,Adm!$AN$2,0)</f>
        <v>0</v>
      </c>
      <c r="X154" s="341">
        <f t="shared" si="48"/>
        <v>0</v>
      </c>
      <c r="Y154" s="345">
        <f t="shared" ref="Y154:Y217" ca="1" si="66">IF(MOD(A154,2)=0,X154*0.05*2,0)</f>
        <v>0</v>
      </c>
      <c r="AD154" s="172"/>
      <c r="AG154" s="151">
        <f t="shared" ca="1" si="59"/>
        <v>9</v>
      </c>
      <c r="AI154" s="178">
        <f t="shared" si="60"/>
        <v>0</v>
      </c>
      <c r="AJ154" s="178">
        <f t="shared" ref="AJ154:AJ217" si="67">IF(AS153&lt;0.01,0,AS153*$AL$9/12)</f>
        <v>0</v>
      </c>
      <c r="AK154" s="178">
        <f t="shared" si="54"/>
        <v>0</v>
      </c>
      <c r="AL154" s="178">
        <f t="shared" si="55"/>
        <v>0</v>
      </c>
      <c r="AM154" s="351">
        <f>IF(AS153&lt;0.01,0,IF(Resol!$G$19&gt;0,Resol!$G$19,IF(Resol!$F$19=Resol!$U$5,0,IF($AS$10=0,AS153*Adm!$Y$3,AS153*Adm!$X$3))))</f>
        <v>0</v>
      </c>
      <c r="AN154" s="351">
        <f>IF(AS153&lt;0.01,0,IF(Resol!$F$20=Resol!$V$3,0,IF(OR(Resol!$F$10=Resol!$T$16,Resol!$F$10=Resol!$T$17),0,IF(Resol!$F$10=Resol!$T$13,0,$AL$5*Adm!$AA$4/1.16))))</f>
        <v>0</v>
      </c>
      <c r="AO154" s="178">
        <f t="shared" si="49"/>
        <v>0</v>
      </c>
      <c r="AP154" s="178"/>
      <c r="AQ154" s="178">
        <f t="shared" si="61"/>
        <v>0</v>
      </c>
      <c r="AR154" s="178">
        <f t="shared" ref="AR154:AR217" si="68">IF($AR$23&gt;"",MIN(AS153+AJ154+AM154+AN154+AO154-AQ154,BF154),0)</f>
        <v>0</v>
      </c>
      <c r="AS154" s="178">
        <f t="shared" si="51"/>
        <v>0</v>
      </c>
      <c r="AT154" s="348"/>
      <c r="AU154" s="348"/>
      <c r="AV154" s="176">
        <f t="shared" si="52"/>
        <v>0</v>
      </c>
      <c r="BB154" s="571">
        <f t="shared" ref="BB154:BB217" si="69">IF(BB153=12,1,BB153+1)</f>
        <v>10</v>
      </c>
      <c r="BC154" s="293">
        <f>IF(BB154=1,Adm!$AN$2,0)</f>
        <v>0</v>
      </c>
      <c r="BE154" s="341">
        <f t="shared" si="50"/>
        <v>0</v>
      </c>
      <c r="BF154" s="345">
        <f t="shared" ref="BF154:BF217" ca="1" si="70">IF(MOD(AG154,2)=0,BE154*0.05*2,0)</f>
        <v>0</v>
      </c>
    </row>
    <row r="155" spans="1:58">
      <c r="A155" s="151">
        <f t="shared" ca="1" si="56"/>
        <v>10</v>
      </c>
      <c r="C155" s="178">
        <f t="shared" si="57"/>
        <v>131</v>
      </c>
      <c r="D155" s="178">
        <f t="shared" si="62"/>
        <v>5576.4890062053355</v>
      </c>
      <c r="E155" s="178">
        <f t="shared" si="53"/>
        <v>4038.8170487725374</v>
      </c>
      <c r="F155" s="178">
        <f t="shared" ref="F155:F218" si="71">IF(L154&lt;0.1,0,MIN(L154+D155,F154*(1+V155)))</f>
        <v>9615.3060549778729</v>
      </c>
      <c r="G155" s="178">
        <f>IF(L154&lt;0.01,0,IF(Adm!$S$3=Adm!$S$13,Cal!$E$94,IF(Adm!$R$3=Adm!$R$6,0,IF(Cal!$E$91=0,L154*Adm!$Y$3,L154*Adm!$X$3))))</f>
        <v>302.89140286336351</v>
      </c>
      <c r="H155" s="178">
        <f>IF(L154&lt;0.01,0,IF(Adm!$R$4=Adm!$R$6,0,IF(Adm!$B$3=Adm!$B$12,0,Cal!$E$89*Adm!$AA$3/1.16)))</f>
        <v>494.46758620689661</v>
      </c>
      <c r="I155" s="178">
        <f>IF(L154&lt;0.01,0,Adm!$O$3)</f>
        <v>250</v>
      </c>
      <c r="J155" s="178">
        <f t="shared" si="58"/>
        <v>10662.665044048133</v>
      </c>
      <c r="K155" s="178">
        <f>IF(Adm!$F$3="si",MIN(L154+D155+G155+H155+I155-J155,Y155),0)</f>
        <v>0</v>
      </c>
      <c r="L155" s="178">
        <f t="shared" si="63"/>
        <v>700359.79426137509</v>
      </c>
      <c r="M155" s="348"/>
      <c r="N155" s="348"/>
      <c r="O155" s="348">
        <f t="shared" si="64"/>
        <v>10662.665044048133</v>
      </c>
      <c r="U155" s="571">
        <f t="shared" si="65"/>
        <v>11</v>
      </c>
      <c r="V155" s="293">
        <f>IF(U155=1,Adm!$AN$2,0)</f>
        <v>0</v>
      </c>
      <c r="X155" s="341">
        <f t="shared" ref="X155:X218" si="72">X154</f>
        <v>0</v>
      </c>
      <c r="Y155" s="345">
        <f t="shared" ca="1" si="66"/>
        <v>0</v>
      </c>
      <c r="AD155" s="172"/>
      <c r="AG155" s="151">
        <f t="shared" ca="1" si="59"/>
        <v>10</v>
      </c>
      <c r="AI155" s="178">
        <f t="shared" si="60"/>
        <v>0</v>
      </c>
      <c r="AJ155" s="178">
        <f t="shared" si="67"/>
        <v>0</v>
      </c>
      <c r="AK155" s="178">
        <f t="shared" si="54"/>
        <v>0</v>
      </c>
      <c r="AL155" s="178">
        <f t="shared" si="55"/>
        <v>0</v>
      </c>
      <c r="AM155" s="351">
        <f>IF(AS154&lt;0.01,0,IF(Resol!$G$19&gt;0,Resol!$G$19,IF(Resol!$F$19=Resol!$U$5,0,IF($AS$10=0,AS154*Adm!$Y$3,AS154*Adm!$X$3))))</f>
        <v>0</v>
      </c>
      <c r="AN155" s="351">
        <f>IF(AS154&lt;0.01,0,IF(Resol!$F$20=Resol!$V$3,0,IF(OR(Resol!$F$10=Resol!$T$16,Resol!$F$10=Resol!$T$17),0,IF(Resol!$F$10=Resol!$T$13,0,$AL$5*Adm!$AA$4/1.16))))</f>
        <v>0</v>
      </c>
      <c r="AO155" s="178">
        <f t="shared" ref="AO155:AO218" si="73">IF(AS154&lt;0.01,0,AO154)</f>
        <v>0</v>
      </c>
      <c r="AP155" s="178"/>
      <c r="AQ155" s="178">
        <f t="shared" si="61"/>
        <v>0</v>
      </c>
      <c r="AR155" s="178">
        <f t="shared" si="68"/>
        <v>0</v>
      </c>
      <c r="AS155" s="178">
        <f t="shared" si="51"/>
        <v>0</v>
      </c>
      <c r="AT155" s="348"/>
      <c r="AU155" s="348"/>
      <c r="AV155" s="176">
        <f t="shared" si="52"/>
        <v>0</v>
      </c>
      <c r="BB155" s="571">
        <f t="shared" si="69"/>
        <v>11</v>
      </c>
      <c r="BC155" s="293">
        <f>IF(BB155=1,Adm!$AN$2,0)</f>
        <v>0</v>
      </c>
      <c r="BE155" s="341">
        <f t="shared" ref="BE155:BE218" si="74">BE154</f>
        <v>0</v>
      </c>
      <c r="BF155" s="345">
        <f t="shared" ca="1" si="70"/>
        <v>0</v>
      </c>
    </row>
    <row r="156" spans="1:58">
      <c r="A156" s="151">
        <f t="shared" ca="1" si="56"/>
        <v>11</v>
      </c>
      <c r="C156" s="178">
        <f t="shared" si="57"/>
        <v>132</v>
      </c>
      <c r="D156" s="178">
        <f t="shared" si="62"/>
        <v>5544.5150379025536</v>
      </c>
      <c r="E156" s="178">
        <f t="shared" si="53"/>
        <v>4070.7910170753194</v>
      </c>
      <c r="F156" s="178">
        <f t="shared" si="71"/>
        <v>9615.3060549778729</v>
      </c>
      <c r="G156" s="178">
        <f>IF(L155&lt;0.01,0,IF(Adm!$S$3=Adm!$S$13,Cal!$E$94,IF(Adm!$R$3=Adm!$R$6,0,IF(Cal!$E$91=0,L155*Adm!$Y$3,L155*Adm!$X$3))))</f>
        <v>301.15471153239127</v>
      </c>
      <c r="H156" s="178">
        <f>IF(L155&lt;0.01,0,IF(Adm!$R$4=Adm!$R$6,0,IF(Adm!$B$3=Adm!$B$12,0,Cal!$E$89*Adm!$AA$3/1.16)))</f>
        <v>494.46758620689661</v>
      </c>
      <c r="I156" s="178">
        <f>IF(L155&lt;0.01,0,Adm!$O$3)</f>
        <v>250</v>
      </c>
      <c r="J156" s="178">
        <f t="shared" si="58"/>
        <v>10660.928352717161</v>
      </c>
      <c r="K156" s="178">
        <f>IF(Adm!$F$3="si",MIN(L155+D156+G156+H156+I156-J156,Y156),0)</f>
        <v>0</v>
      </c>
      <c r="L156" s="178">
        <f t="shared" si="63"/>
        <v>696289.00324429979</v>
      </c>
      <c r="M156" s="348"/>
      <c r="N156" s="348"/>
      <c r="O156" s="348">
        <f t="shared" si="64"/>
        <v>10660.928352717161</v>
      </c>
      <c r="U156" s="571">
        <f t="shared" si="65"/>
        <v>12</v>
      </c>
      <c r="V156" s="293">
        <f>IF(U156=1,Adm!$AN$2,0)</f>
        <v>0</v>
      </c>
      <c r="X156" s="341">
        <f t="shared" si="72"/>
        <v>0</v>
      </c>
      <c r="Y156" s="345">
        <f t="shared" ca="1" si="66"/>
        <v>0</v>
      </c>
      <c r="AD156" s="172"/>
      <c r="AG156" s="151">
        <f t="shared" ca="1" si="59"/>
        <v>11</v>
      </c>
      <c r="AI156" s="178">
        <f t="shared" si="60"/>
        <v>0</v>
      </c>
      <c r="AJ156" s="178">
        <f t="shared" si="67"/>
        <v>0</v>
      </c>
      <c r="AK156" s="178">
        <f t="shared" si="54"/>
        <v>0</v>
      </c>
      <c r="AL156" s="178">
        <f t="shared" si="55"/>
        <v>0</v>
      </c>
      <c r="AM156" s="351">
        <f>IF(AS155&lt;0.01,0,IF(Resol!$G$19&gt;0,Resol!$G$19,IF(Resol!$F$19=Resol!$U$5,0,IF($AS$10=0,AS155*Adm!$Y$3,AS155*Adm!$X$3))))</f>
        <v>0</v>
      </c>
      <c r="AN156" s="351">
        <f>IF(AS155&lt;0.01,0,IF(Resol!$F$20=Resol!$V$3,0,IF(OR(Resol!$F$10=Resol!$T$16,Resol!$F$10=Resol!$T$17),0,IF(Resol!$F$10=Resol!$T$13,0,$AL$5*Adm!$AA$4/1.16))))</f>
        <v>0</v>
      </c>
      <c r="AO156" s="178">
        <f t="shared" si="73"/>
        <v>0</v>
      </c>
      <c r="AP156" s="178"/>
      <c r="AQ156" s="178">
        <f t="shared" si="61"/>
        <v>0</v>
      </c>
      <c r="AR156" s="178">
        <f t="shared" si="68"/>
        <v>0</v>
      </c>
      <c r="AS156" s="178">
        <f t="shared" si="51"/>
        <v>0</v>
      </c>
      <c r="AT156" s="348"/>
      <c r="AU156" s="348"/>
      <c r="AV156" s="176">
        <f t="shared" si="52"/>
        <v>0</v>
      </c>
      <c r="BB156" s="571">
        <f t="shared" si="69"/>
        <v>12</v>
      </c>
      <c r="BC156" s="293">
        <f>IF(BB156=1,Adm!$AN$2,0)</f>
        <v>0</v>
      </c>
      <c r="BE156" s="341">
        <f t="shared" si="74"/>
        <v>0</v>
      </c>
      <c r="BF156" s="345">
        <f t="shared" ca="1" si="70"/>
        <v>0</v>
      </c>
    </row>
    <row r="157" spans="1:58">
      <c r="A157" s="151">
        <f t="shared" ca="1" si="56"/>
        <v>12</v>
      </c>
      <c r="C157" s="178">
        <f t="shared" si="57"/>
        <v>133</v>
      </c>
      <c r="D157" s="178">
        <f t="shared" si="62"/>
        <v>5512.2879423507065</v>
      </c>
      <c r="E157" s="178">
        <f t="shared" si="53"/>
        <v>4103.0181126271664</v>
      </c>
      <c r="F157" s="178">
        <f t="shared" si="71"/>
        <v>9615.3060549778729</v>
      </c>
      <c r="G157" s="178">
        <f>IF(L156&lt;0.01,0,IF(Adm!$S$3=Adm!$S$13,Cal!$E$94,IF(Adm!$R$3=Adm!$R$6,0,IF(Cal!$E$91=0,L156*Adm!$Y$3,L156*Adm!$X$3))))</f>
        <v>299.40427139504891</v>
      </c>
      <c r="H157" s="178">
        <f>IF(L156&lt;0.01,0,IF(Adm!$R$4=Adm!$R$6,0,IF(Adm!$B$3=Adm!$B$12,0,Cal!$E$89*Adm!$AA$3/1.16)))</f>
        <v>494.46758620689661</v>
      </c>
      <c r="I157" s="178">
        <f>IF(L156&lt;0.01,0,Adm!$O$3)</f>
        <v>250</v>
      </c>
      <c r="J157" s="178">
        <f t="shared" si="58"/>
        <v>10659.177912579818</v>
      </c>
      <c r="K157" s="178">
        <f>IF(Adm!$F$3="si",MIN(L156+D157+G157+H157+I157-J157,Y157),0)</f>
        <v>0</v>
      </c>
      <c r="L157" s="178">
        <f t="shared" si="63"/>
        <v>692185.98513167258</v>
      </c>
      <c r="M157" s="348"/>
      <c r="N157" s="348"/>
      <c r="O157" s="348">
        <f t="shared" si="64"/>
        <v>10659.177912579818</v>
      </c>
      <c r="U157" s="571">
        <f t="shared" si="65"/>
        <v>1</v>
      </c>
      <c r="V157" s="293">
        <f>IF(U157=1,Adm!$AN$2,0)</f>
        <v>0</v>
      </c>
      <c r="X157" s="341">
        <f t="shared" si="72"/>
        <v>0</v>
      </c>
      <c r="Y157" s="345">
        <f t="shared" ca="1" si="66"/>
        <v>0</v>
      </c>
      <c r="AD157" s="172"/>
      <c r="AG157" s="151">
        <f t="shared" ca="1" si="59"/>
        <v>12</v>
      </c>
      <c r="AI157" s="178">
        <f t="shared" si="60"/>
        <v>0</v>
      </c>
      <c r="AJ157" s="178">
        <f t="shared" si="67"/>
        <v>0</v>
      </c>
      <c r="AK157" s="178">
        <f t="shared" si="54"/>
        <v>0</v>
      </c>
      <c r="AL157" s="178">
        <f t="shared" si="55"/>
        <v>0</v>
      </c>
      <c r="AM157" s="351">
        <f>IF(AS156&lt;0.01,0,IF(Resol!$G$19&gt;0,Resol!$G$19,IF(Resol!$F$19=Resol!$U$5,0,IF($AS$10=0,AS156*Adm!$Y$3,AS156*Adm!$X$3))))</f>
        <v>0</v>
      </c>
      <c r="AN157" s="351">
        <f>IF(AS156&lt;0.01,0,IF(Resol!$F$20=Resol!$V$3,0,IF(OR(Resol!$F$10=Resol!$T$16,Resol!$F$10=Resol!$T$17),0,IF(Resol!$F$10=Resol!$T$13,0,$AL$5*Adm!$AA$4/1.16))))</f>
        <v>0</v>
      </c>
      <c r="AO157" s="178">
        <f t="shared" si="73"/>
        <v>0</v>
      </c>
      <c r="AP157" s="178"/>
      <c r="AQ157" s="178">
        <f t="shared" si="61"/>
        <v>0</v>
      </c>
      <c r="AR157" s="178">
        <f t="shared" si="68"/>
        <v>0</v>
      </c>
      <c r="AS157" s="178">
        <f t="shared" si="51"/>
        <v>0</v>
      </c>
      <c r="AT157" s="348"/>
      <c r="AU157" s="348"/>
      <c r="AV157" s="176">
        <f t="shared" si="52"/>
        <v>0</v>
      </c>
      <c r="BB157" s="571">
        <f t="shared" si="69"/>
        <v>1</v>
      </c>
      <c r="BC157" s="293">
        <f>IF(BB157=1,Adm!$AN$2,0)</f>
        <v>0</v>
      </c>
      <c r="BE157" s="341">
        <f t="shared" si="74"/>
        <v>0</v>
      </c>
      <c r="BF157" s="345">
        <f t="shared" ca="1" si="70"/>
        <v>0</v>
      </c>
    </row>
    <row r="158" spans="1:58">
      <c r="A158" s="151">
        <f t="shared" ca="1" si="56"/>
        <v>1</v>
      </c>
      <c r="C158" s="178">
        <f t="shared" si="57"/>
        <v>134</v>
      </c>
      <c r="D158" s="178">
        <f t="shared" si="62"/>
        <v>5479.8057156257419</v>
      </c>
      <c r="E158" s="178">
        <f t="shared" si="53"/>
        <v>4135.500339352131</v>
      </c>
      <c r="F158" s="178">
        <f t="shared" si="71"/>
        <v>9615.3060549778729</v>
      </c>
      <c r="G158" s="178">
        <f>IF(L157&lt;0.01,0,IF(Adm!$S$3=Adm!$S$13,Cal!$E$94,IF(Adm!$R$3=Adm!$R$6,0,IF(Cal!$E$91=0,L157*Adm!$Y$3,L157*Adm!$X$3))))</f>
        <v>297.63997360661921</v>
      </c>
      <c r="H158" s="178">
        <f>IF(L157&lt;0.01,0,IF(Adm!$R$4=Adm!$R$6,0,IF(Adm!$B$3=Adm!$B$12,0,Cal!$E$89*Adm!$AA$3/1.16)))</f>
        <v>494.46758620689661</v>
      </c>
      <c r="I158" s="178">
        <f>IF(L157&lt;0.01,0,Adm!$O$3)</f>
        <v>250</v>
      </c>
      <c r="J158" s="178">
        <f t="shared" si="58"/>
        <v>10657.413614791389</v>
      </c>
      <c r="K158" s="178">
        <f>IF(Adm!$F$3="si",MIN(L157+D158+G158+H158+I158-J158,Y158),0)</f>
        <v>0</v>
      </c>
      <c r="L158" s="178">
        <f t="shared" si="63"/>
        <v>688050.48479232041</v>
      </c>
      <c r="M158" s="348"/>
      <c r="N158" s="348"/>
      <c r="O158" s="348">
        <f t="shared" si="64"/>
        <v>10657.413614791389</v>
      </c>
      <c r="U158" s="571">
        <f t="shared" si="65"/>
        <v>2</v>
      </c>
      <c r="V158" s="293">
        <f>IF(U158=1,Adm!$AN$2,0)</f>
        <v>0</v>
      </c>
      <c r="X158" s="341">
        <f t="shared" si="72"/>
        <v>0</v>
      </c>
      <c r="Y158" s="345">
        <f t="shared" ca="1" si="66"/>
        <v>0</v>
      </c>
      <c r="AD158" s="172"/>
      <c r="AG158" s="151">
        <f t="shared" ca="1" si="59"/>
        <v>1</v>
      </c>
      <c r="AI158" s="178">
        <f t="shared" si="60"/>
        <v>0</v>
      </c>
      <c r="AJ158" s="178">
        <f t="shared" si="67"/>
        <v>0</v>
      </c>
      <c r="AK158" s="178">
        <f t="shared" si="54"/>
        <v>0</v>
      </c>
      <c r="AL158" s="178">
        <f t="shared" si="55"/>
        <v>0</v>
      </c>
      <c r="AM158" s="351">
        <f>IF(AS157&lt;0.01,0,IF(Resol!$G$19&gt;0,Resol!$G$19,IF(Resol!$F$19=Resol!$U$5,0,IF($AS$10=0,AS157*Adm!$Y$3,AS157*Adm!$X$3))))</f>
        <v>0</v>
      </c>
      <c r="AN158" s="351">
        <f>IF(AS157&lt;0.01,0,IF(Resol!$F$20=Resol!$V$3,0,IF(OR(Resol!$F$10=Resol!$T$16,Resol!$F$10=Resol!$T$17),0,IF(Resol!$F$10=Resol!$T$13,0,$AL$5*Adm!$AA$4/1.16))))</f>
        <v>0</v>
      </c>
      <c r="AO158" s="178">
        <f t="shared" si="73"/>
        <v>0</v>
      </c>
      <c r="AP158" s="178"/>
      <c r="AQ158" s="178">
        <f t="shared" si="61"/>
        <v>0</v>
      </c>
      <c r="AR158" s="178">
        <f t="shared" si="68"/>
        <v>0</v>
      </c>
      <c r="AS158" s="178">
        <f t="shared" si="51"/>
        <v>0</v>
      </c>
      <c r="AT158" s="348"/>
      <c r="AU158" s="348"/>
      <c r="AV158" s="176">
        <f t="shared" si="52"/>
        <v>0</v>
      </c>
      <c r="BB158" s="571">
        <f t="shared" si="69"/>
        <v>2</v>
      </c>
      <c r="BC158" s="293">
        <f>IF(BB158=1,Adm!$AN$2,0)</f>
        <v>0</v>
      </c>
      <c r="BE158" s="341">
        <f t="shared" si="74"/>
        <v>0</v>
      </c>
      <c r="BF158" s="345">
        <f t="shared" ca="1" si="70"/>
        <v>0</v>
      </c>
    </row>
    <row r="159" spans="1:58">
      <c r="A159" s="151">
        <f t="shared" ca="1" si="56"/>
        <v>2</v>
      </c>
      <c r="C159" s="178">
        <f t="shared" si="57"/>
        <v>135</v>
      </c>
      <c r="D159" s="178">
        <f t="shared" si="62"/>
        <v>5447.0663379392035</v>
      </c>
      <c r="E159" s="178">
        <f t="shared" si="53"/>
        <v>4168.2397170386694</v>
      </c>
      <c r="F159" s="178">
        <f t="shared" si="71"/>
        <v>9615.3060549778729</v>
      </c>
      <c r="G159" s="178">
        <f>IF(L158&lt;0.01,0,IF(Adm!$S$3=Adm!$S$13,Cal!$E$94,IF(Adm!$R$3=Adm!$R$6,0,IF(Cal!$E$91=0,L158*Adm!$Y$3,L158*Adm!$X$3))))</f>
        <v>295.86170846069774</v>
      </c>
      <c r="H159" s="178">
        <f>IF(L158&lt;0.01,0,IF(Adm!$R$4=Adm!$R$6,0,IF(Adm!$B$3=Adm!$B$12,0,Cal!$E$89*Adm!$AA$3/1.16)))</f>
        <v>494.46758620689661</v>
      </c>
      <c r="I159" s="178">
        <f>IF(L158&lt;0.01,0,Adm!$O$3)</f>
        <v>250</v>
      </c>
      <c r="J159" s="178">
        <f t="shared" si="58"/>
        <v>10655.635349645467</v>
      </c>
      <c r="K159" s="178">
        <f>IF(Adm!$F$3="si",MIN(L158+D159+G159+H159+I159-J159,Y159),0)</f>
        <v>0</v>
      </c>
      <c r="L159" s="178">
        <f t="shared" si="63"/>
        <v>683882.24507528171</v>
      </c>
      <c r="M159" s="348"/>
      <c r="N159" s="348"/>
      <c r="O159" s="348">
        <f t="shared" si="64"/>
        <v>10655.635349645467</v>
      </c>
      <c r="U159" s="571">
        <f t="shared" si="65"/>
        <v>3</v>
      </c>
      <c r="V159" s="293">
        <f>IF(U159=1,Adm!$AN$2,0)</f>
        <v>0</v>
      </c>
      <c r="X159" s="341">
        <f t="shared" si="72"/>
        <v>0</v>
      </c>
      <c r="Y159" s="345">
        <f t="shared" ca="1" si="66"/>
        <v>0</v>
      </c>
      <c r="AD159" s="172"/>
      <c r="AG159" s="151">
        <f t="shared" ca="1" si="59"/>
        <v>2</v>
      </c>
      <c r="AI159" s="178">
        <f t="shared" si="60"/>
        <v>0</v>
      </c>
      <c r="AJ159" s="178">
        <f t="shared" si="67"/>
        <v>0</v>
      </c>
      <c r="AK159" s="178">
        <f t="shared" si="54"/>
        <v>0</v>
      </c>
      <c r="AL159" s="178">
        <f t="shared" si="55"/>
        <v>0</v>
      </c>
      <c r="AM159" s="351">
        <f>IF(AS158&lt;0.01,0,IF(Resol!$G$19&gt;0,Resol!$G$19,IF(Resol!$F$19=Resol!$U$5,0,IF($AS$10=0,AS158*Adm!$Y$3,AS158*Adm!$X$3))))</f>
        <v>0</v>
      </c>
      <c r="AN159" s="351">
        <f>IF(AS158&lt;0.01,0,IF(Resol!$F$20=Resol!$V$3,0,IF(OR(Resol!$F$10=Resol!$T$16,Resol!$F$10=Resol!$T$17),0,IF(Resol!$F$10=Resol!$T$13,0,$AL$5*Adm!$AA$4/1.16))))</f>
        <v>0</v>
      </c>
      <c r="AO159" s="178">
        <f t="shared" si="73"/>
        <v>0</v>
      </c>
      <c r="AP159" s="178"/>
      <c r="AQ159" s="178">
        <f t="shared" si="61"/>
        <v>0</v>
      </c>
      <c r="AR159" s="178">
        <f t="shared" si="68"/>
        <v>0</v>
      </c>
      <c r="AS159" s="178">
        <f t="shared" si="51"/>
        <v>0</v>
      </c>
      <c r="AT159" s="348"/>
      <c r="AU159" s="348"/>
      <c r="AV159" s="176">
        <f t="shared" si="52"/>
        <v>0</v>
      </c>
      <c r="BB159" s="571">
        <f t="shared" si="69"/>
        <v>3</v>
      </c>
      <c r="BC159" s="293">
        <f>IF(BB159=1,Adm!$AN$2,0)</f>
        <v>0</v>
      </c>
      <c r="BE159" s="341">
        <f t="shared" si="74"/>
        <v>0</v>
      </c>
      <c r="BF159" s="345">
        <f t="shared" ca="1" si="70"/>
        <v>0</v>
      </c>
    </row>
    <row r="160" spans="1:58">
      <c r="A160" s="151">
        <f t="shared" ca="1" si="56"/>
        <v>3</v>
      </c>
      <c r="C160" s="178">
        <f t="shared" si="57"/>
        <v>136</v>
      </c>
      <c r="D160" s="178">
        <f t="shared" si="62"/>
        <v>5414.0677735126474</v>
      </c>
      <c r="E160" s="178">
        <f t="shared" si="53"/>
        <v>4201.2382814652256</v>
      </c>
      <c r="F160" s="178">
        <f t="shared" si="71"/>
        <v>9615.3060549778729</v>
      </c>
      <c r="G160" s="178">
        <f>IF(L159&lt;0.01,0,IF(Adm!$S$3=Adm!$S$13,Cal!$E$94,IF(Adm!$R$3=Adm!$R$6,0,IF(Cal!$E$91=0,L159*Adm!$Y$3,L159*Adm!$X$3))))</f>
        <v>294.06936538237113</v>
      </c>
      <c r="H160" s="178">
        <f>IF(L159&lt;0.01,0,IF(Adm!$R$4=Adm!$R$6,0,IF(Adm!$B$3=Adm!$B$12,0,Cal!$E$89*Adm!$AA$3/1.16)))</f>
        <v>494.46758620689661</v>
      </c>
      <c r="I160" s="178">
        <f>IF(L159&lt;0.01,0,Adm!$O$3)</f>
        <v>250</v>
      </c>
      <c r="J160" s="178">
        <f t="shared" si="58"/>
        <v>10653.84300656714</v>
      </c>
      <c r="K160" s="178">
        <f>IF(Adm!$F$3="si",MIN(L159+D160+G160+H160+I160-J160,Y160),0)</f>
        <v>0</v>
      </c>
      <c r="L160" s="178">
        <f t="shared" si="63"/>
        <v>679681.00679381646</v>
      </c>
      <c r="M160" s="348"/>
      <c r="N160" s="348"/>
      <c r="O160" s="348">
        <f t="shared" si="64"/>
        <v>10653.84300656714</v>
      </c>
      <c r="U160" s="571">
        <f t="shared" si="65"/>
        <v>4</v>
      </c>
      <c r="V160" s="293">
        <f>IF(U160=1,Adm!$AN$2,0)</f>
        <v>0</v>
      </c>
      <c r="X160" s="341">
        <f t="shared" si="72"/>
        <v>0</v>
      </c>
      <c r="Y160" s="345">
        <f t="shared" ca="1" si="66"/>
        <v>0</v>
      </c>
      <c r="AD160" s="172"/>
      <c r="AG160" s="151">
        <f t="shared" ca="1" si="59"/>
        <v>3</v>
      </c>
      <c r="AI160" s="178">
        <f t="shared" si="60"/>
        <v>0</v>
      </c>
      <c r="AJ160" s="178">
        <f t="shared" si="67"/>
        <v>0</v>
      </c>
      <c r="AK160" s="178">
        <f t="shared" si="54"/>
        <v>0</v>
      </c>
      <c r="AL160" s="178">
        <f t="shared" si="55"/>
        <v>0</v>
      </c>
      <c r="AM160" s="351">
        <f>IF(AS159&lt;0.01,0,IF(Resol!$G$19&gt;0,Resol!$G$19,IF(Resol!$F$19=Resol!$U$5,0,IF($AS$10=0,AS159*Adm!$Y$3,AS159*Adm!$X$3))))</f>
        <v>0</v>
      </c>
      <c r="AN160" s="351">
        <f>IF(AS159&lt;0.01,0,IF(Resol!$F$20=Resol!$V$3,0,IF(OR(Resol!$F$10=Resol!$T$16,Resol!$F$10=Resol!$T$17),0,IF(Resol!$F$10=Resol!$T$13,0,$AL$5*Adm!$AA$4/1.16))))</f>
        <v>0</v>
      </c>
      <c r="AO160" s="178">
        <f t="shared" si="73"/>
        <v>0</v>
      </c>
      <c r="AP160" s="178"/>
      <c r="AQ160" s="178">
        <f t="shared" si="61"/>
        <v>0</v>
      </c>
      <c r="AR160" s="178">
        <f t="shared" si="68"/>
        <v>0</v>
      </c>
      <c r="AS160" s="178">
        <f t="shared" si="51"/>
        <v>0</v>
      </c>
      <c r="AT160" s="348"/>
      <c r="AU160" s="348"/>
      <c r="AV160" s="176">
        <f t="shared" si="52"/>
        <v>0</v>
      </c>
      <c r="BB160" s="571">
        <f t="shared" si="69"/>
        <v>4</v>
      </c>
      <c r="BC160" s="293">
        <f>IF(BB160=1,Adm!$AN$2,0)</f>
        <v>0</v>
      </c>
      <c r="BE160" s="341">
        <f t="shared" si="74"/>
        <v>0</v>
      </c>
      <c r="BF160" s="345">
        <f t="shared" ca="1" si="70"/>
        <v>0</v>
      </c>
    </row>
    <row r="161" spans="1:58">
      <c r="A161" s="151">
        <f t="shared" ca="1" si="56"/>
        <v>4</v>
      </c>
      <c r="C161" s="178">
        <f t="shared" si="57"/>
        <v>137</v>
      </c>
      <c r="D161" s="178">
        <f t="shared" si="62"/>
        <v>5380.8079704510465</v>
      </c>
      <c r="E161" s="178">
        <f t="shared" si="53"/>
        <v>4234.4980845268265</v>
      </c>
      <c r="F161" s="178">
        <f t="shared" si="71"/>
        <v>9615.3060549778729</v>
      </c>
      <c r="G161" s="178">
        <f>IF(L160&lt;0.01,0,IF(Adm!$S$3=Adm!$S$13,Cal!$E$94,IF(Adm!$R$3=Adm!$R$6,0,IF(Cal!$E$91=0,L160*Adm!$Y$3,L160*Adm!$X$3))))</f>
        <v>292.26283292134104</v>
      </c>
      <c r="H161" s="178">
        <f>IF(L160&lt;0.01,0,IF(Adm!$R$4=Adm!$R$6,0,IF(Adm!$B$3=Adm!$B$12,0,Cal!$E$89*Adm!$AA$3/1.16)))</f>
        <v>494.46758620689661</v>
      </c>
      <c r="I161" s="178">
        <f>IF(L160&lt;0.01,0,Adm!$O$3)</f>
        <v>250</v>
      </c>
      <c r="J161" s="178">
        <f t="shared" si="58"/>
        <v>10652.036474106109</v>
      </c>
      <c r="K161" s="178">
        <f>IF(Adm!$F$3="si",MIN(L160+D161+G161+H161+I161-J161,Y161),0)</f>
        <v>0</v>
      </c>
      <c r="L161" s="178">
        <f t="shared" si="63"/>
        <v>675446.5087092896</v>
      </c>
      <c r="M161" s="348"/>
      <c r="N161" s="348"/>
      <c r="O161" s="348">
        <f t="shared" si="64"/>
        <v>10652.036474106109</v>
      </c>
      <c r="U161" s="571">
        <f t="shared" si="65"/>
        <v>5</v>
      </c>
      <c r="V161" s="293">
        <f>IF(U161=1,Adm!$AN$2,0)</f>
        <v>0</v>
      </c>
      <c r="X161" s="341">
        <f t="shared" si="72"/>
        <v>0</v>
      </c>
      <c r="Y161" s="345">
        <f t="shared" ca="1" si="66"/>
        <v>0</v>
      </c>
      <c r="AD161" s="172"/>
      <c r="AG161" s="151">
        <f t="shared" ca="1" si="59"/>
        <v>4</v>
      </c>
      <c r="AI161" s="178">
        <f t="shared" si="60"/>
        <v>0</v>
      </c>
      <c r="AJ161" s="178">
        <f t="shared" si="67"/>
        <v>0</v>
      </c>
      <c r="AK161" s="178">
        <f t="shared" si="54"/>
        <v>0</v>
      </c>
      <c r="AL161" s="178">
        <f t="shared" si="55"/>
        <v>0</v>
      </c>
      <c r="AM161" s="351">
        <f>IF(AS160&lt;0.01,0,IF(Resol!$G$19&gt;0,Resol!$G$19,IF(Resol!$F$19=Resol!$U$5,0,IF($AS$10=0,AS160*Adm!$Y$3,AS160*Adm!$X$3))))</f>
        <v>0</v>
      </c>
      <c r="AN161" s="351">
        <f>IF(AS160&lt;0.01,0,IF(Resol!$F$20=Resol!$V$3,0,IF(OR(Resol!$F$10=Resol!$T$16,Resol!$F$10=Resol!$T$17),0,IF(Resol!$F$10=Resol!$T$13,0,$AL$5*Adm!$AA$4/1.16))))</f>
        <v>0</v>
      </c>
      <c r="AO161" s="178">
        <f t="shared" si="73"/>
        <v>0</v>
      </c>
      <c r="AP161" s="178"/>
      <c r="AQ161" s="178">
        <f t="shared" si="61"/>
        <v>0</v>
      </c>
      <c r="AR161" s="178">
        <f t="shared" si="68"/>
        <v>0</v>
      </c>
      <c r="AS161" s="178">
        <f t="shared" si="51"/>
        <v>0</v>
      </c>
      <c r="AT161" s="348"/>
      <c r="AU161" s="348"/>
      <c r="AV161" s="176">
        <f t="shared" si="52"/>
        <v>0</v>
      </c>
      <c r="BB161" s="571">
        <f t="shared" si="69"/>
        <v>5</v>
      </c>
      <c r="BC161" s="293">
        <f>IF(BB161=1,Adm!$AN$2,0)</f>
        <v>0</v>
      </c>
      <c r="BE161" s="341">
        <f t="shared" si="74"/>
        <v>0</v>
      </c>
      <c r="BF161" s="345">
        <f t="shared" ca="1" si="70"/>
        <v>0</v>
      </c>
    </row>
    <row r="162" spans="1:58">
      <c r="A162" s="151">
        <f t="shared" ca="1" si="56"/>
        <v>5</v>
      </c>
      <c r="C162" s="178">
        <f t="shared" si="57"/>
        <v>138</v>
      </c>
      <c r="D162" s="178">
        <f t="shared" si="62"/>
        <v>5347.2848606152093</v>
      </c>
      <c r="E162" s="178">
        <f t="shared" si="53"/>
        <v>4268.0211943626637</v>
      </c>
      <c r="F162" s="178">
        <f t="shared" si="71"/>
        <v>9615.3060549778729</v>
      </c>
      <c r="G162" s="178">
        <f>IF(L161&lt;0.01,0,IF(Adm!$S$3=Adm!$S$13,Cal!$E$94,IF(Adm!$R$3=Adm!$R$6,0,IF(Cal!$E$91=0,L161*Adm!$Y$3,L161*Adm!$X$3))))</f>
        <v>290.44199874499452</v>
      </c>
      <c r="H162" s="178">
        <f>IF(L161&lt;0.01,0,IF(Adm!$R$4=Adm!$R$6,0,IF(Adm!$B$3=Adm!$B$12,0,Cal!$E$89*Adm!$AA$3/1.16)))</f>
        <v>494.46758620689661</v>
      </c>
      <c r="I162" s="178">
        <f>IF(L161&lt;0.01,0,Adm!$O$3)</f>
        <v>250</v>
      </c>
      <c r="J162" s="178">
        <f t="shared" si="58"/>
        <v>10650.215639929764</v>
      </c>
      <c r="K162" s="178">
        <f>IF(Adm!$F$3="si",MIN(L161+D162+G162+H162+I162-J162,Y162),0)</f>
        <v>0</v>
      </c>
      <c r="L162" s="178">
        <f t="shared" si="63"/>
        <v>671178.48751492694</v>
      </c>
      <c r="M162" s="348"/>
      <c r="N162" s="348"/>
      <c r="O162" s="348">
        <f t="shared" si="64"/>
        <v>10650.215639929764</v>
      </c>
      <c r="U162" s="571">
        <f t="shared" si="65"/>
        <v>6</v>
      </c>
      <c r="V162" s="293">
        <f>IF(U162=1,Adm!$AN$2,0)</f>
        <v>0</v>
      </c>
      <c r="X162" s="341">
        <f t="shared" si="72"/>
        <v>0</v>
      </c>
      <c r="Y162" s="345">
        <f t="shared" ca="1" si="66"/>
        <v>0</v>
      </c>
      <c r="AD162" s="172"/>
      <c r="AG162" s="151">
        <f t="shared" ca="1" si="59"/>
        <v>5</v>
      </c>
      <c r="AI162" s="178">
        <f t="shared" si="60"/>
        <v>0</v>
      </c>
      <c r="AJ162" s="178">
        <f t="shared" si="67"/>
        <v>0</v>
      </c>
      <c r="AK162" s="178">
        <f t="shared" si="54"/>
        <v>0</v>
      </c>
      <c r="AL162" s="178">
        <f t="shared" si="55"/>
        <v>0</v>
      </c>
      <c r="AM162" s="351">
        <f>IF(AS161&lt;0.01,0,IF(Resol!$G$19&gt;0,Resol!$G$19,IF(Resol!$F$19=Resol!$U$5,0,IF($AS$10=0,AS161*Adm!$Y$3,AS161*Adm!$X$3))))</f>
        <v>0</v>
      </c>
      <c r="AN162" s="351">
        <f>IF(AS161&lt;0.01,0,IF(Resol!$F$20=Resol!$V$3,0,IF(OR(Resol!$F$10=Resol!$T$16,Resol!$F$10=Resol!$T$17),0,IF(Resol!$F$10=Resol!$T$13,0,$AL$5*Adm!$AA$4/1.16))))</f>
        <v>0</v>
      </c>
      <c r="AO162" s="178">
        <f t="shared" si="73"/>
        <v>0</v>
      </c>
      <c r="AP162" s="178"/>
      <c r="AQ162" s="178">
        <f t="shared" si="61"/>
        <v>0</v>
      </c>
      <c r="AR162" s="178">
        <f t="shared" si="68"/>
        <v>0</v>
      </c>
      <c r="AS162" s="178">
        <f t="shared" ref="AS162:AS225" si="75">IF(AS161&lt;0.01,0,AS161-AK162-AR162)</f>
        <v>0</v>
      </c>
      <c r="AT162" s="348"/>
      <c r="AU162" s="348"/>
      <c r="AV162" s="176">
        <f t="shared" ref="AV162:AV225" si="76">AQ162+AR162</f>
        <v>0</v>
      </c>
      <c r="BB162" s="571">
        <f t="shared" si="69"/>
        <v>6</v>
      </c>
      <c r="BC162" s="293">
        <f>IF(BB162=1,Adm!$AN$2,0)</f>
        <v>0</v>
      </c>
      <c r="BE162" s="341">
        <f t="shared" si="74"/>
        <v>0</v>
      </c>
      <c r="BF162" s="345">
        <f t="shared" ca="1" si="70"/>
        <v>0</v>
      </c>
    </row>
    <row r="163" spans="1:58">
      <c r="A163" s="151">
        <f t="shared" ca="1" si="56"/>
        <v>6</v>
      </c>
      <c r="C163" s="178">
        <f t="shared" si="57"/>
        <v>139</v>
      </c>
      <c r="D163" s="178">
        <f t="shared" si="62"/>
        <v>5313.4963594931714</v>
      </c>
      <c r="E163" s="178">
        <f t="shared" si="53"/>
        <v>4301.8096954847015</v>
      </c>
      <c r="F163" s="178">
        <f t="shared" si="71"/>
        <v>9615.3060549778729</v>
      </c>
      <c r="G163" s="178">
        <f>IF(L162&lt;0.01,0,IF(Adm!$S$3=Adm!$S$13,Cal!$E$94,IF(Adm!$R$3=Adm!$R$6,0,IF(Cal!$E$91=0,L162*Adm!$Y$3,L162*Adm!$X$3))))</f>
        <v>288.60674963141855</v>
      </c>
      <c r="H163" s="178">
        <f>IF(L162&lt;0.01,0,IF(Adm!$R$4=Adm!$R$6,0,IF(Adm!$B$3=Adm!$B$12,0,Cal!$E$89*Adm!$AA$3/1.16)))</f>
        <v>494.46758620689661</v>
      </c>
      <c r="I163" s="178">
        <f>IF(L162&lt;0.01,0,Adm!$O$3)</f>
        <v>250</v>
      </c>
      <c r="J163" s="178">
        <f t="shared" si="58"/>
        <v>10648.380390816188</v>
      </c>
      <c r="K163" s="178">
        <f>IF(Adm!$F$3="si",MIN(L162+D163+G163+H163+I163-J163,Y163),0)</f>
        <v>0</v>
      </c>
      <c r="L163" s="178">
        <f t="shared" si="63"/>
        <v>666876.67781944224</v>
      </c>
      <c r="M163" s="348"/>
      <c r="N163" s="348"/>
      <c r="O163" s="348">
        <f t="shared" si="64"/>
        <v>10648.380390816188</v>
      </c>
      <c r="U163" s="571">
        <f t="shared" si="65"/>
        <v>7</v>
      </c>
      <c r="V163" s="293">
        <f>IF(U163=1,Adm!$AN$2,0)</f>
        <v>0</v>
      </c>
      <c r="X163" s="341">
        <f t="shared" si="72"/>
        <v>0</v>
      </c>
      <c r="Y163" s="345">
        <f t="shared" ca="1" si="66"/>
        <v>0</v>
      </c>
      <c r="AD163" s="172"/>
      <c r="AG163" s="151">
        <f t="shared" ca="1" si="59"/>
        <v>6</v>
      </c>
      <c r="AI163" s="178">
        <f t="shared" si="60"/>
        <v>0</v>
      </c>
      <c r="AJ163" s="178">
        <f t="shared" si="67"/>
        <v>0</v>
      </c>
      <c r="AK163" s="178">
        <f t="shared" si="54"/>
        <v>0</v>
      </c>
      <c r="AL163" s="178">
        <f t="shared" si="55"/>
        <v>0</v>
      </c>
      <c r="AM163" s="351">
        <f>IF(AS162&lt;0.01,0,IF(Resol!$G$19&gt;0,Resol!$G$19,IF(Resol!$F$19=Resol!$U$5,0,IF($AS$10=0,AS162*Adm!$Y$3,AS162*Adm!$X$3))))</f>
        <v>0</v>
      </c>
      <c r="AN163" s="351">
        <f>IF(AS162&lt;0.01,0,IF(Resol!$F$20=Resol!$V$3,0,IF(OR(Resol!$F$10=Resol!$T$16,Resol!$F$10=Resol!$T$17),0,IF(Resol!$F$10=Resol!$T$13,0,$AL$5*Adm!$AA$4/1.16))))</f>
        <v>0</v>
      </c>
      <c r="AO163" s="178">
        <f t="shared" si="73"/>
        <v>0</v>
      </c>
      <c r="AP163" s="178"/>
      <c r="AQ163" s="178">
        <f t="shared" si="61"/>
        <v>0</v>
      </c>
      <c r="AR163" s="178">
        <f t="shared" si="68"/>
        <v>0</v>
      </c>
      <c r="AS163" s="178">
        <f t="shared" si="75"/>
        <v>0</v>
      </c>
      <c r="AT163" s="348"/>
      <c r="AU163" s="348"/>
      <c r="AV163" s="176">
        <f t="shared" si="76"/>
        <v>0</v>
      </c>
      <c r="BB163" s="571">
        <f t="shared" si="69"/>
        <v>7</v>
      </c>
      <c r="BC163" s="293">
        <f>IF(BB163=1,Adm!$AN$2,0)</f>
        <v>0</v>
      </c>
      <c r="BE163" s="341">
        <f t="shared" si="74"/>
        <v>0</v>
      </c>
      <c r="BF163" s="345">
        <f t="shared" ca="1" si="70"/>
        <v>0</v>
      </c>
    </row>
    <row r="164" spans="1:58">
      <c r="A164" s="151">
        <f t="shared" ca="1" si="56"/>
        <v>7</v>
      </c>
      <c r="C164" s="178">
        <f t="shared" si="57"/>
        <v>140</v>
      </c>
      <c r="D164" s="178">
        <f t="shared" si="62"/>
        <v>5279.4403660705839</v>
      </c>
      <c r="E164" s="178">
        <f t="shared" si="53"/>
        <v>4335.865688907289</v>
      </c>
      <c r="F164" s="178">
        <f t="shared" si="71"/>
        <v>9615.3060549778729</v>
      </c>
      <c r="G164" s="178">
        <f>IF(L163&lt;0.01,0,IF(Adm!$S$3=Adm!$S$13,Cal!$E$94,IF(Adm!$R$3=Adm!$R$6,0,IF(Cal!$E$91=0,L163*Adm!$Y$3,L163*Adm!$X$3))))</f>
        <v>286.75697146236013</v>
      </c>
      <c r="H164" s="178">
        <f>IF(L163&lt;0.01,0,IF(Adm!$R$4=Adm!$R$6,0,IF(Adm!$B$3=Adm!$B$12,0,Cal!$E$89*Adm!$AA$3/1.16)))</f>
        <v>494.46758620689661</v>
      </c>
      <c r="I164" s="178">
        <f>IF(L163&lt;0.01,0,Adm!$O$3)</f>
        <v>250</v>
      </c>
      <c r="J164" s="178">
        <f t="shared" si="58"/>
        <v>10646.53061264713</v>
      </c>
      <c r="K164" s="178">
        <f>IF(Adm!$F$3="si",MIN(L163+D164+G164+H164+I164-J164,Y164),0)</f>
        <v>0</v>
      </c>
      <c r="L164" s="178">
        <f t="shared" si="63"/>
        <v>662540.81213053491</v>
      </c>
      <c r="M164" s="348"/>
      <c r="N164" s="348"/>
      <c r="O164" s="348">
        <f t="shared" si="64"/>
        <v>10646.53061264713</v>
      </c>
      <c r="U164" s="571">
        <f t="shared" si="65"/>
        <v>8</v>
      </c>
      <c r="V164" s="293">
        <f>IF(U164=1,Adm!$AN$2,0)</f>
        <v>0</v>
      </c>
      <c r="X164" s="341">
        <f t="shared" si="72"/>
        <v>0</v>
      </c>
      <c r="Y164" s="345">
        <f t="shared" ca="1" si="66"/>
        <v>0</v>
      </c>
      <c r="AD164" s="172"/>
      <c r="AG164" s="151">
        <f t="shared" ca="1" si="59"/>
        <v>7</v>
      </c>
      <c r="AI164" s="178">
        <f t="shared" si="60"/>
        <v>0</v>
      </c>
      <c r="AJ164" s="178">
        <f t="shared" si="67"/>
        <v>0</v>
      </c>
      <c r="AK164" s="178">
        <f t="shared" si="54"/>
        <v>0</v>
      </c>
      <c r="AL164" s="178">
        <f t="shared" si="55"/>
        <v>0</v>
      </c>
      <c r="AM164" s="351">
        <f>IF(AS163&lt;0.01,0,IF(Resol!$G$19&gt;0,Resol!$G$19,IF(Resol!$F$19=Resol!$U$5,0,IF($AS$10=0,AS163*Adm!$Y$3,AS163*Adm!$X$3))))</f>
        <v>0</v>
      </c>
      <c r="AN164" s="351">
        <f>IF(AS163&lt;0.01,0,IF(Resol!$F$20=Resol!$V$3,0,IF(OR(Resol!$F$10=Resol!$T$16,Resol!$F$10=Resol!$T$17),0,IF(Resol!$F$10=Resol!$T$13,0,$AL$5*Adm!$AA$4/1.16))))</f>
        <v>0</v>
      </c>
      <c r="AO164" s="178">
        <f t="shared" si="73"/>
        <v>0</v>
      </c>
      <c r="AP164" s="178"/>
      <c r="AQ164" s="178">
        <f t="shared" si="61"/>
        <v>0</v>
      </c>
      <c r="AR164" s="178">
        <f t="shared" si="68"/>
        <v>0</v>
      </c>
      <c r="AS164" s="178">
        <f t="shared" si="75"/>
        <v>0</v>
      </c>
      <c r="AT164" s="348"/>
      <c r="AU164" s="348"/>
      <c r="AV164" s="176">
        <f t="shared" si="76"/>
        <v>0</v>
      </c>
      <c r="BB164" s="571">
        <f t="shared" si="69"/>
        <v>8</v>
      </c>
      <c r="BC164" s="293">
        <f>IF(BB164=1,Adm!$AN$2,0)</f>
        <v>0</v>
      </c>
      <c r="BE164" s="341">
        <f t="shared" si="74"/>
        <v>0</v>
      </c>
      <c r="BF164" s="345">
        <f t="shared" ca="1" si="70"/>
        <v>0</v>
      </c>
    </row>
    <row r="165" spans="1:58">
      <c r="A165" s="151">
        <f t="shared" ca="1" si="56"/>
        <v>8</v>
      </c>
      <c r="C165" s="178">
        <f t="shared" si="57"/>
        <v>141</v>
      </c>
      <c r="D165" s="178">
        <f t="shared" si="62"/>
        <v>5245.1147627000682</v>
      </c>
      <c r="E165" s="178">
        <f t="shared" si="53"/>
        <v>4370.1912922778047</v>
      </c>
      <c r="F165" s="178">
        <f t="shared" si="71"/>
        <v>9615.3060549778729</v>
      </c>
      <c r="G165" s="178">
        <f>IF(L164&lt;0.01,0,IF(Adm!$S$3=Adm!$S$13,Cal!$E$94,IF(Adm!$R$3=Adm!$R$6,0,IF(Cal!$E$91=0,L164*Adm!$Y$3,L164*Adm!$X$3))))</f>
        <v>284.89254921613002</v>
      </c>
      <c r="H165" s="178">
        <f>IF(L164&lt;0.01,0,IF(Adm!$R$4=Adm!$R$6,0,IF(Adm!$B$3=Adm!$B$12,0,Cal!$E$89*Adm!$AA$3/1.16)))</f>
        <v>494.46758620689661</v>
      </c>
      <c r="I165" s="178">
        <f>IF(L164&lt;0.01,0,Adm!$O$3)</f>
        <v>250</v>
      </c>
      <c r="J165" s="178">
        <f t="shared" si="58"/>
        <v>10644.6661904009</v>
      </c>
      <c r="K165" s="178">
        <f>IF(Adm!$F$3="si",MIN(L164+D165+G165+H165+I165-J165,Y165),0)</f>
        <v>0</v>
      </c>
      <c r="L165" s="178">
        <f t="shared" si="63"/>
        <v>658170.62083825713</v>
      </c>
      <c r="M165" s="348"/>
      <c r="N165" s="348"/>
      <c r="O165" s="348">
        <f t="shared" si="64"/>
        <v>10644.6661904009</v>
      </c>
      <c r="U165" s="571">
        <f t="shared" si="65"/>
        <v>9</v>
      </c>
      <c r="V165" s="293">
        <f>IF(U165=1,Adm!$AN$2,0)</f>
        <v>0</v>
      </c>
      <c r="X165" s="341">
        <f t="shared" si="72"/>
        <v>0</v>
      </c>
      <c r="Y165" s="345">
        <f t="shared" ca="1" si="66"/>
        <v>0</v>
      </c>
      <c r="AD165" s="172"/>
      <c r="AG165" s="151">
        <f t="shared" ca="1" si="59"/>
        <v>8</v>
      </c>
      <c r="AI165" s="178">
        <f t="shared" si="60"/>
        <v>0</v>
      </c>
      <c r="AJ165" s="178">
        <f t="shared" si="67"/>
        <v>0</v>
      </c>
      <c r="AK165" s="178">
        <f t="shared" si="54"/>
        <v>0</v>
      </c>
      <c r="AL165" s="178">
        <f t="shared" si="55"/>
        <v>0</v>
      </c>
      <c r="AM165" s="351">
        <f>IF(AS164&lt;0.01,0,IF(Resol!$G$19&gt;0,Resol!$G$19,IF(Resol!$F$19=Resol!$U$5,0,IF($AS$10=0,AS164*Adm!$Y$3,AS164*Adm!$X$3))))</f>
        <v>0</v>
      </c>
      <c r="AN165" s="351">
        <f>IF(AS164&lt;0.01,0,IF(Resol!$F$20=Resol!$V$3,0,IF(OR(Resol!$F$10=Resol!$T$16,Resol!$F$10=Resol!$T$17),0,IF(Resol!$F$10=Resol!$T$13,0,$AL$5*Adm!$AA$4/1.16))))</f>
        <v>0</v>
      </c>
      <c r="AO165" s="178">
        <f t="shared" si="73"/>
        <v>0</v>
      </c>
      <c r="AP165" s="178"/>
      <c r="AQ165" s="178">
        <f t="shared" si="61"/>
        <v>0</v>
      </c>
      <c r="AR165" s="178">
        <f t="shared" si="68"/>
        <v>0</v>
      </c>
      <c r="AS165" s="178">
        <f t="shared" si="75"/>
        <v>0</v>
      </c>
      <c r="AT165" s="348"/>
      <c r="AU165" s="348"/>
      <c r="AV165" s="176">
        <f t="shared" si="76"/>
        <v>0</v>
      </c>
      <c r="BB165" s="571">
        <f t="shared" si="69"/>
        <v>9</v>
      </c>
      <c r="BC165" s="293">
        <f>IF(BB165=1,Adm!$AN$2,0)</f>
        <v>0</v>
      </c>
      <c r="BE165" s="341">
        <f t="shared" si="74"/>
        <v>0</v>
      </c>
      <c r="BF165" s="345">
        <f t="shared" ca="1" si="70"/>
        <v>0</v>
      </c>
    </row>
    <row r="166" spans="1:58">
      <c r="A166" s="151">
        <f t="shared" ca="1" si="56"/>
        <v>9</v>
      </c>
      <c r="C166" s="178">
        <f t="shared" si="57"/>
        <v>142</v>
      </c>
      <c r="D166" s="178">
        <f t="shared" si="62"/>
        <v>5210.5174149695358</v>
      </c>
      <c r="E166" s="178">
        <f t="shared" ref="E166:E229" si="77">IF(L165&lt;0.01,0,F166-D166)</f>
        <v>4404.7886400083371</v>
      </c>
      <c r="F166" s="178">
        <f t="shared" si="71"/>
        <v>9615.3060549778729</v>
      </c>
      <c r="G166" s="178">
        <f>IF(L165&lt;0.01,0,IF(Adm!$S$3=Adm!$S$13,Cal!$E$94,IF(Adm!$R$3=Adm!$R$6,0,IF(Cal!$E$91=0,L165*Adm!$Y$3,L165*Adm!$X$3))))</f>
        <v>283.01336696045058</v>
      </c>
      <c r="H166" s="178">
        <f>IF(L165&lt;0.01,0,IF(Adm!$R$4=Adm!$R$6,0,IF(Adm!$B$3=Adm!$B$12,0,Cal!$E$89*Adm!$AA$3/1.16)))</f>
        <v>494.46758620689661</v>
      </c>
      <c r="I166" s="178">
        <f>IF(L165&lt;0.01,0,Adm!$O$3)</f>
        <v>250</v>
      </c>
      <c r="J166" s="178">
        <f t="shared" si="58"/>
        <v>10642.78700814522</v>
      </c>
      <c r="K166" s="178">
        <f>IF(Adm!$F$3="si",MIN(L165+D166+G166+H166+I166-J166,Y166),0)</f>
        <v>0</v>
      </c>
      <c r="L166" s="178">
        <f t="shared" si="63"/>
        <v>653765.83219824883</v>
      </c>
      <c r="M166" s="348"/>
      <c r="N166" s="348"/>
      <c r="O166" s="348">
        <f t="shared" si="64"/>
        <v>10642.78700814522</v>
      </c>
      <c r="U166" s="571">
        <f t="shared" si="65"/>
        <v>10</v>
      </c>
      <c r="V166" s="293">
        <f>IF(U166=1,Adm!$AN$2,0)</f>
        <v>0</v>
      </c>
      <c r="X166" s="341">
        <f t="shared" si="72"/>
        <v>0</v>
      </c>
      <c r="Y166" s="345">
        <f t="shared" ca="1" si="66"/>
        <v>0</v>
      </c>
      <c r="AD166" s="172"/>
      <c r="AG166" s="151">
        <f t="shared" ca="1" si="59"/>
        <v>9</v>
      </c>
      <c r="AI166" s="178">
        <f t="shared" si="60"/>
        <v>0</v>
      </c>
      <c r="AJ166" s="178">
        <f t="shared" si="67"/>
        <v>0</v>
      </c>
      <c r="AK166" s="178">
        <f t="shared" ref="AK166:AK229" si="78">IF(AS165&lt;0.01,0,AL166-AJ166)</f>
        <v>0</v>
      </c>
      <c r="AL166" s="178">
        <f t="shared" ref="AL166:AL229" si="79">IF(AS165&lt;0.1,0,MIN(AS165+AJ166,AL165*(1+BC166)))</f>
        <v>0</v>
      </c>
      <c r="AM166" s="351">
        <f>IF(AS165&lt;0.01,0,IF(Resol!$G$19&gt;0,Resol!$G$19,IF(Resol!$F$19=Resol!$U$5,0,IF($AS$10=0,AS165*Adm!$Y$3,AS165*Adm!$X$3))))</f>
        <v>0</v>
      </c>
      <c r="AN166" s="351">
        <f>IF(AS165&lt;0.01,0,IF(Resol!$F$20=Resol!$V$3,0,IF(OR(Resol!$F$10=Resol!$T$16,Resol!$F$10=Resol!$T$17),0,IF(Resol!$F$10=Resol!$T$13,0,$AL$5*Adm!$AA$4/1.16))))</f>
        <v>0</v>
      </c>
      <c r="AO166" s="178">
        <f t="shared" si="73"/>
        <v>0</v>
      </c>
      <c r="AP166" s="178"/>
      <c r="AQ166" s="178">
        <f t="shared" si="61"/>
        <v>0</v>
      </c>
      <c r="AR166" s="178">
        <f t="shared" si="68"/>
        <v>0</v>
      </c>
      <c r="AS166" s="178">
        <f t="shared" si="75"/>
        <v>0</v>
      </c>
      <c r="AT166" s="348"/>
      <c r="AU166" s="348"/>
      <c r="AV166" s="176">
        <f t="shared" si="76"/>
        <v>0</v>
      </c>
      <c r="BB166" s="571">
        <f t="shared" si="69"/>
        <v>10</v>
      </c>
      <c r="BC166" s="293">
        <f>IF(BB166=1,Adm!$AN$2,0)</f>
        <v>0</v>
      </c>
      <c r="BE166" s="341">
        <f t="shared" si="74"/>
        <v>0</v>
      </c>
      <c r="BF166" s="345">
        <f t="shared" ca="1" si="70"/>
        <v>0</v>
      </c>
    </row>
    <row r="167" spans="1:58">
      <c r="A167" s="151">
        <f t="shared" ca="1" si="56"/>
        <v>10</v>
      </c>
      <c r="C167" s="178">
        <f t="shared" si="57"/>
        <v>143</v>
      </c>
      <c r="D167" s="178">
        <f t="shared" si="62"/>
        <v>5175.6461715694704</v>
      </c>
      <c r="E167" s="178">
        <f t="shared" si="77"/>
        <v>4439.6598834084025</v>
      </c>
      <c r="F167" s="178">
        <f t="shared" si="71"/>
        <v>9615.3060549778729</v>
      </c>
      <c r="G167" s="178">
        <f>IF(L166&lt;0.01,0,IF(Adm!$S$3=Adm!$S$13,Cal!$E$94,IF(Adm!$R$3=Adm!$R$6,0,IF(Cal!$E$91=0,L166*Adm!$Y$3,L166*Adm!$X$3))))</f>
        <v>281.11930784524696</v>
      </c>
      <c r="H167" s="178">
        <f>IF(L166&lt;0.01,0,IF(Adm!$R$4=Adm!$R$6,0,IF(Adm!$B$3=Adm!$B$12,0,Cal!$E$89*Adm!$AA$3/1.16)))</f>
        <v>494.46758620689661</v>
      </c>
      <c r="I167" s="178">
        <f>IF(L166&lt;0.01,0,Adm!$O$3)</f>
        <v>250</v>
      </c>
      <c r="J167" s="178">
        <f t="shared" si="58"/>
        <v>10640.892949030016</v>
      </c>
      <c r="K167" s="178">
        <f>IF(Adm!$F$3="si",MIN(L166+D167+G167+H167+I167-J167,Y167),0)</f>
        <v>0</v>
      </c>
      <c r="L167" s="178">
        <f t="shared" si="63"/>
        <v>649326.17231484037</v>
      </c>
      <c r="M167" s="348"/>
      <c r="N167" s="348"/>
      <c r="O167" s="348">
        <f t="shared" si="64"/>
        <v>10640.892949030016</v>
      </c>
      <c r="U167" s="571">
        <f t="shared" si="65"/>
        <v>11</v>
      </c>
      <c r="V167" s="293">
        <f>IF(U167=1,Adm!$AN$2,0)</f>
        <v>0</v>
      </c>
      <c r="X167" s="341">
        <f t="shared" si="72"/>
        <v>0</v>
      </c>
      <c r="Y167" s="345">
        <f t="shared" ca="1" si="66"/>
        <v>0</v>
      </c>
      <c r="AD167" s="172"/>
      <c r="AG167" s="151">
        <f t="shared" ca="1" si="59"/>
        <v>10</v>
      </c>
      <c r="AI167" s="178">
        <f t="shared" si="60"/>
        <v>0</v>
      </c>
      <c r="AJ167" s="178">
        <f t="shared" si="67"/>
        <v>0</v>
      </c>
      <c r="AK167" s="178">
        <f t="shared" si="78"/>
        <v>0</v>
      </c>
      <c r="AL167" s="178">
        <f t="shared" si="79"/>
        <v>0</v>
      </c>
      <c r="AM167" s="351">
        <f>IF(AS166&lt;0.01,0,IF(Resol!$G$19&gt;0,Resol!$G$19,IF(Resol!$F$19=Resol!$U$5,0,IF($AS$10=0,AS166*Adm!$Y$3,AS166*Adm!$X$3))))</f>
        <v>0</v>
      </c>
      <c r="AN167" s="351">
        <f>IF(AS166&lt;0.01,0,IF(Resol!$F$20=Resol!$V$3,0,IF(OR(Resol!$F$10=Resol!$T$16,Resol!$F$10=Resol!$T$17),0,IF(Resol!$F$10=Resol!$T$13,0,$AL$5*Adm!$AA$4/1.16))))</f>
        <v>0</v>
      </c>
      <c r="AO167" s="178">
        <f t="shared" si="73"/>
        <v>0</v>
      </c>
      <c r="AP167" s="178"/>
      <c r="AQ167" s="178">
        <f t="shared" si="61"/>
        <v>0</v>
      </c>
      <c r="AR167" s="178">
        <f t="shared" si="68"/>
        <v>0</v>
      </c>
      <c r="AS167" s="178">
        <f t="shared" si="75"/>
        <v>0</v>
      </c>
      <c r="AT167" s="348"/>
      <c r="AU167" s="348"/>
      <c r="AV167" s="176">
        <f t="shared" si="76"/>
        <v>0</v>
      </c>
      <c r="BB167" s="571">
        <f t="shared" si="69"/>
        <v>11</v>
      </c>
      <c r="BC167" s="293">
        <f>IF(BB167=1,Adm!$AN$2,0)</f>
        <v>0</v>
      </c>
      <c r="BE167" s="341">
        <f t="shared" si="74"/>
        <v>0</v>
      </c>
      <c r="BF167" s="345">
        <f t="shared" ca="1" si="70"/>
        <v>0</v>
      </c>
    </row>
    <row r="168" spans="1:58">
      <c r="A168" s="151">
        <f t="shared" ca="1" si="56"/>
        <v>11</v>
      </c>
      <c r="C168" s="178">
        <f t="shared" si="57"/>
        <v>144</v>
      </c>
      <c r="D168" s="178">
        <f t="shared" si="62"/>
        <v>5140.4988641591526</v>
      </c>
      <c r="E168" s="178">
        <f t="shared" si="77"/>
        <v>4474.8071908187203</v>
      </c>
      <c r="F168" s="178">
        <f t="shared" si="71"/>
        <v>9615.3060549778729</v>
      </c>
      <c r="G168" s="178">
        <f>IF(L167&lt;0.01,0,IF(Adm!$S$3=Adm!$S$13,Cal!$E$94,IF(Adm!$R$3=Adm!$R$6,0,IF(Cal!$E$91=0,L167*Adm!$Y$3,L167*Adm!$X$3))))</f>
        <v>279.21025409538134</v>
      </c>
      <c r="H168" s="178">
        <f>IF(L167&lt;0.01,0,IF(Adm!$R$4=Adm!$R$6,0,IF(Adm!$B$3=Adm!$B$12,0,Cal!$E$89*Adm!$AA$3/1.16)))</f>
        <v>494.46758620689661</v>
      </c>
      <c r="I168" s="178">
        <f>IF(L167&lt;0.01,0,Adm!$O$3)</f>
        <v>250</v>
      </c>
      <c r="J168" s="178">
        <f t="shared" si="58"/>
        <v>10638.983895280151</v>
      </c>
      <c r="K168" s="178">
        <f>IF(Adm!$F$3="si",MIN(L167+D168+G168+H168+I168-J168,Y168),0)</f>
        <v>0</v>
      </c>
      <c r="L168" s="178">
        <f t="shared" si="63"/>
        <v>644851.36512402166</v>
      </c>
      <c r="M168" s="348"/>
      <c r="N168" s="348"/>
      <c r="O168" s="348">
        <f t="shared" si="64"/>
        <v>10638.983895280151</v>
      </c>
      <c r="U168" s="571">
        <f t="shared" si="65"/>
        <v>12</v>
      </c>
      <c r="V168" s="293">
        <f>IF(U168=1,Adm!$AN$2,0)</f>
        <v>0</v>
      </c>
      <c r="X168" s="341">
        <f t="shared" si="72"/>
        <v>0</v>
      </c>
      <c r="Y168" s="345">
        <f t="shared" ca="1" si="66"/>
        <v>0</v>
      </c>
      <c r="AD168" s="172"/>
      <c r="AG168" s="151">
        <f t="shared" ca="1" si="59"/>
        <v>11</v>
      </c>
      <c r="AI168" s="178">
        <f t="shared" si="60"/>
        <v>0</v>
      </c>
      <c r="AJ168" s="178">
        <f t="shared" si="67"/>
        <v>0</v>
      </c>
      <c r="AK168" s="178">
        <f t="shared" si="78"/>
        <v>0</v>
      </c>
      <c r="AL168" s="178">
        <f t="shared" si="79"/>
        <v>0</v>
      </c>
      <c r="AM168" s="351">
        <f>IF(AS167&lt;0.01,0,IF(Resol!$G$19&gt;0,Resol!$G$19,IF(Resol!$F$19=Resol!$U$5,0,IF($AS$10=0,AS167*Adm!$Y$3,AS167*Adm!$X$3))))</f>
        <v>0</v>
      </c>
      <c r="AN168" s="351">
        <f>IF(AS167&lt;0.01,0,IF(Resol!$F$20=Resol!$V$3,0,IF(OR(Resol!$F$10=Resol!$T$16,Resol!$F$10=Resol!$T$17),0,IF(Resol!$F$10=Resol!$T$13,0,$AL$5*Adm!$AA$4/1.16))))</f>
        <v>0</v>
      </c>
      <c r="AO168" s="178">
        <f t="shared" si="73"/>
        <v>0</v>
      </c>
      <c r="AP168" s="178"/>
      <c r="AQ168" s="178">
        <f t="shared" si="61"/>
        <v>0</v>
      </c>
      <c r="AR168" s="178">
        <f t="shared" si="68"/>
        <v>0</v>
      </c>
      <c r="AS168" s="178">
        <f t="shared" si="75"/>
        <v>0</v>
      </c>
      <c r="AT168" s="348"/>
      <c r="AU168" s="348"/>
      <c r="AV168" s="176">
        <f t="shared" si="76"/>
        <v>0</v>
      </c>
      <c r="BB168" s="571">
        <f t="shared" si="69"/>
        <v>12</v>
      </c>
      <c r="BC168" s="293">
        <f>IF(BB168=1,Adm!$AN$2,0)</f>
        <v>0</v>
      </c>
      <c r="BE168" s="341">
        <f t="shared" si="74"/>
        <v>0</v>
      </c>
      <c r="BF168" s="345">
        <f t="shared" ca="1" si="70"/>
        <v>0</v>
      </c>
    </row>
    <row r="169" spans="1:58">
      <c r="A169" s="151">
        <f t="shared" ca="1" si="56"/>
        <v>12</v>
      </c>
      <c r="C169" s="178">
        <f t="shared" si="57"/>
        <v>145</v>
      </c>
      <c r="D169" s="178">
        <f t="shared" si="62"/>
        <v>5105.073307231838</v>
      </c>
      <c r="E169" s="178">
        <f t="shared" si="77"/>
        <v>4510.2327477460349</v>
      </c>
      <c r="F169" s="178">
        <f t="shared" si="71"/>
        <v>9615.3060549778729</v>
      </c>
      <c r="G169" s="178">
        <f>IF(L168&lt;0.01,0,IF(Adm!$S$3=Adm!$S$13,Cal!$E$94,IF(Adm!$R$3=Adm!$R$6,0,IF(Cal!$E$91=0,L168*Adm!$Y$3,L168*Adm!$X$3))))</f>
        <v>277.28608700332933</v>
      </c>
      <c r="H169" s="178">
        <f>IF(L168&lt;0.01,0,IF(Adm!$R$4=Adm!$R$6,0,IF(Adm!$B$3=Adm!$B$12,0,Cal!$E$89*Adm!$AA$3/1.16)))</f>
        <v>494.46758620689661</v>
      </c>
      <c r="I169" s="178">
        <f>IF(L168&lt;0.01,0,Adm!$O$3)</f>
        <v>250</v>
      </c>
      <c r="J169" s="178">
        <f t="shared" si="58"/>
        <v>10637.059728188098</v>
      </c>
      <c r="K169" s="178">
        <f>IF(Adm!$F$3="si",MIN(L168+D169+G169+H169+I169-J169,Y169),0)</f>
        <v>0</v>
      </c>
      <c r="L169" s="178">
        <f t="shared" si="63"/>
        <v>640341.13237627561</v>
      </c>
      <c r="M169" s="348"/>
      <c r="N169" s="348"/>
      <c r="O169" s="348">
        <f t="shared" si="64"/>
        <v>10637.059728188098</v>
      </c>
      <c r="U169" s="571">
        <f t="shared" si="65"/>
        <v>1</v>
      </c>
      <c r="V169" s="293">
        <f>IF(U169=1,Adm!$AN$2,0)</f>
        <v>0</v>
      </c>
      <c r="X169" s="341">
        <f t="shared" si="72"/>
        <v>0</v>
      </c>
      <c r="Y169" s="345">
        <f t="shared" ca="1" si="66"/>
        <v>0</v>
      </c>
      <c r="AD169" s="172"/>
      <c r="AG169" s="151">
        <f t="shared" ca="1" si="59"/>
        <v>12</v>
      </c>
      <c r="AI169" s="178">
        <f t="shared" si="60"/>
        <v>0</v>
      </c>
      <c r="AJ169" s="178">
        <f t="shared" si="67"/>
        <v>0</v>
      </c>
      <c r="AK169" s="178">
        <f t="shared" si="78"/>
        <v>0</v>
      </c>
      <c r="AL169" s="178">
        <f t="shared" si="79"/>
        <v>0</v>
      </c>
      <c r="AM169" s="351">
        <f>IF(AS168&lt;0.01,0,IF(Resol!$G$19&gt;0,Resol!$G$19,IF(Resol!$F$19=Resol!$U$5,0,IF($AS$10=0,AS168*Adm!$Y$3,AS168*Adm!$X$3))))</f>
        <v>0</v>
      </c>
      <c r="AN169" s="351">
        <f>IF(AS168&lt;0.01,0,IF(Resol!$F$20=Resol!$V$3,0,IF(OR(Resol!$F$10=Resol!$T$16,Resol!$F$10=Resol!$T$17),0,IF(Resol!$F$10=Resol!$T$13,0,$AL$5*Adm!$AA$4/1.16))))</f>
        <v>0</v>
      </c>
      <c r="AO169" s="178">
        <f t="shared" si="73"/>
        <v>0</v>
      </c>
      <c r="AP169" s="178"/>
      <c r="AQ169" s="178">
        <f t="shared" si="61"/>
        <v>0</v>
      </c>
      <c r="AR169" s="178">
        <f t="shared" si="68"/>
        <v>0</v>
      </c>
      <c r="AS169" s="178">
        <f t="shared" si="75"/>
        <v>0</v>
      </c>
      <c r="AT169" s="348"/>
      <c r="AU169" s="348"/>
      <c r="AV169" s="176">
        <f t="shared" si="76"/>
        <v>0</v>
      </c>
      <c r="BB169" s="571">
        <f t="shared" si="69"/>
        <v>1</v>
      </c>
      <c r="BC169" s="293">
        <f>IF(BB169=1,Adm!$AN$2,0)</f>
        <v>0</v>
      </c>
      <c r="BE169" s="341">
        <f t="shared" si="74"/>
        <v>0</v>
      </c>
      <c r="BF169" s="345">
        <f t="shared" ca="1" si="70"/>
        <v>0</v>
      </c>
    </row>
    <row r="170" spans="1:58">
      <c r="A170" s="151">
        <f t="shared" ca="1" si="56"/>
        <v>1</v>
      </c>
      <c r="C170" s="178">
        <f t="shared" si="57"/>
        <v>146</v>
      </c>
      <c r="D170" s="178">
        <f t="shared" si="62"/>
        <v>5069.3672979788489</v>
      </c>
      <c r="E170" s="178">
        <f t="shared" si="77"/>
        <v>4545.938756999024</v>
      </c>
      <c r="F170" s="178">
        <f t="shared" si="71"/>
        <v>9615.3060549778729</v>
      </c>
      <c r="G170" s="178">
        <f>IF(L169&lt;0.01,0,IF(Adm!$S$3=Adm!$S$13,Cal!$E$94,IF(Adm!$R$3=Adm!$R$6,0,IF(Cal!$E$91=0,L169*Adm!$Y$3,L169*Adm!$X$3))))</f>
        <v>275.34668692179849</v>
      </c>
      <c r="H170" s="178">
        <f>IF(L169&lt;0.01,0,IF(Adm!$R$4=Adm!$R$6,0,IF(Adm!$B$3=Adm!$B$12,0,Cal!$E$89*Adm!$AA$3/1.16)))</f>
        <v>494.46758620689661</v>
      </c>
      <c r="I170" s="178">
        <f>IF(L169&lt;0.01,0,Adm!$O$3)</f>
        <v>250</v>
      </c>
      <c r="J170" s="178">
        <f t="shared" si="58"/>
        <v>10635.120328106568</v>
      </c>
      <c r="K170" s="178">
        <f>IF(Adm!$F$3="si",MIN(L169+D170+G170+H170+I170-J170,Y170),0)</f>
        <v>0</v>
      </c>
      <c r="L170" s="178">
        <f t="shared" si="63"/>
        <v>635795.19361927663</v>
      </c>
      <c r="M170" s="348"/>
      <c r="N170" s="348"/>
      <c r="O170" s="348">
        <f t="shared" si="64"/>
        <v>10635.120328106568</v>
      </c>
      <c r="U170" s="571">
        <f t="shared" si="65"/>
        <v>2</v>
      </c>
      <c r="V170" s="293">
        <f>IF(U170=1,Adm!$AN$2,0)</f>
        <v>0</v>
      </c>
      <c r="X170" s="341">
        <f t="shared" si="72"/>
        <v>0</v>
      </c>
      <c r="Y170" s="345">
        <f t="shared" ca="1" si="66"/>
        <v>0</v>
      </c>
      <c r="AD170" s="172"/>
      <c r="AG170" s="151">
        <f t="shared" ca="1" si="59"/>
        <v>1</v>
      </c>
      <c r="AI170" s="178">
        <f t="shared" si="60"/>
        <v>0</v>
      </c>
      <c r="AJ170" s="178">
        <f t="shared" si="67"/>
        <v>0</v>
      </c>
      <c r="AK170" s="178">
        <f t="shared" si="78"/>
        <v>0</v>
      </c>
      <c r="AL170" s="178">
        <f t="shared" si="79"/>
        <v>0</v>
      </c>
      <c r="AM170" s="351">
        <f>IF(AS169&lt;0.01,0,IF(Resol!$G$19&gt;0,Resol!$G$19,IF(Resol!$F$19=Resol!$U$5,0,IF($AS$10=0,AS169*Adm!$Y$3,AS169*Adm!$X$3))))</f>
        <v>0</v>
      </c>
      <c r="AN170" s="351">
        <f>IF(AS169&lt;0.01,0,IF(Resol!$F$20=Resol!$V$3,0,IF(OR(Resol!$F$10=Resol!$T$16,Resol!$F$10=Resol!$T$17),0,IF(Resol!$F$10=Resol!$T$13,0,$AL$5*Adm!$AA$4/1.16))))</f>
        <v>0</v>
      </c>
      <c r="AO170" s="178">
        <f t="shared" si="73"/>
        <v>0</v>
      </c>
      <c r="AP170" s="178"/>
      <c r="AQ170" s="178">
        <f t="shared" si="61"/>
        <v>0</v>
      </c>
      <c r="AR170" s="178">
        <f t="shared" si="68"/>
        <v>0</v>
      </c>
      <c r="AS170" s="178">
        <f t="shared" si="75"/>
        <v>0</v>
      </c>
      <c r="AT170" s="348"/>
      <c r="AU170" s="348"/>
      <c r="AV170" s="176">
        <f t="shared" si="76"/>
        <v>0</v>
      </c>
      <c r="BB170" s="571">
        <f t="shared" si="69"/>
        <v>2</v>
      </c>
      <c r="BC170" s="293">
        <f>IF(BB170=1,Adm!$AN$2,0)</f>
        <v>0</v>
      </c>
      <c r="BE170" s="341">
        <f t="shared" si="74"/>
        <v>0</v>
      </c>
      <c r="BF170" s="345">
        <f t="shared" ca="1" si="70"/>
        <v>0</v>
      </c>
    </row>
    <row r="171" spans="1:58">
      <c r="A171" s="151">
        <f t="shared" ca="1" si="56"/>
        <v>2</v>
      </c>
      <c r="C171" s="178">
        <f t="shared" si="57"/>
        <v>147</v>
      </c>
      <c r="D171" s="178">
        <f t="shared" si="62"/>
        <v>5033.3786161526068</v>
      </c>
      <c r="E171" s="178">
        <f t="shared" si="77"/>
        <v>4581.9274388252661</v>
      </c>
      <c r="F171" s="178">
        <f t="shared" si="71"/>
        <v>9615.3060549778729</v>
      </c>
      <c r="G171" s="178">
        <f>IF(L170&lt;0.01,0,IF(Adm!$S$3=Adm!$S$13,Cal!$E$94,IF(Adm!$R$3=Adm!$R$6,0,IF(Cal!$E$91=0,L170*Adm!$Y$3,L170*Adm!$X$3))))</f>
        <v>273.39193325628895</v>
      </c>
      <c r="H171" s="178">
        <f>IF(L170&lt;0.01,0,IF(Adm!$R$4=Adm!$R$6,0,IF(Adm!$B$3=Adm!$B$12,0,Cal!$E$89*Adm!$AA$3/1.16)))</f>
        <v>494.46758620689661</v>
      </c>
      <c r="I171" s="178">
        <f>IF(L170&lt;0.01,0,Adm!$O$3)</f>
        <v>250</v>
      </c>
      <c r="J171" s="178">
        <f t="shared" si="58"/>
        <v>10633.165574441058</v>
      </c>
      <c r="K171" s="178">
        <f>IF(Adm!$F$3="si",MIN(L170+D171+G171+H171+I171-J171,Y171),0)</f>
        <v>0</v>
      </c>
      <c r="L171" s="178">
        <f t="shared" si="63"/>
        <v>631213.26618045138</v>
      </c>
      <c r="M171" s="348"/>
      <c r="N171" s="348"/>
      <c r="O171" s="348">
        <f t="shared" si="64"/>
        <v>10633.165574441058</v>
      </c>
      <c r="U171" s="571">
        <f t="shared" si="65"/>
        <v>3</v>
      </c>
      <c r="V171" s="293">
        <f>IF(U171=1,Adm!$AN$2,0)</f>
        <v>0</v>
      </c>
      <c r="X171" s="341">
        <f t="shared" si="72"/>
        <v>0</v>
      </c>
      <c r="Y171" s="345">
        <f t="shared" ca="1" si="66"/>
        <v>0</v>
      </c>
      <c r="AD171" s="172"/>
      <c r="AG171" s="151">
        <f t="shared" ca="1" si="59"/>
        <v>2</v>
      </c>
      <c r="AI171" s="178">
        <f t="shared" si="60"/>
        <v>0</v>
      </c>
      <c r="AJ171" s="178">
        <f t="shared" si="67"/>
        <v>0</v>
      </c>
      <c r="AK171" s="178">
        <f t="shared" si="78"/>
        <v>0</v>
      </c>
      <c r="AL171" s="178">
        <f t="shared" si="79"/>
        <v>0</v>
      </c>
      <c r="AM171" s="351">
        <f>IF(AS170&lt;0.01,0,IF(Resol!$G$19&gt;0,Resol!$G$19,IF(Resol!$F$19=Resol!$U$5,0,IF($AS$10=0,AS170*Adm!$Y$3,AS170*Adm!$X$3))))</f>
        <v>0</v>
      </c>
      <c r="AN171" s="351">
        <f>IF(AS170&lt;0.01,0,IF(Resol!$F$20=Resol!$V$3,0,IF(OR(Resol!$F$10=Resol!$T$16,Resol!$F$10=Resol!$T$17),0,IF(Resol!$F$10=Resol!$T$13,0,$AL$5*Adm!$AA$4/1.16))))</f>
        <v>0</v>
      </c>
      <c r="AO171" s="178">
        <f t="shared" si="73"/>
        <v>0</v>
      </c>
      <c r="AP171" s="178"/>
      <c r="AQ171" s="178">
        <f t="shared" si="61"/>
        <v>0</v>
      </c>
      <c r="AR171" s="178">
        <f t="shared" si="68"/>
        <v>0</v>
      </c>
      <c r="AS171" s="178">
        <f t="shared" si="75"/>
        <v>0</v>
      </c>
      <c r="AT171" s="348"/>
      <c r="AU171" s="348"/>
      <c r="AV171" s="176">
        <f t="shared" si="76"/>
        <v>0</v>
      </c>
      <c r="BB171" s="571">
        <f t="shared" si="69"/>
        <v>3</v>
      </c>
      <c r="BC171" s="293">
        <f>IF(BB171=1,Adm!$AN$2,0)</f>
        <v>0</v>
      </c>
      <c r="BE171" s="341">
        <f t="shared" si="74"/>
        <v>0</v>
      </c>
      <c r="BF171" s="345">
        <f t="shared" ca="1" si="70"/>
        <v>0</v>
      </c>
    </row>
    <row r="172" spans="1:58">
      <c r="A172" s="151">
        <f t="shared" ca="1" si="56"/>
        <v>3</v>
      </c>
      <c r="C172" s="178">
        <f t="shared" si="57"/>
        <v>148</v>
      </c>
      <c r="D172" s="178">
        <f t="shared" si="62"/>
        <v>4997.1050239285732</v>
      </c>
      <c r="E172" s="178">
        <f t="shared" si="77"/>
        <v>4618.2010310492997</v>
      </c>
      <c r="F172" s="178">
        <f t="shared" si="71"/>
        <v>9615.3060549778729</v>
      </c>
      <c r="G172" s="178">
        <f>IF(L171&lt;0.01,0,IF(Adm!$S$3=Adm!$S$13,Cal!$E$94,IF(Adm!$R$3=Adm!$R$6,0,IF(Cal!$E$91=0,L171*Adm!$Y$3,L171*Adm!$X$3))))</f>
        <v>271.4217044575941</v>
      </c>
      <c r="H172" s="178">
        <f>IF(L171&lt;0.01,0,IF(Adm!$R$4=Adm!$R$6,0,IF(Adm!$B$3=Adm!$B$12,0,Cal!$E$89*Adm!$AA$3/1.16)))</f>
        <v>494.46758620689661</v>
      </c>
      <c r="I172" s="178">
        <f>IF(L171&lt;0.01,0,Adm!$O$3)</f>
        <v>250</v>
      </c>
      <c r="J172" s="178">
        <f t="shared" si="58"/>
        <v>10631.195345642363</v>
      </c>
      <c r="K172" s="178">
        <f>IF(Adm!$F$3="si",MIN(L171+D172+G172+H172+I172-J172,Y172),0)</f>
        <v>0</v>
      </c>
      <c r="L172" s="178">
        <f t="shared" si="63"/>
        <v>626595.06514940213</v>
      </c>
      <c r="M172" s="348"/>
      <c r="N172" s="348"/>
      <c r="O172" s="348">
        <f t="shared" si="64"/>
        <v>10631.195345642363</v>
      </c>
      <c r="U172" s="571">
        <f t="shared" si="65"/>
        <v>4</v>
      </c>
      <c r="V172" s="293">
        <f>IF(U172=1,Adm!$AN$2,0)</f>
        <v>0</v>
      </c>
      <c r="X172" s="341">
        <f t="shared" si="72"/>
        <v>0</v>
      </c>
      <c r="Y172" s="345">
        <f t="shared" ca="1" si="66"/>
        <v>0</v>
      </c>
      <c r="AD172" s="172"/>
      <c r="AG172" s="151">
        <f t="shared" ca="1" si="59"/>
        <v>3</v>
      </c>
      <c r="AI172" s="178">
        <f t="shared" si="60"/>
        <v>0</v>
      </c>
      <c r="AJ172" s="178">
        <f t="shared" si="67"/>
        <v>0</v>
      </c>
      <c r="AK172" s="178">
        <f t="shared" si="78"/>
        <v>0</v>
      </c>
      <c r="AL172" s="178">
        <f t="shared" si="79"/>
        <v>0</v>
      </c>
      <c r="AM172" s="351">
        <f>IF(AS171&lt;0.01,0,IF(Resol!$G$19&gt;0,Resol!$G$19,IF(Resol!$F$19=Resol!$U$5,0,IF($AS$10=0,AS171*Adm!$Y$3,AS171*Adm!$X$3))))</f>
        <v>0</v>
      </c>
      <c r="AN172" s="351">
        <f>IF(AS171&lt;0.01,0,IF(Resol!$F$20=Resol!$V$3,0,IF(OR(Resol!$F$10=Resol!$T$16,Resol!$F$10=Resol!$T$17),0,IF(Resol!$F$10=Resol!$T$13,0,$AL$5*Adm!$AA$4/1.16))))</f>
        <v>0</v>
      </c>
      <c r="AO172" s="178">
        <f t="shared" si="73"/>
        <v>0</v>
      </c>
      <c r="AP172" s="178"/>
      <c r="AQ172" s="178">
        <f t="shared" si="61"/>
        <v>0</v>
      </c>
      <c r="AR172" s="178">
        <f t="shared" si="68"/>
        <v>0</v>
      </c>
      <c r="AS172" s="178">
        <f t="shared" si="75"/>
        <v>0</v>
      </c>
      <c r="AT172" s="348"/>
      <c r="AU172" s="348"/>
      <c r="AV172" s="176">
        <f t="shared" si="76"/>
        <v>0</v>
      </c>
      <c r="BB172" s="571">
        <f t="shared" si="69"/>
        <v>4</v>
      </c>
      <c r="BC172" s="293">
        <f>IF(BB172=1,Adm!$AN$2,0)</f>
        <v>0</v>
      </c>
      <c r="BE172" s="341">
        <f t="shared" si="74"/>
        <v>0</v>
      </c>
      <c r="BF172" s="345">
        <f t="shared" ca="1" si="70"/>
        <v>0</v>
      </c>
    </row>
    <row r="173" spans="1:58">
      <c r="A173" s="151">
        <f t="shared" ca="1" si="56"/>
        <v>4</v>
      </c>
      <c r="C173" s="178">
        <f t="shared" si="57"/>
        <v>149</v>
      </c>
      <c r="D173" s="178">
        <f t="shared" si="62"/>
        <v>4960.5442657660997</v>
      </c>
      <c r="E173" s="178">
        <f t="shared" si="77"/>
        <v>4654.7617892117732</v>
      </c>
      <c r="F173" s="178">
        <f t="shared" si="71"/>
        <v>9615.3060549778729</v>
      </c>
      <c r="G173" s="178">
        <f>IF(L172&lt;0.01,0,IF(Adm!$S$3=Adm!$S$13,Cal!$E$94,IF(Adm!$R$3=Adm!$R$6,0,IF(Cal!$E$91=0,L172*Adm!$Y$3,L172*Adm!$X$3))))</f>
        <v>269.43587801424292</v>
      </c>
      <c r="H173" s="178">
        <f>IF(L172&lt;0.01,0,IF(Adm!$R$4=Adm!$R$6,0,IF(Adm!$B$3=Adm!$B$12,0,Cal!$E$89*Adm!$AA$3/1.16)))</f>
        <v>494.46758620689661</v>
      </c>
      <c r="I173" s="178">
        <f>IF(L172&lt;0.01,0,Adm!$O$3)</f>
        <v>250</v>
      </c>
      <c r="J173" s="178">
        <f t="shared" si="58"/>
        <v>10629.209519199012</v>
      </c>
      <c r="K173" s="178">
        <f>IF(Adm!$F$3="si",MIN(L172+D173+G173+H173+I173-J173,Y173),0)</f>
        <v>0</v>
      </c>
      <c r="L173" s="178">
        <f t="shared" si="63"/>
        <v>621940.30336019036</v>
      </c>
      <c r="M173" s="348"/>
      <c r="N173" s="348"/>
      <c r="O173" s="348">
        <f t="shared" si="64"/>
        <v>10629.209519199012</v>
      </c>
      <c r="U173" s="571">
        <f t="shared" si="65"/>
        <v>5</v>
      </c>
      <c r="V173" s="293">
        <f>IF(U173=1,Adm!$AN$2,0)</f>
        <v>0</v>
      </c>
      <c r="X173" s="341">
        <f t="shared" si="72"/>
        <v>0</v>
      </c>
      <c r="Y173" s="345">
        <f t="shared" ca="1" si="66"/>
        <v>0</v>
      </c>
      <c r="AD173" s="172"/>
      <c r="AG173" s="151">
        <f t="shared" ca="1" si="59"/>
        <v>4</v>
      </c>
      <c r="AI173" s="178">
        <f t="shared" si="60"/>
        <v>0</v>
      </c>
      <c r="AJ173" s="178">
        <f t="shared" si="67"/>
        <v>0</v>
      </c>
      <c r="AK173" s="178">
        <f t="shared" si="78"/>
        <v>0</v>
      </c>
      <c r="AL173" s="178">
        <f t="shared" si="79"/>
        <v>0</v>
      </c>
      <c r="AM173" s="351">
        <f>IF(AS172&lt;0.01,0,IF(Resol!$G$19&gt;0,Resol!$G$19,IF(Resol!$F$19=Resol!$U$5,0,IF($AS$10=0,AS172*Adm!$Y$3,AS172*Adm!$X$3))))</f>
        <v>0</v>
      </c>
      <c r="AN173" s="351">
        <f>IF(AS172&lt;0.01,0,IF(Resol!$F$20=Resol!$V$3,0,IF(OR(Resol!$F$10=Resol!$T$16,Resol!$F$10=Resol!$T$17),0,IF(Resol!$F$10=Resol!$T$13,0,$AL$5*Adm!$AA$4/1.16))))</f>
        <v>0</v>
      </c>
      <c r="AO173" s="178">
        <f t="shared" si="73"/>
        <v>0</v>
      </c>
      <c r="AP173" s="178"/>
      <c r="AQ173" s="178">
        <f t="shared" si="61"/>
        <v>0</v>
      </c>
      <c r="AR173" s="178">
        <f t="shared" si="68"/>
        <v>0</v>
      </c>
      <c r="AS173" s="178">
        <f t="shared" si="75"/>
        <v>0</v>
      </c>
      <c r="AT173" s="348"/>
      <c r="AU173" s="348"/>
      <c r="AV173" s="176">
        <f t="shared" si="76"/>
        <v>0</v>
      </c>
      <c r="BB173" s="571">
        <f t="shared" si="69"/>
        <v>5</v>
      </c>
      <c r="BC173" s="293">
        <f>IF(BB173=1,Adm!$AN$2,0)</f>
        <v>0</v>
      </c>
      <c r="BE173" s="341">
        <f t="shared" si="74"/>
        <v>0</v>
      </c>
      <c r="BF173" s="345">
        <f t="shared" ca="1" si="70"/>
        <v>0</v>
      </c>
    </row>
    <row r="174" spans="1:58">
      <c r="A174" s="151">
        <f t="shared" ca="1" si="56"/>
        <v>5</v>
      </c>
      <c r="C174" s="178">
        <f t="shared" si="57"/>
        <v>150</v>
      </c>
      <c r="D174" s="178">
        <f t="shared" si="62"/>
        <v>4923.6940682681734</v>
      </c>
      <c r="E174" s="178">
        <f t="shared" si="77"/>
        <v>4691.6119867096995</v>
      </c>
      <c r="F174" s="178">
        <f t="shared" si="71"/>
        <v>9615.3060549778729</v>
      </c>
      <c r="G174" s="178">
        <f>IF(L173&lt;0.01,0,IF(Adm!$S$3=Adm!$S$13,Cal!$E$94,IF(Adm!$R$3=Adm!$R$6,0,IF(Cal!$E$91=0,L173*Adm!$Y$3,L173*Adm!$X$3))))</f>
        <v>267.43433044488182</v>
      </c>
      <c r="H174" s="178">
        <f>IF(L173&lt;0.01,0,IF(Adm!$R$4=Adm!$R$6,0,IF(Adm!$B$3=Adm!$B$12,0,Cal!$E$89*Adm!$AA$3/1.16)))</f>
        <v>494.46758620689661</v>
      </c>
      <c r="I174" s="178">
        <f>IF(L173&lt;0.01,0,Adm!$O$3)</f>
        <v>250</v>
      </c>
      <c r="J174" s="178">
        <f t="shared" si="58"/>
        <v>10627.20797162965</v>
      </c>
      <c r="K174" s="178">
        <f>IF(Adm!$F$3="si",MIN(L173+D174+G174+H174+I174-J174,Y174),0)</f>
        <v>0</v>
      </c>
      <c r="L174" s="178">
        <f t="shared" si="63"/>
        <v>617248.69137348072</v>
      </c>
      <c r="M174" s="348"/>
      <c r="N174" s="348"/>
      <c r="O174" s="348">
        <f t="shared" si="64"/>
        <v>10627.20797162965</v>
      </c>
      <c r="U174" s="571">
        <f t="shared" si="65"/>
        <v>6</v>
      </c>
      <c r="V174" s="293">
        <f>IF(U174=1,Adm!$AN$2,0)</f>
        <v>0</v>
      </c>
      <c r="X174" s="341">
        <f t="shared" si="72"/>
        <v>0</v>
      </c>
      <c r="Y174" s="345">
        <f t="shared" ca="1" si="66"/>
        <v>0</v>
      </c>
      <c r="AD174" s="172"/>
      <c r="AG174" s="151">
        <f t="shared" ca="1" si="59"/>
        <v>5</v>
      </c>
      <c r="AI174" s="178">
        <f t="shared" si="60"/>
        <v>0</v>
      </c>
      <c r="AJ174" s="178">
        <f t="shared" si="67"/>
        <v>0</v>
      </c>
      <c r="AK174" s="178">
        <f t="shared" si="78"/>
        <v>0</v>
      </c>
      <c r="AL174" s="178">
        <f t="shared" si="79"/>
        <v>0</v>
      </c>
      <c r="AM174" s="351">
        <f>IF(AS173&lt;0.01,0,IF(Resol!$G$19&gt;0,Resol!$G$19,IF(Resol!$F$19=Resol!$U$5,0,IF($AS$10=0,AS173*Adm!$Y$3,AS173*Adm!$X$3))))</f>
        <v>0</v>
      </c>
      <c r="AN174" s="351">
        <f>IF(AS173&lt;0.01,0,IF(Resol!$F$20=Resol!$V$3,0,IF(OR(Resol!$F$10=Resol!$T$16,Resol!$F$10=Resol!$T$17),0,IF(Resol!$F$10=Resol!$T$13,0,$AL$5*Adm!$AA$4/1.16))))</f>
        <v>0</v>
      </c>
      <c r="AO174" s="178">
        <f t="shared" si="73"/>
        <v>0</v>
      </c>
      <c r="AP174" s="178"/>
      <c r="AQ174" s="178">
        <f t="shared" si="61"/>
        <v>0</v>
      </c>
      <c r="AR174" s="178">
        <f t="shared" si="68"/>
        <v>0</v>
      </c>
      <c r="AS174" s="178">
        <f t="shared" si="75"/>
        <v>0</v>
      </c>
      <c r="AT174" s="348"/>
      <c r="AU174" s="348"/>
      <c r="AV174" s="176">
        <f t="shared" si="76"/>
        <v>0</v>
      </c>
      <c r="BB174" s="571">
        <f t="shared" si="69"/>
        <v>6</v>
      </c>
      <c r="BC174" s="293">
        <f>IF(BB174=1,Adm!$AN$2,0)</f>
        <v>0</v>
      </c>
      <c r="BE174" s="341">
        <f t="shared" si="74"/>
        <v>0</v>
      </c>
      <c r="BF174" s="345">
        <f t="shared" ca="1" si="70"/>
        <v>0</v>
      </c>
    </row>
    <row r="175" spans="1:58">
      <c r="A175" s="151">
        <f t="shared" ca="1" si="56"/>
        <v>6</v>
      </c>
      <c r="C175" s="178">
        <f t="shared" si="57"/>
        <v>151</v>
      </c>
      <c r="D175" s="178">
        <f t="shared" si="62"/>
        <v>4886.5521400400557</v>
      </c>
      <c r="E175" s="178">
        <f t="shared" si="77"/>
        <v>4728.7539149378172</v>
      </c>
      <c r="F175" s="178">
        <f t="shared" si="71"/>
        <v>9615.3060549778729</v>
      </c>
      <c r="G175" s="178">
        <f>IF(L174&lt;0.01,0,IF(Adm!$S$3=Adm!$S$13,Cal!$E$94,IF(Adm!$R$3=Adm!$R$6,0,IF(Cal!$E$91=0,L174*Adm!$Y$3,L174*Adm!$X$3))))</f>
        <v>265.41693729059671</v>
      </c>
      <c r="H175" s="178">
        <f>IF(L174&lt;0.01,0,IF(Adm!$R$4=Adm!$R$6,0,IF(Adm!$B$3=Adm!$B$12,0,Cal!$E$89*Adm!$AA$3/1.16)))</f>
        <v>494.46758620689661</v>
      </c>
      <c r="I175" s="178">
        <f>IF(L174&lt;0.01,0,Adm!$O$3)</f>
        <v>250</v>
      </c>
      <c r="J175" s="178">
        <f t="shared" si="58"/>
        <v>10625.190578475365</v>
      </c>
      <c r="K175" s="178">
        <f>IF(Adm!$F$3="si",MIN(L174+D175+G175+H175+I175-J175,Y175),0)</f>
        <v>0</v>
      </c>
      <c r="L175" s="178">
        <f t="shared" si="63"/>
        <v>612519.93745854287</v>
      </c>
      <c r="M175" s="348"/>
      <c r="N175" s="348"/>
      <c r="O175" s="348">
        <f t="shared" si="64"/>
        <v>10625.190578475365</v>
      </c>
      <c r="U175" s="571">
        <f t="shared" si="65"/>
        <v>7</v>
      </c>
      <c r="V175" s="293">
        <f>IF(U175=1,Adm!$AN$2,0)</f>
        <v>0</v>
      </c>
      <c r="X175" s="341">
        <f t="shared" si="72"/>
        <v>0</v>
      </c>
      <c r="Y175" s="345">
        <f t="shared" ca="1" si="66"/>
        <v>0</v>
      </c>
      <c r="AD175" s="172"/>
      <c r="AG175" s="151">
        <f t="shared" ca="1" si="59"/>
        <v>6</v>
      </c>
      <c r="AI175" s="178">
        <f t="shared" si="60"/>
        <v>0</v>
      </c>
      <c r="AJ175" s="178">
        <f t="shared" si="67"/>
        <v>0</v>
      </c>
      <c r="AK175" s="178">
        <f t="shared" si="78"/>
        <v>0</v>
      </c>
      <c r="AL175" s="178">
        <f t="shared" si="79"/>
        <v>0</v>
      </c>
      <c r="AM175" s="351">
        <f>IF(AS174&lt;0.01,0,IF(Resol!$G$19&gt;0,Resol!$G$19,IF(Resol!$F$19=Resol!$U$5,0,IF($AS$10=0,AS174*Adm!$Y$3,AS174*Adm!$X$3))))</f>
        <v>0</v>
      </c>
      <c r="AN175" s="351">
        <f>IF(AS174&lt;0.01,0,IF(Resol!$F$20=Resol!$V$3,0,IF(OR(Resol!$F$10=Resol!$T$16,Resol!$F$10=Resol!$T$17),0,IF(Resol!$F$10=Resol!$T$13,0,$AL$5*Adm!$AA$4/1.16))))</f>
        <v>0</v>
      </c>
      <c r="AO175" s="178">
        <f t="shared" si="73"/>
        <v>0</v>
      </c>
      <c r="AP175" s="178"/>
      <c r="AQ175" s="178">
        <f t="shared" si="61"/>
        <v>0</v>
      </c>
      <c r="AR175" s="178">
        <f t="shared" si="68"/>
        <v>0</v>
      </c>
      <c r="AS175" s="178">
        <f t="shared" si="75"/>
        <v>0</v>
      </c>
      <c r="AT175" s="348"/>
      <c r="AU175" s="348"/>
      <c r="AV175" s="176">
        <f t="shared" si="76"/>
        <v>0</v>
      </c>
      <c r="BB175" s="571">
        <f t="shared" si="69"/>
        <v>7</v>
      </c>
      <c r="BC175" s="293">
        <f>IF(BB175=1,Adm!$AN$2,0)</f>
        <v>0</v>
      </c>
      <c r="BE175" s="341">
        <f t="shared" si="74"/>
        <v>0</v>
      </c>
      <c r="BF175" s="345">
        <f t="shared" ca="1" si="70"/>
        <v>0</v>
      </c>
    </row>
    <row r="176" spans="1:58">
      <c r="A176" s="151">
        <f t="shared" ca="1" si="56"/>
        <v>7</v>
      </c>
      <c r="C176" s="178">
        <f t="shared" si="57"/>
        <v>152</v>
      </c>
      <c r="D176" s="178">
        <f t="shared" si="62"/>
        <v>4849.1161715467979</v>
      </c>
      <c r="E176" s="178">
        <f t="shared" si="77"/>
        <v>4766.189883431075</v>
      </c>
      <c r="F176" s="178">
        <f t="shared" si="71"/>
        <v>9615.3060549778729</v>
      </c>
      <c r="G176" s="178">
        <f>IF(L175&lt;0.01,0,IF(Adm!$S$3=Adm!$S$13,Cal!$E$94,IF(Adm!$R$3=Adm!$R$6,0,IF(Cal!$E$91=0,L175*Adm!$Y$3,L175*Adm!$X$3))))</f>
        <v>263.38357310717345</v>
      </c>
      <c r="H176" s="178">
        <f>IF(L175&lt;0.01,0,IF(Adm!$R$4=Adm!$R$6,0,IF(Adm!$B$3=Adm!$B$12,0,Cal!$E$89*Adm!$AA$3/1.16)))</f>
        <v>494.46758620689661</v>
      </c>
      <c r="I176" s="178">
        <f>IF(L175&lt;0.01,0,Adm!$O$3)</f>
        <v>250</v>
      </c>
      <c r="J176" s="178">
        <f t="shared" si="58"/>
        <v>10623.157214291943</v>
      </c>
      <c r="K176" s="178">
        <f>IF(Adm!$F$3="si",MIN(L175+D176+G176+H176+I176-J176,Y176),0)</f>
        <v>0</v>
      </c>
      <c r="L176" s="178">
        <f t="shared" si="63"/>
        <v>607753.7475751118</v>
      </c>
      <c r="M176" s="348"/>
      <c r="N176" s="348"/>
      <c r="O176" s="348">
        <f t="shared" si="64"/>
        <v>10623.157214291943</v>
      </c>
      <c r="U176" s="571">
        <f t="shared" si="65"/>
        <v>8</v>
      </c>
      <c r="V176" s="293">
        <f>IF(U176=1,Adm!$AN$2,0)</f>
        <v>0</v>
      </c>
      <c r="X176" s="341">
        <f t="shared" si="72"/>
        <v>0</v>
      </c>
      <c r="Y176" s="345">
        <f t="shared" ca="1" si="66"/>
        <v>0</v>
      </c>
      <c r="AD176" s="172"/>
      <c r="AG176" s="151">
        <f t="shared" ca="1" si="59"/>
        <v>7</v>
      </c>
      <c r="AI176" s="178">
        <f t="shared" si="60"/>
        <v>0</v>
      </c>
      <c r="AJ176" s="178">
        <f t="shared" si="67"/>
        <v>0</v>
      </c>
      <c r="AK176" s="178">
        <f t="shared" si="78"/>
        <v>0</v>
      </c>
      <c r="AL176" s="178">
        <f t="shared" si="79"/>
        <v>0</v>
      </c>
      <c r="AM176" s="351">
        <f>IF(AS175&lt;0.01,0,IF(Resol!$G$19&gt;0,Resol!$G$19,IF(Resol!$F$19=Resol!$U$5,0,IF($AS$10=0,AS175*Adm!$Y$3,AS175*Adm!$X$3))))</f>
        <v>0</v>
      </c>
      <c r="AN176" s="351">
        <f>IF(AS175&lt;0.01,0,IF(Resol!$F$20=Resol!$V$3,0,IF(OR(Resol!$F$10=Resol!$T$16,Resol!$F$10=Resol!$T$17),0,IF(Resol!$F$10=Resol!$T$13,0,$AL$5*Adm!$AA$4/1.16))))</f>
        <v>0</v>
      </c>
      <c r="AO176" s="178">
        <f t="shared" si="73"/>
        <v>0</v>
      </c>
      <c r="AP176" s="178"/>
      <c r="AQ176" s="178">
        <f t="shared" si="61"/>
        <v>0</v>
      </c>
      <c r="AR176" s="178">
        <f t="shared" si="68"/>
        <v>0</v>
      </c>
      <c r="AS176" s="178">
        <f t="shared" si="75"/>
        <v>0</v>
      </c>
      <c r="AT176" s="348"/>
      <c r="AU176" s="348"/>
      <c r="AV176" s="176">
        <f t="shared" si="76"/>
        <v>0</v>
      </c>
      <c r="BB176" s="571">
        <f t="shared" si="69"/>
        <v>8</v>
      </c>
      <c r="BC176" s="293">
        <f>IF(BB176=1,Adm!$AN$2,0)</f>
        <v>0</v>
      </c>
      <c r="BE176" s="341">
        <f t="shared" si="74"/>
        <v>0</v>
      </c>
      <c r="BF176" s="345">
        <f t="shared" ca="1" si="70"/>
        <v>0</v>
      </c>
    </row>
    <row r="177" spans="1:58">
      <c r="A177" s="151">
        <f t="shared" ca="1" si="56"/>
        <v>8</v>
      </c>
      <c r="C177" s="178">
        <f t="shared" si="57"/>
        <v>153</v>
      </c>
      <c r="D177" s="178">
        <f t="shared" si="62"/>
        <v>4811.3838349696352</v>
      </c>
      <c r="E177" s="178">
        <f t="shared" si="77"/>
        <v>4803.9222200082377</v>
      </c>
      <c r="F177" s="178">
        <f t="shared" si="71"/>
        <v>9615.3060549778729</v>
      </c>
      <c r="G177" s="178">
        <f>IF(L176&lt;0.01,0,IF(Adm!$S$3=Adm!$S$13,Cal!$E$94,IF(Adm!$R$3=Adm!$R$6,0,IF(Cal!$E$91=0,L176*Adm!$Y$3,L176*Adm!$X$3))))</f>
        <v>261.33411145729809</v>
      </c>
      <c r="H177" s="178">
        <f>IF(L176&lt;0.01,0,IF(Adm!$R$4=Adm!$R$6,0,IF(Adm!$B$3=Adm!$B$12,0,Cal!$E$89*Adm!$AA$3/1.16)))</f>
        <v>494.46758620689661</v>
      </c>
      <c r="I177" s="178">
        <f>IF(L176&lt;0.01,0,Adm!$O$3)</f>
        <v>250</v>
      </c>
      <c r="J177" s="178">
        <f t="shared" si="58"/>
        <v>10621.107752642067</v>
      </c>
      <c r="K177" s="178">
        <f>IF(Adm!$F$3="si",MIN(L176+D177+G177+H177+I177-J177,Y177),0)</f>
        <v>0</v>
      </c>
      <c r="L177" s="178">
        <f t="shared" si="63"/>
        <v>602949.82535510359</v>
      </c>
      <c r="M177" s="348"/>
      <c r="N177" s="348"/>
      <c r="O177" s="348">
        <f t="shared" si="64"/>
        <v>10621.107752642067</v>
      </c>
      <c r="U177" s="571">
        <f t="shared" si="65"/>
        <v>9</v>
      </c>
      <c r="V177" s="293">
        <f>IF(U177=1,Adm!$AN$2,0)</f>
        <v>0</v>
      </c>
      <c r="X177" s="341">
        <f t="shared" si="72"/>
        <v>0</v>
      </c>
      <c r="Y177" s="345">
        <f t="shared" ca="1" si="66"/>
        <v>0</v>
      </c>
      <c r="AD177" s="172"/>
      <c r="AG177" s="151">
        <f t="shared" ca="1" si="59"/>
        <v>8</v>
      </c>
      <c r="AI177" s="178">
        <f t="shared" si="60"/>
        <v>0</v>
      </c>
      <c r="AJ177" s="178">
        <f t="shared" si="67"/>
        <v>0</v>
      </c>
      <c r="AK177" s="178">
        <f t="shared" si="78"/>
        <v>0</v>
      </c>
      <c r="AL177" s="178">
        <f t="shared" si="79"/>
        <v>0</v>
      </c>
      <c r="AM177" s="351">
        <f>IF(AS176&lt;0.01,0,IF(Resol!$G$19&gt;0,Resol!$G$19,IF(Resol!$F$19=Resol!$U$5,0,IF($AS$10=0,AS176*Adm!$Y$3,AS176*Adm!$X$3))))</f>
        <v>0</v>
      </c>
      <c r="AN177" s="351">
        <f>IF(AS176&lt;0.01,0,IF(Resol!$F$20=Resol!$V$3,0,IF(OR(Resol!$F$10=Resol!$T$16,Resol!$F$10=Resol!$T$17),0,IF(Resol!$F$10=Resol!$T$13,0,$AL$5*Adm!$AA$4/1.16))))</f>
        <v>0</v>
      </c>
      <c r="AO177" s="178">
        <f t="shared" si="73"/>
        <v>0</v>
      </c>
      <c r="AP177" s="178"/>
      <c r="AQ177" s="178">
        <f t="shared" si="61"/>
        <v>0</v>
      </c>
      <c r="AR177" s="178">
        <f t="shared" si="68"/>
        <v>0</v>
      </c>
      <c r="AS177" s="178">
        <f t="shared" si="75"/>
        <v>0</v>
      </c>
      <c r="AT177" s="348"/>
      <c r="AU177" s="348"/>
      <c r="AV177" s="176">
        <f t="shared" si="76"/>
        <v>0</v>
      </c>
      <c r="BB177" s="571">
        <f t="shared" si="69"/>
        <v>9</v>
      </c>
      <c r="BC177" s="293">
        <f>IF(BB177=1,Adm!$AN$2,0)</f>
        <v>0</v>
      </c>
      <c r="BE177" s="341">
        <f t="shared" si="74"/>
        <v>0</v>
      </c>
      <c r="BF177" s="345">
        <f t="shared" ca="1" si="70"/>
        <v>0</v>
      </c>
    </row>
    <row r="178" spans="1:58">
      <c r="A178" s="151">
        <f t="shared" ca="1" si="56"/>
        <v>9</v>
      </c>
      <c r="C178" s="178">
        <f t="shared" si="57"/>
        <v>154</v>
      </c>
      <c r="D178" s="178">
        <f t="shared" si="62"/>
        <v>4773.3527840612369</v>
      </c>
      <c r="E178" s="178">
        <f t="shared" si="77"/>
        <v>4841.953270916636</v>
      </c>
      <c r="F178" s="178">
        <f t="shared" si="71"/>
        <v>9615.3060549778729</v>
      </c>
      <c r="G178" s="178">
        <f>IF(L177&lt;0.01,0,IF(Adm!$S$3=Adm!$S$13,Cal!$E$94,IF(Adm!$R$3=Adm!$R$6,0,IF(Cal!$E$91=0,L177*Adm!$Y$3,L177*Adm!$X$3))))</f>
        <v>259.26842490269456</v>
      </c>
      <c r="H178" s="178">
        <f>IF(L177&lt;0.01,0,IF(Adm!$R$4=Adm!$R$6,0,IF(Adm!$B$3=Adm!$B$12,0,Cal!$E$89*Adm!$AA$3/1.16)))</f>
        <v>494.46758620689661</v>
      </c>
      <c r="I178" s="178">
        <f>IF(L177&lt;0.01,0,Adm!$O$3)</f>
        <v>250</v>
      </c>
      <c r="J178" s="178">
        <f t="shared" si="58"/>
        <v>10619.042066087464</v>
      </c>
      <c r="K178" s="178">
        <f>IF(Adm!$F$3="si",MIN(L177+D178+G178+H178+I178-J178,Y178),0)</f>
        <v>0</v>
      </c>
      <c r="L178" s="178">
        <f t="shared" si="63"/>
        <v>598107.87208418699</v>
      </c>
      <c r="M178" s="348"/>
      <c r="N178" s="348"/>
      <c r="O178" s="348">
        <f t="shared" si="64"/>
        <v>10619.042066087464</v>
      </c>
      <c r="U178" s="571">
        <f t="shared" si="65"/>
        <v>10</v>
      </c>
      <c r="V178" s="293">
        <f>IF(U178=1,Adm!$AN$2,0)</f>
        <v>0</v>
      </c>
      <c r="X178" s="341">
        <f t="shared" si="72"/>
        <v>0</v>
      </c>
      <c r="Y178" s="345">
        <f t="shared" ca="1" si="66"/>
        <v>0</v>
      </c>
      <c r="AD178" s="172"/>
      <c r="AG178" s="151">
        <f t="shared" ca="1" si="59"/>
        <v>9</v>
      </c>
      <c r="AI178" s="178">
        <f t="shared" si="60"/>
        <v>0</v>
      </c>
      <c r="AJ178" s="178">
        <f t="shared" si="67"/>
        <v>0</v>
      </c>
      <c r="AK178" s="178">
        <f t="shared" si="78"/>
        <v>0</v>
      </c>
      <c r="AL178" s="178">
        <f t="shared" si="79"/>
        <v>0</v>
      </c>
      <c r="AM178" s="351">
        <f>IF(AS177&lt;0.01,0,IF(Resol!$G$19&gt;0,Resol!$G$19,IF(Resol!$F$19=Resol!$U$5,0,IF($AS$10=0,AS177*Adm!$Y$3,AS177*Adm!$X$3))))</f>
        <v>0</v>
      </c>
      <c r="AN178" s="351">
        <f>IF(AS177&lt;0.01,0,IF(Resol!$F$20=Resol!$V$3,0,IF(OR(Resol!$F$10=Resol!$T$16,Resol!$F$10=Resol!$T$17),0,IF(Resol!$F$10=Resol!$T$13,0,$AL$5*Adm!$AA$4/1.16))))</f>
        <v>0</v>
      </c>
      <c r="AO178" s="178">
        <f t="shared" si="73"/>
        <v>0</v>
      </c>
      <c r="AP178" s="178"/>
      <c r="AQ178" s="178">
        <f t="shared" si="61"/>
        <v>0</v>
      </c>
      <c r="AR178" s="178">
        <f t="shared" si="68"/>
        <v>0</v>
      </c>
      <c r="AS178" s="178">
        <f t="shared" si="75"/>
        <v>0</v>
      </c>
      <c r="AT178" s="348"/>
      <c r="AU178" s="348"/>
      <c r="AV178" s="176">
        <f t="shared" si="76"/>
        <v>0</v>
      </c>
      <c r="BB178" s="571">
        <f t="shared" si="69"/>
        <v>10</v>
      </c>
      <c r="BC178" s="293">
        <f>IF(BB178=1,Adm!$AN$2,0)</f>
        <v>0</v>
      </c>
      <c r="BE178" s="341">
        <f t="shared" si="74"/>
        <v>0</v>
      </c>
      <c r="BF178" s="345">
        <f t="shared" ca="1" si="70"/>
        <v>0</v>
      </c>
    </row>
    <row r="179" spans="1:58">
      <c r="A179" s="151">
        <f t="shared" ca="1" si="56"/>
        <v>10</v>
      </c>
      <c r="C179" s="178">
        <f t="shared" si="57"/>
        <v>155</v>
      </c>
      <c r="D179" s="178">
        <f t="shared" si="62"/>
        <v>4735.0206539998135</v>
      </c>
      <c r="E179" s="178">
        <f t="shared" si="77"/>
        <v>4880.2854009780594</v>
      </c>
      <c r="F179" s="178">
        <f t="shared" si="71"/>
        <v>9615.3060549778729</v>
      </c>
      <c r="G179" s="178">
        <f>IF(L178&lt;0.01,0,IF(Adm!$S$3=Adm!$S$13,Cal!$E$94,IF(Adm!$R$3=Adm!$R$6,0,IF(Cal!$E$91=0,L178*Adm!$Y$3,L178*Adm!$X$3))))</f>
        <v>257.18638499620039</v>
      </c>
      <c r="H179" s="178">
        <f>IF(L178&lt;0.01,0,IF(Adm!$R$4=Adm!$R$6,0,IF(Adm!$B$3=Adm!$B$12,0,Cal!$E$89*Adm!$AA$3/1.16)))</f>
        <v>494.46758620689661</v>
      </c>
      <c r="I179" s="178">
        <f>IF(L178&lt;0.01,0,Adm!$O$3)</f>
        <v>250</v>
      </c>
      <c r="J179" s="178">
        <f t="shared" si="58"/>
        <v>10616.96002618097</v>
      </c>
      <c r="K179" s="178">
        <f>IF(Adm!$F$3="si",MIN(L178+D179+G179+H179+I179-J179,Y179),0)</f>
        <v>0</v>
      </c>
      <c r="L179" s="178">
        <f t="shared" si="63"/>
        <v>593227.58668320894</v>
      </c>
      <c r="M179" s="348"/>
      <c r="N179" s="348"/>
      <c r="O179" s="348">
        <f t="shared" si="64"/>
        <v>10616.96002618097</v>
      </c>
      <c r="U179" s="571">
        <f t="shared" si="65"/>
        <v>11</v>
      </c>
      <c r="V179" s="293">
        <f>IF(U179=1,Adm!$AN$2,0)</f>
        <v>0</v>
      </c>
      <c r="X179" s="341">
        <f t="shared" si="72"/>
        <v>0</v>
      </c>
      <c r="Y179" s="345">
        <f t="shared" ca="1" si="66"/>
        <v>0</v>
      </c>
      <c r="AD179" s="172"/>
      <c r="AG179" s="151">
        <f t="shared" ca="1" si="59"/>
        <v>10</v>
      </c>
      <c r="AI179" s="178">
        <f t="shared" si="60"/>
        <v>0</v>
      </c>
      <c r="AJ179" s="178">
        <f t="shared" si="67"/>
        <v>0</v>
      </c>
      <c r="AK179" s="178">
        <f t="shared" si="78"/>
        <v>0</v>
      </c>
      <c r="AL179" s="178">
        <f t="shared" si="79"/>
        <v>0</v>
      </c>
      <c r="AM179" s="351">
        <f>IF(AS178&lt;0.01,0,IF(Resol!$G$19&gt;0,Resol!$G$19,IF(Resol!$F$19=Resol!$U$5,0,IF($AS$10=0,AS178*Adm!$Y$3,AS178*Adm!$X$3))))</f>
        <v>0</v>
      </c>
      <c r="AN179" s="351">
        <f>IF(AS178&lt;0.01,0,IF(Resol!$F$20=Resol!$V$3,0,IF(OR(Resol!$F$10=Resol!$T$16,Resol!$F$10=Resol!$T$17),0,IF(Resol!$F$10=Resol!$T$13,0,$AL$5*Adm!$AA$4/1.16))))</f>
        <v>0</v>
      </c>
      <c r="AO179" s="178">
        <f t="shared" si="73"/>
        <v>0</v>
      </c>
      <c r="AP179" s="178"/>
      <c r="AQ179" s="178">
        <f t="shared" si="61"/>
        <v>0</v>
      </c>
      <c r="AR179" s="178">
        <f t="shared" si="68"/>
        <v>0</v>
      </c>
      <c r="AS179" s="178">
        <f t="shared" si="75"/>
        <v>0</v>
      </c>
      <c r="AT179" s="348"/>
      <c r="AU179" s="348"/>
      <c r="AV179" s="176">
        <f t="shared" si="76"/>
        <v>0</v>
      </c>
      <c r="BB179" s="571">
        <f t="shared" si="69"/>
        <v>11</v>
      </c>
      <c r="BC179" s="293">
        <f>IF(BB179=1,Adm!$AN$2,0)</f>
        <v>0</v>
      </c>
      <c r="BE179" s="341">
        <f t="shared" si="74"/>
        <v>0</v>
      </c>
      <c r="BF179" s="345">
        <f t="shared" ca="1" si="70"/>
        <v>0</v>
      </c>
    </row>
    <row r="180" spans="1:58">
      <c r="A180" s="151">
        <f t="shared" ca="1" si="56"/>
        <v>11</v>
      </c>
      <c r="C180" s="178">
        <f t="shared" si="57"/>
        <v>156</v>
      </c>
      <c r="D180" s="178">
        <f t="shared" si="62"/>
        <v>4696.3850612420711</v>
      </c>
      <c r="E180" s="178">
        <f t="shared" si="77"/>
        <v>4918.9209937358019</v>
      </c>
      <c r="F180" s="178">
        <f t="shared" si="71"/>
        <v>9615.3060549778729</v>
      </c>
      <c r="G180" s="178">
        <f>IF(L179&lt;0.01,0,IF(Adm!$S$3=Adm!$S$13,Cal!$E$94,IF(Adm!$R$3=Adm!$R$6,0,IF(Cal!$E$91=0,L179*Adm!$Y$3,L179*Adm!$X$3))))</f>
        <v>255.08786227377985</v>
      </c>
      <c r="H180" s="178">
        <f>IF(L179&lt;0.01,0,IF(Adm!$R$4=Adm!$R$6,0,IF(Adm!$B$3=Adm!$B$12,0,Cal!$E$89*Adm!$AA$3/1.16)))</f>
        <v>494.46758620689661</v>
      </c>
      <c r="I180" s="178">
        <f>IF(L179&lt;0.01,0,Adm!$O$3)</f>
        <v>250</v>
      </c>
      <c r="J180" s="178">
        <f t="shared" si="58"/>
        <v>10614.861503458549</v>
      </c>
      <c r="K180" s="178">
        <f>IF(Adm!$F$3="si",MIN(L179+D180+G180+H180+I180-J180,Y180),0)</f>
        <v>0</v>
      </c>
      <c r="L180" s="178">
        <f t="shared" si="63"/>
        <v>588308.66568947316</v>
      </c>
      <c r="M180" s="348"/>
      <c r="N180" s="348"/>
      <c r="O180" s="348">
        <f t="shared" si="64"/>
        <v>10614.861503458549</v>
      </c>
      <c r="U180" s="571">
        <f t="shared" si="65"/>
        <v>12</v>
      </c>
      <c r="V180" s="293">
        <f>IF(U180=1,Adm!$AN$2,0)</f>
        <v>0</v>
      </c>
      <c r="X180" s="341">
        <f t="shared" si="72"/>
        <v>0</v>
      </c>
      <c r="Y180" s="345">
        <f t="shared" ca="1" si="66"/>
        <v>0</v>
      </c>
      <c r="AD180" s="172"/>
      <c r="AG180" s="151">
        <f t="shared" ca="1" si="59"/>
        <v>11</v>
      </c>
      <c r="AI180" s="178">
        <f t="shared" si="60"/>
        <v>0</v>
      </c>
      <c r="AJ180" s="178">
        <f t="shared" si="67"/>
        <v>0</v>
      </c>
      <c r="AK180" s="178">
        <f t="shared" si="78"/>
        <v>0</v>
      </c>
      <c r="AL180" s="178">
        <f t="shared" si="79"/>
        <v>0</v>
      </c>
      <c r="AM180" s="351">
        <f>IF(AS179&lt;0.01,0,IF(Resol!$G$19&gt;0,Resol!$G$19,IF(Resol!$F$19=Resol!$U$5,0,IF($AS$10=0,AS179*Adm!$Y$3,AS179*Adm!$X$3))))</f>
        <v>0</v>
      </c>
      <c r="AN180" s="351">
        <f>IF(AS179&lt;0.01,0,IF(Resol!$F$20=Resol!$V$3,0,IF(OR(Resol!$F$10=Resol!$T$16,Resol!$F$10=Resol!$T$17),0,IF(Resol!$F$10=Resol!$T$13,0,$AL$5*Adm!$AA$4/1.16))))</f>
        <v>0</v>
      </c>
      <c r="AO180" s="178">
        <f t="shared" si="73"/>
        <v>0</v>
      </c>
      <c r="AP180" s="178"/>
      <c r="AQ180" s="178">
        <f t="shared" si="61"/>
        <v>0</v>
      </c>
      <c r="AR180" s="178">
        <f t="shared" si="68"/>
        <v>0</v>
      </c>
      <c r="AS180" s="178">
        <f t="shared" si="75"/>
        <v>0</v>
      </c>
      <c r="AT180" s="348"/>
      <c r="AU180" s="348"/>
      <c r="AV180" s="176">
        <f t="shared" si="76"/>
        <v>0</v>
      </c>
      <c r="BB180" s="571">
        <f t="shared" si="69"/>
        <v>12</v>
      </c>
      <c r="BC180" s="293">
        <f>IF(BB180=1,Adm!$AN$2,0)</f>
        <v>0</v>
      </c>
      <c r="BE180" s="341">
        <f t="shared" si="74"/>
        <v>0</v>
      </c>
      <c r="BF180" s="345">
        <f t="shared" ca="1" si="70"/>
        <v>0</v>
      </c>
    </row>
    <row r="181" spans="1:58">
      <c r="A181" s="151">
        <f t="shared" ca="1" si="56"/>
        <v>12</v>
      </c>
      <c r="C181" s="178">
        <f t="shared" si="57"/>
        <v>157</v>
      </c>
      <c r="D181" s="178">
        <f t="shared" si="62"/>
        <v>4657.4436033749962</v>
      </c>
      <c r="E181" s="178">
        <f t="shared" si="77"/>
        <v>4957.8624516028767</v>
      </c>
      <c r="F181" s="178">
        <f t="shared" si="71"/>
        <v>9615.3060549778729</v>
      </c>
      <c r="G181" s="178">
        <f>IF(L180&lt;0.01,0,IF(Adm!$S$3=Adm!$S$13,Cal!$E$94,IF(Adm!$R$3=Adm!$R$6,0,IF(Cal!$E$91=0,L180*Adm!$Y$3,L180*Adm!$X$3))))</f>
        <v>252.97272624647346</v>
      </c>
      <c r="H181" s="178">
        <f>IF(L180&lt;0.01,0,IF(Adm!$R$4=Adm!$R$6,0,IF(Adm!$B$3=Adm!$B$12,0,Cal!$E$89*Adm!$AA$3/1.16)))</f>
        <v>494.46758620689661</v>
      </c>
      <c r="I181" s="178">
        <f>IF(L180&lt;0.01,0,Adm!$O$3)</f>
        <v>250</v>
      </c>
      <c r="J181" s="178">
        <f t="shared" si="58"/>
        <v>10612.746367431242</v>
      </c>
      <c r="K181" s="178">
        <f>IF(Adm!$F$3="si",MIN(L180+D181+G181+H181+I181-J181,Y181),0)</f>
        <v>0</v>
      </c>
      <c r="L181" s="178">
        <f t="shared" si="63"/>
        <v>583350.80323787034</v>
      </c>
      <c r="M181" s="348"/>
      <c r="N181" s="348"/>
      <c r="O181" s="348">
        <f t="shared" si="64"/>
        <v>10612.746367431242</v>
      </c>
      <c r="U181" s="571">
        <f t="shared" si="65"/>
        <v>1</v>
      </c>
      <c r="V181" s="293">
        <f>IF(U181=1,Adm!$AN$2,0)</f>
        <v>0</v>
      </c>
      <c r="X181" s="341">
        <f t="shared" si="72"/>
        <v>0</v>
      </c>
      <c r="Y181" s="345">
        <f t="shared" ca="1" si="66"/>
        <v>0</v>
      </c>
      <c r="AD181" s="172"/>
      <c r="AG181" s="151">
        <f t="shared" ca="1" si="59"/>
        <v>12</v>
      </c>
      <c r="AI181" s="178">
        <f t="shared" si="60"/>
        <v>0</v>
      </c>
      <c r="AJ181" s="178">
        <f t="shared" si="67"/>
        <v>0</v>
      </c>
      <c r="AK181" s="178">
        <f t="shared" si="78"/>
        <v>0</v>
      </c>
      <c r="AL181" s="178">
        <f t="shared" si="79"/>
        <v>0</v>
      </c>
      <c r="AM181" s="351">
        <f>IF(AS180&lt;0.01,0,IF(Resol!$G$19&gt;0,Resol!$G$19,IF(Resol!$F$19=Resol!$U$5,0,IF($AS$10=0,AS180*Adm!$Y$3,AS180*Adm!$X$3))))</f>
        <v>0</v>
      </c>
      <c r="AN181" s="351">
        <f>IF(AS180&lt;0.01,0,IF(Resol!$F$20=Resol!$V$3,0,IF(OR(Resol!$F$10=Resol!$T$16,Resol!$F$10=Resol!$T$17),0,IF(Resol!$F$10=Resol!$T$13,0,$AL$5*Adm!$AA$4/1.16))))</f>
        <v>0</v>
      </c>
      <c r="AO181" s="178">
        <f t="shared" si="73"/>
        <v>0</v>
      </c>
      <c r="AP181" s="178"/>
      <c r="AQ181" s="178">
        <f t="shared" si="61"/>
        <v>0</v>
      </c>
      <c r="AR181" s="178">
        <f t="shared" si="68"/>
        <v>0</v>
      </c>
      <c r="AS181" s="178">
        <f t="shared" si="75"/>
        <v>0</v>
      </c>
      <c r="AT181" s="348"/>
      <c r="AU181" s="348"/>
      <c r="AV181" s="176">
        <f t="shared" si="76"/>
        <v>0</v>
      </c>
      <c r="BB181" s="571">
        <f t="shared" si="69"/>
        <v>1</v>
      </c>
      <c r="BC181" s="293">
        <f>IF(BB181=1,Adm!$AN$2,0)</f>
        <v>0</v>
      </c>
      <c r="BE181" s="341">
        <f t="shared" si="74"/>
        <v>0</v>
      </c>
      <c r="BF181" s="345">
        <f t="shared" ca="1" si="70"/>
        <v>0</v>
      </c>
    </row>
    <row r="182" spans="1:58">
      <c r="A182" s="151">
        <f t="shared" ca="1" si="56"/>
        <v>1</v>
      </c>
      <c r="C182" s="178">
        <f t="shared" si="57"/>
        <v>158</v>
      </c>
      <c r="D182" s="178">
        <f t="shared" si="62"/>
        <v>4618.1938589664733</v>
      </c>
      <c r="E182" s="178">
        <f t="shared" si="77"/>
        <v>4997.1121960113996</v>
      </c>
      <c r="F182" s="178">
        <f t="shared" si="71"/>
        <v>9615.3060549778729</v>
      </c>
      <c r="G182" s="178">
        <f>IF(L181&lt;0.01,0,IF(Adm!$S$3=Adm!$S$13,Cal!$E$94,IF(Adm!$R$3=Adm!$R$6,0,IF(Cal!$E$91=0,L181*Adm!$Y$3,L181*Adm!$X$3))))</f>
        <v>250.84084539228425</v>
      </c>
      <c r="H182" s="178">
        <f>IF(L181&lt;0.01,0,IF(Adm!$R$4=Adm!$R$6,0,IF(Adm!$B$3=Adm!$B$12,0,Cal!$E$89*Adm!$AA$3/1.16)))</f>
        <v>494.46758620689661</v>
      </c>
      <c r="I182" s="178">
        <f>IF(L181&lt;0.01,0,Adm!$O$3)</f>
        <v>250</v>
      </c>
      <c r="J182" s="178">
        <f t="shared" si="58"/>
        <v>10610.614486577053</v>
      </c>
      <c r="K182" s="178">
        <f>IF(Adm!$F$3="si",MIN(L181+D182+G182+H182+I182-J182,Y182),0)</f>
        <v>0</v>
      </c>
      <c r="L182" s="178">
        <f t="shared" si="63"/>
        <v>578353.69104185898</v>
      </c>
      <c r="M182" s="348"/>
      <c r="N182" s="348"/>
      <c r="O182" s="348">
        <f t="shared" si="64"/>
        <v>10610.614486577053</v>
      </c>
      <c r="U182" s="571">
        <f t="shared" si="65"/>
        <v>2</v>
      </c>
      <c r="V182" s="293">
        <f>IF(U182=1,Adm!$AN$2,0)</f>
        <v>0</v>
      </c>
      <c r="X182" s="341">
        <f t="shared" si="72"/>
        <v>0</v>
      </c>
      <c r="Y182" s="345">
        <f t="shared" ca="1" si="66"/>
        <v>0</v>
      </c>
      <c r="AD182" s="172"/>
      <c r="AG182" s="151">
        <f t="shared" ca="1" si="59"/>
        <v>1</v>
      </c>
      <c r="AI182" s="178">
        <f t="shared" si="60"/>
        <v>0</v>
      </c>
      <c r="AJ182" s="178">
        <f t="shared" si="67"/>
        <v>0</v>
      </c>
      <c r="AK182" s="178">
        <f t="shared" si="78"/>
        <v>0</v>
      </c>
      <c r="AL182" s="178">
        <f t="shared" si="79"/>
        <v>0</v>
      </c>
      <c r="AM182" s="351">
        <f>IF(AS181&lt;0.01,0,IF(Resol!$G$19&gt;0,Resol!$G$19,IF(Resol!$F$19=Resol!$U$5,0,IF($AS$10=0,AS181*Adm!$Y$3,AS181*Adm!$X$3))))</f>
        <v>0</v>
      </c>
      <c r="AN182" s="351">
        <f>IF(AS181&lt;0.01,0,IF(Resol!$F$20=Resol!$V$3,0,IF(OR(Resol!$F$10=Resol!$T$16,Resol!$F$10=Resol!$T$17),0,IF(Resol!$F$10=Resol!$T$13,0,$AL$5*Adm!$AA$4/1.16))))</f>
        <v>0</v>
      </c>
      <c r="AO182" s="178">
        <f t="shared" si="73"/>
        <v>0</v>
      </c>
      <c r="AP182" s="178"/>
      <c r="AQ182" s="178">
        <f t="shared" si="61"/>
        <v>0</v>
      </c>
      <c r="AR182" s="178">
        <f t="shared" si="68"/>
        <v>0</v>
      </c>
      <c r="AS182" s="178">
        <f t="shared" si="75"/>
        <v>0</v>
      </c>
      <c r="AT182" s="348"/>
      <c r="AU182" s="348"/>
      <c r="AV182" s="176">
        <f t="shared" si="76"/>
        <v>0</v>
      </c>
      <c r="BB182" s="571">
        <f t="shared" si="69"/>
        <v>2</v>
      </c>
      <c r="BC182" s="293">
        <f>IF(BB182=1,Adm!$AN$2,0)</f>
        <v>0</v>
      </c>
      <c r="BE182" s="341">
        <f t="shared" si="74"/>
        <v>0</v>
      </c>
      <c r="BF182" s="345">
        <f t="shared" ca="1" si="70"/>
        <v>0</v>
      </c>
    </row>
    <row r="183" spans="1:58">
      <c r="A183" s="151">
        <f t="shared" ca="1" si="56"/>
        <v>2</v>
      </c>
      <c r="C183" s="178">
        <f t="shared" si="57"/>
        <v>159</v>
      </c>
      <c r="D183" s="178">
        <f t="shared" si="62"/>
        <v>4578.6333874147167</v>
      </c>
      <c r="E183" s="178">
        <f t="shared" si="77"/>
        <v>5036.6726675631562</v>
      </c>
      <c r="F183" s="178">
        <f t="shared" si="71"/>
        <v>9615.3060549778729</v>
      </c>
      <c r="G183" s="178">
        <f>IF(L182&lt;0.01,0,IF(Adm!$S$3=Adm!$S$13,Cal!$E$94,IF(Adm!$R$3=Adm!$R$6,0,IF(Cal!$E$91=0,L182*Adm!$Y$3,L182*Adm!$X$3))))</f>
        <v>248.69208714799936</v>
      </c>
      <c r="H183" s="178">
        <f>IF(L182&lt;0.01,0,IF(Adm!$R$4=Adm!$R$6,0,IF(Adm!$B$3=Adm!$B$12,0,Cal!$E$89*Adm!$AA$3/1.16)))</f>
        <v>494.46758620689661</v>
      </c>
      <c r="I183" s="178">
        <f>IF(L182&lt;0.01,0,Adm!$O$3)</f>
        <v>250</v>
      </c>
      <c r="J183" s="178">
        <f t="shared" si="58"/>
        <v>10608.465728332769</v>
      </c>
      <c r="K183" s="178">
        <f>IF(Adm!$F$3="si",MIN(L182+D183+G183+H183+I183-J183,Y183),0)</f>
        <v>0</v>
      </c>
      <c r="L183" s="178">
        <f t="shared" si="63"/>
        <v>573317.01837429579</v>
      </c>
      <c r="M183" s="348"/>
      <c r="N183" s="348"/>
      <c r="O183" s="348">
        <f t="shared" si="64"/>
        <v>10608.465728332769</v>
      </c>
      <c r="U183" s="571">
        <f t="shared" si="65"/>
        <v>3</v>
      </c>
      <c r="V183" s="293">
        <f>IF(U183=1,Adm!$AN$2,0)</f>
        <v>0</v>
      </c>
      <c r="X183" s="341">
        <f t="shared" si="72"/>
        <v>0</v>
      </c>
      <c r="Y183" s="345">
        <f t="shared" ca="1" si="66"/>
        <v>0</v>
      </c>
      <c r="AD183" s="172"/>
      <c r="AG183" s="151">
        <f t="shared" ca="1" si="59"/>
        <v>2</v>
      </c>
      <c r="AI183" s="178">
        <f t="shared" si="60"/>
        <v>0</v>
      </c>
      <c r="AJ183" s="178">
        <f t="shared" si="67"/>
        <v>0</v>
      </c>
      <c r="AK183" s="178">
        <f t="shared" si="78"/>
        <v>0</v>
      </c>
      <c r="AL183" s="178">
        <f t="shared" si="79"/>
        <v>0</v>
      </c>
      <c r="AM183" s="351">
        <f>IF(AS182&lt;0.01,0,IF(Resol!$G$19&gt;0,Resol!$G$19,IF(Resol!$F$19=Resol!$U$5,0,IF($AS$10=0,AS182*Adm!$Y$3,AS182*Adm!$X$3))))</f>
        <v>0</v>
      </c>
      <c r="AN183" s="351">
        <f>IF(AS182&lt;0.01,0,IF(Resol!$F$20=Resol!$V$3,0,IF(OR(Resol!$F$10=Resol!$T$16,Resol!$F$10=Resol!$T$17),0,IF(Resol!$F$10=Resol!$T$13,0,$AL$5*Adm!$AA$4/1.16))))</f>
        <v>0</v>
      </c>
      <c r="AO183" s="178">
        <f t="shared" si="73"/>
        <v>0</v>
      </c>
      <c r="AP183" s="178"/>
      <c r="AQ183" s="178">
        <f t="shared" si="61"/>
        <v>0</v>
      </c>
      <c r="AR183" s="178">
        <f t="shared" si="68"/>
        <v>0</v>
      </c>
      <c r="AS183" s="178">
        <f t="shared" si="75"/>
        <v>0</v>
      </c>
      <c r="AT183" s="348"/>
      <c r="AU183" s="348"/>
      <c r="AV183" s="176">
        <f t="shared" si="76"/>
        <v>0</v>
      </c>
      <c r="BB183" s="571">
        <f t="shared" si="69"/>
        <v>3</v>
      </c>
      <c r="BC183" s="293">
        <f>IF(BB183=1,Adm!$AN$2,0)</f>
        <v>0</v>
      </c>
      <c r="BE183" s="341">
        <f t="shared" si="74"/>
        <v>0</v>
      </c>
      <c r="BF183" s="345">
        <f t="shared" ca="1" si="70"/>
        <v>0</v>
      </c>
    </row>
    <row r="184" spans="1:58">
      <c r="A184" s="151">
        <f t="shared" ca="1" si="56"/>
        <v>3</v>
      </c>
      <c r="C184" s="178">
        <f t="shared" si="57"/>
        <v>160</v>
      </c>
      <c r="D184" s="178">
        <f t="shared" si="62"/>
        <v>4538.7597287965082</v>
      </c>
      <c r="E184" s="178">
        <f t="shared" si="77"/>
        <v>5076.5463261813647</v>
      </c>
      <c r="F184" s="178">
        <f t="shared" si="71"/>
        <v>9615.3060549778729</v>
      </c>
      <c r="G184" s="178">
        <f>IF(L183&lt;0.01,0,IF(Adm!$S$3=Adm!$S$13,Cal!$E$94,IF(Adm!$R$3=Adm!$R$6,0,IF(Cal!$E$91=0,L183*Adm!$Y$3,L183*Adm!$X$3))))</f>
        <v>246.52631790094719</v>
      </c>
      <c r="H184" s="178">
        <f>IF(L183&lt;0.01,0,IF(Adm!$R$4=Adm!$R$6,0,IF(Adm!$B$3=Adm!$B$12,0,Cal!$E$89*Adm!$AA$3/1.16)))</f>
        <v>494.46758620689661</v>
      </c>
      <c r="I184" s="178">
        <f>IF(L183&lt;0.01,0,Adm!$O$3)</f>
        <v>250</v>
      </c>
      <c r="J184" s="178">
        <f t="shared" si="58"/>
        <v>10606.299959085716</v>
      </c>
      <c r="K184" s="178">
        <f>IF(Adm!$F$3="si",MIN(L183+D184+G184+H184+I184-J184,Y184),0)</f>
        <v>0</v>
      </c>
      <c r="L184" s="178">
        <f t="shared" si="63"/>
        <v>568240.4720481144</v>
      </c>
      <c r="M184" s="348"/>
      <c r="N184" s="348"/>
      <c r="O184" s="348">
        <f t="shared" si="64"/>
        <v>10606.299959085716</v>
      </c>
      <c r="U184" s="571">
        <f t="shared" si="65"/>
        <v>4</v>
      </c>
      <c r="V184" s="293">
        <f>IF(U184=1,Adm!$AN$2,0)</f>
        <v>0</v>
      </c>
      <c r="X184" s="341">
        <f t="shared" si="72"/>
        <v>0</v>
      </c>
      <c r="Y184" s="345">
        <f t="shared" ca="1" si="66"/>
        <v>0</v>
      </c>
      <c r="AD184" s="172"/>
      <c r="AG184" s="151">
        <f t="shared" ca="1" si="59"/>
        <v>3</v>
      </c>
      <c r="AI184" s="178">
        <f t="shared" si="60"/>
        <v>0</v>
      </c>
      <c r="AJ184" s="178">
        <f t="shared" si="67"/>
        <v>0</v>
      </c>
      <c r="AK184" s="178">
        <f t="shared" si="78"/>
        <v>0</v>
      </c>
      <c r="AL184" s="178">
        <f t="shared" si="79"/>
        <v>0</v>
      </c>
      <c r="AM184" s="351">
        <f>IF(AS183&lt;0.01,0,IF(Resol!$G$19&gt;0,Resol!$G$19,IF(Resol!$F$19=Resol!$U$5,0,IF($AS$10=0,AS183*Adm!$Y$3,AS183*Adm!$X$3))))</f>
        <v>0</v>
      </c>
      <c r="AN184" s="351">
        <f>IF(AS183&lt;0.01,0,IF(Resol!$F$20=Resol!$V$3,0,IF(OR(Resol!$F$10=Resol!$T$16,Resol!$F$10=Resol!$T$17),0,IF(Resol!$F$10=Resol!$T$13,0,$AL$5*Adm!$AA$4/1.16))))</f>
        <v>0</v>
      </c>
      <c r="AO184" s="178">
        <f t="shared" si="73"/>
        <v>0</v>
      </c>
      <c r="AP184" s="178"/>
      <c r="AQ184" s="178">
        <f t="shared" si="61"/>
        <v>0</v>
      </c>
      <c r="AR184" s="178">
        <f t="shared" si="68"/>
        <v>0</v>
      </c>
      <c r="AS184" s="178">
        <f t="shared" si="75"/>
        <v>0</v>
      </c>
      <c r="AT184" s="348"/>
      <c r="AU184" s="348"/>
      <c r="AV184" s="176">
        <f t="shared" si="76"/>
        <v>0</v>
      </c>
      <c r="BB184" s="571">
        <f t="shared" si="69"/>
        <v>4</v>
      </c>
      <c r="BC184" s="293">
        <f>IF(BB184=1,Adm!$AN$2,0)</f>
        <v>0</v>
      </c>
      <c r="BE184" s="341">
        <f t="shared" si="74"/>
        <v>0</v>
      </c>
      <c r="BF184" s="345">
        <f t="shared" ca="1" si="70"/>
        <v>0</v>
      </c>
    </row>
    <row r="185" spans="1:58">
      <c r="A185" s="151">
        <f t="shared" ca="1" si="56"/>
        <v>4</v>
      </c>
      <c r="C185" s="178">
        <f t="shared" si="57"/>
        <v>161</v>
      </c>
      <c r="D185" s="178">
        <f t="shared" si="62"/>
        <v>4498.5704037142395</v>
      </c>
      <c r="E185" s="178">
        <f t="shared" si="77"/>
        <v>5116.7356512636334</v>
      </c>
      <c r="F185" s="178">
        <f t="shared" si="71"/>
        <v>9615.3060549778729</v>
      </c>
      <c r="G185" s="178">
        <f>IF(L184&lt;0.01,0,IF(Adm!$S$3=Adm!$S$13,Cal!$E$94,IF(Adm!$R$3=Adm!$R$6,0,IF(Cal!$E$91=0,L184*Adm!$Y$3,L184*Adm!$X$3))))</f>
        <v>244.34340298068918</v>
      </c>
      <c r="H185" s="178">
        <f>IF(L184&lt;0.01,0,IF(Adm!$R$4=Adm!$R$6,0,IF(Adm!$B$3=Adm!$B$12,0,Cal!$E$89*Adm!$AA$3/1.16)))</f>
        <v>494.46758620689661</v>
      </c>
      <c r="I185" s="178">
        <f>IF(L184&lt;0.01,0,Adm!$O$3)</f>
        <v>250</v>
      </c>
      <c r="J185" s="178">
        <f t="shared" si="58"/>
        <v>10604.117044165458</v>
      </c>
      <c r="K185" s="178">
        <f>IF(Adm!$F$3="si",MIN(L184+D185+G185+H185+I185-J185,Y185),0)</f>
        <v>0</v>
      </c>
      <c r="L185" s="178">
        <f t="shared" si="63"/>
        <v>563123.73639685079</v>
      </c>
      <c r="M185" s="348"/>
      <c r="N185" s="348"/>
      <c r="O185" s="348">
        <f t="shared" si="64"/>
        <v>10604.117044165458</v>
      </c>
      <c r="U185" s="571">
        <f t="shared" si="65"/>
        <v>5</v>
      </c>
      <c r="V185" s="293">
        <f>IF(U185=1,Adm!$AN$2,0)</f>
        <v>0</v>
      </c>
      <c r="X185" s="341">
        <f t="shared" si="72"/>
        <v>0</v>
      </c>
      <c r="Y185" s="345">
        <f t="shared" ca="1" si="66"/>
        <v>0</v>
      </c>
      <c r="AD185" s="172"/>
      <c r="AG185" s="151">
        <f t="shared" ca="1" si="59"/>
        <v>4</v>
      </c>
      <c r="AI185" s="178">
        <f t="shared" si="60"/>
        <v>0</v>
      </c>
      <c r="AJ185" s="178">
        <f t="shared" si="67"/>
        <v>0</v>
      </c>
      <c r="AK185" s="178">
        <f t="shared" si="78"/>
        <v>0</v>
      </c>
      <c r="AL185" s="178">
        <f t="shared" si="79"/>
        <v>0</v>
      </c>
      <c r="AM185" s="351">
        <f>IF(AS184&lt;0.01,0,IF(Resol!$G$19&gt;0,Resol!$G$19,IF(Resol!$F$19=Resol!$U$5,0,IF($AS$10=0,AS184*Adm!$Y$3,AS184*Adm!$X$3))))</f>
        <v>0</v>
      </c>
      <c r="AN185" s="351">
        <f>IF(AS184&lt;0.01,0,IF(Resol!$F$20=Resol!$V$3,0,IF(OR(Resol!$F$10=Resol!$T$16,Resol!$F$10=Resol!$T$17),0,IF(Resol!$F$10=Resol!$T$13,0,$AL$5*Adm!$AA$4/1.16))))</f>
        <v>0</v>
      </c>
      <c r="AO185" s="178">
        <f t="shared" si="73"/>
        <v>0</v>
      </c>
      <c r="AP185" s="178"/>
      <c r="AQ185" s="178">
        <f t="shared" si="61"/>
        <v>0</v>
      </c>
      <c r="AR185" s="178">
        <f t="shared" si="68"/>
        <v>0</v>
      </c>
      <c r="AS185" s="178">
        <f t="shared" si="75"/>
        <v>0</v>
      </c>
      <c r="AT185" s="348"/>
      <c r="AU185" s="348"/>
      <c r="AV185" s="176">
        <f t="shared" si="76"/>
        <v>0</v>
      </c>
      <c r="BB185" s="571">
        <f t="shared" si="69"/>
        <v>5</v>
      </c>
      <c r="BC185" s="293">
        <f>IF(BB185=1,Adm!$AN$2,0)</f>
        <v>0</v>
      </c>
      <c r="BE185" s="341">
        <f t="shared" si="74"/>
        <v>0</v>
      </c>
      <c r="BF185" s="345">
        <f t="shared" ca="1" si="70"/>
        <v>0</v>
      </c>
    </row>
    <row r="186" spans="1:58">
      <c r="A186" s="151">
        <f t="shared" ca="1" si="56"/>
        <v>5</v>
      </c>
      <c r="C186" s="178">
        <f t="shared" si="57"/>
        <v>162</v>
      </c>
      <c r="D186" s="178">
        <f t="shared" si="62"/>
        <v>4458.0629131417354</v>
      </c>
      <c r="E186" s="178">
        <f t="shared" si="77"/>
        <v>5157.2431418361375</v>
      </c>
      <c r="F186" s="178">
        <f t="shared" si="71"/>
        <v>9615.3060549778729</v>
      </c>
      <c r="G186" s="178">
        <f>IF(L185&lt;0.01,0,IF(Adm!$S$3=Adm!$S$13,Cal!$E$94,IF(Adm!$R$3=Adm!$R$6,0,IF(Cal!$E$91=0,L185*Adm!$Y$3,L185*Adm!$X$3))))</f>
        <v>242.14320665064582</v>
      </c>
      <c r="H186" s="178">
        <f>IF(L185&lt;0.01,0,IF(Adm!$R$4=Adm!$R$6,0,IF(Adm!$B$3=Adm!$B$12,0,Cal!$E$89*Adm!$AA$3/1.16)))</f>
        <v>494.46758620689661</v>
      </c>
      <c r="I186" s="178">
        <f>IF(L185&lt;0.01,0,Adm!$O$3)</f>
        <v>250</v>
      </c>
      <c r="J186" s="178">
        <f t="shared" si="58"/>
        <v>10601.916847835415</v>
      </c>
      <c r="K186" s="178">
        <f>IF(Adm!$F$3="si",MIN(L185+D186+G186+H186+I186-J186,Y186),0)</f>
        <v>0</v>
      </c>
      <c r="L186" s="178">
        <f t="shared" si="63"/>
        <v>557966.49325501465</v>
      </c>
      <c r="M186" s="348"/>
      <c r="N186" s="348"/>
      <c r="O186" s="348">
        <f t="shared" si="64"/>
        <v>10601.916847835415</v>
      </c>
      <c r="U186" s="571">
        <f t="shared" si="65"/>
        <v>6</v>
      </c>
      <c r="V186" s="293">
        <f>IF(U186=1,Adm!$AN$2,0)</f>
        <v>0</v>
      </c>
      <c r="X186" s="341">
        <f t="shared" si="72"/>
        <v>0</v>
      </c>
      <c r="Y186" s="345">
        <f t="shared" ca="1" si="66"/>
        <v>0</v>
      </c>
      <c r="AD186" s="172"/>
      <c r="AG186" s="151">
        <f t="shared" ca="1" si="59"/>
        <v>5</v>
      </c>
      <c r="AI186" s="178">
        <f t="shared" si="60"/>
        <v>0</v>
      </c>
      <c r="AJ186" s="178">
        <f t="shared" si="67"/>
        <v>0</v>
      </c>
      <c r="AK186" s="178">
        <f t="shared" si="78"/>
        <v>0</v>
      </c>
      <c r="AL186" s="178">
        <f t="shared" si="79"/>
        <v>0</v>
      </c>
      <c r="AM186" s="351">
        <f>IF(AS185&lt;0.01,0,IF(Resol!$G$19&gt;0,Resol!$G$19,IF(Resol!$F$19=Resol!$U$5,0,IF($AS$10=0,AS185*Adm!$Y$3,AS185*Adm!$X$3))))</f>
        <v>0</v>
      </c>
      <c r="AN186" s="351">
        <f>IF(AS185&lt;0.01,0,IF(Resol!$F$20=Resol!$V$3,0,IF(OR(Resol!$F$10=Resol!$T$16,Resol!$F$10=Resol!$T$17),0,IF(Resol!$F$10=Resol!$T$13,0,$AL$5*Adm!$AA$4/1.16))))</f>
        <v>0</v>
      </c>
      <c r="AO186" s="178">
        <f t="shared" si="73"/>
        <v>0</v>
      </c>
      <c r="AP186" s="178"/>
      <c r="AQ186" s="178">
        <f t="shared" si="61"/>
        <v>0</v>
      </c>
      <c r="AR186" s="178">
        <f t="shared" si="68"/>
        <v>0</v>
      </c>
      <c r="AS186" s="178">
        <f t="shared" si="75"/>
        <v>0</v>
      </c>
      <c r="AT186" s="348"/>
      <c r="AU186" s="348"/>
      <c r="AV186" s="176">
        <f t="shared" si="76"/>
        <v>0</v>
      </c>
      <c r="BB186" s="571">
        <f t="shared" si="69"/>
        <v>6</v>
      </c>
      <c r="BC186" s="293">
        <f>IF(BB186=1,Adm!$AN$2,0)</f>
        <v>0</v>
      </c>
      <c r="BE186" s="341">
        <f t="shared" si="74"/>
        <v>0</v>
      </c>
      <c r="BF186" s="345">
        <f t="shared" ca="1" si="70"/>
        <v>0</v>
      </c>
    </row>
    <row r="187" spans="1:58">
      <c r="A187" s="151">
        <f t="shared" ca="1" si="56"/>
        <v>6</v>
      </c>
      <c r="C187" s="178">
        <f t="shared" si="57"/>
        <v>163</v>
      </c>
      <c r="D187" s="178">
        <f t="shared" si="62"/>
        <v>4417.2347382688658</v>
      </c>
      <c r="E187" s="178">
        <f t="shared" si="77"/>
        <v>5198.0713167090071</v>
      </c>
      <c r="F187" s="178">
        <f t="shared" si="71"/>
        <v>9615.3060549778729</v>
      </c>
      <c r="G187" s="178">
        <f>IF(L186&lt;0.01,0,IF(Adm!$S$3=Adm!$S$13,Cal!$E$94,IF(Adm!$R$3=Adm!$R$6,0,IF(Cal!$E$91=0,L186*Adm!$Y$3,L186*Adm!$X$3))))</f>
        <v>239.92559209965628</v>
      </c>
      <c r="H187" s="178">
        <f>IF(L186&lt;0.01,0,IF(Adm!$R$4=Adm!$R$6,0,IF(Adm!$B$3=Adm!$B$12,0,Cal!$E$89*Adm!$AA$3/1.16)))</f>
        <v>494.46758620689661</v>
      </c>
      <c r="I187" s="178">
        <f>IF(L186&lt;0.01,0,Adm!$O$3)</f>
        <v>250</v>
      </c>
      <c r="J187" s="178">
        <f t="shared" si="58"/>
        <v>10599.699233284426</v>
      </c>
      <c r="K187" s="178">
        <f>IF(Adm!$F$3="si",MIN(L186+D187+G187+H187+I187-J187,Y187),0)</f>
        <v>0</v>
      </c>
      <c r="L187" s="178">
        <f t="shared" si="63"/>
        <v>552768.4219383056</v>
      </c>
      <c r="M187" s="348"/>
      <c r="N187" s="348"/>
      <c r="O187" s="348">
        <f t="shared" si="64"/>
        <v>10599.699233284426</v>
      </c>
      <c r="U187" s="571">
        <f t="shared" si="65"/>
        <v>7</v>
      </c>
      <c r="V187" s="293">
        <f>IF(U187=1,Adm!$AN$2,0)</f>
        <v>0</v>
      </c>
      <c r="X187" s="341">
        <f t="shared" si="72"/>
        <v>0</v>
      </c>
      <c r="Y187" s="345">
        <f t="shared" ca="1" si="66"/>
        <v>0</v>
      </c>
      <c r="AD187" s="172"/>
      <c r="AG187" s="151">
        <f t="shared" ca="1" si="59"/>
        <v>6</v>
      </c>
      <c r="AI187" s="178">
        <f t="shared" si="60"/>
        <v>0</v>
      </c>
      <c r="AJ187" s="178">
        <f t="shared" si="67"/>
        <v>0</v>
      </c>
      <c r="AK187" s="178">
        <f t="shared" si="78"/>
        <v>0</v>
      </c>
      <c r="AL187" s="178">
        <f t="shared" si="79"/>
        <v>0</v>
      </c>
      <c r="AM187" s="351">
        <f>IF(AS186&lt;0.01,0,IF(Resol!$G$19&gt;0,Resol!$G$19,IF(Resol!$F$19=Resol!$U$5,0,IF($AS$10=0,AS186*Adm!$Y$3,AS186*Adm!$X$3))))</f>
        <v>0</v>
      </c>
      <c r="AN187" s="351">
        <f>IF(AS186&lt;0.01,0,IF(Resol!$F$20=Resol!$V$3,0,IF(OR(Resol!$F$10=Resol!$T$16,Resol!$F$10=Resol!$T$17),0,IF(Resol!$F$10=Resol!$T$13,0,$AL$5*Adm!$AA$4/1.16))))</f>
        <v>0</v>
      </c>
      <c r="AO187" s="178">
        <f t="shared" si="73"/>
        <v>0</v>
      </c>
      <c r="AP187" s="178"/>
      <c r="AQ187" s="178">
        <f t="shared" si="61"/>
        <v>0</v>
      </c>
      <c r="AR187" s="178">
        <f t="shared" si="68"/>
        <v>0</v>
      </c>
      <c r="AS187" s="178">
        <f t="shared" si="75"/>
        <v>0</v>
      </c>
      <c r="AT187" s="348"/>
      <c r="AU187" s="348"/>
      <c r="AV187" s="176">
        <f t="shared" si="76"/>
        <v>0</v>
      </c>
      <c r="BB187" s="571">
        <f t="shared" si="69"/>
        <v>7</v>
      </c>
      <c r="BC187" s="293">
        <f>IF(BB187=1,Adm!$AN$2,0)</f>
        <v>0</v>
      </c>
      <c r="BE187" s="341">
        <f t="shared" si="74"/>
        <v>0</v>
      </c>
      <c r="BF187" s="345">
        <f t="shared" ca="1" si="70"/>
        <v>0</v>
      </c>
    </row>
    <row r="188" spans="1:58">
      <c r="A188" s="151">
        <f t="shared" ca="1" si="56"/>
        <v>7</v>
      </c>
      <c r="C188" s="178">
        <f t="shared" si="57"/>
        <v>164</v>
      </c>
      <c r="D188" s="178">
        <f t="shared" si="62"/>
        <v>4376.0833403449196</v>
      </c>
      <c r="E188" s="178">
        <f t="shared" si="77"/>
        <v>5239.2227146329533</v>
      </c>
      <c r="F188" s="178">
        <f t="shared" si="71"/>
        <v>9615.3060549778729</v>
      </c>
      <c r="G188" s="178">
        <f>IF(L187&lt;0.01,0,IF(Adm!$S$3=Adm!$S$13,Cal!$E$94,IF(Adm!$R$3=Adm!$R$6,0,IF(Cal!$E$91=0,L187*Adm!$Y$3,L187*Adm!$X$3))))</f>
        <v>237.69042143347141</v>
      </c>
      <c r="H188" s="178">
        <f>IF(L187&lt;0.01,0,IF(Adm!$R$4=Adm!$R$6,0,IF(Adm!$B$3=Adm!$B$12,0,Cal!$E$89*Adm!$AA$3/1.16)))</f>
        <v>494.46758620689661</v>
      </c>
      <c r="I188" s="178">
        <f>IF(L187&lt;0.01,0,Adm!$O$3)</f>
        <v>250</v>
      </c>
      <c r="J188" s="178">
        <f t="shared" si="58"/>
        <v>10597.464062618241</v>
      </c>
      <c r="K188" s="178">
        <f>IF(Adm!$F$3="si",MIN(L187+D188+G188+H188+I188-J188,Y188),0)</f>
        <v>0</v>
      </c>
      <c r="L188" s="178">
        <f t="shared" si="63"/>
        <v>547529.19922367262</v>
      </c>
      <c r="M188" s="348"/>
      <c r="N188" s="348"/>
      <c r="O188" s="348">
        <f t="shared" si="64"/>
        <v>10597.464062618241</v>
      </c>
      <c r="U188" s="571">
        <f t="shared" si="65"/>
        <v>8</v>
      </c>
      <c r="V188" s="293">
        <f>IF(U188=1,Adm!$AN$2,0)</f>
        <v>0</v>
      </c>
      <c r="X188" s="341">
        <f t="shared" si="72"/>
        <v>0</v>
      </c>
      <c r="Y188" s="345">
        <f t="shared" ca="1" si="66"/>
        <v>0</v>
      </c>
      <c r="AD188" s="172"/>
      <c r="AG188" s="151">
        <f t="shared" ca="1" si="59"/>
        <v>7</v>
      </c>
      <c r="AI188" s="178">
        <f t="shared" si="60"/>
        <v>0</v>
      </c>
      <c r="AJ188" s="178">
        <f t="shared" si="67"/>
        <v>0</v>
      </c>
      <c r="AK188" s="178">
        <f t="shared" si="78"/>
        <v>0</v>
      </c>
      <c r="AL188" s="178">
        <f t="shared" si="79"/>
        <v>0</v>
      </c>
      <c r="AM188" s="351">
        <f>IF(AS187&lt;0.01,0,IF(Resol!$G$19&gt;0,Resol!$G$19,IF(Resol!$F$19=Resol!$U$5,0,IF($AS$10=0,AS187*Adm!$Y$3,AS187*Adm!$X$3))))</f>
        <v>0</v>
      </c>
      <c r="AN188" s="351">
        <f>IF(AS187&lt;0.01,0,IF(Resol!$F$20=Resol!$V$3,0,IF(OR(Resol!$F$10=Resol!$T$16,Resol!$F$10=Resol!$T$17),0,IF(Resol!$F$10=Resol!$T$13,0,$AL$5*Adm!$AA$4/1.16))))</f>
        <v>0</v>
      </c>
      <c r="AO188" s="178">
        <f t="shared" si="73"/>
        <v>0</v>
      </c>
      <c r="AP188" s="178"/>
      <c r="AQ188" s="178">
        <f t="shared" si="61"/>
        <v>0</v>
      </c>
      <c r="AR188" s="178">
        <f t="shared" si="68"/>
        <v>0</v>
      </c>
      <c r="AS188" s="178">
        <f t="shared" si="75"/>
        <v>0</v>
      </c>
      <c r="AT188" s="348"/>
      <c r="AU188" s="348"/>
      <c r="AV188" s="176">
        <f t="shared" si="76"/>
        <v>0</v>
      </c>
      <c r="BB188" s="571">
        <f t="shared" si="69"/>
        <v>8</v>
      </c>
      <c r="BC188" s="293">
        <f>IF(BB188=1,Adm!$AN$2,0)</f>
        <v>0</v>
      </c>
      <c r="BE188" s="341">
        <f t="shared" si="74"/>
        <v>0</v>
      </c>
      <c r="BF188" s="345">
        <f t="shared" ca="1" si="70"/>
        <v>0</v>
      </c>
    </row>
    <row r="189" spans="1:58">
      <c r="A189" s="151">
        <f t="shared" ca="1" si="56"/>
        <v>8</v>
      </c>
      <c r="C189" s="178">
        <f t="shared" si="57"/>
        <v>165</v>
      </c>
      <c r="D189" s="178">
        <f t="shared" si="62"/>
        <v>4334.6061605207415</v>
      </c>
      <c r="E189" s="178">
        <f t="shared" si="77"/>
        <v>5280.6998944571314</v>
      </c>
      <c r="F189" s="178">
        <f t="shared" si="71"/>
        <v>9615.3060549778729</v>
      </c>
      <c r="G189" s="178">
        <f>IF(L188&lt;0.01,0,IF(Adm!$S$3=Adm!$S$13,Cal!$E$94,IF(Adm!$R$3=Adm!$R$6,0,IF(Cal!$E$91=0,L188*Adm!$Y$3,L188*Adm!$X$3))))</f>
        <v>235.43755566617921</v>
      </c>
      <c r="H189" s="178">
        <f>IF(L188&lt;0.01,0,IF(Adm!$R$4=Adm!$R$6,0,IF(Adm!$B$3=Adm!$B$12,0,Cal!$E$89*Adm!$AA$3/1.16)))</f>
        <v>494.46758620689661</v>
      </c>
      <c r="I189" s="178">
        <f>IF(L188&lt;0.01,0,Adm!$O$3)</f>
        <v>250</v>
      </c>
      <c r="J189" s="178">
        <f t="shared" si="58"/>
        <v>10595.211196850949</v>
      </c>
      <c r="K189" s="178">
        <f>IF(Adm!$F$3="si",MIN(L188+D189+G189+H189+I189-J189,Y189),0)</f>
        <v>0</v>
      </c>
      <c r="L189" s="178">
        <f t="shared" si="63"/>
        <v>542248.4993292155</v>
      </c>
      <c r="M189" s="348"/>
      <c r="N189" s="348"/>
      <c r="O189" s="348">
        <f t="shared" si="64"/>
        <v>10595.211196850949</v>
      </c>
      <c r="U189" s="571">
        <f t="shared" si="65"/>
        <v>9</v>
      </c>
      <c r="V189" s="293">
        <f>IF(U189=1,Adm!$AN$2,0)</f>
        <v>0</v>
      </c>
      <c r="X189" s="341">
        <f t="shared" si="72"/>
        <v>0</v>
      </c>
      <c r="Y189" s="345">
        <f t="shared" ca="1" si="66"/>
        <v>0</v>
      </c>
      <c r="AD189" s="172"/>
      <c r="AG189" s="151">
        <f t="shared" ca="1" si="59"/>
        <v>8</v>
      </c>
      <c r="AI189" s="178">
        <f t="shared" si="60"/>
        <v>0</v>
      </c>
      <c r="AJ189" s="178">
        <f t="shared" si="67"/>
        <v>0</v>
      </c>
      <c r="AK189" s="178">
        <f t="shared" si="78"/>
        <v>0</v>
      </c>
      <c r="AL189" s="178">
        <f t="shared" si="79"/>
        <v>0</v>
      </c>
      <c r="AM189" s="351">
        <f>IF(AS188&lt;0.01,0,IF(Resol!$G$19&gt;0,Resol!$G$19,IF(Resol!$F$19=Resol!$U$5,0,IF($AS$10=0,AS188*Adm!$Y$3,AS188*Adm!$X$3))))</f>
        <v>0</v>
      </c>
      <c r="AN189" s="351">
        <f>IF(AS188&lt;0.01,0,IF(Resol!$F$20=Resol!$V$3,0,IF(OR(Resol!$F$10=Resol!$T$16,Resol!$F$10=Resol!$T$17),0,IF(Resol!$F$10=Resol!$T$13,0,$AL$5*Adm!$AA$4/1.16))))</f>
        <v>0</v>
      </c>
      <c r="AO189" s="178">
        <f t="shared" si="73"/>
        <v>0</v>
      </c>
      <c r="AP189" s="178"/>
      <c r="AQ189" s="178">
        <f t="shared" si="61"/>
        <v>0</v>
      </c>
      <c r="AR189" s="178">
        <f t="shared" si="68"/>
        <v>0</v>
      </c>
      <c r="AS189" s="178">
        <f t="shared" si="75"/>
        <v>0</v>
      </c>
      <c r="AT189" s="348"/>
      <c r="AU189" s="348"/>
      <c r="AV189" s="176">
        <f t="shared" si="76"/>
        <v>0</v>
      </c>
      <c r="BB189" s="571">
        <f t="shared" si="69"/>
        <v>9</v>
      </c>
      <c r="BC189" s="293">
        <f>IF(BB189=1,Adm!$AN$2,0)</f>
        <v>0</v>
      </c>
      <c r="BE189" s="341">
        <f t="shared" si="74"/>
        <v>0</v>
      </c>
      <c r="BF189" s="345">
        <f t="shared" ca="1" si="70"/>
        <v>0</v>
      </c>
    </row>
    <row r="190" spans="1:58">
      <c r="A190" s="151">
        <f t="shared" ca="1" si="56"/>
        <v>9</v>
      </c>
      <c r="C190" s="178">
        <f t="shared" si="57"/>
        <v>166</v>
      </c>
      <c r="D190" s="178">
        <f t="shared" si="62"/>
        <v>4292.8006196896231</v>
      </c>
      <c r="E190" s="178">
        <f t="shared" si="77"/>
        <v>5322.5054352882498</v>
      </c>
      <c r="F190" s="178">
        <f t="shared" si="71"/>
        <v>9615.3060549778729</v>
      </c>
      <c r="G190" s="178">
        <f>IF(L189&lt;0.01,0,IF(Adm!$S$3=Adm!$S$13,Cal!$E$94,IF(Adm!$R$3=Adm!$R$6,0,IF(Cal!$E$91=0,L189*Adm!$Y$3,L189*Adm!$X$3))))</f>
        <v>233.16685471156265</v>
      </c>
      <c r="H190" s="178">
        <f>IF(L189&lt;0.01,0,IF(Adm!$R$4=Adm!$R$6,0,IF(Adm!$B$3=Adm!$B$12,0,Cal!$E$89*Adm!$AA$3/1.16)))</f>
        <v>494.46758620689661</v>
      </c>
      <c r="I190" s="178">
        <f>IF(L189&lt;0.01,0,Adm!$O$3)</f>
        <v>250</v>
      </c>
      <c r="J190" s="178">
        <f t="shared" si="58"/>
        <v>10592.940495896331</v>
      </c>
      <c r="K190" s="178">
        <f>IF(Adm!$F$3="si",MIN(L189+D190+G190+H190+I190-J190,Y190),0)</f>
        <v>0</v>
      </c>
      <c r="L190" s="178">
        <f t="shared" si="63"/>
        <v>536925.9938939272</v>
      </c>
      <c r="M190" s="348"/>
      <c r="N190" s="348"/>
      <c r="O190" s="348">
        <f t="shared" si="64"/>
        <v>10592.940495896331</v>
      </c>
      <c r="U190" s="571">
        <f t="shared" si="65"/>
        <v>10</v>
      </c>
      <c r="V190" s="293">
        <f>IF(U190=1,Adm!$AN$2,0)</f>
        <v>0</v>
      </c>
      <c r="X190" s="341">
        <f t="shared" si="72"/>
        <v>0</v>
      </c>
      <c r="Y190" s="345">
        <f t="shared" ca="1" si="66"/>
        <v>0</v>
      </c>
      <c r="AD190" s="172"/>
      <c r="AG190" s="151">
        <f t="shared" ca="1" si="59"/>
        <v>9</v>
      </c>
      <c r="AI190" s="178">
        <f t="shared" si="60"/>
        <v>0</v>
      </c>
      <c r="AJ190" s="178">
        <f t="shared" si="67"/>
        <v>0</v>
      </c>
      <c r="AK190" s="178">
        <f t="shared" si="78"/>
        <v>0</v>
      </c>
      <c r="AL190" s="178">
        <f t="shared" si="79"/>
        <v>0</v>
      </c>
      <c r="AM190" s="351">
        <f>IF(AS189&lt;0.01,0,IF(Resol!$G$19&gt;0,Resol!$G$19,IF(Resol!$F$19=Resol!$U$5,0,IF($AS$10=0,AS189*Adm!$Y$3,AS189*Adm!$X$3))))</f>
        <v>0</v>
      </c>
      <c r="AN190" s="351">
        <f>IF(AS189&lt;0.01,0,IF(Resol!$F$20=Resol!$V$3,0,IF(OR(Resol!$F$10=Resol!$T$16,Resol!$F$10=Resol!$T$17),0,IF(Resol!$F$10=Resol!$T$13,0,$AL$5*Adm!$AA$4/1.16))))</f>
        <v>0</v>
      </c>
      <c r="AO190" s="178">
        <f t="shared" si="73"/>
        <v>0</v>
      </c>
      <c r="AP190" s="178"/>
      <c r="AQ190" s="178">
        <f t="shared" si="61"/>
        <v>0</v>
      </c>
      <c r="AR190" s="178">
        <f t="shared" si="68"/>
        <v>0</v>
      </c>
      <c r="AS190" s="178">
        <f t="shared" si="75"/>
        <v>0</v>
      </c>
      <c r="AT190" s="348"/>
      <c r="AU190" s="348"/>
      <c r="AV190" s="176">
        <f t="shared" si="76"/>
        <v>0</v>
      </c>
      <c r="BB190" s="571">
        <f t="shared" si="69"/>
        <v>10</v>
      </c>
      <c r="BC190" s="293">
        <f>IF(BB190=1,Adm!$AN$2,0)</f>
        <v>0</v>
      </c>
      <c r="BE190" s="341">
        <f t="shared" si="74"/>
        <v>0</v>
      </c>
      <c r="BF190" s="345">
        <f t="shared" ca="1" si="70"/>
        <v>0</v>
      </c>
    </row>
    <row r="191" spans="1:58">
      <c r="A191" s="151">
        <f t="shared" ca="1" si="56"/>
        <v>10</v>
      </c>
      <c r="C191" s="178">
        <f t="shared" si="57"/>
        <v>167</v>
      </c>
      <c r="D191" s="178">
        <f t="shared" si="62"/>
        <v>4250.6641183269239</v>
      </c>
      <c r="E191" s="178">
        <f t="shared" si="77"/>
        <v>5364.641936650949</v>
      </c>
      <c r="F191" s="178">
        <f t="shared" si="71"/>
        <v>9615.3060549778729</v>
      </c>
      <c r="G191" s="178">
        <f>IF(L190&lt;0.01,0,IF(Adm!$S$3=Adm!$S$13,Cal!$E$94,IF(Adm!$R$3=Adm!$R$6,0,IF(Cal!$E$91=0,L190*Adm!$Y$3,L190*Adm!$X$3))))</f>
        <v>230.87817737438868</v>
      </c>
      <c r="H191" s="178">
        <f>IF(L190&lt;0.01,0,IF(Adm!$R$4=Adm!$R$6,0,IF(Adm!$B$3=Adm!$B$12,0,Cal!$E$89*Adm!$AA$3/1.16)))</f>
        <v>494.46758620689661</v>
      </c>
      <c r="I191" s="178">
        <f>IF(L190&lt;0.01,0,Adm!$O$3)</f>
        <v>250</v>
      </c>
      <c r="J191" s="178">
        <f t="shared" si="58"/>
        <v>10590.651818559158</v>
      </c>
      <c r="K191" s="178">
        <f>IF(Adm!$F$3="si",MIN(L190+D191+G191+H191+I191-J191,Y191),0)</f>
        <v>0</v>
      </c>
      <c r="L191" s="178">
        <f t="shared" si="63"/>
        <v>531561.35195727623</v>
      </c>
      <c r="M191" s="348"/>
      <c r="N191" s="348"/>
      <c r="O191" s="348">
        <f t="shared" si="64"/>
        <v>10590.651818559158</v>
      </c>
      <c r="U191" s="571">
        <f t="shared" si="65"/>
        <v>11</v>
      </c>
      <c r="V191" s="293">
        <f>IF(U191=1,Adm!$AN$2,0)</f>
        <v>0</v>
      </c>
      <c r="X191" s="341">
        <f t="shared" si="72"/>
        <v>0</v>
      </c>
      <c r="Y191" s="345">
        <f t="shared" ca="1" si="66"/>
        <v>0</v>
      </c>
      <c r="AD191" s="172"/>
      <c r="AG191" s="151">
        <f t="shared" ca="1" si="59"/>
        <v>10</v>
      </c>
      <c r="AI191" s="178">
        <f t="shared" si="60"/>
        <v>0</v>
      </c>
      <c r="AJ191" s="178">
        <f t="shared" si="67"/>
        <v>0</v>
      </c>
      <c r="AK191" s="178">
        <f t="shared" si="78"/>
        <v>0</v>
      </c>
      <c r="AL191" s="178">
        <f t="shared" si="79"/>
        <v>0</v>
      </c>
      <c r="AM191" s="351">
        <f>IF(AS190&lt;0.01,0,IF(Resol!$G$19&gt;0,Resol!$G$19,IF(Resol!$F$19=Resol!$U$5,0,IF($AS$10=0,AS190*Adm!$Y$3,AS190*Adm!$X$3))))</f>
        <v>0</v>
      </c>
      <c r="AN191" s="351">
        <f>IF(AS190&lt;0.01,0,IF(Resol!$F$20=Resol!$V$3,0,IF(OR(Resol!$F$10=Resol!$T$16,Resol!$F$10=Resol!$T$17),0,IF(Resol!$F$10=Resol!$T$13,0,$AL$5*Adm!$AA$4/1.16))))</f>
        <v>0</v>
      </c>
      <c r="AO191" s="178">
        <f t="shared" si="73"/>
        <v>0</v>
      </c>
      <c r="AP191" s="178"/>
      <c r="AQ191" s="178">
        <f t="shared" si="61"/>
        <v>0</v>
      </c>
      <c r="AR191" s="178">
        <f t="shared" si="68"/>
        <v>0</v>
      </c>
      <c r="AS191" s="178">
        <f t="shared" si="75"/>
        <v>0</v>
      </c>
      <c r="AT191" s="348"/>
      <c r="AU191" s="348"/>
      <c r="AV191" s="176">
        <f t="shared" si="76"/>
        <v>0</v>
      </c>
      <c r="BB191" s="571">
        <f t="shared" si="69"/>
        <v>11</v>
      </c>
      <c r="BC191" s="293">
        <f>IF(BB191=1,Adm!$AN$2,0)</f>
        <v>0</v>
      </c>
      <c r="BE191" s="341">
        <f t="shared" si="74"/>
        <v>0</v>
      </c>
      <c r="BF191" s="345">
        <f t="shared" ca="1" si="70"/>
        <v>0</v>
      </c>
    </row>
    <row r="192" spans="1:58">
      <c r="A192" s="151">
        <f t="shared" ca="1" si="56"/>
        <v>11</v>
      </c>
      <c r="C192" s="178">
        <f t="shared" si="57"/>
        <v>168</v>
      </c>
      <c r="D192" s="178">
        <f t="shared" si="62"/>
        <v>4208.1940363284366</v>
      </c>
      <c r="E192" s="178">
        <f t="shared" si="77"/>
        <v>5407.1120186494363</v>
      </c>
      <c r="F192" s="178">
        <f t="shared" si="71"/>
        <v>9615.3060549778729</v>
      </c>
      <c r="G192" s="178">
        <f>IF(L191&lt;0.01,0,IF(Adm!$S$3=Adm!$S$13,Cal!$E$94,IF(Adm!$R$3=Adm!$R$6,0,IF(Cal!$E$91=0,L191*Adm!$Y$3,L191*Adm!$X$3))))</f>
        <v>228.57138134162878</v>
      </c>
      <c r="H192" s="178">
        <f>IF(L191&lt;0.01,0,IF(Adm!$R$4=Adm!$R$6,0,IF(Adm!$B$3=Adm!$B$12,0,Cal!$E$89*Adm!$AA$3/1.16)))</f>
        <v>494.46758620689661</v>
      </c>
      <c r="I192" s="178">
        <f>IF(L191&lt;0.01,0,Adm!$O$3)</f>
        <v>250</v>
      </c>
      <c r="J192" s="178">
        <f t="shared" si="58"/>
        <v>10588.345022526399</v>
      </c>
      <c r="K192" s="178">
        <f>IF(Adm!$F$3="si",MIN(L191+D192+G192+H192+I192-J192,Y192),0)</f>
        <v>0</v>
      </c>
      <c r="L192" s="178">
        <f t="shared" si="63"/>
        <v>526154.23993862676</v>
      </c>
      <c r="M192" s="348"/>
      <c r="N192" s="348"/>
      <c r="O192" s="348">
        <f t="shared" si="64"/>
        <v>10588.345022526399</v>
      </c>
      <c r="U192" s="571">
        <f t="shared" si="65"/>
        <v>12</v>
      </c>
      <c r="V192" s="293">
        <f>IF(U192=1,Adm!$AN$2,0)</f>
        <v>0</v>
      </c>
      <c r="X192" s="341">
        <f t="shared" si="72"/>
        <v>0</v>
      </c>
      <c r="Y192" s="345">
        <f t="shared" ca="1" si="66"/>
        <v>0</v>
      </c>
      <c r="AD192" s="172"/>
      <c r="AG192" s="151">
        <f t="shared" ca="1" si="59"/>
        <v>11</v>
      </c>
      <c r="AI192" s="178">
        <f t="shared" si="60"/>
        <v>0</v>
      </c>
      <c r="AJ192" s="178">
        <f t="shared" si="67"/>
        <v>0</v>
      </c>
      <c r="AK192" s="178">
        <f t="shared" si="78"/>
        <v>0</v>
      </c>
      <c r="AL192" s="178">
        <f t="shared" si="79"/>
        <v>0</v>
      </c>
      <c r="AM192" s="351">
        <f>IF(AS191&lt;0.01,0,IF(Resol!$G$19&gt;0,Resol!$G$19,IF(Resol!$F$19=Resol!$U$5,0,IF($AS$10=0,AS191*Adm!$Y$3,AS191*Adm!$X$3))))</f>
        <v>0</v>
      </c>
      <c r="AN192" s="351">
        <f>IF(AS191&lt;0.01,0,IF(Resol!$F$20=Resol!$V$3,0,IF(OR(Resol!$F$10=Resol!$T$16,Resol!$F$10=Resol!$T$17),0,IF(Resol!$F$10=Resol!$T$13,0,$AL$5*Adm!$AA$4/1.16))))</f>
        <v>0</v>
      </c>
      <c r="AO192" s="178">
        <f t="shared" si="73"/>
        <v>0</v>
      </c>
      <c r="AP192" s="178"/>
      <c r="AQ192" s="178">
        <f t="shared" si="61"/>
        <v>0</v>
      </c>
      <c r="AR192" s="178">
        <f t="shared" si="68"/>
        <v>0</v>
      </c>
      <c r="AS192" s="178">
        <f t="shared" si="75"/>
        <v>0</v>
      </c>
      <c r="AT192" s="348"/>
      <c r="AU192" s="348"/>
      <c r="AV192" s="176">
        <f t="shared" si="76"/>
        <v>0</v>
      </c>
      <c r="BB192" s="571">
        <f t="shared" si="69"/>
        <v>12</v>
      </c>
      <c r="BC192" s="293">
        <f>IF(BB192=1,Adm!$AN$2,0)</f>
        <v>0</v>
      </c>
      <c r="BE192" s="341">
        <f t="shared" si="74"/>
        <v>0</v>
      </c>
      <c r="BF192" s="345">
        <f t="shared" ca="1" si="70"/>
        <v>0</v>
      </c>
    </row>
    <row r="193" spans="1:58">
      <c r="A193" s="151">
        <f t="shared" ca="1" si="56"/>
        <v>12</v>
      </c>
      <c r="C193" s="178">
        <f t="shared" si="57"/>
        <v>169</v>
      </c>
      <c r="D193" s="178">
        <f t="shared" si="62"/>
        <v>4165.3877328474618</v>
      </c>
      <c r="E193" s="178">
        <f t="shared" si="77"/>
        <v>5449.9183221304111</v>
      </c>
      <c r="F193" s="178">
        <f t="shared" si="71"/>
        <v>9615.3060549778729</v>
      </c>
      <c r="G193" s="178">
        <f>IF(L192&lt;0.01,0,IF(Adm!$S$3=Adm!$S$13,Cal!$E$94,IF(Adm!$R$3=Adm!$R$6,0,IF(Cal!$E$91=0,L192*Adm!$Y$3,L192*Adm!$X$3))))</f>
        <v>226.24632317360951</v>
      </c>
      <c r="H193" s="178">
        <f>IF(L192&lt;0.01,0,IF(Adm!$R$4=Adm!$R$6,0,IF(Adm!$B$3=Adm!$B$12,0,Cal!$E$89*Adm!$AA$3/1.16)))</f>
        <v>494.46758620689661</v>
      </c>
      <c r="I193" s="178">
        <f>IF(L192&lt;0.01,0,Adm!$O$3)</f>
        <v>250</v>
      </c>
      <c r="J193" s="178">
        <f t="shared" si="58"/>
        <v>10586.019964358378</v>
      </c>
      <c r="K193" s="178">
        <f>IF(Adm!$F$3="si",MIN(L192+D193+G193+H193+I193-J193,Y193),0)</f>
        <v>0</v>
      </c>
      <c r="L193" s="178">
        <f t="shared" si="63"/>
        <v>520704.32161649637</v>
      </c>
      <c r="M193" s="348"/>
      <c r="N193" s="348"/>
      <c r="O193" s="348">
        <f t="shared" si="64"/>
        <v>10586.019964358378</v>
      </c>
      <c r="U193" s="571">
        <f t="shared" si="65"/>
        <v>1</v>
      </c>
      <c r="V193" s="293">
        <f>IF(U193=1,Adm!$AN$2,0)</f>
        <v>0</v>
      </c>
      <c r="X193" s="341">
        <f t="shared" si="72"/>
        <v>0</v>
      </c>
      <c r="Y193" s="345">
        <f t="shared" ca="1" si="66"/>
        <v>0</v>
      </c>
      <c r="AD193" s="172"/>
      <c r="AG193" s="151">
        <f t="shared" ca="1" si="59"/>
        <v>12</v>
      </c>
      <c r="AI193" s="178">
        <f t="shared" si="60"/>
        <v>0</v>
      </c>
      <c r="AJ193" s="178">
        <f t="shared" si="67"/>
        <v>0</v>
      </c>
      <c r="AK193" s="178">
        <f t="shared" si="78"/>
        <v>0</v>
      </c>
      <c r="AL193" s="178">
        <f t="shared" si="79"/>
        <v>0</v>
      </c>
      <c r="AM193" s="351">
        <f>IF(AS192&lt;0.01,0,IF(Resol!$G$19&gt;0,Resol!$G$19,IF(Resol!$F$19=Resol!$U$5,0,IF($AS$10=0,AS192*Adm!$Y$3,AS192*Adm!$X$3))))</f>
        <v>0</v>
      </c>
      <c r="AN193" s="351">
        <f>IF(AS192&lt;0.01,0,IF(Resol!$F$20=Resol!$V$3,0,IF(OR(Resol!$F$10=Resol!$T$16,Resol!$F$10=Resol!$T$17),0,IF(Resol!$F$10=Resol!$T$13,0,$AL$5*Adm!$AA$4/1.16))))</f>
        <v>0</v>
      </c>
      <c r="AO193" s="178">
        <f t="shared" si="73"/>
        <v>0</v>
      </c>
      <c r="AP193" s="178"/>
      <c r="AQ193" s="178">
        <f t="shared" si="61"/>
        <v>0</v>
      </c>
      <c r="AR193" s="178">
        <f t="shared" si="68"/>
        <v>0</v>
      </c>
      <c r="AS193" s="178">
        <f t="shared" si="75"/>
        <v>0</v>
      </c>
      <c r="AT193" s="348"/>
      <c r="AU193" s="348"/>
      <c r="AV193" s="176">
        <f t="shared" si="76"/>
        <v>0</v>
      </c>
      <c r="BB193" s="571">
        <f t="shared" si="69"/>
        <v>1</v>
      </c>
      <c r="BC193" s="293">
        <f>IF(BB193=1,Adm!$AN$2,0)</f>
        <v>0</v>
      </c>
      <c r="BE193" s="341">
        <f t="shared" si="74"/>
        <v>0</v>
      </c>
      <c r="BF193" s="345">
        <f t="shared" ca="1" si="70"/>
        <v>0</v>
      </c>
    </row>
    <row r="194" spans="1:58">
      <c r="A194" s="151">
        <f t="shared" ca="1" si="56"/>
        <v>1</v>
      </c>
      <c r="C194" s="178">
        <f t="shared" si="57"/>
        <v>170</v>
      </c>
      <c r="D194" s="178">
        <f t="shared" si="62"/>
        <v>4122.2425461305966</v>
      </c>
      <c r="E194" s="178">
        <f t="shared" si="77"/>
        <v>5493.0635088472764</v>
      </c>
      <c r="F194" s="178">
        <f t="shared" si="71"/>
        <v>9615.3060549778729</v>
      </c>
      <c r="G194" s="178">
        <f>IF(L193&lt;0.01,0,IF(Adm!$S$3=Adm!$S$13,Cal!$E$94,IF(Adm!$R$3=Adm!$R$6,0,IF(Cal!$E$91=0,L193*Adm!$Y$3,L193*Adm!$X$3))))</f>
        <v>223.90285829509344</v>
      </c>
      <c r="H194" s="178">
        <f>IF(L193&lt;0.01,0,IF(Adm!$R$4=Adm!$R$6,0,IF(Adm!$B$3=Adm!$B$12,0,Cal!$E$89*Adm!$AA$3/1.16)))</f>
        <v>494.46758620689661</v>
      </c>
      <c r="I194" s="178">
        <f>IF(L193&lt;0.01,0,Adm!$O$3)</f>
        <v>250</v>
      </c>
      <c r="J194" s="178">
        <f t="shared" si="58"/>
        <v>10583.676499479863</v>
      </c>
      <c r="K194" s="178">
        <f>IF(Adm!$F$3="si",MIN(L193+D194+G194+H194+I194-J194,Y194),0)</f>
        <v>0</v>
      </c>
      <c r="L194" s="178">
        <f t="shared" si="63"/>
        <v>515211.2581076491</v>
      </c>
      <c r="M194" s="348"/>
      <c r="N194" s="348"/>
      <c r="O194" s="348">
        <f t="shared" si="64"/>
        <v>10583.676499479863</v>
      </c>
      <c r="U194" s="571">
        <f t="shared" si="65"/>
        <v>2</v>
      </c>
      <c r="V194" s="293">
        <f>IF(U194=1,Adm!$AN$2,0)</f>
        <v>0</v>
      </c>
      <c r="X194" s="341">
        <f t="shared" si="72"/>
        <v>0</v>
      </c>
      <c r="Y194" s="345">
        <f t="shared" ca="1" si="66"/>
        <v>0</v>
      </c>
      <c r="AD194" s="172"/>
      <c r="AG194" s="151">
        <f t="shared" ca="1" si="59"/>
        <v>1</v>
      </c>
      <c r="AI194" s="178">
        <f t="shared" si="60"/>
        <v>0</v>
      </c>
      <c r="AJ194" s="178">
        <f t="shared" si="67"/>
        <v>0</v>
      </c>
      <c r="AK194" s="178">
        <f t="shared" si="78"/>
        <v>0</v>
      </c>
      <c r="AL194" s="178">
        <f t="shared" si="79"/>
        <v>0</v>
      </c>
      <c r="AM194" s="351">
        <f>IF(AS193&lt;0.01,0,IF(Resol!$G$19&gt;0,Resol!$G$19,IF(Resol!$F$19=Resol!$U$5,0,IF($AS$10=0,AS193*Adm!$Y$3,AS193*Adm!$X$3))))</f>
        <v>0</v>
      </c>
      <c r="AN194" s="351">
        <f>IF(AS193&lt;0.01,0,IF(Resol!$F$20=Resol!$V$3,0,IF(OR(Resol!$F$10=Resol!$T$16,Resol!$F$10=Resol!$T$17),0,IF(Resol!$F$10=Resol!$T$13,0,$AL$5*Adm!$AA$4/1.16))))</f>
        <v>0</v>
      </c>
      <c r="AO194" s="178">
        <f t="shared" si="73"/>
        <v>0</v>
      </c>
      <c r="AP194" s="178"/>
      <c r="AQ194" s="178">
        <f t="shared" si="61"/>
        <v>0</v>
      </c>
      <c r="AR194" s="178">
        <f t="shared" si="68"/>
        <v>0</v>
      </c>
      <c r="AS194" s="178">
        <f t="shared" si="75"/>
        <v>0</v>
      </c>
      <c r="AT194" s="348"/>
      <c r="AU194" s="348"/>
      <c r="AV194" s="176">
        <f t="shared" si="76"/>
        <v>0</v>
      </c>
      <c r="BB194" s="571">
        <f t="shared" si="69"/>
        <v>2</v>
      </c>
      <c r="BC194" s="293">
        <f>IF(BB194=1,Adm!$AN$2,0)</f>
        <v>0</v>
      </c>
      <c r="BE194" s="341">
        <f t="shared" si="74"/>
        <v>0</v>
      </c>
      <c r="BF194" s="345">
        <f t="shared" ca="1" si="70"/>
        <v>0</v>
      </c>
    </row>
    <row r="195" spans="1:58">
      <c r="A195" s="151">
        <f t="shared" ca="1" si="56"/>
        <v>2</v>
      </c>
      <c r="C195" s="178">
        <f t="shared" si="57"/>
        <v>171</v>
      </c>
      <c r="D195" s="178">
        <f t="shared" si="62"/>
        <v>4078.7557933522221</v>
      </c>
      <c r="E195" s="178">
        <f t="shared" si="77"/>
        <v>5536.5502616256508</v>
      </c>
      <c r="F195" s="178">
        <f t="shared" si="71"/>
        <v>9615.3060549778729</v>
      </c>
      <c r="G195" s="178">
        <f>IF(L194&lt;0.01,0,IF(Adm!$S$3=Adm!$S$13,Cal!$E$94,IF(Adm!$R$3=Adm!$R$6,0,IF(Cal!$E$91=0,L194*Adm!$Y$3,L194*Adm!$X$3))))</f>
        <v>221.54084098628911</v>
      </c>
      <c r="H195" s="178">
        <f>IF(L194&lt;0.01,0,IF(Adm!$R$4=Adm!$R$6,0,IF(Adm!$B$3=Adm!$B$12,0,Cal!$E$89*Adm!$AA$3/1.16)))</f>
        <v>494.46758620689661</v>
      </c>
      <c r="I195" s="178">
        <f>IF(L194&lt;0.01,0,Adm!$O$3)</f>
        <v>250</v>
      </c>
      <c r="J195" s="178">
        <f t="shared" si="58"/>
        <v>10581.314482171058</v>
      </c>
      <c r="K195" s="178">
        <f>IF(Adm!$F$3="si",MIN(L194+D195+G195+H195+I195-J195,Y195),0)</f>
        <v>0</v>
      </c>
      <c r="L195" s="178">
        <f t="shared" si="63"/>
        <v>509674.70784602343</v>
      </c>
      <c r="M195" s="348"/>
      <c r="N195" s="348"/>
      <c r="O195" s="348">
        <f t="shared" si="64"/>
        <v>10581.314482171058</v>
      </c>
      <c r="U195" s="571">
        <f t="shared" si="65"/>
        <v>3</v>
      </c>
      <c r="V195" s="293">
        <f>IF(U195=1,Adm!$AN$2,0)</f>
        <v>0</v>
      </c>
      <c r="X195" s="341">
        <f t="shared" si="72"/>
        <v>0</v>
      </c>
      <c r="Y195" s="345">
        <f t="shared" ca="1" si="66"/>
        <v>0</v>
      </c>
      <c r="AD195" s="172"/>
      <c r="AG195" s="151">
        <f t="shared" ca="1" si="59"/>
        <v>2</v>
      </c>
      <c r="AI195" s="178">
        <f t="shared" si="60"/>
        <v>0</v>
      </c>
      <c r="AJ195" s="178">
        <f t="shared" si="67"/>
        <v>0</v>
      </c>
      <c r="AK195" s="178">
        <f t="shared" si="78"/>
        <v>0</v>
      </c>
      <c r="AL195" s="178">
        <f t="shared" si="79"/>
        <v>0</v>
      </c>
      <c r="AM195" s="351">
        <f>IF(AS194&lt;0.01,0,IF(Resol!$G$19&gt;0,Resol!$G$19,IF(Resol!$F$19=Resol!$U$5,0,IF($AS$10=0,AS194*Adm!$Y$3,AS194*Adm!$X$3))))</f>
        <v>0</v>
      </c>
      <c r="AN195" s="351">
        <f>IF(AS194&lt;0.01,0,IF(Resol!$F$20=Resol!$V$3,0,IF(OR(Resol!$F$10=Resol!$T$16,Resol!$F$10=Resol!$T$17),0,IF(Resol!$F$10=Resol!$T$13,0,$AL$5*Adm!$AA$4/1.16))))</f>
        <v>0</v>
      </c>
      <c r="AO195" s="178">
        <f t="shared" si="73"/>
        <v>0</v>
      </c>
      <c r="AP195" s="178"/>
      <c r="AQ195" s="178">
        <f t="shared" si="61"/>
        <v>0</v>
      </c>
      <c r="AR195" s="178">
        <f t="shared" si="68"/>
        <v>0</v>
      </c>
      <c r="AS195" s="178">
        <f t="shared" si="75"/>
        <v>0</v>
      </c>
      <c r="AT195" s="348"/>
      <c r="AU195" s="348"/>
      <c r="AV195" s="176">
        <f t="shared" si="76"/>
        <v>0</v>
      </c>
      <c r="BB195" s="571">
        <f t="shared" si="69"/>
        <v>3</v>
      </c>
      <c r="BC195" s="293">
        <f>IF(BB195=1,Adm!$AN$2,0)</f>
        <v>0</v>
      </c>
      <c r="BE195" s="341">
        <f t="shared" si="74"/>
        <v>0</v>
      </c>
      <c r="BF195" s="345">
        <f t="shared" ca="1" si="70"/>
        <v>0</v>
      </c>
    </row>
    <row r="196" spans="1:58">
      <c r="A196" s="151">
        <f t="shared" ca="1" si="56"/>
        <v>3</v>
      </c>
      <c r="C196" s="178">
        <f t="shared" si="57"/>
        <v>172</v>
      </c>
      <c r="D196" s="178">
        <f t="shared" si="62"/>
        <v>4034.9247704476857</v>
      </c>
      <c r="E196" s="178">
        <f t="shared" si="77"/>
        <v>5580.3812845301873</v>
      </c>
      <c r="F196" s="178">
        <f t="shared" si="71"/>
        <v>9615.3060549778729</v>
      </c>
      <c r="G196" s="178">
        <f>IF(L195&lt;0.01,0,IF(Adm!$S$3=Adm!$S$13,Cal!$E$94,IF(Adm!$R$3=Adm!$R$6,0,IF(Cal!$E$91=0,L195*Adm!$Y$3,L195*Adm!$X$3))))</f>
        <v>219.16012437379007</v>
      </c>
      <c r="H196" s="178">
        <f>IF(L195&lt;0.01,0,IF(Adm!$R$4=Adm!$R$6,0,IF(Adm!$B$3=Adm!$B$12,0,Cal!$E$89*Adm!$AA$3/1.16)))</f>
        <v>494.46758620689661</v>
      </c>
      <c r="I196" s="178">
        <f>IF(L195&lt;0.01,0,Adm!$O$3)</f>
        <v>250</v>
      </c>
      <c r="J196" s="178">
        <f t="shared" si="58"/>
        <v>10578.933765558559</v>
      </c>
      <c r="K196" s="178">
        <f>IF(Adm!$F$3="si",MIN(L195+D196+G196+H196+I196-J196,Y196),0)</f>
        <v>0</v>
      </c>
      <c r="L196" s="178">
        <f t="shared" si="63"/>
        <v>504094.32656149322</v>
      </c>
      <c r="M196" s="348"/>
      <c r="N196" s="348"/>
      <c r="O196" s="348">
        <f t="shared" si="64"/>
        <v>10578.933765558559</v>
      </c>
      <c r="U196" s="571">
        <f t="shared" si="65"/>
        <v>4</v>
      </c>
      <c r="V196" s="293">
        <f>IF(U196=1,Adm!$AN$2,0)</f>
        <v>0</v>
      </c>
      <c r="X196" s="341">
        <f t="shared" si="72"/>
        <v>0</v>
      </c>
      <c r="Y196" s="345">
        <f t="shared" ca="1" si="66"/>
        <v>0</v>
      </c>
      <c r="AD196" s="172"/>
      <c r="AG196" s="151">
        <f t="shared" ca="1" si="59"/>
        <v>3</v>
      </c>
      <c r="AI196" s="178">
        <f t="shared" si="60"/>
        <v>0</v>
      </c>
      <c r="AJ196" s="178">
        <f t="shared" si="67"/>
        <v>0</v>
      </c>
      <c r="AK196" s="178">
        <f t="shared" si="78"/>
        <v>0</v>
      </c>
      <c r="AL196" s="178">
        <f t="shared" si="79"/>
        <v>0</v>
      </c>
      <c r="AM196" s="351">
        <f>IF(AS195&lt;0.01,0,IF(Resol!$G$19&gt;0,Resol!$G$19,IF(Resol!$F$19=Resol!$U$5,0,IF($AS$10=0,AS195*Adm!$Y$3,AS195*Adm!$X$3))))</f>
        <v>0</v>
      </c>
      <c r="AN196" s="351">
        <f>IF(AS195&lt;0.01,0,IF(Resol!$F$20=Resol!$V$3,0,IF(OR(Resol!$F$10=Resol!$T$16,Resol!$F$10=Resol!$T$17),0,IF(Resol!$F$10=Resol!$T$13,0,$AL$5*Adm!$AA$4/1.16))))</f>
        <v>0</v>
      </c>
      <c r="AO196" s="178">
        <f t="shared" si="73"/>
        <v>0</v>
      </c>
      <c r="AP196" s="178"/>
      <c r="AQ196" s="178">
        <f t="shared" si="61"/>
        <v>0</v>
      </c>
      <c r="AR196" s="178">
        <f t="shared" si="68"/>
        <v>0</v>
      </c>
      <c r="AS196" s="178">
        <f t="shared" si="75"/>
        <v>0</v>
      </c>
      <c r="AT196" s="348"/>
      <c r="AU196" s="348"/>
      <c r="AV196" s="176">
        <f t="shared" si="76"/>
        <v>0</v>
      </c>
      <c r="BB196" s="571">
        <f t="shared" si="69"/>
        <v>4</v>
      </c>
      <c r="BC196" s="293">
        <f>IF(BB196=1,Adm!$AN$2,0)</f>
        <v>0</v>
      </c>
      <c r="BE196" s="341">
        <f t="shared" si="74"/>
        <v>0</v>
      </c>
      <c r="BF196" s="345">
        <f t="shared" ca="1" si="70"/>
        <v>0</v>
      </c>
    </row>
    <row r="197" spans="1:58">
      <c r="A197" s="151">
        <f t="shared" ca="1" si="56"/>
        <v>4</v>
      </c>
      <c r="C197" s="178">
        <f t="shared" si="57"/>
        <v>173</v>
      </c>
      <c r="D197" s="178">
        <f t="shared" si="62"/>
        <v>3990.7467519451548</v>
      </c>
      <c r="E197" s="178">
        <f t="shared" si="77"/>
        <v>5624.5593030327182</v>
      </c>
      <c r="F197" s="178">
        <f t="shared" si="71"/>
        <v>9615.3060549778729</v>
      </c>
      <c r="G197" s="178">
        <f>IF(L196&lt;0.01,0,IF(Adm!$S$3=Adm!$S$13,Cal!$E$94,IF(Adm!$R$3=Adm!$R$6,0,IF(Cal!$E$91=0,L196*Adm!$Y$3,L196*Adm!$X$3))))</f>
        <v>216.76056042144208</v>
      </c>
      <c r="H197" s="178">
        <f>IF(L196&lt;0.01,0,IF(Adm!$R$4=Adm!$R$6,0,IF(Adm!$B$3=Adm!$B$12,0,Cal!$E$89*Adm!$AA$3/1.16)))</f>
        <v>494.46758620689661</v>
      </c>
      <c r="I197" s="178">
        <f>IF(L196&lt;0.01,0,Adm!$O$3)</f>
        <v>250</v>
      </c>
      <c r="J197" s="178">
        <f t="shared" si="58"/>
        <v>10576.534201606211</v>
      </c>
      <c r="K197" s="178">
        <f>IF(Adm!$F$3="si",MIN(L196+D197+G197+H197+I197-J197,Y197),0)</f>
        <v>0</v>
      </c>
      <c r="L197" s="178">
        <f t="shared" si="63"/>
        <v>498469.76725846052</v>
      </c>
      <c r="M197" s="348"/>
      <c r="N197" s="348"/>
      <c r="O197" s="348">
        <f t="shared" si="64"/>
        <v>10576.534201606211</v>
      </c>
      <c r="U197" s="571">
        <f t="shared" si="65"/>
        <v>5</v>
      </c>
      <c r="V197" s="293">
        <f>IF(U197=1,Adm!$AN$2,0)</f>
        <v>0</v>
      </c>
      <c r="X197" s="341">
        <f t="shared" si="72"/>
        <v>0</v>
      </c>
      <c r="Y197" s="345">
        <f t="shared" ca="1" si="66"/>
        <v>0</v>
      </c>
      <c r="AD197" s="172"/>
      <c r="AG197" s="151">
        <f t="shared" ca="1" si="59"/>
        <v>4</v>
      </c>
      <c r="AI197" s="178">
        <f t="shared" si="60"/>
        <v>0</v>
      </c>
      <c r="AJ197" s="178">
        <f t="shared" si="67"/>
        <v>0</v>
      </c>
      <c r="AK197" s="178">
        <f t="shared" si="78"/>
        <v>0</v>
      </c>
      <c r="AL197" s="178">
        <f t="shared" si="79"/>
        <v>0</v>
      </c>
      <c r="AM197" s="351">
        <f>IF(AS196&lt;0.01,0,IF(Resol!$G$19&gt;0,Resol!$G$19,IF(Resol!$F$19=Resol!$U$5,0,IF($AS$10=0,AS196*Adm!$Y$3,AS196*Adm!$X$3))))</f>
        <v>0</v>
      </c>
      <c r="AN197" s="351">
        <f>IF(AS196&lt;0.01,0,IF(Resol!$F$20=Resol!$V$3,0,IF(OR(Resol!$F$10=Resol!$T$16,Resol!$F$10=Resol!$T$17),0,IF(Resol!$F$10=Resol!$T$13,0,$AL$5*Adm!$AA$4/1.16))))</f>
        <v>0</v>
      </c>
      <c r="AO197" s="178">
        <f t="shared" si="73"/>
        <v>0</v>
      </c>
      <c r="AP197" s="178"/>
      <c r="AQ197" s="178">
        <f t="shared" si="61"/>
        <v>0</v>
      </c>
      <c r="AR197" s="178">
        <f t="shared" si="68"/>
        <v>0</v>
      </c>
      <c r="AS197" s="178">
        <f t="shared" si="75"/>
        <v>0</v>
      </c>
      <c r="AT197" s="348"/>
      <c r="AU197" s="348"/>
      <c r="AV197" s="176">
        <f t="shared" si="76"/>
        <v>0</v>
      </c>
      <c r="BB197" s="571">
        <f t="shared" si="69"/>
        <v>5</v>
      </c>
      <c r="BC197" s="293">
        <f>IF(BB197=1,Adm!$AN$2,0)</f>
        <v>0</v>
      </c>
      <c r="BE197" s="341">
        <f t="shared" si="74"/>
        <v>0</v>
      </c>
      <c r="BF197" s="345">
        <f t="shared" ca="1" si="70"/>
        <v>0</v>
      </c>
    </row>
    <row r="198" spans="1:58">
      <c r="A198" s="151">
        <f t="shared" ca="1" si="56"/>
        <v>5</v>
      </c>
      <c r="C198" s="178">
        <f t="shared" si="57"/>
        <v>174</v>
      </c>
      <c r="D198" s="178">
        <f t="shared" si="62"/>
        <v>3946.2189907961456</v>
      </c>
      <c r="E198" s="178">
        <f t="shared" si="77"/>
        <v>5669.0870641817273</v>
      </c>
      <c r="F198" s="178">
        <f t="shared" si="71"/>
        <v>9615.3060549778729</v>
      </c>
      <c r="G198" s="178">
        <f>IF(L197&lt;0.01,0,IF(Adm!$S$3=Adm!$S$13,Cal!$E$94,IF(Adm!$R$3=Adm!$R$6,0,IF(Cal!$E$91=0,L197*Adm!$Y$3,L197*Adm!$X$3))))</f>
        <v>214.34199992113801</v>
      </c>
      <c r="H198" s="178">
        <f>IF(L197&lt;0.01,0,IF(Adm!$R$4=Adm!$R$6,0,IF(Adm!$B$3=Adm!$B$12,0,Cal!$E$89*Adm!$AA$3/1.16)))</f>
        <v>494.46758620689661</v>
      </c>
      <c r="I198" s="178">
        <f>IF(L197&lt;0.01,0,Adm!$O$3)</f>
        <v>250</v>
      </c>
      <c r="J198" s="178">
        <f t="shared" si="58"/>
        <v>10574.115641105907</v>
      </c>
      <c r="K198" s="178">
        <f>IF(Adm!$F$3="si",MIN(L197+D198+G198+H198+I198-J198,Y198),0)</f>
        <v>0</v>
      </c>
      <c r="L198" s="178">
        <f t="shared" si="63"/>
        <v>492800.68019427877</v>
      </c>
      <c r="M198" s="348"/>
      <c r="N198" s="348"/>
      <c r="O198" s="348">
        <f t="shared" si="64"/>
        <v>10574.115641105907</v>
      </c>
      <c r="U198" s="571">
        <f t="shared" si="65"/>
        <v>6</v>
      </c>
      <c r="V198" s="293">
        <f>IF(U198=1,Adm!$AN$2,0)</f>
        <v>0</v>
      </c>
      <c r="X198" s="341">
        <f t="shared" si="72"/>
        <v>0</v>
      </c>
      <c r="Y198" s="345">
        <f t="shared" ca="1" si="66"/>
        <v>0</v>
      </c>
      <c r="AD198" s="172"/>
      <c r="AG198" s="151">
        <f t="shared" ca="1" si="59"/>
        <v>5</v>
      </c>
      <c r="AI198" s="178">
        <f t="shared" si="60"/>
        <v>0</v>
      </c>
      <c r="AJ198" s="178">
        <f t="shared" si="67"/>
        <v>0</v>
      </c>
      <c r="AK198" s="178">
        <f t="shared" si="78"/>
        <v>0</v>
      </c>
      <c r="AL198" s="178">
        <f t="shared" si="79"/>
        <v>0</v>
      </c>
      <c r="AM198" s="351">
        <f>IF(AS197&lt;0.01,0,IF(Resol!$G$19&gt;0,Resol!$G$19,IF(Resol!$F$19=Resol!$U$5,0,IF($AS$10=0,AS197*Adm!$Y$3,AS197*Adm!$X$3))))</f>
        <v>0</v>
      </c>
      <c r="AN198" s="351">
        <f>IF(AS197&lt;0.01,0,IF(Resol!$F$20=Resol!$V$3,0,IF(OR(Resol!$F$10=Resol!$T$16,Resol!$F$10=Resol!$T$17),0,IF(Resol!$F$10=Resol!$T$13,0,$AL$5*Adm!$AA$4/1.16))))</f>
        <v>0</v>
      </c>
      <c r="AO198" s="178">
        <f t="shared" si="73"/>
        <v>0</v>
      </c>
      <c r="AP198" s="178"/>
      <c r="AQ198" s="178">
        <f t="shared" si="61"/>
        <v>0</v>
      </c>
      <c r="AR198" s="178">
        <f t="shared" si="68"/>
        <v>0</v>
      </c>
      <c r="AS198" s="178">
        <f t="shared" si="75"/>
        <v>0</v>
      </c>
      <c r="AT198" s="348"/>
      <c r="AU198" s="348"/>
      <c r="AV198" s="176">
        <f t="shared" si="76"/>
        <v>0</v>
      </c>
      <c r="BB198" s="571">
        <f t="shared" si="69"/>
        <v>6</v>
      </c>
      <c r="BC198" s="293">
        <f>IF(BB198=1,Adm!$AN$2,0)</f>
        <v>0</v>
      </c>
      <c r="BE198" s="341">
        <f t="shared" si="74"/>
        <v>0</v>
      </c>
      <c r="BF198" s="345">
        <f t="shared" ca="1" si="70"/>
        <v>0</v>
      </c>
    </row>
    <row r="199" spans="1:58">
      <c r="A199" s="151">
        <f t="shared" ca="1" si="56"/>
        <v>6</v>
      </c>
      <c r="C199" s="178">
        <f t="shared" si="57"/>
        <v>175</v>
      </c>
      <c r="D199" s="178">
        <f t="shared" si="62"/>
        <v>3901.3387182047068</v>
      </c>
      <c r="E199" s="178">
        <f t="shared" si="77"/>
        <v>5713.9673367731666</v>
      </c>
      <c r="F199" s="178">
        <f t="shared" si="71"/>
        <v>9615.3060549778729</v>
      </c>
      <c r="G199" s="178">
        <f>IF(L198&lt;0.01,0,IF(Adm!$S$3=Adm!$S$13,Cal!$E$94,IF(Adm!$R$3=Adm!$R$6,0,IF(Cal!$E$91=0,L198*Adm!$Y$3,L198*Adm!$X$3))))</f>
        <v>211.90429248353988</v>
      </c>
      <c r="H199" s="178">
        <f>IF(L198&lt;0.01,0,IF(Adm!$R$4=Adm!$R$6,0,IF(Adm!$B$3=Adm!$B$12,0,Cal!$E$89*Adm!$AA$3/1.16)))</f>
        <v>494.46758620689661</v>
      </c>
      <c r="I199" s="178">
        <f>IF(L198&lt;0.01,0,Adm!$O$3)</f>
        <v>250</v>
      </c>
      <c r="J199" s="178">
        <f t="shared" si="58"/>
        <v>10571.677933668308</v>
      </c>
      <c r="K199" s="178">
        <f>IF(Adm!$F$3="si",MIN(L198+D199+G199+H199+I199-J199,Y199),0)</f>
        <v>0</v>
      </c>
      <c r="L199" s="178">
        <f t="shared" si="63"/>
        <v>487086.7128575056</v>
      </c>
      <c r="M199" s="348"/>
      <c r="N199" s="348"/>
      <c r="O199" s="348">
        <f t="shared" si="64"/>
        <v>10571.677933668308</v>
      </c>
      <c r="U199" s="571">
        <f t="shared" si="65"/>
        <v>7</v>
      </c>
      <c r="V199" s="293">
        <f>IF(U199=1,Adm!$AN$2,0)</f>
        <v>0</v>
      </c>
      <c r="X199" s="341">
        <f t="shared" si="72"/>
        <v>0</v>
      </c>
      <c r="Y199" s="345">
        <f t="shared" ca="1" si="66"/>
        <v>0</v>
      </c>
      <c r="AD199" s="172"/>
      <c r="AG199" s="151">
        <f t="shared" ca="1" si="59"/>
        <v>6</v>
      </c>
      <c r="AI199" s="178">
        <f t="shared" si="60"/>
        <v>0</v>
      </c>
      <c r="AJ199" s="178">
        <f t="shared" si="67"/>
        <v>0</v>
      </c>
      <c r="AK199" s="178">
        <f t="shared" si="78"/>
        <v>0</v>
      </c>
      <c r="AL199" s="178">
        <f t="shared" si="79"/>
        <v>0</v>
      </c>
      <c r="AM199" s="351">
        <f>IF(AS198&lt;0.01,0,IF(Resol!$G$19&gt;0,Resol!$G$19,IF(Resol!$F$19=Resol!$U$5,0,IF($AS$10=0,AS198*Adm!$Y$3,AS198*Adm!$X$3))))</f>
        <v>0</v>
      </c>
      <c r="AN199" s="351">
        <f>IF(AS198&lt;0.01,0,IF(Resol!$F$20=Resol!$V$3,0,IF(OR(Resol!$F$10=Resol!$T$16,Resol!$F$10=Resol!$T$17),0,IF(Resol!$F$10=Resol!$T$13,0,$AL$5*Adm!$AA$4/1.16))))</f>
        <v>0</v>
      </c>
      <c r="AO199" s="178">
        <f t="shared" si="73"/>
        <v>0</v>
      </c>
      <c r="AP199" s="178"/>
      <c r="AQ199" s="178">
        <f t="shared" si="61"/>
        <v>0</v>
      </c>
      <c r="AR199" s="178">
        <f t="shared" si="68"/>
        <v>0</v>
      </c>
      <c r="AS199" s="178">
        <f t="shared" si="75"/>
        <v>0</v>
      </c>
      <c r="AT199" s="348"/>
      <c r="AU199" s="348"/>
      <c r="AV199" s="176">
        <f t="shared" si="76"/>
        <v>0</v>
      </c>
      <c r="BB199" s="571">
        <f t="shared" si="69"/>
        <v>7</v>
      </c>
      <c r="BC199" s="293">
        <f>IF(BB199=1,Adm!$AN$2,0)</f>
        <v>0</v>
      </c>
      <c r="BE199" s="341">
        <f t="shared" si="74"/>
        <v>0</v>
      </c>
      <c r="BF199" s="345">
        <f t="shared" ca="1" si="70"/>
        <v>0</v>
      </c>
    </row>
    <row r="200" spans="1:58">
      <c r="A200" s="151">
        <f t="shared" ca="1" si="56"/>
        <v>7</v>
      </c>
      <c r="C200" s="178">
        <f t="shared" si="57"/>
        <v>176</v>
      </c>
      <c r="D200" s="178">
        <f t="shared" si="62"/>
        <v>3856.1031434552528</v>
      </c>
      <c r="E200" s="178">
        <f t="shared" si="77"/>
        <v>5759.2029115226196</v>
      </c>
      <c r="F200" s="178">
        <f t="shared" si="71"/>
        <v>9615.3060549778729</v>
      </c>
      <c r="G200" s="178">
        <f>IF(L199&lt;0.01,0,IF(Adm!$S$3=Adm!$S$13,Cal!$E$94,IF(Adm!$R$3=Adm!$R$6,0,IF(Cal!$E$91=0,L199*Adm!$Y$3,L199*Adm!$X$3))))</f>
        <v>209.4472865287274</v>
      </c>
      <c r="H200" s="178">
        <f>IF(L199&lt;0.01,0,IF(Adm!$R$4=Adm!$R$6,0,IF(Adm!$B$3=Adm!$B$12,0,Cal!$E$89*Adm!$AA$3/1.16)))</f>
        <v>494.46758620689661</v>
      </c>
      <c r="I200" s="178">
        <f>IF(L199&lt;0.01,0,Adm!$O$3)</f>
        <v>250</v>
      </c>
      <c r="J200" s="178">
        <f t="shared" si="58"/>
        <v>10569.220927713497</v>
      </c>
      <c r="K200" s="178">
        <f>IF(Adm!$F$3="si",MIN(L199+D200+G200+H200+I200-J200,Y200),0)</f>
        <v>0</v>
      </c>
      <c r="L200" s="178">
        <f t="shared" si="63"/>
        <v>481327.50994598295</v>
      </c>
      <c r="M200" s="348"/>
      <c r="N200" s="348"/>
      <c r="O200" s="348">
        <f t="shared" si="64"/>
        <v>10569.220927713497</v>
      </c>
      <c r="U200" s="571">
        <f t="shared" si="65"/>
        <v>8</v>
      </c>
      <c r="V200" s="293">
        <f>IF(U200=1,Adm!$AN$2,0)</f>
        <v>0</v>
      </c>
      <c r="X200" s="341">
        <f t="shared" si="72"/>
        <v>0</v>
      </c>
      <c r="Y200" s="345">
        <f t="shared" ca="1" si="66"/>
        <v>0</v>
      </c>
      <c r="AD200" s="172"/>
      <c r="AG200" s="151">
        <f t="shared" ca="1" si="59"/>
        <v>7</v>
      </c>
      <c r="AI200" s="178">
        <f t="shared" si="60"/>
        <v>0</v>
      </c>
      <c r="AJ200" s="178">
        <f t="shared" si="67"/>
        <v>0</v>
      </c>
      <c r="AK200" s="178">
        <f t="shared" si="78"/>
        <v>0</v>
      </c>
      <c r="AL200" s="178">
        <f t="shared" si="79"/>
        <v>0</v>
      </c>
      <c r="AM200" s="351">
        <f>IF(AS199&lt;0.01,0,IF(Resol!$G$19&gt;0,Resol!$G$19,IF(Resol!$F$19=Resol!$U$5,0,IF($AS$10=0,AS199*Adm!$Y$3,AS199*Adm!$X$3))))</f>
        <v>0</v>
      </c>
      <c r="AN200" s="351">
        <f>IF(AS199&lt;0.01,0,IF(Resol!$F$20=Resol!$V$3,0,IF(OR(Resol!$F$10=Resol!$T$16,Resol!$F$10=Resol!$T$17),0,IF(Resol!$F$10=Resol!$T$13,0,$AL$5*Adm!$AA$4/1.16))))</f>
        <v>0</v>
      </c>
      <c r="AO200" s="178">
        <f t="shared" si="73"/>
        <v>0</v>
      </c>
      <c r="AP200" s="178"/>
      <c r="AQ200" s="178">
        <f t="shared" si="61"/>
        <v>0</v>
      </c>
      <c r="AR200" s="178">
        <f t="shared" si="68"/>
        <v>0</v>
      </c>
      <c r="AS200" s="178">
        <f t="shared" si="75"/>
        <v>0</v>
      </c>
      <c r="AT200" s="348"/>
      <c r="AU200" s="348"/>
      <c r="AV200" s="176">
        <f t="shared" si="76"/>
        <v>0</v>
      </c>
      <c r="BB200" s="571">
        <f t="shared" si="69"/>
        <v>8</v>
      </c>
      <c r="BC200" s="293">
        <f>IF(BB200=1,Adm!$AN$2,0)</f>
        <v>0</v>
      </c>
      <c r="BE200" s="341">
        <f t="shared" si="74"/>
        <v>0</v>
      </c>
      <c r="BF200" s="345">
        <f t="shared" ca="1" si="70"/>
        <v>0</v>
      </c>
    </row>
    <row r="201" spans="1:58">
      <c r="A201" s="151">
        <f t="shared" ca="1" si="56"/>
        <v>8</v>
      </c>
      <c r="C201" s="178">
        <f t="shared" si="57"/>
        <v>177</v>
      </c>
      <c r="D201" s="178">
        <f t="shared" si="62"/>
        <v>3810.5094537390319</v>
      </c>
      <c r="E201" s="178">
        <f t="shared" si="77"/>
        <v>5804.7966012388406</v>
      </c>
      <c r="F201" s="178">
        <f t="shared" si="71"/>
        <v>9615.3060549778729</v>
      </c>
      <c r="G201" s="178">
        <f>IF(L200&lt;0.01,0,IF(Adm!$S$3=Adm!$S$13,Cal!$E$94,IF(Adm!$R$3=Adm!$R$6,0,IF(Cal!$E$91=0,L200*Adm!$Y$3,L200*Adm!$X$3))))</f>
        <v>206.97082927677266</v>
      </c>
      <c r="H201" s="178">
        <f>IF(L200&lt;0.01,0,IF(Adm!$R$4=Adm!$R$6,0,IF(Adm!$B$3=Adm!$B$12,0,Cal!$E$89*Adm!$AA$3/1.16)))</f>
        <v>494.46758620689661</v>
      </c>
      <c r="I201" s="178">
        <f>IF(L200&lt;0.01,0,Adm!$O$3)</f>
        <v>250</v>
      </c>
      <c r="J201" s="178">
        <f t="shared" si="58"/>
        <v>10566.744470461541</v>
      </c>
      <c r="K201" s="178">
        <f>IF(Adm!$F$3="si",MIN(L200+D201+G201+H201+I201-J201,Y201),0)</f>
        <v>0</v>
      </c>
      <c r="L201" s="178">
        <f t="shared" si="63"/>
        <v>475522.71334474412</v>
      </c>
      <c r="M201" s="348"/>
      <c r="N201" s="348"/>
      <c r="O201" s="348">
        <f t="shared" si="64"/>
        <v>10566.744470461541</v>
      </c>
      <c r="U201" s="571">
        <f t="shared" si="65"/>
        <v>9</v>
      </c>
      <c r="V201" s="293">
        <f>IF(U201=1,Adm!$AN$2,0)</f>
        <v>0</v>
      </c>
      <c r="X201" s="341">
        <f t="shared" si="72"/>
        <v>0</v>
      </c>
      <c r="Y201" s="345">
        <f t="shared" ca="1" si="66"/>
        <v>0</v>
      </c>
      <c r="AD201" s="172"/>
      <c r="AG201" s="151">
        <f t="shared" ca="1" si="59"/>
        <v>8</v>
      </c>
      <c r="AI201" s="178">
        <f t="shared" si="60"/>
        <v>0</v>
      </c>
      <c r="AJ201" s="178">
        <f t="shared" si="67"/>
        <v>0</v>
      </c>
      <c r="AK201" s="178">
        <f t="shared" si="78"/>
        <v>0</v>
      </c>
      <c r="AL201" s="178">
        <f t="shared" si="79"/>
        <v>0</v>
      </c>
      <c r="AM201" s="351">
        <f>IF(AS200&lt;0.01,0,IF(Resol!$G$19&gt;0,Resol!$G$19,IF(Resol!$F$19=Resol!$U$5,0,IF($AS$10=0,AS200*Adm!$Y$3,AS200*Adm!$X$3))))</f>
        <v>0</v>
      </c>
      <c r="AN201" s="351">
        <f>IF(AS200&lt;0.01,0,IF(Resol!$F$20=Resol!$V$3,0,IF(OR(Resol!$F$10=Resol!$T$16,Resol!$F$10=Resol!$T$17),0,IF(Resol!$F$10=Resol!$T$13,0,$AL$5*Adm!$AA$4/1.16))))</f>
        <v>0</v>
      </c>
      <c r="AO201" s="178">
        <f t="shared" si="73"/>
        <v>0</v>
      </c>
      <c r="AP201" s="178"/>
      <c r="AQ201" s="178">
        <f t="shared" si="61"/>
        <v>0</v>
      </c>
      <c r="AR201" s="178">
        <f t="shared" si="68"/>
        <v>0</v>
      </c>
      <c r="AS201" s="178">
        <f t="shared" si="75"/>
        <v>0</v>
      </c>
      <c r="AT201" s="348"/>
      <c r="AU201" s="348"/>
      <c r="AV201" s="176">
        <f t="shared" si="76"/>
        <v>0</v>
      </c>
      <c r="BB201" s="571">
        <f t="shared" si="69"/>
        <v>9</v>
      </c>
      <c r="BC201" s="293">
        <f>IF(BB201=1,Adm!$AN$2,0)</f>
        <v>0</v>
      </c>
      <c r="BE201" s="341">
        <f t="shared" si="74"/>
        <v>0</v>
      </c>
      <c r="BF201" s="345">
        <f t="shared" ca="1" si="70"/>
        <v>0</v>
      </c>
    </row>
    <row r="202" spans="1:58">
      <c r="A202" s="151">
        <f t="shared" ca="1" si="56"/>
        <v>9</v>
      </c>
      <c r="C202" s="178">
        <f t="shared" si="57"/>
        <v>178</v>
      </c>
      <c r="D202" s="178">
        <f t="shared" si="62"/>
        <v>3764.5548139792245</v>
      </c>
      <c r="E202" s="178">
        <f t="shared" si="77"/>
        <v>5850.7512409986484</v>
      </c>
      <c r="F202" s="178">
        <f t="shared" si="71"/>
        <v>9615.3060549778729</v>
      </c>
      <c r="G202" s="178">
        <f>IF(L201&lt;0.01,0,IF(Adm!$S$3=Adm!$S$13,Cal!$E$94,IF(Adm!$R$3=Adm!$R$6,0,IF(Cal!$E$91=0,L201*Adm!$Y$3,L201*Adm!$X$3))))</f>
        <v>204.47476673823996</v>
      </c>
      <c r="H202" s="178">
        <f>IF(L201&lt;0.01,0,IF(Adm!$R$4=Adm!$R$6,0,IF(Adm!$B$3=Adm!$B$12,0,Cal!$E$89*Adm!$AA$3/1.16)))</f>
        <v>494.46758620689661</v>
      </c>
      <c r="I202" s="178">
        <f>IF(L201&lt;0.01,0,Adm!$O$3)</f>
        <v>250</v>
      </c>
      <c r="J202" s="178">
        <f t="shared" si="58"/>
        <v>10564.248407923009</v>
      </c>
      <c r="K202" s="178">
        <f>IF(Adm!$F$3="si",MIN(L201+D202+G202+H202+I202-J202,Y202),0)</f>
        <v>0</v>
      </c>
      <c r="L202" s="178">
        <f t="shared" si="63"/>
        <v>469671.96210374549</v>
      </c>
      <c r="M202" s="348"/>
      <c r="N202" s="348"/>
      <c r="O202" s="348">
        <f t="shared" si="64"/>
        <v>10564.248407923009</v>
      </c>
      <c r="U202" s="571">
        <f t="shared" si="65"/>
        <v>10</v>
      </c>
      <c r="V202" s="293">
        <f>IF(U202=1,Adm!$AN$2,0)</f>
        <v>0</v>
      </c>
      <c r="X202" s="341">
        <f t="shared" si="72"/>
        <v>0</v>
      </c>
      <c r="Y202" s="345">
        <f t="shared" ca="1" si="66"/>
        <v>0</v>
      </c>
      <c r="AD202" s="172"/>
      <c r="AG202" s="151">
        <f t="shared" ca="1" si="59"/>
        <v>9</v>
      </c>
      <c r="AI202" s="178">
        <f t="shared" si="60"/>
        <v>0</v>
      </c>
      <c r="AJ202" s="178">
        <f t="shared" si="67"/>
        <v>0</v>
      </c>
      <c r="AK202" s="178">
        <f t="shared" si="78"/>
        <v>0</v>
      </c>
      <c r="AL202" s="178">
        <f t="shared" si="79"/>
        <v>0</v>
      </c>
      <c r="AM202" s="351">
        <f>IF(AS201&lt;0.01,0,IF(Resol!$G$19&gt;0,Resol!$G$19,IF(Resol!$F$19=Resol!$U$5,0,IF($AS$10=0,AS201*Adm!$Y$3,AS201*Adm!$X$3))))</f>
        <v>0</v>
      </c>
      <c r="AN202" s="351">
        <f>IF(AS201&lt;0.01,0,IF(Resol!$F$20=Resol!$V$3,0,IF(OR(Resol!$F$10=Resol!$T$16,Resol!$F$10=Resol!$T$17),0,IF(Resol!$F$10=Resol!$T$13,0,$AL$5*Adm!$AA$4/1.16))))</f>
        <v>0</v>
      </c>
      <c r="AO202" s="178">
        <f t="shared" si="73"/>
        <v>0</v>
      </c>
      <c r="AP202" s="178"/>
      <c r="AQ202" s="178">
        <f t="shared" si="61"/>
        <v>0</v>
      </c>
      <c r="AR202" s="178">
        <f t="shared" si="68"/>
        <v>0</v>
      </c>
      <c r="AS202" s="178">
        <f t="shared" si="75"/>
        <v>0</v>
      </c>
      <c r="AT202" s="348"/>
      <c r="AU202" s="348"/>
      <c r="AV202" s="176">
        <f t="shared" si="76"/>
        <v>0</v>
      </c>
      <c r="BB202" s="571">
        <f t="shared" si="69"/>
        <v>10</v>
      </c>
      <c r="BC202" s="293">
        <f>IF(BB202=1,Adm!$AN$2,0)</f>
        <v>0</v>
      </c>
      <c r="BE202" s="341">
        <f t="shared" si="74"/>
        <v>0</v>
      </c>
      <c r="BF202" s="345">
        <f t="shared" ca="1" si="70"/>
        <v>0</v>
      </c>
    </row>
    <row r="203" spans="1:58">
      <c r="A203" s="151">
        <f t="shared" ca="1" si="56"/>
        <v>10</v>
      </c>
      <c r="C203" s="178">
        <f t="shared" si="57"/>
        <v>179</v>
      </c>
      <c r="D203" s="178">
        <f t="shared" si="62"/>
        <v>3718.2363666546516</v>
      </c>
      <c r="E203" s="178">
        <f t="shared" si="77"/>
        <v>5897.0696883232213</v>
      </c>
      <c r="F203" s="178">
        <f t="shared" si="71"/>
        <v>9615.3060549778729</v>
      </c>
      <c r="G203" s="178">
        <f>IF(L202&lt;0.01,0,IF(Adm!$S$3=Adm!$S$13,Cal!$E$94,IF(Adm!$R$3=Adm!$R$6,0,IF(Cal!$E$91=0,L202*Adm!$Y$3,L202*Adm!$X$3))))</f>
        <v>201.95894370461056</v>
      </c>
      <c r="H203" s="178">
        <f>IF(L202&lt;0.01,0,IF(Adm!$R$4=Adm!$R$6,0,IF(Adm!$B$3=Adm!$B$12,0,Cal!$E$89*Adm!$AA$3/1.16)))</f>
        <v>494.46758620689661</v>
      </c>
      <c r="I203" s="178">
        <f>IF(L202&lt;0.01,0,Adm!$O$3)</f>
        <v>250</v>
      </c>
      <c r="J203" s="178">
        <f t="shared" si="58"/>
        <v>10561.73258488938</v>
      </c>
      <c r="K203" s="178">
        <f>IF(Adm!$F$3="si",MIN(L202+D203+G203+H203+I203-J203,Y203),0)</f>
        <v>0</v>
      </c>
      <c r="L203" s="178">
        <f t="shared" si="63"/>
        <v>463774.89241542225</v>
      </c>
      <c r="M203" s="348"/>
      <c r="N203" s="348"/>
      <c r="O203" s="348">
        <f t="shared" si="64"/>
        <v>10561.73258488938</v>
      </c>
      <c r="U203" s="571">
        <f t="shared" si="65"/>
        <v>11</v>
      </c>
      <c r="V203" s="293">
        <f>IF(U203=1,Adm!$AN$2,0)</f>
        <v>0</v>
      </c>
      <c r="X203" s="341">
        <f t="shared" si="72"/>
        <v>0</v>
      </c>
      <c r="Y203" s="345">
        <f t="shared" ca="1" si="66"/>
        <v>0</v>
      </c>
      <c r="AD203" s="172"/>
      <c r="AG203" s="151">
        <f t="shared" ca="1" si="59"/>
        <v>10</v>
      </c>
      <c r="AI203" s="178">
        <f t="shared" si="60"/>
        <v>0</v>
      </c>
      <c r="AJ203" s="178">
        <f t="shared" si="67"/>
        <v>0</v>
      </c>
      <c r="AK203" s="178">
        <f t="shared" si="78"/>
        <v>0</v>
      </c>
      <c r="AL203" s="178">
        <f t="shared" si="79"/>
        <v>0</v>
      </c>
      <c r="AM203" s="351">
        <f>IF(AS202&lt;0.01,0,IF(Resol!$G$19&gt;0,Resol!$G$19,IF(Resol!$F$19=Resol!$U$5,0,IF($AS$10=0,AS202*Adm!$Y$3,AS202*Adm!$X$3))))</f>
        <v>0</v>
      </c>
      <c r="AN203" s="351">
        <f>IF(AS202&lt;0.01,0,IF(Resol!$F$20=Resol!$V$3,0,IF(OR(Resol!$F$10=Resol!$T$16,Resol!$F$10=Resol!$T$17),0,IF(Resol!$F$10=Resol!$T$13,0,$AL$5*Adm!$AA$4/1.16))))</f>
        <v>0</v>
      </c>
      <c r="AO203" s="178">
        <f t="shared" si="73"/>
        <v>0</v>
      </c>
      <c r="AP203" s="178"/>
      <c r="AQ203" s="178">
        <f t="shared" si="61"/>
        <v>0</v>
      </c>
      <c r="AR203" s="178">
        <f t="shared" si="68"/>
        <v>0</v>
      </c>
      <c r="AS203" s="178">
        <f t="shared" si="75"/>
        <v>0</v>
      </c>
      <c r="AT203" s="348"/>
      <c r="AU203" s="348"/>
      <c r="AV203" s="176">
        <f t="shared" si="76"/>
        <v>0</v>
      </c>
      <c r="BB203" s="571">
        <f t="shared" si="69"/>
        <v>11</v>
      </c>
      <c r="BC203" s="293">
        <f>IF(BB203=1,Adm!$AN$2,0)</f>
        <v>0</v>
      </c>
      <c r="BE203" s="341">
        <f t="shared" si="74"/>
        <v>0</v>
      </c>
      <c r="BF203" s="345">
        <f t="shared" ca="1" si="70"/>
        <v>0</v>
      </c>
    </row>
    <row r="204" spans="1:58">
      <c r="A204" s="151">
        <f t="shared" ca="1" si="56"/>
        <v>11</v>
      </c>
      <c r="C204" s="178">
        <f t="shared" si="57"/>
        <v>180</v>
      </c>
      <c r="D204" s="178">
        <f t="shared" si="62"/>
        <v>3671.5512316220925</v>
      </c>
      <c r="E204" s="178">
        <f t="shared" si="77"/>
        <v>5943.7548233557809</v>
      </c>
      <c r="F204" s="178">
        <f t="shared" si="71"/>
        <v>9615.3060549778729</v>
      </c>
      <c r="G204" s="178">
        <f>IF(L203&lt;0.01,0,IF(Adm!$S$3=Adm!$S$13,Cal!$E$94,IF(Adm!$R$3=Adm!$R$6,0,IF(Cal!$E$91=0,L203*Adm!$Y$3,L203*Adm!$X$3))))</f>
        <v>199.42320373863157</v>
      </c>
      <c r="H204" s="178">
        <f>IF(L203&lt;0.01,0,IF(Adm!$R$4=Adm!$R$6,0,IF(Adm!$B$3=Adm!$B$12,0,Cal!$E$89*Adm!$AA$3/1.16)))</f>
        <v>494.46758620689661</v>
      </c>
      <c r="I204" s="178">
        <f>IF(L203&lt;0.01,0,Adm!$O$3)</f>
        <v>250</v>
      </c>
      <c r="J204" s="178">
        <f t="shared" si="58"/>
        <v>10559.196844923401</v>
      </c>
      <c r="K204" s="178">
        <f>IF(Adm!$F$3="si",MIN(L203+D204+G204+H204+I204-J204,Y204),0)</f>
        <v>0</v>
      </c>
      <c r="L204" s="178">
        <f t="shared" si="63"/>
        <v>457831.13759206649</v>
      </c>
      <c r="M204" s="348"/>
      <c r="N204" s="348"/>
      <c r="O204" s="348">
        <f t="shared" si="64"/>
        <v>10559.196844923401</v>
      </c>
      <c r="U204" s="571">
        <f t="shared" si="65"/>
        <v>12</v>
      </c>
      <c r="V204" s="293">
        <f>IF(U204=1,Adm!$AN$2,0)</f>
        <v>0</v>
      </c>
      <c r="X204" s="341">
        <f t="shared" si="72"/>
        <v>0</v>
      </c>
      <c r="Y204" s="345">
        <f t="shared" ca="1" si="66"/>
        <v>0</v>
      </c>
      <c r="AD204" s="172"/>
      <c r="AG204" s="151">
        <f t="shared" ca="1" si="59"/>
        <v>11</v>
      </c>
      <c r="AI204" s="178">
        <f t="shared" si="60"/>
        <v>0</v>
      </c>
      <c r="AJ204" s="178">
        <f t="shared" si="67"/>
        <v>0</v>
      </c>
      <c r="AK204" s="178">
        <f t="shared" si="78"/>
        <v>0</v>
      </c>
      <c r="AL204" s="178">
        <f t="shared" si="79"/>
        <v>0</v>
      </c>
      <c r="AM204" s="351">
        <f>IF(AS203&lt;0.01,0,IF(Resol!$G$19&gt;0,Resol!$G$19,IF(Resol!$F$19=Resol!$U$5,0,IF($AS$10=0,AS203*Adm!$Y$3,AS203*Adm!$X$3))))</f>
        <v>0</v>
      </c>
      <c r="AN204" s="351">
        <f>IF(AS203&lt;0.01,0,IF(Resol!$F$20=Resol!$V$3,0,IF(OR(Resol!$F$10=Resol!$T$16,Resol!$F$10=Resol!$T$17),0,IF(Resol!$F$10=Resol!$T$13,0,$AL$5*Adm!$AA$4/1.16))))</f>
        <v>0</v>
      </c>
      <c r="AO204" s="178">
        <f t="shared" si="73"/>
        <v>0</v>
      </c>
      <c r="AP204" s="178"/>
      <c r="AQ204" s="178">
        <f t="shared" si="61"/>
        <v>0</v>
      </c>
      <c r="AR204" s="178">
        <f t="shared" si="68"/>
        <v>0</v>
      </c>
      <c r="AS204" s="178">
        <f t="shared" si="75"/>
        <v>0</v>
      </c>
      <c r="AT204" s="348"/>
      <c r="AU204" s="348"/>
      <c r="AV204" s="176">
        <f t="shared" si="76"/>
        <v>0</v>
      </c>
      <c r="BB204" s="571">
        <f t="shared" si="69"/>
        <v>12</v>
      </c>
      <c r="BC204" s="293">
        <f>IF(BB204=1,Adm!$AN$2,0)</f>
        <v>0</v>
      </c>
      <c r="BE204" s="341">
        <f t="shared" si="74"/>
        <v>0</v>
      </c>
      <c r="BF204" s="345">
        <f t="shared" ca="1" si="70"/>
        <v>0</v>
      </c>
    </row>
    <row r="205" spans="1:58">
      <c r="A205" s="151">
        <f t="shared" ca="1" si="56"/>
        <v>12</v>
      </c>
      <c r="C205" s="178">
        <f t="shared" si="57"/>
        <v>181</v>
      </c>
      <c r="D205" s="178">
        <f t="shared" si="62"/>
        <v>3624.496505937193</v>
      </c>
      <c r="E205" s="178">
        <f t="shared" si="77"/>
        <v>5990.8095490406795</v>
      </c>
      <c r="F205" s="178">
        <f t="shared" si="71"/>
        <v>9615.3060549778729</v>
      </c>
      <c r="G205" s="178">
        <f>IF(L204&lt;0.01,0,IF(Adm!$S$3=Adm!$S$13,Cal!$E$94,IF(Adm!$R$3=Adm!$R$6,0,IF(Cal!$E$91=0,L204*Adm!$Y$3,L204*Adm!$X$3))))</f>
        <v>196.86738916458859</v>
      </c>
      <c r="H205" s="178">
        <f>IF(L204&lt;0.01,0,IF(Adm!$R$4=Adm!$R$6,0,IF(Adm!$B$3=Adm!$B$12,0,Cal!$E$89*Adm!$AA$3/1.16)))</f>
        <v>494.46758620689661</v>
      </c>
      <c r="I205" s="178">
        <f>IF(L204&lt;0.01,0,Adm!$O$3)</f>
        <v>250</v>
      </c>
      <c r="J205" s="178">
        <f t="shared" si="58"/>
        <v>10556.641030349358</v>
      </c>
      <c r="K205" s="178">
        <f>IF(Adm!$F$3="si",MIN(L204+D205+G205+H205+I205-J205,Y205),0)</f>
        <v>0</v>
      </c>
      <c r="L205" s="178">
        <f t="shared" si="63"/>
        <v>451840.3280430258</v>
      </c>
      <c r="M205" s="348"/>
      <c r="N205" s="348"/>
      <c r="O205" s="348">
        <f t="shared" si="64"/>
        <v>10556.641030349358</v>
      </c>
      <c r="U205" s="571">
        <f t="shared" si="65"/>
        <v>1</v>
      </c>
      <c r="V205" s="293">
        <f>IF(U205=1,Adm!$AN$2,0)</f>
        <v>0</v>
      </c>
      <c r="X205" s="341">
        <f t="shared" si="72"/>
        <v>0</v>
      </c>
      <c r="Y205" s="345">
        <f t="shared" ca="1" si="66"/>
        <v>0</v>
      </c>
      <c r="AD205" s="172"/>
      <c r="AG205" s="151">
        <f t="shared" ca="1" si="59"/>
        <v>12</v>
      </c>
      <c r="AI205" s="178">
        <f t="shared" si="60"/>
        <v>0</v>
      </c>
      <c r="AJ205" s="178">
        <f t="shared" si="67"/>
        <v>0</v>
      </c>
      <c r="AK205" s="178">
        <f t="shared" si="78"/>
        <v>0</v>
      </c>
      <c r="AL205" s="178">
        <f t="shared" si="79"/>
        <v>0</v>
      </c>
      <c r="AM205" s="351">
        <f>IF(AS204&lt;0.01,0,IF(Resol!$G$19&gt;0,Resol!$G$19,IF(Resol!$F$19=Resol!$U$5,0,IF($AS$10=0,AS204*Adm!$Y$3,AS204*Adm!$X$3))))</f>
        <v>0</v>
      </c>
      <c r="AN205" s="351">
        <f>IF(AS204&lt;0.01,0,IF(Resol!$F$20=Resol!$V$3,0,IF(OR(Resol!$F$10=Resol!$T$16,Resol!$F$10=Resol!$T$17),0,IF(Resol!$F$10=Resol!$T$13,0,$AL$5*Adm!$AA$4/1.16))))</f>
        <v>0</v>
      </c>
      <c r="AO205" s="178">
        <f t="shared" si="73"/>
        <v>0</v>
      </c>
      <c r="AP205" s="178"/>
      <c r="AQ205" s="178">
        <f t="shared" si="61"/>
        <v>0</v>
      </c>
      <c r="AR205" s="178">
        <f t="shared" si="68"/>
        <v>0</v>
      </c>
      <c r="AS205" s="178">
        <f t="shared" si="75"/>
        <v>0</v>
      </c>
      <c r="AT205" s="348"/>
      <c r="AU205" s="348"/>
      <c r="AV205" s="176">
        <f t="shared" si="76"/>
        <v>0</v>
      </c>
      <c r="BB205" s="571">
        <f t="shared" si="69"/>
        <v>1</v>
      </c>
      <c r="BC205" s="293">
        <f>IF(BB205=1,Adm!$AN$2,0)</f>
        <v>0</v>
      </c>
      <c r="BE205" s="341">
        <f t="shared" si="74"/>
        <v>0</v>
      </c>
      <c r="BF205" s="345">
        <f t="shared" ca="1" si="70"/>
        <v>0</v>
      </c>
    </row>
    <row r="206" spans="1:58">
      <c r="A206" s="151">
        <f t="shared" ca="1" si="56"/>
        <v>1</v>
      </c>
      <c r="C206" s="178">
        <f t="shared" si="57"/>
        <v>182</v>
      </c>
      <c r="D206" s="178">
        <f t="shared" si="62"/>
        <v>3577.0692636739545</v>
      </c>
      <c r="E206" s="178">
        <f t="shared" si="77"/>
        <v>6038.2367913039179</v>
      </c>
      <c r="F206" s="178">
        <f t="shared" si="71"/>
        <v>9615.3060549778729</v>
      </c>
      <c r="G206" s="178">
        <f>IF(L205&lt;0.01,0,IF(Adm!$S$3=Adm!$S$13,Cal!$E$94,IF(Adm!$R$3=Adm!$R$6,0,IF(Cal!$E$91=0,L205*Adm!$Y$3,L205*Adm!$X$3))))</f>
        <v>194.2913410585011</v>
      </c>
      <c r="H206" s="178">
        <f>IF(L205&lt;0.01,0,IF(Adm!$R$4=Adm!$R$6,0,IF(Adm!$B$3=Adm!$B$12,0,Cal!$E$89*Adm!$AA$3/1.16)))</f>
        <v>494.46758620689661</v>
      </c>
      <c r="I206" s="178">
        <f>IF(L205&lt;0.01,0,Adm!$O$3)</f>
        <v>250</v>
      </c>
      <c r="J206" s="178">
        <f t="shared" si="58"/>
        <v>10554.06498224327</v>
      </c>
      <c r="K206" s="178">
        <f>IF(Adm!$F$3="si",MIN(L205+D206+G206+H206+I206-J206,Y206),0)</f>
        <v>0</v>
      </c>
      <c r="L206" s="178">
        <f t="shared" si="63"/>
        <v>445802.0912517219</v>
      </c>
      <c r="M206" s="348"/>
      <c r="N206" s="348"/>
      <c r="O206" s="348">
        <f t="shared" si="64"/>
        <v>10554.06498224327</v>
      </c>
      <c r="U206" s="571">
        <f t="shared" si="65"/>
        <v>2</v>
      </c>
      <c r="V206" s="293">
        <f>IF(U206=1,Adm!$AN$2,0)</f>
        <v>0</v>
      </c>
      <c r="X206" s="341">
        <f t="shared" si="72"/>
        <v>0</v>
      </c>
      <c r="Y206" s="345">
        <f t="shared" ca="1" si="66"/>
        <v>0</v>
      </c>
      <c r="AD206" s="172"/>
      <c r="AG206" s="151">
        <f t="shared" ca="1" si="59"/>
        <v>1</v>
      </c>
      <c r="AI206" s="178">
        <f t="shared" si="60"/>
        <v>0</v>
      </c>
      <c r="AJ206" s="178">
        <f t="shared" si="67"/>
        <v>0</v>
      </c>
      <c r="AK206" s="178">
        <f t="shared" si="78"/>
        <v>0</v>
      </c>
      <c r="AL206" s="178">
        <f t="shared" si="79"/>
        <v>0</v>
      </c>
      <c r="AM206" s="351">
        <f>IF(AS205&lt;0.01,0,IF(Resol!$G$19&gt;0,Resol!$G$19,IF(Resol!$F$19=Resol!$U$5,0,IF($AS$10=0,AS205*Adm!$Y$3,AS205*Adm!$X$3))))</f>
        <v>0</v>
      </c>
      <c r="AN206" s="351">
        <f>IF(AS205&lt;0.01,0,IF(Resol!$F$20=Resol!$V$3,0,IF(OR(Resol!$F$10=Resol!$T$16,Resol!$F$10=Resol!$T$17),0,IF(Resol!$F$10=Resol!$T$13,0,$AL$5*Adm!$AA$4/1.16))))</f>
        <v>0</v>
      </c>
      <c r="AO206" s="178">
        <f t="shared" si="73"/>
        <v>0</v>
      </c>
      <c r="AP206" s="178"/>
      <c r="AQ206" s="178">
        <f t="shared" si="61"/>
        <v>0</v>
      </c>
      <c r="AR206" s="178">
        <f t="shared" si="68"/>
        <v>0</v>
      </c>
      <c r="AS206" s="178">
        <f t="shared" si="75"/>
        <v>0</v>
      </c>
      <c r="AT206" s="348"/>
      <c r="AU206" s="348"/>
      <c r="AV206" s="176">
        <f t="shared" si="76"/>
        <v>0</v>
      </c>
      <c r="BB206" s="571">
        <f t="shared" si="69"/>
        <v>2</v>
      </c>
      <c r="BC206" s="293">
        <f>IF(BB206=1,Adm!$AN$2,0)</f>
        <v>0</v>
      </c>
      <c r="BE206" s="341">
        <f t="shared" si="74"/>
        <v>0</v>
      </c>
      <c r="BF206" s="345">
        <f t="shared" ca="1" si="70"/>
        <v>0</v>
      </c>
    </row>
    <row r="207" spans="1:58">
      <c r="A207" s="151">
        <f t="shared" ca="1" si="56"/>
        <v>2</v>
      </c>
      <c r="C207" s="178">
        <f t="shared" si="57"/>
        <v>183</v>
      </c>
      <c r="D207" s="178">
        <f t="shared" si="62"/>
        <v>3529.2665557427986</v>
      </c>
      <c r="E207" s="178">
        <f t="shared" si="77"/>
        <v>6086.0394992350739</v>
      </c>
      <c r="F207" s="178">
        <f t="shared" si="71"/>
        <v>9615.3060549778729</v>
      </c>
      <c r="G207" s="178">
        <f>IF(L206&lt;0.01,0,IF(Adm!$S$3=Adm!$S$13,Cal!$E$94,IF(Adm!$R$3=Adm!$R$6,0,IF(Cal!$E$91=0,L206*Adm!$Y$3,L206*Adm!$X$3))))</f>
        <v>191.69489923824042</v>
      </c>
      <c r="H207" s="178">
        <f>IF(L206&lt;0.01,0,IF(Adm!$R$4=Adm!$R$6,0,IF(Adm!$B$3=Adm!$B$12,0,Cal!$E$89*Adm!$AA$3/1.16)))</f>
        <v>494.46758620689661</v>
      </c>
      <c r="I207" s="178">
        <f>IF(L206&lt;0.01,0,Adm!$O$3)</f>
        <v>250</v>
      </c>
      <c r="J207" s="178">
        <f t="shared" si="58"/>
        <v>10551.468540423009</v>
      </c>
      <c r="K207" s="178">
        <f>IF(Adm!$F$3="si",MIN(L206+D207+G207+H207+I207-J207,Y207),0)</f>
        <v>0</v>
      </c>
      <c r="L207" s="178">
        <f t="shared" si="63"/>
        <v>439716.05175248685</v>
      </c>
      <c r="M207" s="348"/>
      <c r="N207" s="348"/>
      <c r="O207" s="348">
        <f t="shared" si="64"/>
        <v>10551.468540423009</v>
      </c>
      <c r="U207" s="571">
        <f t="shared" si="65"/>
        <v>3</v>
      </c>
      <c r="V207" s="293">
        <f>IF(U207=1,Adm!$AN$2,0)</f>
        <v>0</v>
      </c>
      <c r="X207" s="341">
        <f t="shared" si="72"/>
        <v>0</v>
      </c>
      <c r="Y207" s="345">
        <f t="shared" ca="1" si="66"/>
        <v>0</v>
      </c>
      <c r="AD207" s="172"/>
      <c r="AG207" s="151">
        <f t="shared" ca="1" si="59"/>
        <v>2</v>
      </c>
      <c r="AI207" s="178">
        <f t="shared" si="60"/>
        <v>0</v>
      </c>
      <c r="AJ207" s="178">
        <f t="shared" si="67"/>
        <v>0</v>
      </c>
      <c r="AK207" s="178">
        <f t="shared" si="78"/>
        <v>0</v>
      </c>
      <c r="AL207" s="178">
        <f t="shared" si="79"/>
        <v>0</v>
      </c>
      <c r="AM207" s="351">
        <f>IF(AS206&lt;0.01,0,IF(Resol!$G$19&gt;0,Resol!$G$19,IF(Resol!$F$19=Resol!$U$5,0,IF($AS$10=0,AS206*Adm!$Y$3,AS206*Adm!$X$3))))</f>
        <v>0</v>
      </c>
      <c r="AN207" s="351">
        <f>IF(AS206&lt;0.01,0,IF(Resol!$F$20=Resol!$V$3,0,IF(OR(Resol!$F$10=Resol!$T$16,Resol!$F$10=Resol!$T$17),0,IF(Resol!$F$10=Resol!$T$13,0,$AL$5*Adm!$AA$4/1.16))))</f>
        <v>0</v>
      </c>
      <c r="AO207" s="178">
        <f t="shared" si="73"/>
        <v>0</v>
      </c>
      <c r="AP207" s="178"/>
      <c r="AQ207" s="178">
        <f t="shared" si="61"/>
        <v>0</v>
      </c>
      <c r="AR207" s="178">
        <f t="shared" si="68"/>
        <v>0</v>
      </c>
      <c r="AS207" s="178">
        <f t="shared" si="75"/>
        <v>0</v>
      </c>
      <c r="AT207" s="348"/>
      <c r="AU207" s="348"/>
      <c r="AV207" s="176">
        <f t="shared" si="76"/>
        <v>0</v>
      </c>
      <c r="BB207" s="571">
        <f t="shared" si="69"/>
        <v>3</v>
      </c>
      <c r="BC207" s="293">
        <f>IF(BB207=1,Adm!$AN$2,0)</f>
        <v>0</v>
      </c>
      <c r="BE207" s="341">
        <f t="shared" si="74"/>
        <v>0</v>
      </c>
      <c r="BF207" s="345">
        <f t="shared" ca="1" si="70"/>
        <v>0</v>
      </c>
    </row>
    <row r="208" spans="1:58">
      <c r="A208" s="151">
        <f t="shared" ca="1" si="56"/>
        <v>3</v>
      </c>
      <c r="C208" s="178">
        <f t="shared" si="57"/>
        <v>184</v>
      </c>
      <c r="D208" s="178">
        <f t="shared" si="62"/>
        <v>3481.0854097071879</v>
      </c>
      <c r="E208" s="178">
        <f t="shared" si="77"/>
        <v>6134.2206452706851</v>
      </c>
      <c r="F208" s="178">
        <f t="shared" si="71"/>
        <v>9615.3060549778729</v>
      </c>
      <c r="G208" s="178">
        <f>IF(L207&lt;0.01,0,IF(Adm!$S$3=Adm!$S$13,Cal!$E$94,IF(Adm!$R$3=Adm!$R$6,0,IF(Cal!$E$91=0,L207*Adm!$Y$3,L207*Adm!$X$3))))</f>
        <v>189.07790225356933</v>
      </c>
      <c r="H208" s="178">
        <f>IF(L207&lt;0.01,0,IF(Adm!$R$4=Adm!$R$6,0,IF(Adm!$B$3=Adm!$B$12,0,Cal!$E$89*Adm!$AA$3/1.16)))</f>
        <v>494.46758620689661</v>
      </c>
      <c r="I208" s="178">
        <f>IF(L207&lt;0.01,0,Adm!$O$3)</f>
        <v>250</v>
      </c>
      <c r="J208" s="178">
        <f t="shared" si="58"/>
        <v>10548.851543438339</v>
      </c>
      <c r="K208" s="178">
        <f>IF(Adm!$F$3="si",MIN(L207+D208+G208+H208+I208-J208,Y208),0)</f>
        <v>0</v>
      </c>
      <c r="L208" s="178">
        <f t="shared" si="63"/>
        <v>433581.83110721619</v>
      </c>
      <c r="M208" s="348"/>
      <c r="N208" s="348"/>
      <c r="O208" s="348">
        <f t="shared" si="64"/>
        <v>10548.851543438339</v>
      </c>
      <c r="U208" s="571">
        <f t="shared" si="65"/>
        <v>4</v>
      </c>
      <c r="V208" s="293">
        <f>IF(U208=1,Adm!$AN$2,0)</f>
        <v>0</v>
      </c>
      <c r="X208" s="341">
        <f t="shared" si="72"/>
        <v>0</v>
      </c>
      <c r="Y208" s="345">
        <f t="shared" ca="1" si="66"/>
        <v>0</v>
      </c>
      <c r="AD208" s="172"/>
      <c r="AG208" s="151">
        <f t="shared" ca="1" si="59"/>
        <v>3</v>
      </c>
      <c r="AI208" s="178">
        <f t="shared" si="60"/>
        <v>0</v>
      </c>
      <c r="AJ208" s="178">
        <f t="shared" si="67"/>
        <v>0</v>
      </c>
      <c r="AK208" s="178">
        <f t="shared" si="78"/>
        <v>0</v>
      </c>
      <c r="AL208" s="178">
        <f t="shared" si="79"/>
        <v>0</v>
      </c>
      <c r="AM208" s="351">
        <f>IF(AS207&lt;0.01,0,IF(Resol!$G$19&gt;0,Resol!$G$19,IF(Resol!$F$19=Resol!$U$5,0,IF($AS$10=0,AS207*Adm!$Y$3,AS207*Adm!$X$3))))</f>
        <v>0</v>
      </c>
      <c r="AN208" s="351">
        <f>IF(AS207&lt;0.01,0,IF(Resol!$F$20=Resol!$V$3,0,IF(OR(Resol!$F$10=Resol!$T$16,Resol!$F$10=Resol!$T$17),0,IF(Resol!$F$10=Resol!$T$13,0,$AL$5*Adm!$AA$4/1.16))))</f>
        <v>0</v>
      </c>
      <c r="AO208" s="178">
        <f t="shared" si="73"/>
        <v>0</v>
      </c>
      <c r="AP208" s="178"/>
      <c r="AQ208" s="178">
        <f t="shared" si="61"/>
        <v>0</v>
      </c>
      <c r="AR208" s="178">
        <f t="shared" si="68"/>
        <v>0</v>
      </c>
      <c r="AS208" s="178">
        <f t="shared" si="75"/>
        <v>0</v>
      </c>
      <c r="AT208" s="348"/>
      <c r="AU208" s="348"/>
      <c r="AV208" s="176">
        <f t="shared" si="76"/>
        <v>0</v>
      </c>
      <c r="BB208" s="571">
        <f t="shared" si="69"/>
        <v>4</v>
      </c>
      <c r="BC208" s="293">
        <f>IF(BB208=1,Adm!$AN$2,0)</f>
        <v>0</v>
      </c>
      <c r="BE208" s="341">
        <f t="shared" si="74"/>
        <v>0</v>
      </c>
      <c r="BF208" s="345">
        <f t="shared" ca="1" si="70"/>
        <v>0</v>
      </c>
    </row>
    <row r="209" spans="1:58">
      <c r="A209" s="151">
        <f t="shared" ca="1" si="56"/>
        <v>4</v>
      </c>
      <c r="C209" s="178">
        <f t="shared" si="57"/>
        <v>185</v>
      </c>
      <c r="D209" s="178">
        <f t="shared" si="62"/>
        <v>3432.5228295987949</v>
      </c>
      <c r="E209" s="178">
        <f t="shared" si="77"/>
        <v>6182.7832253790784</v>
      </c>
      <c r="F209" s="178">
        <f t="shared" si="71"/>
        <v>9615.3060549778729</v>
      </c>
      <c r="G209" s="178">
        <f>IF(L208&lt;0.01,0,IF(Adm!$S$3=Adm!$S$13,Cal!$E$94,IF(Adm!$R$3=Adm!$R$6,0,IF(Cal!$E$91=0,L208*Adm!$Y$3,L208*Adm!$X$3))))</f>
        <v>186.44018737610295</v>
      </c>
      <c r="H209" s="178">
        <f>IF(L208&lt;0.01,0,IF(Adm!$R$4=Adm!$R$6,0,IF(Adm!$B$3=Adm!$B$12,0,Cal!$E$89*Adm!$AA$3/1.16)))</f>
        <v>494.46758620689661</v>
      </c>
      <c r="I209" s="178">
        <f>IF(L208&lt;0.01,0,Adm!$O$3)</f>
        <v>250</v>
      </c>
      <c r="J209" s="178">
        <f t="shared" si="58"/>
        <v>10546.213828560873</v>
      </c>
      <c r="K209" s="178">
        <f>IF(Adm!$F$3="si",MIN(L208+D209+G209+H209+I209-J209,Y209),0)</f>
        <v>0</v>
      </c>
      <c r="L209" s="178">
        <f t="shared" si="63"/>
        <v>427399.04788183712</v>
      </c>
      <c r="M209" s="348"/>
      <c r="N209" s="348"/>
      <c r="O209" s="348">
        <f t="shared" si="64"/>
        <v>10546.213828560873</v>
      </c>
      <c r="U209" s="571">
        <f t="shared" si="65"/>
        <v>5</v>
      </c>
      <c r="V209" s="293">
        <f>IF(U209=1,Adm!$AN$2,0)</f>
        <v>0</v>
      </c>
      <c r="X209" s="341">
        <f t="shared" si="72"/>
        <v>0</v>
      </c>
      <c r="Y209" s="345">
        <f t="shared" ca="1" si="66"/>
        <v>0</v>
      </c>
      <c r="AD209" s="172"/>
      <c r="AG209" s="151">
        <f t="shared" ca="1" si="59"/>
        <v>4</v>
      </c>
      <c r="AI209" s="178">
        <f t="shared" si="60"/>
        <v>0</v>
      </c>
      <c r="AJ209" s="178">
        <f t="shared" si="67"/>
        <v>0</v>
      </c>
      <c r="AK209" s="178">
        <f t="shared" si="78"/>
        <v>0</v>
      </c>
      <c r="AL209" s="178">
        <f t="shared" si="79"/>
        <v>0</v>
      </c>
      <c r="AM209" s="351">
        <f>IF(AS208&lt;0.01,0,IF(Resol!$G$19&gt;0,Resol!$G$19,IF(Resol!$F$19=Resol!$U$5,0,IF($AS$10=0,AS208*Adm!$Y$3,AS208*Adm!$X$3))))</f>
        <v>0</v>
      </c>
      <c r="AN209" s="351">
        <f>IF(AS208&lt;0.01,0,IF(Resol!$F$20=Resol!$V$3,0,IF(OR(Resol!$F$10=Resol!$T$16,Resol!$F$10=Resol!$T$17),0,IF(Resol!$F$10=Resol!$T$13,0,$AL$5*Adm!$AA$4/1.16))))</f>
        <v>0</v>
      </c>
      <c r="AO209" s="178">
        <f t="shared" si="73"/>
        <v>0</v>
      </c>
      <c r="AP209" s="178"/>
      <c r="AQ209" s="178">
        <f t="shared" si="61"/>
        <v>0</v>
      </c>
      <c r="AR209" s="178">
        <f t="shared" si="68"/>
        <v>0</v>
      </c>
      <c r="AS209" s="178">
        <f t="shared" si="75"/>
        <v>0</v>
      </c>
      <c r="AT209" s="348"/>
      <c r="AU209" s="348"/>
      <c r="AV209" s="176">
        <f t="shared" si="76"/>
        <v>0</v>
      </c>
      <c r="BB209" s="571">
        <f t="shared" si="69"/>
        <v>5</v>
      </c>
      <c r="BC209" s="293">
        <f>IF(BB209=1,Adm!$AN$2,0)</f>
        <v>0</v>
      </c>
      <c r="BE209" s="341">
        <f t="shared" si="74"/>
        <v>0</v>
      </c>
      <c r="BF209" s="345">
        <f t="shared" ca="1" si="70"/>
        <v>0</v>
      </c>
    </row>
    <row r="210" spans="1:58">
      <c r="A210" s="151">
        <f t="shared" ca="1" si="56"/>
        <v>5</v>
      </c>
      <c r="C210" s="178">
        <f t="shared" si="57"/>
        <v>186</v>
      </c>
      <c r="D210" s="178">
        <f t="shared" si="62"/>
        <v>3383.5757957312107</v>
      </c>
      <c r="E210" s="178">
        <f t="shared" si="77"/>
        <v>6231.7302592466622</v>
      </c>
      <c r="F210" s="178">
        <f t="shared" si="71"/>
        <v>9615.3060549778729</v>
      </c>
      <c r="G210" s="178">
        <f>IF(L209&lt;0.01,0,IF(Adm!$S$3=Adm!$S$13,Cal!$E$94,IF(Adm!$R$3=Adm!$R$6,0,IF(Cal!$E$91=0,L209*Adm!$Y$3,L209*Adm!$X$3))))</f>
        <v>183.78159058918996</v>
      </c>
      <c r="H210" s="178">
        <f>IF(L209&lt;0.01,0,IF(Adm!$R$4=Adm!$R$6,0,IF(Adm!$B$3=Adm!$B$12,0,Cal!$E$89*Adm!$AA$3/1.16)))</f>
        <v>494.46758620689661</v>
      </c>
      <c r="I210" s="178">
        <f>IF(L209&lt;0.01,0,Adm!$O$3)</f>
        <v>250</v>
      </c>
      <c r="J210" s="178">
        <f t="shared" si="58"/>
        <v>10543.555231773958</v>
      </c>
      <c r="K210" s="178">
        <f>IF(Adm!$F$3="si",MIN(L209+D210+G210+H210+I210-J210,Y210),0)</f>
        <v>0</v>
      </c>
      <c r="L210" s="178">
        <f t="shared" si="63"/>
        <v>421167.31762259046</v>
      </c>
      <c r="M210" s="348"/>
      <c r="N210" s="348"/>
      <c r="O210" s="348">
        <f t="shared" si="64"/>
        <v>10543.555231773958</v>
      </c>
      <c r="U210" s="571">
        <f t="shared" si="65"/>
        <v>6</v>
      </c>
      <c r="V210" s="293">
        <f>IF(U210=1,Adm!$AN$2,0)</f>
        <v>0</v>
      </c>
      <c r="X210" s="341">
        <f t="shared" si="72"/>
        <v>0</v>
      </c>
      <c r="Y210" s="345">
        <f t="shared" ca="1" si="66"/>
        <v>0</v>
      </c>
      <c r="AD210" s="172"/>
      <c r="AG210" s="151">
        <f t="shared" ca="1" si="59"/>
        <v>5</v>
      </c>
      <c r="AI210" s="178">
        <f t="shared" si="60"/>
        <v>0</v>
      </c>
      <c r="AJ210" s="178">
        <f t="shared" si="67"/>
        <v>0</v>
      </c>
      <c r="AK210" s="178">
        <f t="shared" si="78"/>
        <v>0</v>
      </c>
      <c r="AL210" s="178">
        <f t="shared" si="79"/>
        <v>0</v>
      </c>
      <c r="AM210" s="351">
        <f>IF(AS209&lt;0.01,0,IF(Resol!$G$19&gt;0,Resol!$G$19,IF(Resol!$F$19=Resol!$U$5,0,IF($AS$10=0,AS209*Adm!$Y$3,AS209*Adm!$X$3))))</f>
        <v>0</v>
      </c>
      <c r="AN210" s="351">
        <f>IF(AS209&lt;0.01,0,IF(Resol!$F$20=Resol!$V$3,0,IF(OR(Resol!$F$10=Resol!$T$16,Resol!$F$10=Resol!$T$17),0,IF(Resol!$F$10=Resol!$T$13,0,$AL$5*Adm!$AA$4/1.16))))</f>
        <v>0</v>
      </c>
      <c r="AO210" s="178">
        <f t="shared" si="73"/>
        <v>0</v>
      </c>
      <c r="AP210" s="178"/>
      <c r="AQ210" s="178">
        <f t="shared" si="61"/>
        <v>0</v>
      </c>
      <c r="AR210" s="178">
        <f t="shared" si="68"/>
        <v>0</v>
      </c>
      <c r="AS210" s="178">
        <f t="shared" si="75"/>
        <v>0</v>
      </c>
      <c r="AT210" s="348"/>
      <c r="AU210" s="348"/>
      <c r="AV210" s="176">
        <f t="shared" si="76"/>
        <v>0</v>
      </c>
      <c r="BB210" s="571">
        <f t="shared" si="69"/>
        <v>6</v>
      </c>
      <c r="BC210" s="293">
        <f>IF(BB210=1,Adm!$AN$2,0)</f>
        <v>0</v>
      </c>
      <c r="BE210" s="341">
        <f t="shared" si="74"/>
        <v>0</v>
      </c>
      <c r="BF210" s="345">
        <f t="shared" ca="1" si="70"/>
        <v>0</v>
      </c>
    </row>
    <row r="211" spans="1:58">
      <c r="A211" s="151">
        <f t="shared" ca="1" si="56"/>
        <v>6</v>
      </c>
      <c r="C211" s="178">
        <f t="shared" si="57"/>
        <v>187</v>
      </c>
      <c r="D211" s="178">
        <f t="shared" si="62"/>
        <v>3334.2412645121744</v>
      </c>
      <c r="E211" s="178">
        <f t="shared" si="77"/>
        <v>6281.064790465698</v>
      </c>
      <c r="F211" s="178">
        <f t="shared" si="71"/>
        <v>9615.3060549778729</v>
      </c>
      <c r="G211" s="178">
        <f>IF(L210&lt;0.01,0,IF(Adm!$S$3=Adm!$S$13,Cal!$E$94,IF(Adm!$R$3=Adm!$R$6,0,IF(Cal!$E$91=0,L210*Adm!$Y$3,L210*Adm!$X$3))))</f>
        <v>181.1019465777139</v>
      </c>
      <c r="H211" s="178">
        <f>IF(L210&lt;0.01,0,IF(Adm!$R$4=Adm!$R$6,0,IF(Adm!$B$3=Adm!$B$12,0,Cal!$E$89*Adm!$AA$3/1.16)))</f>
        <v>494.46758620689661</v>
      </c>
      <c r="I211" s="178">
        <f>IF(L210&lt;0.01,0,Adm!$O$3)</f>
        <v>250</v>
      </c>
      <c r="J211" s="178">
        <f t="shared" si="58"/>
        <v>10540.875587762483</v>
      </c>
      <c r="K211" s="178">
        <f>IF(Adm!$F$3="si",MIN(L210+D211+G211+H211+I211-J211,Y211),0)</f>
        <v>0</v>
      </c>
      <c r="L211" s="178">
        <f t="shared" si="63"/>
        <v>414886.25283212477</v>
      </c>
      <c r="M211" s="348"/>
      <c r="N211" s="348"/>
      <c r="O211" s="348">
        <f t="shared" si="64"/>
        <v>10540.875587762483</v>
      </c>
      <c r="U211" s="571">
        <f t="shared" si="65"/>
        <v>7</v>
      </c>
      <c r="V211" s="293">
        <f>IF(U211=1,Adm!$AN$2,0)</f>
        <v>0</v>
      </c>
      <c r="X211" s="341">
        <f t="shared" si="72"/>
        <v>0</v>
      </c>
      <c r="Y211" s="345">
        <f t="shared" ca="1" si="66"/>
        <v>0</v>
      </c>
      <c r="AD211" s="172"/>
      <c r="AG211" s="151">
        <f t="shared" ca="1" si="59"/>
        <v>6</v>
      </c>
      <c r="AI211" s="178">
        <f t="shared" si="60"/>
        <v>0</v>
      </c>
      <c r="AJ211" s="178">
        <f t="shared" si="67"/>
        <v>0</v>
      </c>
      <c r="AK211" s="178">
        <f t="shared" si="78"/>
        <v>0</v>
      </c>
      <c r="AL211" s="178">
        <f t="shared" si="79"/>
        <v>0</v>
      </c>
      <c r="AM211" s="351">
        <f>IF(AS210&lt;0.01,0,IF(Resol!$G$19&gt;0,Resol!$G$19,IF(Resol!$F$19=Resol!$U$5,0,IF($AS$10=0,AS210*Adm!$Y$3,AS210*Adm!$X$3))))</f>
        <v>0</v>
      </c>
      <c r="AN211" s="351">
        <f>IF(AS210&lt;0.01,0,IF(Resol!$F$20=Resol!$V$3,0,IF(OR(Resol!$F$10=Resol!$T$16,Resol!$F$10=Resol!$T$17),0,IF(Resol!$F$10=Resol!$T$13,0,$AL$5*Adm!$AA$4/1.16))))</f>
        <v>0</v>
      </c>
      <c r="AO211" s="178">
        <f t="shared" si="73"/>
        <v>0</v>
      </c>
      <c r="AP211" s="178"/>
      <c r="AQ211" s="178">
        <f t="shared" si="61"/>
        <v>0</v>
      </c>
      <c r="AR211" s="178">
        <f t="shared" si="68"/>
        <v>0</v>
      </c>
      <c r="AS211" s="178">
        <f t="shared" si="75"/>
        <v>0</v>
      </c>
      <c r="AT211" s="348"/>
      <c r="AU211" s="348"/>
      <c r="AV211" s="176">
        <f t="shared" si="76"/>
        <v>0</v>
      </c>
      <c r="BB211" s="571">
        <f t="shared" si="69"/>
        <v>7</v>
      </c>
      <c r="BC211" s="293">
        <f>IF(BB211=1,Adm!$AN$2,0)</f>
        <v>0</v>
      </c>
      <c r="BE211" s="341">
        <f t="shared" si="74"/>
        <v>0</v>
      </c>
      <c r="BF211" s="345">
        <f t="shared" ca="1" si="70"/>
        <v>0</v>
      </c>
    </row>
    <row r="212" spans="1:58">
      <c r="A212" s="151">
        <f t="shared" ca="1" si="56"/>
        <v>7</v>
      </c>
      <c r="C212" s="178">
        <f t="shared" si="57"/>
        <v>188</v>
      </c>
      <c r="D212" s="178">
        <f t="shared" si="62"/>
        <v>3284.5161682543207</v>
      </c>
      <c r="E212" s="178">
        <f t="shared" si="77"/>
        <v>6330.7898867235526</v>
      </c>
      <c r="F212" s="178">
        <f t="shared" si="71"/>
        <v>9615.3060549778729</v>
      </c>
      <c r="G212" s="178">
        <f>IF(L211&lt;0.01,0,IF(Adm!$S$3=Adm!$S$13,Cal!$E$94,IF(Adm!$R$3=Adm!$R$6,0,IF(Cal!$E$91=0,L211*Adm!$Y$3,L211*Adm!$X$3))))</f>
        <v>178.40108871781365</v>
      </c>
      <c r="H212" s="178">
        <f>IF(L211&lt;0.01,0,IF(Adm!$R$4=Adm!$R$6,0,IF(Adm!$B$3=Adm!$B$12,0,Cal!$E$89*Adm!$AA$3/1.16)))</f>
        <v>494.46758620689661</v>
      </c>
      <c r="I212" s="178">
        <f>IF(L211&lt;0.01,0,Adm!$O$3)</f>
        <v>250</v>
      </c>
      <c r="J212" s="178">
        <f t="shared" si="58"/>
        <v>10538.174729902583</v>
      </c>
      <c r="K212" s="178">
        <f>IF(Adm!$F$3="si",MIN(L211+D212+G212+H212+I212-J212,Y212),0)</f>
        <v>0</v>
      </c>
      <c r="L212" s="178">
        <f t="shared" si="63"/>
        <v>408555.4629454012</v>
      </c>
      <c r="M212" s="348"/>
      <c r="N212" s="348"/>
      <c r="O212" s="348">
        <f t="shared" si="64"/>
        <v>10538.174729902583</v>
      </c>
      <c r="U212" s="571">
        <f t="shared" si="65"/>
        <v>8</v>
      </c>
      <c r="V212" s="293">
        <f>IF(U212=1,Adm!$AN$2,0)</f>
        <v>0</v>
      </c>
      <c r="X212" s="341">
        <f t="shared" si="72"/>
        <v>0</v>
      </c>
      <c r="Y212" s="345">
        <f t="shared" ca="1" si="66"/>
        <v>0</v>
      </c>
      <c r="AG212" s="151">
        <f t="shared" ca="1" si="59"/>
        <v>7</v>
      </c>
      <c r="AI212" s="178">
        <f t="shared" si="60"/>
        <v>0</v>
      </c>
      <c r="AJ212" s="178">
        <f t="shared" si="67"/>
        <v>0</v>
      </c>
      <c r="AK212" s="178">
        <f t="shared" si="78"/>
        <v>0</v>
      </c>
      <c r="AL212" s="178">
        <f t="shared" si="79"/>
        <v>0</v>
      </c>
      <c r="AM212" s="351">
        <f>IF(AS211&lt;0.01,0,IF(Resol!$G$19&gt;0,Resol!$G$19,IF(Resol!$F$19=Resol!$U$5,0,IF($AS$10=0,AS211*Adm!$Y$3,AS211*Adm!$X$3))))</f>
        <v>0</v>
      </c>
      <c r="AN212" s="351">
        <f>IF(AS211&lt;0.01,0,IF(Resol!$F$20=Resol!$V$3,0,IF(OR(Resol!$F$10=Resol!$T$16,Resol!$F$10=Resol!$T$17),0,IF(Resol!$F$10=Resol!$T$13,0,$AL$5*Adm!$AA$4/1.16))))</f>
        <v>0</v>
      </c>
      <c r="AO212" s="178">
        <f t="shared" si="73"/>
        <v>0</v>
      </c>
      <c r="AP212" s="178"/>
      <c r="AQ212" s="178">
        <f t="shared" si="61"/>
        <v>0</v>
      </c>
      <c r="AR212" s="178">
        <f t="shared" si="68"/>
        <v>0</v>
      </c>
      <c r="AS212" s="178">
        <f t="shared" si="75"/>
        <v>0</v>
      </c>
      <c r="AT212" s="348"/>
      <c r="AU212" s="348"/>
      <c r="AV212" s="176">
        <f t="shared" si="76"/>
        <v>0</v>
      </c>
      <c r="BB212" s="571">
        <f t="shared" si="69"/>
        <v>8</v>
      </c>
      <c r="BC212" s="293">
        <f>IF(BB212=1,Adm!$AN$2,0)</f>
        <v>0</v>
      </c>
      <c r="BE212" s="341">
        <f t="shared" si="74"/>
        <v>0</v>
      </c>
      <c r="BF212" s="345">
        <f t="shared" ca="1" si="70"/>
        <v>0</v>
      </c>
    </row>
    <row r="213" spans="1:58">
      <c r="A213" s="151">
        <f t="shared" ca="1" si="56"/>
        <v>8</v>
      </c>
      <c r="C213" s="178">
        <f t="shared" si="57"/>
        <v>189</v>
      </c>
      <c r="D213" s="178">
        <f t="shared" si="62"/>
        <v>3234.3974149844266</v>
      </c>
      <c r="E213" s="178">
        <f t="shared" si="77"/>
        <v>6380.9086399934458</v>
      </c>
      <c r="F213" s="178">
        <f t="shared" si="71"/>
        <v>9615.3060549778729</v>
      </c>
      <c r="G213" s="178">
        <f>IF(L212&lt;0.01,0,IF(Adm!$S$3=Adm!$S$13,Cal!$E$94,IF(Adm!$R$3=Adm!$R$6,0,IF(Cal!$E$91=0,L212*Adm!$Y$3,L212*Adm!$X$3))))</f>
        <v>175.6788490665225</v>
      </c>
      <c r="H213" s="178">
        <f>IF(L212&lt;0.01,0,IF(Adm!$R$4=Adm!$R$6,0,IF(Adm!$B$3=Adm!$B$12,0,Cal!$E$89*Adm!$AA$3/1.16)))</f>
        <v>494.46758620689661</v>
      </c>
      <c r="I213" s="178">
        <f>IF(L212&lt;0.01,0,Adm!$O$3)</f>
        <v>250</v>
      </c>
      <c r="J213" s="178">
        <f t="shared" si="58"/>
        <v>10535.452490251291</v>
      </c>
      <c r="K213" s="178">
        <f>IF(Adm!$F$3="si",MIN(L212+D213+G213+H213+I213-J213,Y213),0)</f>
        <v>0</v>
      </c>
      <c r="L213" s="178">
        <f t="shared" si="63"/>
        <v>402174.55430540774</v>
      </c>
      <c r="M213" s="348"/>
      <c r="N213" s="348"/>
      <c r="O213" s="348">
        <f t="shared" si="64"/>
        <v>10535.452490251291</v>
      </c>
      <c r="U213" s="571">
        <f t="shared" si="65"/>
        <v>9</v>
      </c>
      <c r="V213" s="293">
        <f>IF(U213=1,Adm!$AN$2,0)</f>
        <v>0</v>
      </c>
      <c r="X213" s="341">
        <f t="shared" si="72"/>
        <v>0</v>
      </c>
      <c r="Y213" s="345">
        <f t="shared" ca="1" si="66"/>
        <v>0</v>
      </c>
      <c r="AG213" s="151">
        <f t="shared" ca="1" si="59"/>
        <v>8</v>
      </c>
      <c r="AI213" s="178">
        <f t="shared" si="60"/>
        <v>0</v>
      </c>
      <c r="AJ213" s="178">
        <f t="shared" si="67"/>
        <v>0</v>
      </c>
      <c r="AK213" s="178">
        <f t="shared" si="78"/>
        <v>0</v>
      </c>
      <c r="AL213" s="178">
        <f t="shared" si="79"/>
        <v>0</v>
      </c>
      <c r="AM213" s="351">
        <f>IF(AS212&lt;0.01,0,IF(Resol!$G$19&gt;0,Resol!$G$19,IF(Resol!$F$19=Resol!$U$5,0,IF($AS$10=0,AS212*Adm!$Y$3,AS212*Adm!$X$3))))</f>
        <v>0</v>
      </c>
      <c r="AN213" s="351">
        <f>IF(AS212&lt;0.01,0,IF(Resol!$F$20=Resol!$V$3,0,IF(OR(Resol!$F$10=Resol!$T$16,Resol!$F$10=Resol!$T$17),0,IF(Resol!$F$10=Resol!$T$13,0,$AL$5*Adm!$AA$4/1.16))))</f>
        <v>0</v>
      </c>
      <c r="AO213" s="178">
        <f t="shared" si="73"/>
        <v>0</v>
      </c>
      <c r="AP213" s="178"/>
      <c r="AQ213" s="178">
        <f t="shared" si="61"/>
        <v>0</v>
      </c>
      <c r="AR213" s="178">
        <f t="shared" si="68"/>
        <v>0</v>
      </c>
      <c r="AS213" s="178">
        <f t="shared" si="75"/>
        <v>0</v>
      </c>
      <c r="AT213" s="348"/>
      <c r="AU213" s="348"/>
      <c r="AV213" s="176">
        <f t="shared" si="76"/>
        <v>0</v>
      </c>
      <c r="BB213" s="571">
        <f t="shared" si="69"/>
        <v>9</v>
      </c>
      <c r="BC213" s="293">
        <f>IF(BB213=1,Adm!$AN$2,0)</f>
        <v>0</v>
      </c>
      <c r="BE213" s="341">
        <f t="shared" si="74"/>
        <v>0</v>
      </c>
      <c r="BF213" s="345">
        <f t="shared" ca="1" si="70"/>
        <v>0</v>
      </c>
    </row>
    <row r="214" spans="1:58">
      <c r="A214" s="151">
        <f t="shared" ca="1" si="56"/>
        <v>9</v>
      </c>
      <c r="C214" s="178">
        <f t="shared" si="57"/>
        <v>190</v>
      </c>
      <c r="D214" s="178">
        <f t="shared" si="62"/>
        <v>3183.8818882511446</v>
      </c>
      <c r="E214" s="178">
        <f t="shared" si="77"/>
        <v>6431.4241667267288</v>
      </c>
      <c r="F214" s="178">
        <f t="shared" si="71"/>
        <v>9615.3060549778729</v>
      </c>
      <c r="G214" s="178">
        <f>IF(L213&lt;0.01,0,IF(Adm!$S$3=Adm!$S$13,Cal!$E$94,IF(Adm!$R$3=Adm!$R$6,0,IF(Cal!$E$91=0,L213*Adm!$Y$3,L213*Adm!$X$3))))</f>
        <v>172.93505835132532</v>
      </c>
      <c r="H214" s="178">
        <f>IF(L213&lt;0.01,0,IF(Adm!$R$4=Adm!$R$6,0,IF(Adm!$B$3=Adm!$B$12,0,Cal!$E$89*Adm!$AA$3/1.16)))</f>
        <v>494.46758620689661</v>
      </c>
      <c r="I214" s="178">
        <f>IF(L213&lt;0.01,0,Adm!$O$3)</f>
        <v>250</v>
      </c>
      <c r="J214" s="178">
        <f t="shared" si="58"/>
        <v>10532.708699536095</v>
      </c>
      <c r="K214" s="178">
        <f>IF(Adm!$F$3="si",MIN(L213+D214+G214+H214+I214-J214,Y214),0)</f>
        <v>0</v>
      </c>
      <c r="L214" s="178">
        <f t="shared" si="63"/>
        <v>395743.13013868104</v>
      </c>
      <c r="M214" s="348"/>
      <c r="N214" s="348"/>
      <c r="O214" s="348">
        <f t="shared" si="64"/>
        <v>10532.708699536095</v>
      </c>
      <c r="U214" s="571">
        <f t="shared" si="65"/>
        <v>10</v>
      </c>
      <c r="V214" s="293">
        <f>IF(U214=1,Adm!$AN$2,0)</f>
        <v>0</v>
      </c>
      <c r="X214" s="341">
        <f t="shared" si="72"/>
        <v>0</v>
      </c>
      <c r="Y214" s="345">
        <f t="shared" ca="1" si="66"/>
        <v>0</v>
      </c>
      <c r="AG214" s="151">
        <f t="shared" ca="1" si="59"/>
        <v>9</v>
      </c>
      <c r="AI214" s="178">
        <f t="shared" si="60"/>
        <v>0</v>
      </c>
      <c r="AJ214" s="178">
        <f t="shared" si="67"/>
        <v>0</v>
      </c>
      <c r="AK214" s="178">
        <f t="shared" si="78"/>
        <v>0</v>
      </c>
      <c r="AL214" s="178">
        <f t="shared" si="79"/>
        <v>0</v>
      </c>
      <c r="AM214" s="351">
        <f>IF(AS213&lt;0.01,0,IF(Resol!$G$19&gt;0,Resol!$G$19,IF(Resol!$F$19=Resol!$U$5,0,IF($AS$10=0,AS213*Adm!$Y$3,AS213*Adm!$X$3))))</f>
        <v>0</v>
      </c>
      <c r="AN214" s="351">
        <f>IF(AS213&lt;0.01,0,IF(Resol!$F$20=Resol!$V$3,0,IF(OR(Resol!$F$10=Resol!$T$16,Resol!$F$10=Resol!$T$17),0,IF(Resol!$F$10=Resol!$T$13,0,$AL$5*Adm!$AA$4/1.16))))</f>
        <v>0</v>
      </c>
      <c r="AO214" s="178">
        <f t="shared" si="73"/>
        <v>0</v>
      </c>
      <c r="AP214" s="178"/>
      <c r="AQ214" s="178">
        <f t="shared" si="61"/>
        <v>0</v>
      </c>
      <c r="AR214" s="178">
        <f t="shared" si="68"/>
        <v>0</v>
      </c>
      <c r="AS214" s="178">
        <f t="shared" si="75"/>
        <v>0</v>
      </c>
      <c r="AT214" s="348"/>
      <c r="AU214" s="348"/>
      <c r="AV214" s="176">
        <f t="shared" si="76"/>
        <v>0</v>
      </c>
      <c r="BB214" s="571">
        <f t="shared" si="69"/>
        <v>10</v>
      </c>
      <c r="BC214" s="293">
        <f>IF(BB214=1,Adm!$AN$2,0)</f>
        <v>0</v>
      </c>
      <c r="BE214" s="341">
        <f t="shared" si="74"/>
        <v>0</v>
      </c>
      <c r="BF214" s="345">
        <f t="shared" ca="1" si="70"/>
        <v>0</v>
      </c>
    </row>
    <row r="215" spans="1:58">
      <c r="A215" s="151">
        <f t="shared" ca="1" si="56"/>
        <v>10</v>
      </c>
      <c r="C215" s="178">
        <f t="shared" si="57"/>
        <v>191</v>
      </c>
      <c r="D215" s="178">
        <f t="shared" si="62"/>
        <v>3132.9664469312247</v>
      </c>
      <c r="E215" s="178">
        <f t="shared" si="77"/>
        <v>6482.3396080466482</v>
      </c>
      <c r="F215" s="178">
        <f t="shared" si="71"/>
        <v>9615.3060549778729</v>
      </c>
      <c r="G215" s="178">
        <f>IF(L214&lt;0.01,0,IF(Adm!$S$3=Adm!$S$13,Cal!$E$94,IF(Adm!$R$3=Adm!$R$6,0,IF(Cal!$E$91=0,L214*Adm!$Y$3,L214*Adm!$X$3))))</f>
        <v>170.16954595963284</v>
      </c>
      <c r="H215" s="178">
        <f>IF(L214&lt;0.01,0,IF(Adm!$R$4=Adm!$R$6,0,IF(Adm!$B$3=Adm!$B$12,0,Cal!$E$89*Adm!$AA$3/1.16)))</f>
        <v>494.46758620689661</v>
      </c>
      <c r="I215" s="178">
        <f>IF(L214&lt;0.01,0,Adm!$O$3)</f>
        <v>250</v>
      </c>
      <c r="J215" s="178">
        <f t="shared" si="58"/>
        <v>10529.943187144401</v>
      </c>
      <c r="K215" s="178">
        <f>IF(Adm!$F$3="si",MIN(L214+D215+G215+H215+I215-J215,Y215),0)</f>
        <v>0</v>
      </c>
      <c r="L215" s="178">
        <f t="shared" si="63"/>
        <v>389260.7905306344</v>
      </c>
      <c r="M215" s="348"/>
      <c r="N215" s="348"/>
      <c r="O215" s="348">
        <f t="shared" si="64"/>
        <v>10529.943187144401</v>
      </c>
      <c r="U215" s="571">
        <f t="shared" si="65"/>
        <v>11</v>
      </c>
      <c r="V215" s="293">
        <f>IF(U215=1,Adm!$AN$2,0)</f>
        <v>0</v>
      </c>
      <c r="X215" s="341">
        <f t="shared" si="72"/>
        <v>0</v>
      </c>
      <c r="Y215" s="345">
        <f t="shared" ca="1" si="66"/>
        <v>0</v>
      </c>
      <c r="AG215" s="151">
        <f t="shared" ca="1" si="59"/>
        <v>10</v>
      </c>
      <c r="AI215" s="178">
        <f t="shared" si="60"/>
        <v>0</v>
      </c>
      <c r="AJ215" s="178">
        <f t="shared" si="67"/>
        <v>0</v>
      </c>
      <c r="AK215" s="178">
        <f t="shared" si="78"/>
        <v>0</v>
      </c>
      <c r="AL215" s="178">
        <f t="shared" si="79"/>
        <v>0</v>
      </c>
      <c r="AM215" s="351">
        <f>IF(AS214&lt;0.01,0,IF(Resol!$G$19&gt;0,Resol!$G$19,IF(Resol!$F$19=Resol!$U$5,0,IF($AS$10=0,AS214*Adm!$Y$3,AS214*Adm!$X$3))))</f>
        <v>0</v>
      </c>
      <c r="AN215" s="351">
        <f>IF(AS214&lt;0.01,0,IF(Resol!$F$20=Resol!$V$3,0,IF(OR(Resol!$F$10=Resol!$T$16,Resol!$F$10=Resol!$T$17),0,IF(Resol!$F$10=Resol!$T$13,0,$AL$5*Adm!$AA$4/1.16))))</f>
        <v>0</v>
      </c>
      <c r="AO215" s="178">
        <f t="shared" si="73"/>
        <v>0</v>
      </c>
      <c r="AP215" s="178"/>
      <c r="AQ215" s="178">
        <f t="shared" si="61"/>
        <v>0</v>
      </c>
      <c r="AR215" s="178">
        <f t="shared" si="68"/>
        <v>0</v>
      </c>
      <c r="AS215" s="178">
        <f t="shared" si="75"/>
        <v>0</v>
      </c>
      <c r="AT215" s="348"/>
      <c r="AU215" s="348"/>
      <c r="AV215" s="176">
        <f t="shared" si="76"/>
        <v>0</v>
      </c>
      <c r="BB215" s="571">
        <f t="shared" si="69"/>
        <v>11</v>
      </c>
      <c r="BC215" s="293">
        <f>IF(BB215=1,Adm!$AN$2,0)</f>
        <v>0</v>
      </c>
      <c r="BE215" s="341">
        <f t="shared" si="74"/>
        <v>0</v>
      </c>
      <c r="BF215" s="345">
        <f t="shared" ca="1" si="70"/>
        <v>0</v>
      </c>
    </row>
    <row r="216" spans="1:58">
      <c r="A216" s="151">
        <f t="shared" ca="1" si="56"/>
        <v>11</v>
      </c>
      <c r="C216" s="178">
        <f t="shared" si="57"/>
        <v>192</v>
      </c>
      <c r="D216" s="178">
        <f t="shared" si="62"/>
        <v>3081.647925034189</v>
      </c>
      <c r="E216" s="178">
        <f t="shared" si="77"/>
        <v>6533.6581299436839</v>
      </c>
      <c r="F216" s="178">
        <f t="shared" si="71"/>
        <v>9615.3060549778729</v>
      </c>
      <c r="G216" s="178">
        <f>IF(L215&lt;0.01,0,IF(Adm!$S$3=Adm!$S$13,Cal!$E$94,IF(Adm!$R$3=Adm!$R$6,0,IF(Cal!$E$91=0,L215*Adm!$Y$3,L215*Adm!$X$3))))</f>
        <v>167.38213992817279</v>
      </c>
      <c r="H216" s="178">
        <f>IF(L215&lt;0.01,0,IF(Adm!$R$4=Adm!$R$6,0,IF(Adm!$B$3=Adm!$B$12,0,Cal!$E$89*Adm!$AA$3/1.16)))</f>
        <v>494.46758620689661</v>
      </c>
      <c r="I216" s="178">
        <f>IF(L215&lt;0.01,0,Adm!$O$3)</f>
        <v>250</v>
      </c>
      <c r="J216" s="178">
        <f t="shared" si="58"/>
        <v>10527.155781112942</v>
      </c>
      <c r="K216" s="178">
        <f>IF(Adm!$F$3="si",MIN(L215+D216+G216+H216+I216-J216,Y216),0)</f>
        <v>0</v>
      </c>
      <c r="L216" s="178">
        <f t="shared" si="63"/>
        <v>382727.13240069069</v>
      </c>
      <c r="M216" s="348"/>
      <c r="N216" s="348"/>
      <c r="O216" s="348">
        <f t="shared" si="64"/>
        <v>10527.155781112942</v>
      </c>
      <c r="U216" s="571">
        <f t="shared" si="65"/>
        <v>12</v>
      </c>
      <c r="V216" s="293">
        <f>IF(U216=1,Adm!$AN$2,0)</f>
        <v>0</v>
      </c>
      <c r="X216" s="341">
        <f t="shared" si="72"/>
        <v>0</v>
      </c>
      <c r="Y216" s="345">
        <f t="shared" ca="1" si="66"/>
        <v>0</v>
      </c>
      <c r="AG216" s="151">
        <f t="shared" ca="1" si="59"/>
        <v>11</v>
      </c>
      <c r="AI216" s="178">
        <f t="shared" si="60"/>
        <v>0</v>
      </c>
      <c r="AJ216" s="178">
        <f t="shared" si="67"/>
        <v>0</v>
      </c>
      <c r="AK216" s="178">
        <f t="shared" si="78"/>
        <v>0</v>
      </c>
      <c r="AL216" s="178">
        <f t="shared" si="79"/>
        <v>0</v>
      </c>
      <c r="AM216" s="351">
        <f>IF(AS215&lt;0.01,0,IF(Resol!$G$19&gt;0,Resol!$G$19,IF(Resol!$F$19=Resol!$U$5,0,IF($AS$10=0,AS215*Adm!$Y$3,AS215*Adm!$X$3))))</f>
        <v>0</v>
      </c>
      <c r="AN216" s="351">
        <f>IF(AS215&lt;0.01,0,IF(Resol!$F$20=Resol!$V$3,0,IF(OR(Resol!$F$10=Resol!$T$16,Resol!$F$10=Resol!$T$17),0,IF(Resol!$F$10=Resol!$T$13,0,$AL$5*Adm!$AA$4/1.16))))</f>
        <v>0</v>
      </c>
      <c r="AO216" s="178">
        <f t="shared" si="73"/>
        <v>0</v>
      </c>
      <c r="AP216" s="178"/>
      <c r="AQ216" s="178">
        <f t="shared" si="61"/>
        <v>0</v>
      </c>
      <c r="AR216" s="178">
        <f t="shared" si="68"/>
        <v>0</v>
      </c>
      <c r="AS216" s="178">
        <f t="shared" si="75"/>
        <v>0</v>
      </c>
      <c r="AT216" s="348"/>
      <c r="AU216" s="348"/>
      <c r="AV216" s="176">
        <f t="shared" si="76"/>
        <v>0</v>
      </c>
      <c r="BB216" s="571">
        <f t="shared" si="69"/>
        <v>12</v>
      </c>
      <c r="BC216" s="293">
        <f>IF(BB216=1,Adm!$AN$2,0)</f>
        <v>0</v>
      </c>
      <c r="BE216" s="341">
        <f t="shared" si="74"/>
        <v>0</v>
      </c>
      <c r="BF216" s="345">
        <f t="shared" ca="1" si="70"/>
        <v>0</v>
      </c>
    </row>
    <row r="217" spans="1:58">
      <c r="A217" s="151">
        <f t="shared" ref="A217:A264" ca="1" si="80">IF(A216=12,1,A216+1)</f>
        <v>12</v>
      </c>
      <c r="C217" s="178">
        <f t="shared" ref="C217:C264" si="81">IF(L216&lt;0.01,0,C216+1)</f>
        <v>193</v>
      </c>
      <c r="D217" s="178">
        <f t="shared" si="62"/>
        <v>3029.9231315054681</v>
      </c>
      <c r="E217" s="178">
        <f t="shared" si="77"/>
        <v>6585.3829234724053</v>
      </c>
      <c r="F217" s="178">
        <f t="shared" si="71"/>
        <v>9615.3060549778729</v>
      </c>
      <c r="G217" s="178">
        <f>IF(L216&lt;0.01,0,IF(Adm!$S$3=Adm!$S$13,Cal!$E$94,IF(Adm!$R$3=Adm!$R$6,0,IF(Cal!$E$91=0,L216*Adm!$Y$3,L216*Adm!$X$3))))</f>
        <v>164.57266693229698</v>
      </c>
      <c r="H217" s="178">
        <f>IF(L216&lt;0.01,0,IF(Adm!$R$4=Adm!$R$6,0,IF(Adm!$B$3=Adm!$B$12,0,Cal!$E$89*Adm!$AA$3/1.16)))</f>
        <v>494.46758620689661</v>
      </c>
      <c r="I217" s="178">
        <f>IF(L216&lt;0.01,0,Adm!$O$3)</f>
        <v>250</v>
      </c>
      <c r="J217" s="178">
        <f t="shared" ref="J217:J264" si="82">IF(L216&lt;0.01,0,F217+G217+H217+I217)</f>
        <v>10524.346308117067</v>
      </c>
      <c r="K217" s="178">
        <f>IF(Adm!$F$3="si",MIN(L216+D217+G217+H217+I217-J217,Y217),0)</f>
        <v>0</v>
      </c>
      <c r="L217" s="178">
        <f t="shared" si="63"/>
        <v>376141.74947721831</v>
      </c>
      <c r="M217" s="348"/>
      <c r="N217" s="348"/>
      <c r="O217" s="348">
        <f t="shared" si="64"/>
        <v>10524.346308117067</v>
      </c>
      <c r="U217" s="571">
        <f t="shared" si="65"/>
        <v>1</v>
      </c>
      <c r="V217" s="293">
        <f>IF(U217=1,Adm!$AN$2,0)</f>
        <v>0</v>
      </c>
      <c r="X217" s="341">
        <f t="shared" si="72"/>
        <v>0</v>
      </c>
      <c r="Y217" s="345">
        <f t="shared" ca="1" si="66"/>
        <v>0</v>
      </c>
      <c r="AG217" s="151">
        <f t="shared" ref="AG217:AG264" ca="1" si="83">IF(AG216=12,1,AG216+1)</f>
        <v>12</v>
      </c>
      <c r="AI217" s="178">
        <f t="shared" ref="AI217:AI264" si="84">IF(AS216&lt;0.01,0,AI216+1)</f>
        <v>0</v>
      </c>
      <c r="AJ217" s="178">
        <f t="shared" si="67"/>
        <v>0</v>
      </c>
      <c r="AK217" s="178">
        <f t="shared" si="78"/>
        <v>0</v>
      </c>
      <c r="AL217" s="178">
        <f t="shared" si="79"/>
        <v>0</v>
      </c>
      <c r="AM217" s="351">
        <f>IF(AS216&lt;0.01,0,IF(Resol!$G$19&gt;0,Resol!$G$19,IF(Resol!$F$19=Resol!$U$5,0,IF($AS$10=0,AS216*Adm!$Y$3,AS216*Adm!$X$3))))</f>
        <v>0</v>
      </c>
      <c r="AN217" s="351">
        <f>IF(AS216&lt;0.01,0,IF(Resol!$F$20=Resol!$V$3,0,IF(OR(Resol!$F$10=Resol!$T$16,Resol!$F$10=Resol!$T$17),0,IF(Resol!$F$10=Resol!$T$13,0,$AL$5*Adm!$AA$4/1.16))))</f>
        <v>0</v>
      </c>
      <c r="AO217" s="178">
        <f t="shared" si="73"/>
        <v>0</v>
      </c>
      <c r="AP217" s="178"/>
      <c r="AQ217" s="178">
        <f t="shared" ref="AQ217:AQ264" si="85">IF(AS216&lt;0.01,0,AL217+AM217+AN217+AO217)</f>
        <v>0</v>
      </c>
      <c r="AR217" s="178">
        <f t="shared" si="68"/>
        <v>0</v>
      </c>
      <c r="AS217" s="178">
        <f t="shared" si="75"/>
        <v>0</v>
      </c>
      <c r="AT217" s="348"/>
      <c r="AU217" s="348"/>
      <c r="AV217" s="176">
        <f t="shared" si="76"/>
        <v>0</v>
      </c>
      <c r="BB217" s="571">
        <f t="shared" si="69"/>
        <v>1</v>
      </c>
      <c r="BC217" s="293">
        <f>IF(BB217=1,Adm!$AN$2,0)</f>
        <v>0</v>
      </c>
      <c r="BE217" s="341">
        <f t="shared" si="74"/>
        <v>0</v>
      </c>
      <c r="BF217" s="345">
        <f t="shared" ca="1" si="70"/>
        <v>0</v>
      </c>
    </row>
    <row r="218" spans="1:58">
      <c r="A218" s="151">
        <f t="shared" ca="1" si="80"/>
        <v>1</v>
      </c>
      <c r="C218" s="178">
        <f t="shared" si="81"/>
        <v>194</v>
      </c>
      <c r="D218" s="178">
        <f t="shared" ref="D218:D264" si="86">IF(L217&lt;0.01,0,L217*$F$9/12)</f>
        <v>2977.7888500279782</v>
      </c>
      <c r="E218" s="178">
        <f t="shared" si="77"/>
        <v>6637.5172049498942</v>
      </c>
      <c r="F218" s="178">
        <f t="shared" si="71"/>
        <v>9615.3060549778729</v>
      </c>
      <c r="G218" s="178">
        <f>IF(L217&lt;0.01,0,IF(Adm!$S$3=Adm!$S$13,Cal!$E$94,IF(Adm!$R$3=Adm!$R$6,0,IF(Cal!$E$91=0,L217*Adm!$Y$3,L217*Adm!$X$3))))</f>
        <v>161.74095227520388</v>
      </c>
      <c r="H218" s="178">
        <f>IF(L217&lt;0.01,0,IF(Adm!$R$4=Adm!$R$6,0,IF(Adm!$B$3=Adm!$B$12,0,Cal!$E$89*Adm!$AA$3/1.16)))</f>
        <v>494.46758620689661</v>
      </c>
      <c r="I218" s="178">
        <f>IF(L217&lt;0.01,0,Adm!$O$3)</f>
        <v>250</v>
      </c>
      <c r="J218" s="178">
        <f t="shared" si="82"/>
        <v>10521.514593459973</v>
      </c>
      <c r="K218" s="178">
        <f>IF(Adm!$F$3="si",MIN(L217+D218+G218+H218+I218-J218,Y218),0)</f>
        <v>0</v>
      </c>
      <c r="L218" s="178">
        <f t="shared" ref="L218:L264" si="87">IF(L217&lt;0.01,0,L217-E218-K218)</f>
        <v>369504.23227226839</v>
      </c>
      <c r="M218" s="348"/>
      <c r="N218" s="348"/>
      <c r="O218" s="348">
        <f t="shared" ref="O218:O264" si="88">J218+K218</f>
        <v>10521.514593459973</v>
      </c>
      <c r="U218" s="571">
        <f t="shared" ref="U218:U264" si="89">IF(U217=12,1,U217+1)</f>
        <v>2</v>
      </c>
      <c r="V218" s="293">
        <f>IF(U218=1,Adm!$AN$2,0)</f>
        <v>0</v>
      </c>
      <c r="X218" s="341">
        <f t="shared" si="72"/>
        <v>0</v>
      </c>
      <c r="Y218" s="345">
        <f t="shared" ref="Y218:Y264" ca="1" si="90">IF(MOD(A218,2)=0,X218*0.05*2,0)</f>
        <v>0</v>
      </c>
      <c r="AG218" s="151">
        <f t="shared" ca="1" si="83"/>
        <v>1</v>
      </c>
      <c r="AI218" s="178">
        <f t="shared" si="84"/>
        <v>0</v>
      </c>
      <c r="AJ218" s="178">
        <f t="shared" ref="AJ218:AJ264" si="91">IF(AS217&lt;0.01,0,AS217*$AL$9/12)</f>
        <v>0</v>
      </c>
      <c r="AK218" s="178">
        <f t="shared" si="78"/>
        <v>0</v>
      </c>
      <c r="AL218" s="178">
        <f t="shared" si="79"/>
        <v>0</v>
      </c>
      <c r="AM218" s="351">
        <f>IF(AS217&lt;0.01,0,IF(Resol!$G$19&gt;0,Resol!$G$19,IF(Resol!$F$19=Resol!$U$5,0,IF($AS$10=0,AS217*Adm!$Y$3,AS217*Adm!$X$3))))</f>
        <v>0</v>
      </c>
      <c r="AN218" s="351">
        <f>IF(AS217&lt;0.01,0,IF(Resol!$F$20=Resol!$V$3,0,IF(OR(Resol!$F$10=Resol!$T$16,Resol!$F$10=Resol!$T$17),0,IF(Resol!$F$10=Resol!$T$13,0,$AL$5*Adm!$AA$4/1.16))))</f>
        <v>0</v>
      </c>
      <c r="AO218" s="178">
        <f t="shared" si="73"/>
        <v>0</v>
      </c>
      <c r="AP218" s="178"/>
      <c r="AQ218" s="178">
        <f t="shared" si="85"/>
        <v>0</v>
      </c>
      <c r="AR218" s="178">
        <f t="shared" ref="AR218:AR264" si="92">IF($AR$23&gt;"",MIN(AS217+AJ218+AM218+AN218+AO218-AQ218,BF218),0)</f>
        <v>0</v>
      </c>
      <c r="AS218" s="178">
        <f t="shared" si="75"/>
        <v>0</v>
      </c>
      <c r="AT218" s="348"/>
      <c r="AU218" s="348"/>
      <c r="AV218" s="176">
        <f t="shared" si="76"/>
        <v>0</v>
      </c>
      <c r="BB218" s="571">
        <f t="shared" ref="BB218:BB264" si="93">IF(BB217=12,1,BB217+1)</f>
        <v>2</v>
      </c>
      <c r="BC218" s="293">
        <f>IF(BB218=1,Adm!$AN$2,0)</f>
        <v>0</v>
      </c>
      <c r="BE218" s="341">
        <f t="shared" si="74"/>
        <v>0</v>
      </c>
      <c r="BF218" s="345">
        <f t="shared" ref="BF218:BF264" ca="1" si="94">IF(MOD(AG218,2)=0,BE218*0.05*2,0)</f>
        <v>0</v>
      </c>
    </row>
    <row r="219" spans="1:58">
      <c r="A219" s="151">
        <f t="shared" ca="1" si="80"/>
        <v>2</v>
      </c>
      <c r="C219" s="178">
        <f t="shared" si="81"/>
        <v>195</v>
      </c>
      <c r="D219" s="178">
        <f t="shared" si="86"/>
        <v>2925.2418388221249</v>
      </c>
      <c r="E219" s="178">
        <f t="shared" si="77"/>
        <v>6690.064216155748</v>
      </c>
      <c r="F219" s="178">
        <f t="shared" ref="F219:F264" si="95">IF(L218&lt;0.1,0,MIN(L218+D219,F218*(1+V219)))</f>
        <v>9615.3060549778729</v>
      </c>
      <c r="G219" s="178">
        <f>IF(L218&lt;0.01,0,IF(Adm!$S$3=Adm!$S$13,Cal!$E$94,IF(Adm!$R$3=Adm!$R$6,0,IF(Cal!$E$91=0,L218*Adm!$Y$3,L218*Adm!$X$3))))</f>
        <v>158.8868198770754</v>
      </c>
      <c r="H219" s="178">
        <f>IF(L218&lt;0.01,0,IF(Adm!$R$4=Adm!$R$6,0,IF(Adm!$B$3=Adm!$B$12,0,Cal!$E$89*Adm!$AA$3/1.16)))</f>
        <v>494.46758620689661</v>
      </c>
      <c r="I219" s="178">
        <f>IF(L218&lt;0.01,0,Adm!$O$3)</f>
        <v>250</v>
      </c>
      <c r="J219" s="178">
        <f t="shared" si="82"/>
        <v>10518.660461061845</v>
      </c>
      <c r="K219" s="178">
        <f>IF(Adm!$F$3="si",MIN(L218+D219+G219+H219+I219-J219,Y219),0)</f>
        <v>0</v>
      </c>
      <c r="L219" s="178">
        <f t="shared" si="87"/>
        <v>362814.16805611266</v>
      </c>
      <c r="M219" s="348"/>
      <c r="N219" s="348"/>
      <c r="O219" s="348">
        <f t="shared" si="88"/>
        <v>10518.660461061845</v>
      </c>
      <c r="U219" s="571">
        <f t="shared" si="89"/>
        <v>3</v>
      </c>
      <c r="V219" s="293">
        <f>IF(U219=1,Adm!$AN$2,0)</f>
        <v>0</v>
      </c>
      <c r="X219" s="341">
        <f t="shared" ref="X219:X264" si="96">X218</f>
        <v>0</v>
      </c>
      <c r="Y219" s="345">
        <f t="shared" ca="1" si="90"/>
        <v>0</v>
      </c>
      <c r="AG219" s="151">
        <f t="shared" ca="1" si="83"/>
        <v>2</v>
      </c>
      <c r="AI219" s="178">
        <f t="shared" si="84"/>
        <v>0</v>
      </c>
      <c r="AJ219" s="178">
        <f t="shared" si="91"/>
        <v>0</v>
      </c>
      <c r="AK219" s="178">
        <f t="shared" si="78"/>
        <v>0</v>
      </c>
      <c r="AL219" s="178">
        <f t="shared" si="79"/>
        <v>0</v>
      </c>
      <c r="AM219" s="351">
        <f>IF(AS218&lt;0.01,0,IF(Resol!$G$19&gt;0,Resol!$G$19,IF(Resol!$F$19=Resol!$U$5,0,IF($AS$10=0,AS218*Adm!$Y$3,AS218*Adm!$X$3))))</f>
        <v>0</v>
      </c>
      <c r="AN219" s="351">
        <f>IF(AS218&lt;0.01,0,IF(Resol!$F$20=Resol!$V$3,0,IF(OR(Resol!$F$10=Resol!$T$16,Resol!$F$10=Resol!$T$17),0,IF(Resol!$F$10=Resol!$T$13,0,$AL$5*Adm!$AA$4/1.16))))</f>
        <v>0</v>
      </c>
      <c r="AO219" s="178">
        <f t="shared" ref="AO219:AO264" si="97">IF(AS218&lt;0.01,0,AO218)</f>
        <v>0</v>
      </c>
      <c r="AP219" s="178"/>
      <c r="AQ219" s="178">
        <f t="shared" si="85"/>
        <v>0</v>
      </c>
      <c r="AR219" s="178">
        <f t="shared" si="92"/>
        <v>0</v>
      </c>
      <c r="AS219" s="178">
        <f t="shared" si="75"/>
        <v>0</v>
      </c>
      <c r="AT219" s="348"/>
      <c r="AU219" s="348"/>
      <c r="AV219" s="176">
        <f t="shared" si="76"/>
        <v>0</v>
      </c>
      <c r="BB219" s="571">
        <f t="shared" si="93"/>
        <v>3</v>
      </c>
      <c r="BC219" s="293">
        <f>IF(BB219=1,Adm!$AN$2,0)</f>
        <v>0</v>
      </c>
      <c r="BE219" s="341">
        <f t="shared" ref="BE219:BE264" si="98">BE218</f>
        <v>0</v>
      </c>
      <c r="BF219" s="345">
        <f t="shared" ca="1" si="94"/>
        <v>0</v>
      </c>
    </row>
    <row r="220" spans="1:58">
      <c r="A220" s="151">
        <f t="shared" ca="1" si="80"/>
        <v>3</v>
      </c>
      <c r="C220" s="178">
        <f t="shared" si="81"/>
        <v>196</v>
      </c>
      <c r="D220" s="178">
        <f t="shared" si="86"/>
        <v>2872.2788304442252</v>
      </c>
      <c r="E220" s="178">
        <f t="shared" si="77"/>
        <v>6743.0272245336473</v>
      </c>
      <c r="F220" s="178">
        <f t="shared" si="95"/>
        <v>9615.3060549778729</v>
      </c>
      <c r="G220" s="178">
        <f>IF(L219&lt;0.01,0,IF(Adm!$S$3=Adm!$S$13,Cal!$E$94,IF(Adm!$R$3=Adm!$R$6,0,IF(Cal!$E$91=0,L219*Adm!$Y$3,L219*Adm!$X$3))))</f>
        <v>156.01009226412845</v>
      </c>
      <c r="H220" s="178">
        <f>IF(L219&lt;0.01,0,IF(Adm!$R$4=Adm!$R$6,0,IF(Adm!$B$3=Adm!$B$12,0,Cal!$E$89*Adm!$AA$3/1.16)))</f>
        <v>494.46758620689661</v>
      </c>
      <c r="I220" s="178">
        <f>IF(L219&lt;0.01,0,Adm!$O$3)</f>
        <v>250</v>
      </c>
      <c r="J220" s="178">
        <f t="shared" si="82"/>
        <v>10515.783733448898</v>
      </c>
      <c r="K220" s="178">
        <f>IF(Adm!$F$3="si",MIN(L219+D220+G220+H220+I220-J220,Y220),0)</f>
        <v>0</v>
      </c>
      <c r="L220" s="178">
        <f t="shared" si="87"/>
        <v>356071.14083157899</v>
      </c>
      <c r="M220" s="348"/>
      <c r="N220" s="348"/>
      <c r="O220" s="348">
        <f t="shared" si="88"/>
        <v>10515.783733448898</v>
      </c>
      <c r="U220" s="571">
        <f t="shared" si="89"/>
        <v>4</v>
      </c>
      <c r="V220" s="293">
        <f>IF(U220=1,Adm!$AN$2,0)</f>
        <v>0</v>
      </c>
      <c r="X220" s="341">
        <f t="shared" si="96"/>
        <v>0</v>
      </c>
      <c r="Y220" s="345">
        <f t="shared" ca="1" si="90"/>
        <v>0</v>
      </c>
      <c r="AG220" s="151">
        <f t="shared" ca="1" si="83"/>
        <v>3</v>
      </c>
      <c r="AI220" s="178">
        <f t="shared" si="84"/>
        <v>0</v>
      </c>
      <c r="AJ220" s="178">
        <f t="shared" si="91"/>
        <v>0</v>
      </c>
      <c r="AK220" s="178">
        <f t="shared" si="78"/>
        <v>0</v>
      </c>
      <c r="AL220" s="178">
        <f t="shared" si="79"/>
        <v>0</v>
      </c>
      <c r="AM220" s="351">
        <f>IF(AS219&lt;0.01,0,IF(Resol!$G$19&gt;0,Resol!$G$19,IF(Resol!$F$19=Resol!$U$5,0,IF($AS$10=0,AS219*Adm!$Y$3,AS219*Adm!$X$3))))</f>
        <v>0</v>
      </c>
      <c r="AN220" s="351">
        <f>IF(AS219&lt;0.01,0,IF(Resol!$F$20=Resol!$V$3,0,IF(OR(Resol!$F$10=Resol!$T$16,Resol!$F$10=Resol!$T$17),0,IF(Resol!$F$10=Resol!$T$13,0,$AL$5*Adm!$AA$4/1.16))))</f>
        <v>0</v>
      </c>
      <c r="AO220" s="178">
        <f t="shared" si="97"/>
        <v>0</v>
      </c>
      <c r="AP220" s="178"/>
      <c r="AQ220" s="178">
        <f t="shared" si="85"/>
        <v>0</v>
      </c>
      <c r="AR220" s="178">
        <f t="shared" si="92"/>
        <v>0</v>
      </c>
      <c r="AS220" s="178">
        <f t="shared" si="75"/>
        <v>0</v>
      </c>
      <c r="AT220" s="348"/>
      <c r="AU220" s="348"/>
      <c r="AV220" s="176">
        <f t="shared" si="76"/>
        <v>0</v>
      </c>
      <c r="BB220" s="571">
        <f t="shared" si="93"/>
        <v>4</v>
      </c>
      <c r="BC220" s="293">
        <f>IF(BB220=1,Adm!$AN$2,0)</f>
        <v>0</v>
      </c>
      <c r="BE220" s="341">
        <f t="shared" si="98"/>
        <v>0</v>
      </c>
      <c r="BF220" s="345">
        <f t="shared" ca="1" si="94"/>
        <v>0</v>
      </c>
    </row>
    <row r="221" spans="1:58">
      <c r="A221" s="151">
        <f t="shared" ca="1" si="80"/>
        <v>4</v>
      </c>
      <c r="C221" s="178">
        <f t="shared" si="81"/>
        <v>197</v>
      </c>
      <c r="D221" s="178">
        <f t="shared" si="86"/>
        <v>2818.8965315833339</v>
      </c>
      <c r="E221" s="178">
        <f t="shared" si="77"/>
        <v>6796.4095233945391</v>
      </c>
      <c r="F221" s="178">
        <f t="shared" si="95"/>
        <v>9615.3060549778729</v>
      </c>
      <c r="G221" s="178">
        <f>IF(L220&lt;0.01,0,IF(Adm!$S$3=Adm!$S$13,Cal!$E$94,IF(Adm!$R$3=Adm!$R$6,0,IF(Cal!$E$91=0,L220*Adm!$Y$3,L220*Adm!$X$3))))</f>
        <v>153.11059055757897</v>
      </c>
      <c r="H221" s="178">
        <f>IF(L220&lt;0.01,0,IF(Adm!$R$4=Adm!$R$6,0,IF(Adm!$B$3=Adm!$B$12,0,Cal!$E$89*Adm!$AA$3/1.16)))</f>
        <v>494.46758620689661</v>
      </c>
      <c r="I221" s="178">
        <f>IF(L220&lt;0.01,0,Adm!$O$3)</f>
        <v>250</v>
      </c>
      <c r="J221" s="178">
        <f t="shared" si="82"/>
        <v>10512.884231742348</v>
      </c>
      <c r="K221" s="178">
        <f>IF(Adm!$F$3="si",MIN(L220+D221+G221+H221+I221-J221,Y221),0)</f>
        <v>0</v>
      </c>
      <c r="L221" s="178">
        <f t="shared" si="87"/>
        <v>349274.73130818445</v>
      </c>
      <c r="M221" s="348"/>
      <c r="N221" s="348"/>
      <c r="O221" s="348">
        <f t="shared" si="88"/>
        <v>10512.884231742348</v>
      </c>
      <c r="U221" s="571">
        <f t="shared" si="89"/>
        <v>5</v>
      </c>
      <c r="V221" s="293">
        <f>IF(U221=1,Adm!$AN$2,0)</f>
        <v>0</v>
      </c>
      <c r="X221" s="341">
        <f t="shared" si="96"/>
        <v>0</v>
      </c>
      <c r="Y221" s="345">
        <f t="shared" ca="1" si="90"/>
        <v>0</v>
      </c>
      <c r="AG221" s="151">
        <f t="shared" ca="1" si="83"/>
        <v>4</v>
      </c>
      <c r="AI221" s="178">
        <f t="shared" si="84"/>
        <v>0</v>
      </c>
      <c r="AJ221" s="178">
        <f t="shared" si="91"/>
        <v>0</v>
      </c>
      <c r="AK221" s="178">
        <f t="shared" si="78"/>
        <v>0</v>
      </c>
      <c r="AL221" s="178">
        <f t="shared" si="79"/>
        <v>0</v>
      </c>
      <c r="AM221" s="351">
        <f>IF(AS220&lt;0.01,0,IF(Resol!$G$19&gt;0,Resol!$G$19,IF(Resol!$F$19=Resol!$U$5,0,IF($AS$10=0,AS220*Adm!$Y$3,AS220*Adm!$X$3))))</f>
        <v>0</v>
      </c>
      <c r="AN221" s="351">
        <f>IF(AS220&lt;0.01,0,IF(Resol!$F$20=Resol!$V$3,0,IF(OR(Resol!$F$10=Resol!$T$16,Resol!$F$10=Resol!$T$17),0,IF(Resol!$F$10=Resol!$T$13,0,$AL$5*Adm!$AA$4/1.16))))</f>
        <v>0</v>
      </c>
      <c r="AO221" s="178">
        <f t="shared" si="97"/>
        <v>0</v>
      </c>
      <c r="AP221" s="178"/>
      <c r="AQ221" s="178">
        <f t="shared" si="85"/>
        <v>0</v>
      </c>
      <c r="AR221" s="178">
        <f t="shared" si="92"/>
        <v>0</v>
      </c>
      <c r="AS221" s="178">
        <f t="shared" si="75"/>
        <v>0</v>
      </c>
      <c r="AT221" s="348"/>
      <c r="AU221" s="348"/>
      <c r="AV221" s="176">
        <f t="shared" si="76"/>
        <v>0</v>
      </c>
      <c r="BB221" s="571">
        <f t="shared" si="93"/>
        <v>5</v>
      </c>
      <c r="BC221" s="293">
        <f>IF(BB221=1,Adm!$AN$2,0)</f>
        <v>0</v>
      </c>
      <c r="BE221" s="341">
        <f t="shared" si="98"/>
        <v>0</v>
      </c>
      <c r="BF221" s="345">
        <f t="shared" ca="1" si="94"/>
        <v>0</v>
      </c>
    </row>
    <row r="222" spans="1:58">
      <c r="A222" s="151">
        <f t="shared" ca="1" si="80"/>
        <v>5</v>
      </c>
      <c r="C222" s="178">
        <f t="shared" si="81"/>
        <v>198</v>
      </c>
      <c r="D222" s="178">
        <f t="shared" si="86"/>
        <v>2765.0916228564602</v>
      </c>
      <c r="E222" s="178">
        <f t="shared" si="77"/>
        <v>6850.2144321214128</v>
      </c>
      <c r="F222" s="178">
        <f t="shared" si="95"/>
        <v>9615.3060549778729</v>
      </c>
      <c r="G222" s="178">
        <f>IF(L221&lt;0.01,0,IF(Adm!$S$3=Adm!$S$13,Cal!$E$94,IF(Adm!$R$3=Adm!$R$6,0,IF(Cal!$E$91=0,L221*Adm!$Y$3,L221*Adm!$X$3))))</f>
        <v>150.18813446251932</v>
      </c>
      <c r="H222" s="178">
        <f>IF(L221&lt;0.01,0,IF(Adm!$R$4=Adm!$R$6,0,IF(Adm!$B$3=Adm!$B$12,0,Cal!$E$89*Adm!$AA$3/1.16)))</f>
        <v>494.46758620689661</v>
      </c>
      <c r="I222" s="178">
        <f>IF(L221&lt;0.01,0,Adm!$O$3)</f>
        <v>250</v>
      </c>
      <c r="J222" s="178">
        <f t="shared" si="82"/>
        <v>10509.961775647289</v>
      </c>
      <c r="K222" s="178">
        <f>IF(Adm!$F$3="si",MIN(L221+D222+G222+H222+I222-J222,Y222),0)</f>
        <v>0</v>
      </c>
      <c r="L222" s="178">
        <f t="shared" si="87"/>
        <v>342424.51687606302</v>
      </c>
      <c r="M222" s="348"/>
      <c r="N222" s="348"/>
      <c r="O222" s="348">
        <f t="shared" si="88"/>
        <v>10509.961775647289</v>
      </c>
      <c r="U222" s="571">
        <f t="shared" si="89"/>
        <v>6</v>
      </c>
      <c r="V222" s="293">
        <f>IF(U222=1,Adm!$AN$2,0)</f>
        <v>0</v>
      </c>
      <c r="X222" s="341">
        <f t="shared" si="96"/>
        <v>0</v>
      </c>
      <c r="Y222" s="345">
        <f t="shared" ca="1" si="90"/>
        <v>0</v>
      </c>
      <c r="AG222" s="151">
        <f t="shared" ca="1" si="83"/>
        <v>5</v>
      </c>
      <c r="AI222" s="178">
        <f t="shared" si="84"/>
        <v>0</v>
      </c>
      <c r="AJ222" s="178">
        <f t="shared" si="91"/>
        <v>0</v>
      </c>
      <c r="AK222" s="178">
        <f t="shared" si="78"/>
        <v>0</v>
      </c>
      <c r="AL222" s="178">
        <f t="shared" si="79"/>
        <v>0</v>
      </c>
      <c r="AM222" s="351">
        <f>IF(AS221&lt;0.01,0,IF(Resol!$G$19&gt;0,Resol!$G$19,IF(Resol!$F$19=Resol!$U$5,0,IF($AS$10=0,AS221*Adm!$Y$3,AS221*Adm!$X$3))))</f>
        <v>0</v>
      </c>
      <c r="AN222" s="351">
        <f>IF(AS221&lt;0.01,0,IF(Resol!$F$20=Resol!$V$3,0,IF(OR(Resol!$F$10=Resol!$T$16,Resol!$F$10=Resol!$T$17),0,IF(Resol!$F$10=Resol!$T$13,0,$AL$5*Adm!$AA$4/1.16))))</f>
        <v>0</v>
      </c>
      <c r="AO222" s="178">
        <f t="shared" si="97"/>
        <v>0</v>
      </c>
      <c r="AP222" s="178"/>
      <c r="AQ222" s="178">
        <f t="shared" si="85"/>
        <v>0</v>
      </c>
      <c r="AR222" s="178">
        <f t="shared" si="92"/>
        <v>0</v>
      </c>
      <c r="AS222" s="178">
        <f t="shared" si="75"/>
        <v>0</v>
      </c>
      <c r="AT222" s="348"/>
      <c r="AU222" s="348"/>
      <c r="AV222" s="176">
        <f t="shared" si="76"/>
        <v>0</v>
      </c>
      <c r="BB222" s="571">
        <f t="shared" si="93"/>
        <v>6</v>
      </c>
      <c r="BC222" s="293">
        <f>IF(BB222=1,Adm!$AN$2,0)</f>
        <v>0</v>
      </c>
      <c r="BE222" s="341">
        <f t="shared" si="98"/>
        <v>0</v>
      </c>
      <c r="BF222" s="345">
        <f t="shared" ca="1" si="94"/>
        <v>0</v>
      </c>
    </row>
    <row r="223" spans="1:58">
      <c r="A223" s="151">
        <f t="shared" ca="1" si="80"/>
        <v>6</v>
      </c>
      <c r="C223" s="178">
        <f t="shared" si="81"/>
        <v>199</v>
      </c>
      <c r="D223" s="178">
        <f t="shared" si="86"/>
        <v>2710.8607586021658</v>
      </c>
      <c r="E223" s="178">
        <f t="shared" si="77"/>
        <v>6904.4452963757067</v>
      </c>
      <c r="F223" s="178">
        <f t="shared" si="95"/>
        <v>9615.3060549778729</v>
      </c>
      <c r="G223" s="178">
        <f>IF(L222&lt;0.01,0,IF(Adm!$S$3=Adm!$S$13,Cal!$E$94,IF(Adm!$R$3=Adm!$R$6,0,IF(Cal!$E$91=0,L222*Adm!$Y$3,L222*Adm!$X$3))))</f>
        <v>147.24254225670708</v>
      </c>
      <c r="H223" s="178">
        <f>IF(L222&lt;0.01,0,IF(Adm!$R$4=Adm!$R$6,0,IF(Adm!$B$3=Adm!$B$12,0,Cal!$E$89*Adm!$AA$3/1.16)))</f>
        <v>494.46758620689661</v>
      </c>
      <c r="I223" s="178">
        <f>IF(L222&lt;0.01,0,Adm!$O$3)</f>
        <v>250</v>
      </c>
      <c r="J223" s="178">
        <f t="shared" si="82"/>
        <v>10507.016183441476</v>
      </c>
      <c r="K223" s="178">
        <f>IF(Adm!$F$3="si",MIN(L222+D223+G223+H223+I223-J223,Y223),0)</f>
        <v>0</v>
      </c>
      <c r="L223" s="178">
        <f t="shared" si="87"/>
        <v>335520.0715796873</v>
      </c>
      <c r="M223" s="348"/>
      <c r="N223" s="348"/>
      <c r="O223" s="348">
        <f t="shared" si="88"/>
        <v>10507.016183441476</v>
      </c>
      <c r="U223" s="571">
        <f t="shared" si="89"/>
        <v>7</v>
      </c>
      <c r="V223" s="293">
        <f>IF(U223=1,Adm!$AN$2,0)</f>
        <v>0</v>
      </c>
      <c r="X223" s="341">
        <f t="shared" si="96"/>
        <v>0</v>
      </c>
      <c r="Y223" s="345">
        <f t="shared" ca="1" si="90"/>
        <v>0</v>
      </c>
      <c r="AG223" s="151">
        <f t="shared" ca="1" si="83"/>
        <v>6</v>
      </c>
      <c r="AI223" s="178">
        <f t="shared" si="84"/>
        <v>0</v>
      </c>
      <c r="AJ223" s="178">
        <f t="shared" si="91"/>
        <v>0</v>
      </c>
      <c r="AK223" s="178">
        <f t="shared" si="78"/>
        <v>0</v>
      </c>
      <c r="AL223" s="178">
        <f t="shared" si="79"/>
        <v>0</v>
      </c>
      <c r="AM223" s="351">
        <f>IF(AS222&lt;0.01,0,IF(Resol!$G$19&gt;0,Resol!$G$19,IF(Resol!$F$19=Resol!$U$5,0,IF($AS$10=0,AS222*Adm!$Y$3,AS222*Adm!$X$3))))</f>
        <v>0</v>
      </c>
      <c r="AN223" s="351">
        <f>IF(AS222&lt;0.01,0,IF(Resol!$F$20=Resol!$V$3,0,IF(OR(Resol!$F$10=Resol!$T$16,Resol!$F$10=Resol!$T$17),0,IF(Resol!$F$10=Resol!$T$13,0,$AL$5*Adm!$AA$4/1.16))))</f>
        <v>0</v>
      </c>
      <c r="AO223" s="178">
        <f t="shared" si="97"/>
        <v>0</v>
      </c>
      <c r="AP223" s="178"/>
      <c r="AQ223" s="178">
        <f t="shared" si="85"/>
        <v>0</v>
      </c>
      <c r="AR223" s="178">
        <f t="shared" si="92"/>
        <v>0</v>
      </c>
      <c r="AS223" s="178">
        <f t="shared" si="75"/>
        <v>0</v>
      </c>
      <c r="AT223" s="348"/>
      <c r="AU223" s="348"/>
      <c r="AV223" s="176">
        <f t="shared" si="76"/>
        <v>0</v>
      </c>
      <c r="BB223" s="571">
        <f t="shared" si="93"/>
        <v>7</v>
      </c>
      <c r="BC223" s="293">
        <f>IF(BB223=1,Adm!$AN$2,0)</f>
        <v>0</v>
      </c>
      <c r="BE223" s="341">
        <f t="shared" si="98"/>
        <v>0</v>
      </c>
      <c r="BF223" s="345">
        <f t="shared" ca="1" si="94"/>
        <v>0</v>
      </c>
    </row>
    <row r="224" spans="1:58">
      <c r="A224" s="151">
        <f t="shared" ca="1" si="80"/>
        <v>7</v>
      </c>
      <c r="C224" s="178">
        <f t="shared" si="81"/>
        <v>200</v>
      </c>
      <c r="D224" s="178">
        <f t="shared" si="86"/>
        <v>2656.2005666725245</v>
      </c>
      <c r="E224" s="178">
        <f t="shared" si="77"/>
        <v>6959.1054883053484</v>
      </c>
      <c r="F224" s="178">
        <f t="shared" si="95"/>
        <v>9615.3060549778729</v>
      </c>
      <c r="G224" s="178">
        <f>IF(L223&lt;0.01,0,IF(Adm!$S$3=Adm!$S$13,Cal!$E$94,IF(Adm!$R$3=Adm!$R$6,0,IF(Cal!$E$91=0,L223*Adm!$Y$3,L223*Adm!$X$3))))</f>
        <v>144.27363077926555</v>
      </c>
      <c r="H224" s="178">
        <f>IF(L223&lt;0.01,0,IF(Adm!$R$4=Adm!$R$6,0,IF(Adm!$B$3=Adm!$B$12,0,Cal!$E$89*Adm!$AA$3/1.16)))</f>
        <v>494.46758620689661</v>
      </c>
      <c r="I224" s="178">
        <f>IF(L223&lt;0.01,0,Adm!$O$3)</f>
        <v>250</v>
      </c>
      <c r="J224" s="178">
        <f t="shared" si="82"/>
        <v>10504.047271964035</v>
      </c>
      <c r="K224" s="178">
        <f>IF(Adm!$F$3="si",MIN(L223+D224+G224+H224+I224-J224,Y224),0)</f>
        <v>0</v>
      </c>
      <c r="L224" s="178">
        <f t="shared" si="87"/>
        <v>328560.96609138197</v>
      </c>
      <c r="M224" s="348"/>
      <c r="N224" s="348"/>
      <c r="O224" s="348">
        <f t="shared" si="88"/>
        <v>10504.047271964035</v>
      </c>
      <c r="U224" s="571">
        <f t="shared" si="89"/>
        <v>8</v>
      </c>
      <c r="V224" s="293">
        <f>IF(U224=1,Adm!$AN$2,0)</f>
        <v>0</v>
      </c>
      <c r="X224" s="341">
        <f t="shared" si="96"/>
        <v>0</v>
      </c>
      <c r="Y224" s="345">
        <f t="shared" ca="1" si="90"/>
        <v>0</v>
      </c>
      <c r="AG224" s="151">
        <f t="shared" ca="1" si="83"/>
        <v>7</v>
      </c>
      <c r="AI224" s="178">
        <f t="shared" si="84"/>
        <v>0</v>
      </c>
      <c r="AJ224" s="178">
        <f t="shared" si="91"/>
        <v>0</v>
      </c>
      <c r="AK224" s="178">
        <f t="shared" si="78"/>
        <v>0</v>
      </c>
      <c r="AL224" s="178">
        <f t="shared" si="79"/>
        <v>0</v>
      </c>
      <c r="AM224" s="351">
        <f>IF(AS223&lt;0.01,0,IF(Resol!$G$19&gt;0,Resol!$G$19,IF(Resol!$F$19=Resol!$U$5,0,IF($AS$10=0,AS223*Adm!$Y$3,AS223*Adm!$X$3))))</f>
        <v>0</v>
      </c>
      <c r="AN224" s="351">
        <f>IF(AS223&lt;0.01,0,IF(Resol!$F$20=Resol!$V$3,0,IF(OR(Resol!$F$10=Resol!$T$16,Resol!$F$10=Resol!$T$17),0,IF(Resol!$F$10=Resol!$T$13,0,$AL$5*Adm!$AA$4/1.16))))</f>
        <v>0</v>
      </c>
      <c r="AO224" s="178">
        <f t="shared" si="97"/>
        <v>0</v>
      </c>
      <c r="AP224" s="178"/>
      <c r="AQ224" s="178">
        <f t="shared" si="85"/>
        <v>0</v>
      </c>
      <c r="AR224" s="178">
        <f t="shared" si="92"/>
        <v>0</v>
      </c>
      <c r="AS224" s="178">
        <f t="shared" si="75"/>
        <v>0</v>
      </c>
      <c r="AT224" s="348"/>
      <c r="AU224" s="348"/>
      <c r="AV224" s="176">
        <f t="shared" si="76"/>
        <v>0</v>
      </c>
      <c r="BB224" s="571">
        <f t="shared" si="93"/>
        <v>8</v>
      </c>
      <c r="BC224" s="293">
        <f>IF(BB224=1,Adm!$AN$2,0)</f>
        <v>0</v>
      </c>
      <c r="BE224" s="341">
        <f t="shared" si="98"/>
        <v>0</v>
      </c>
      <c r="BF224" s="345">
        <f t="shared" ca="1" si="94"/>
        <v>0</v>
      </c>
    </row>
    <row r="225" spans="1:58">
      <c r="A225" s="151">
        <f t="shared" ca="1" si="80"/>
        <v>8</v>
      </c>
      <c r="C225" s="178">
        <f t="shared" si="81"/>
        <v>201</v>
      </c>
      <c r="D225" s="178">
        <f t="shared" si="86"/>
        <v>2601.1076482234407</v>
      </c>
      <c r="E225" s="178">
        <f t="shared" si="77"/>
        <v>7014.1984067544327</v>
      </c>
      <c r="F225" s="178">
        <f t="shared" si="95"/>
        <v>9615.3060549778729</v>
      </c>
      <c r="G225" s="178">
        <f>IF(L224&lt;0.01,0,IF(Adm!$S$3=Adm!$S$13,Cal!$E$94,IF(Adm!$R$3=Adm!$R$6,0,IF(Cal!$E$91=0,L224*Adm!$Y$3,L224*Adm!$X$3))))</f>
        <v>141.28121541929426</v>
      </c>
      <c r="H225" s="178">
        <f>IF(L224&lt;0.01,0,IF(Adm!$R$4=Adm!$R$6,0,IF(Adm!$B$3=Adm!$B$12,0,Cal!$E$89*Adm!$AA$3/1.16)))</f>
        <v>494.46758620689661</v>
      </c>
      <c r="I225" s="178">
        <f>IF(L224&lt;0.01,0,Adm!$O$3)</f>
        <v>250</v>
      </c>
      <c r="J225" s="178">
        <f t="shared" si="82"/>
        <v>10501.054856604063</v>
      </c>
      <c r="K225" s="178">
        <f>IF(Adm!$F$3="si",MIN(L224+D225+G225+H225+I225-J225,Y225),0)</f>
        <v>0</v>
      </c>
      <c r="L225" s="178">
        <f t="shared" si="87"/>
        <v>321546.76768462756</v>
      </c>
      <c r="M225" s="348"/>
      <c r="N225" s="348"/>
      <c r="O225" s="348">
        <f t="shared" si="88"/>
        <v>10501.054856604063</v>
      </c>
      <c r="U225" s="571">
        <f t="shared" si="89"/>
        <v>9</v>
      </c>
      <c r="V225" s="293">
        <f>IF(U225=1,Adm!$AN$2,0)</f>
        <v>0</v>
      </c>
      <c r="X225" s="341">
        <f t="shared" si="96"/>
        <v>0</v>
      </c>
      <c r="Y225" s="345">
        <f t="shared" ca="1" si="90"/>
        <v>0</v>
      </c>
      <c r="AG225" s="151">
        <f t="shared" ca="1" si="83"/>
        <v>8</v>
      </c>
      <c r="AI225" s="178">
        <f t="shared" si="84"/>
        <v>0</v>
      </c>
      <c r="AJ225" s="178">
        <f t="shared" si="91"/>
        <v>0</v>
      </c>
      <c r="AK225" s="178">
        <f t="shared" si="78"/>
        <v>0</v>
      </c>
      <c r="AL225" s="178">
        <f t="shared" si="79"/>
        <v>0</v>
      </c>
      <c r="AM225" s="351">
        <f>IF(AS224&lt;0.01,0,IF(Resol!$G$19&gt;0,Resol!$G$19,IF(Resol!$F$19=Resol!$U$5,0,IF($AS$10=0,AS224*Adm!$Y$3,AS224*Adm!$X$3))))</f>
        <v>0</v>
      </c>
      <c r="AN225" s="351">
        <f>IF(AS224&lt;0.01,0,IF(Resol!$F$20=Resol!$V$3,0,IF(OR(Resol!$F$10=Resol!$T$16,Resol!$F$10=Resol!$T$17),0,IF(Resol!$F$10=Resol!$T$13,0,$AL$5*Adm!$AA$4/1.16))))</f>
        <v>0</v>
      </c>
      <c r="AO225" s="178">
        <f t="shared" si="97"/>
        <v>0</v>
      </c>
      <c r="AP225" s="178"/>
      <c r="AQ225" s="178">
        <f t="shared" si="85"/>
        <v>0</v>
      </c>
      <c r="AR225" s="178">
        <f t="shared" si="92"/>
        <v>0</v>
      </c>
      <c r="AS225" s="178">
        <f t="shared" si="75"/>
        <v>0</v>
      </c>
      <c r="AT225" s="348"/>
      <c r="AU225" s="348"/>
      <c r="AV225" s="176">
        <f t="shared" si="76"/>
        <v>0</v>
      </c>
      <c r="BB225" s="571">
        <f t="shared" si="93"/>
        <v>9</v>
      </c>
      <c r="BC225" s="293">
        <f>IF(BB225=1,Adm!$AN$2,0)</f>
        <v>0</v>
      </c>
      <c r="BE225" s="341">
        <f t="shared" si="98"/>
        <v>0</v>
      </c>
      <c r="BF225" s="345">
        <f t="shared" ca="1" si="94"/>
        <v>0</v>
      </c>
    </row>
    <row r="226" spans="1:58">
      <c r="A226" s="151">
        <f t="shared" ca="1" si="80"/>
        <v>9</v>
      </c>
      <c r="C226" s="178">
        <f t="shared" si="81"/>
        <v>202</v>
      </c>
      <c r="D226" s="178">
        <f t="shared" si="86"/>
        <v>2545.5785775033014</v>
      </c>
      <c r="E226" s="178">
        <f t="shared" si="77"/>
        <v>7069.7274774745711</v>
      </c>
      <c r="F226" s="178">
        <f t="shared" si="95"/>
        <v>9615.3060549778729</v>
      </c>
      <c r="G226" s="178">
        <f>IF(L225&lt;0.01,0,IF(Adm!$S$3=Adm!$S$13,Cal!$E$94,IF(Adm!$R$3=Adm!$R$6,0,IF(Cal!$E$91=0,L225*Adm!$Y$3,L225*Adm!$X$3))))</f>
        <v>138.26511010438983</v>
      </c>
      <c r="H226" s="178">
        <f>IF(L225&lt;0.01,0,IF(Adm!$R$4=Adm!$R$6,0,IF(Adm!$B$3=Adm!$B$12,0,Cal!$E$89*Adm!$AA$3/1.16)))</f>
        <v>494.46758620689661</v>
      </c>
      <c r="I226" s="178">
        <f>IF(L225&lt;0.01,0,Adm!$O$3)</f>
        <v>250</v>
      </c>
      <c r="J226" s="178">
        <f t="shared" si="82"/>
        <v>10498.038751289159</v>
      </c>
      <c r="K226" s="178">
        <f>IF(Adm!$F$3="si",MIN(L225+D226+G226+H226+I226-J226,Y226),0)</f>
        <v>0</v>
      </c>
      <c r="L226" s="178">
        <f t="shared" si="87"/>
        <v>314477.04020715301</v>
      </c>
      <c r="M226" s="348"/>
      <c r="N226" s="348"/>
      <c r="O226" s="348">
        <f t="shared" si="88"/>
        <v>10498.038751289159</v>
      </c>
      <c r="U226" s="571">
        <f t="shared" si="89"/>
        <v>10</v>
      </c>
      <c r="V226" s="293">
        <f>IF(U226=1,Adm!$AN$2,0)</f>
        <v>0</v>
      </c>
      <c r="X226" s="341">
        <f t="shared" si="96"/>
        <v>0</v>
      </c>
      <c r="Y226" s="345">
        <f t="shared" ca="1" si="90"/>
        <v>0</v>
      </c>
      <c r="AG226" s="151">
        <f t="shared" ca="1" si="83"/>
        <v>9</v>
      </c>
      <c r="AI226" s="178">
        <f t="shared" si="84"/>
        <v>0</v>
      </c>
      <c r="AJ226" s="178">
        <f t="shared" si="91"/>
        <v>0</v>
      </c>
      <c r="AK226" s="178">
        <f t="shared" si="78"/>
        <v>0</v>
      </c>
      <c r="AL226" s="178">
        <f t="shared" si="79"/>
        <v>0</v>
      </c>
      <c r="AM226" s="351">
        <f>IF(AS225&lt;0.01,0,IF(Resol!$G$19&gt;0,Resol!$G$19,IF(Resol!$F$19=Resol!$U$5,0,IF($AS$10=0,AS225*Adm!$Y$3,AS225*Adm!$X$3))))</f>
        <v>0</v>
      </c>
      <c r="AN226" s="351">
        <f>IF(AS225&lt;0.01,0,IF(Resol!$F$20=Resol!$V$3,0,IF(OR(Resol!$F$10=Resol!$T$16,Resol!$F$10=Resol!$T$17),0,IF(Resol!$F$10=Resol!$T$13,0,$AL$5*Adm!$AA$4/1.16))))</f>
        <v>0</v>
      </c>
      <c r="AO226" s="178">
        <f t="shared" si="97"/>
        <v>0</v>
      </c>
      <c r="AP226" s="178"/>
      <c r="AQ226" s="178">
        <f t="shared" si="85"/>
        <v>0</v>
      </c>
      <c r="AR226" s="178">
        <f t="shared" si="92"/>
        <v>0</v>
      </c>
      <c r="AS226" s="178">
        <f t="shared" ref="AS226:AS264" si="99">IF(AS225&lt;0.01,0,AS225-AK226-AR226)</f>
        <v>0</v>
      </c>
      <c r="AT226" s="348"/>
      <c r="AU226" s="348"/>
      <c r="AV226" s="176">
        <f t="shared" ref="AV226:AV264" si="100">AQ226+AR226</f>
        <v>0</v>
      </c>
      <c r="BB226" s="571">
        <f t="shared" si="93"/>
        <v>10</v>
      </c>
      <c r="BC226" s="293">
        <f>IF(BB226=1,Adm!$AN$2,0)</f>
        <v>0</v>
      </c>
      <c r="BE226" s="341">
        <f t="shared" si="98"/>
        <v>0</v>
      </c>
      <c r="BF226" s="345">
        <f t="shared" ca="1" si="94"/>
        <v>0</v>
      </c>
    </row>
    <row r="227" spans="1:58">
      <c r="A227" s="151">
        <f t="shared" ca="1" si="80"/>
        <v>10</v>
      </c>
      <c r="C227" s="178">
        <f t="shared" si="81"/>
        <v>203</v>
      </c>
      <c r="D227" s="178">
        <f t="shared" si="86"/>
        <v>2489.6099016399617</v>
      </c>
      <c r="E227" s="178">
        <f t="shared" si="77"/>
        <v>7125.6961533379108</v>
      </c>
      <c r="F227" s="178">
        <f t="shared" si="95"/>
        <v>9615.3060549778729</v>
      </c>
      <c r="G227" s="178">
        <f>IF(L226&lt;0.01,0,IF(Adm!$S$3=Adm!$S$13,Cal!$E$94,IF(Adm!$R$3=Adm!$R$6,0,IF(Cal!$E$91=0,L226*Adm!$Y$3,L226*Adm!$X$3))))</f>
        <v>135.2251272890758</v>
      </c>
      <c r="H227" s="178">
        <f>IF(L226&lt;0.01,0,IF(Adm!$R$4=Adm!$R$6,0,IF(Adm!$B$3=Adm!$B$12,0,Cal!$E$89*Adm!$AA$3/1.16)))</f>
        <v>494.46758620689661</v>
      </c>
      <c r="I227" s="178">
        <f>IF(L226&lt;0.01,0,Adm!$O$3)</f>
        <v>250</v>
      </c>
      <c r="J227" s="178">
        <f t="shared" si="82"/>
        <v>10494.998768473844</v>
      </c>
      <c r="K227" s="178">
        <f>IF(Adm!$F$3="si",MIN(L226+D227+G227+H227+I227-J227,Y227),0)</f>
        <v>0</v>
      </c>
      <c r="L227" s="178">
        <f t="shared" si="87"/>
        <v>307351.34405381512</v>
      </c>
      <c r="M227" s="348"/>
      <c r="N227" s="348"/>
      <c r="O227" s="348">
        <f t="shared" si="88"/>
        <v>10494.998768473844</v>
      </c>
      <c r="U227" s="571">
        <f t="shared" si="89"/>
        <v>11</v>
      </c>
      <c r="V227" s="293">
        <f>IF(U227=1,Adm!$AN$2,0)</f>
        <v>0</v>
      </c>
      <c r="X227" s="341">
        <f t="shared" si="96"/>
        <v>0</v>
      </c>
      <c r="Y227" s="345">
        <f t="shared" ca="1" si="90"/>
        <v>0</v>
      </c>
      <c r="AG227" s="151">
        <f t="shared" ca="1" si="83"/>
        <v>10</v>
      </c>
      <c r="AI227" s="178">
        <f t="shared" si="84"/>
        <v>0</v>
      </c>
      <c r="AJ227" s="178">
        <f t="shared" si="91"/>
        <v>0</v>
      </c>
      <c r="AK227" s="178">
        <f t="shared" si="78"/>
        <v>0</v>
      </c>
      <c r="AL227" s="178">
        <f t="shared" si="79"/>
        <v>0</v>
      </c>
      <c r="AM227" s="351">
        <f>IF(AS226&lt;0.01,0,IF(Resol!$G$19&gt;0,Resol!$G$19,IF(Resol!$F$19=Resol!$U$5,0,IF($AS$10=0,AS226*Adm!$Y$3,AS226*Adm!$X$3))))</f>
        <v>0</v>
      </c>
      <c r="AN227" s="351">
        <f>IF(AS226&lt;0.01,0,IF(Resol!$F$20=Resol!$V$3,0,IF(OR(Resol!$F$10=Resol!$T$16,Resol!$F$10=Resol!$T$17),0,IF(Resol!$F$10=Resol!$T$13,0,$AL$5*Adm!$AA$4/1.16))))</f>
        <v>0</v>
      </c>
      <c r="AO227" s="178">
        <f t="shared" si="97"/>
        <v>0</v>
      </c>
      <c r="AP227" s="178"/>
      <c r="AQ227" s="178">
        <f t="shared" si="85"/>
        <v>0</v>
      </c>
      <c r="AR227" s="178">
        <f t="shared" si="92"/>
        <v>0</v>
      </c>
      <c r="AS227" s="178">
        <f t="shared" si="99"/>
        <v>0</v>
      </c>
      <c r="AT227" s="348"/>
      <c r="AU227" s="348"/>
      <c r="AV227" s="176">
        <f t="shared" si="100"/>
        <v>0</v>
      </c>
      <c r="BB227" s="571">
        <f t="shared" si="93"/>
        <v>11</v>
      </c>
      <c r="BC227" s="293">
        <f>IF(BB227=1,Adm!$AN$2,0)</f>
        <v>0</v>
      </c>
      <c r="BE227" s="341">
        <f t="shared" si="98"/>
        <v>0</v>
      </c>
      <c r="BF227" s="345">
        <f t="shared" ca="1" si="94"/>
        <v>0</v>
      </c>
    </row>
    <row r="228" spans="1:58">
      <c r="A228" s="151">
        <f t="shared" ca="1" si="80"/>
        <v>11</v>
      </c>
      <c r="C228" s="178">
        <f t="shared" si="81"/>
        <v>204</v>
      </c>
      <c r="D228" s="178">
        <f t="shared" si="86"/>
        <v>2433.1981404260364</v>
      </c>
      <c r="E228" s="178">
        <f t="shared" si="77"/>
        <v>7182.1079145518361</v>
      </c>
      <c r="F228" s="178">
        <f t="shared" si="95"/>
        <v>9615.3060549778729</v>
      </c>
      <c r="G228" s="178">
        <f>IF(L227&lt;0.01,0,IF(Adm!$S$3=Adm!$S$13,Cal!$E$94,IF(Adm!$R$3=Adm!$R$6,0,IF(Cal!$E$91=0,L227*Adm!$Y$3,L227*Adm!$X$3))))</f>
        <v>132.1610779431405</v>
      </c>
      <c r="H228" s="178">
        <f>IF(L227&lt;0.01,0,IF(Adm!$R$4=Adm!$R$6,0,IF(Adm!$B$3=Adm!$B$12,0,Cal!$E$89*Adm!$AA$3/1.16)))</f>
        <v>494.46758620689661</v>
      </c>
      <c r="I228" s="178">
        <f>IF(L227&lt;0.01,0,Adm!$O$3)</f>
        <v>250</v>
      </c>
      <c r="J228" s="178">
        <f t="shared" si="82"/>
        <v>10491.93471912791</v>
      </c>
      <c r="K228" s="178">
        <f>IF(Adm!$F$3="si",MIN(L227+D228+G228+H228+I228-J228,Y228),0)</f>
        <v>0</v>
      </c>
      <c r="L228" s="178">
        <f t="shared" si="87"/>
        <v>300169.23613926326</v>
      </c>
      <c r="M228" s="348"/>
      <c r="N228" s="348"/>
      <c r="O228" s="348">
        <f t="shared" si="88"/>
        <v>10491.93471912791</v>
      </c>
      <c r="U228" s="571">
        <f t="shared" si="89"/>
        <v>12</v>
      </c>
      <c r="V228" s="293">
        <f>IF(U228=1,Adm!$AN$2,0)</f>
        <v>0</v>
      </c>
      <c r="X228" s="341">
        <f t="shared" si="96"/>
        <v>0</v>
      </c>
      <c r="Y228" s="345">
        <f t="shared" ca="1" si="90"/>
        <v>0</v>
      </c>
      <c r="AG228" s="151">
        <f t="shared" ca="1" si="83"/>
        <v>11</v>
      </c>
      <c r="AI228" s="178">
        <f t="shared" si="84"/>
        <v>0</v>
      </c>
      <c r="AJ228" s="178">
        <f t="shared" si="91"/>
        <v>0</v>
      </c>
      <c r="AK228" s="178">
        <f t="shared" si="78"/>
        <v>0</v>
      </c>
      <c r="AL228" s="178">
        <f t="shared" si="79"/>
        <v>0</v>
      </c>
      <c r="AM228" s="351">
        <f>IF(AS227&lt;0.01,0,IF(Resol!$G$19&gt;0,Resol!$G$19,IF(Resol!$F$19=Resol!$U$5,0,IF($AS$10=0,AS227*Adm!$Y$3,AS227*Adm!$X$3))))</f>
        <v>0</v>
      </c>
      <c r="AN228" s="351">
        <f>IF(AS227&lt;0.01,0,IF(Resol!$F$20=Resol!$V$3,0,IF(OR(Resol!$F$10=Resol!$T$16,Resol!$F$10=Resol!$T$17),0,IF(Resol!$F$10=Resol!$T$13,0,$AL$5*Adm!$AA$4/1.16))))</f>
        <v>0</v>
      </c>
      <c r="AO228" s="178">
        <f t="shared" si="97"/>
        <v>0</v>
      </c>
      <c r="AP228" s="178"/>
      <c r="AQ228" s="178">
        <f t="shared" si="85"/>
        <v>0</v>
      </c>
      <c r="AR228" s="178">
        <f t="shared" si="92"/>
        <v>0</v>
      </c>
      <c r="AS228" s="178">
        <f t="shared" si="99"/>
        <v>0</v>
      </c>
      <c r="AT228" s="348"/>
      <c r="AU228" s="348"/>
      <c r="AV228" s="176">
        <f t="shared" si="100"/>
        <v>0</v>
      </c>
      <c r="BB228" s="571">
        <f t="shared" si="93"/>
        <v>12</v>
      </c>
      <c r="BC228" s="293">
        <f>IF(BB228=1,Adm!$AN$2,0)</f>
        <v>0</v>
      </c>
      <c r="BE228" s="341">
        <f t="shared" si="98"/>
        <v>0</v>
      </c>
      <c r="BF228" s="345">
        <f t="shared" ca="1" si="94"/>
        <v>0</v>
      </c>
    </row>
    <row r="229" spans="1:58">
      <c r="A229" s="151">
        <f t="shared" ca="1" si="80"/>
        <v>12</v>
      </c>
      <c r="C229" s="178">
        <f t="shared" si="81"/>
        <v>205</v>
      </c>
      <c r="D229" s="178">
        <f t="shared" si="86"/>
        <v>2376.339786102501</v>
      </c>
      <c r="E229" s="178">
        <f t="shared" si="77"/>
        <v>7238.9662688753724</v>
      </c>
      <c r="F229" s="178">
        <f t="shared" si="95"/>
        <v>9615.3060549778729</v>
      </c>
      <c r="G229" s="178">
        <f>IF(L228&lt;0.01,0,IF(Adm!$S$3=Adm!$S$13,Cal!$E$94,IF(Adm!$R$3=Adm!$R$6,0,IF(Cal!$E$91=0,L228*Adm!$Y$3,L228*Adm!$X$3))))</f>
        <v>129.07277153988321</v>
      </c>
      <c r="H229" s="178">
        <f>IF(L228&lt;0.01,0,IF(Adm!$R$4=Adm!$R$6,0,IF(Adm!$B$3=Adm!$B$12,0,Cal!$E$89*Adm!$AA$3/1.16)))</f>
        <v>494.46758620689661</v>
      </c>
      <c r="I229" s="178">
        <f>IF(L228&lt;0.01,0,Adm!$O$3)</f>
        <v>250</v>
      </c>
      <c r="J229" s="178">
        <f t="shared" si="82"/>
        <v>10488.846412724652</v>
      </c>
      <c r="K229" s="178">
        <f>IF(Adm!$F$3="si",MIN(L228+D229+G229+H229+I229-J229,Y229),0)</f>
        <v>0</v>
      </c>
      <c r="L229" s="178">
        <f t="shared" si="87"/>
        <v>292930.26987038791</v>
      </c>
      <c r="M229" s="348"/>
      <c r="N229" s="348"/>
      <c r="O229" s="348">
        <f t="shared" si="88"/>
        <v>10488.846412724652</v>
      </c>
      <c r="U229" s="571">
        <f t="shared" si="89"/>
        <v>1</v>
      </c>
      <c r="V229" s="293">
        <f>IF(U229=1,Adm!$AN$2,0)</f>
        <v>0</v>
      </c>
      <c r="X229" s="341">
        <f t="shared" si="96"/>
        <v>0</v>
      </c>
      <c r="Y229" s="345">
        <f t="shared" ca="1" si="90"/>
        <v>0</v>
      </c>
      <c r="AG229" s="151">
        <f t="shared" ca="1" si="83"/>
        <v>12</v>
      </c>
      <c r="AI229" s="178">
        <f t="shared" si="84"/>
        <v>0</v>
      </c>
      <c r="AJ229" s="178">
        <f t="shared" si="91"/>
        <v>0</v>
      </c>
      <c r="AK229" s="178">
        <f t="shared" si="78"/>
        <v>0</v>
      </c>
      <c r="AL229" s="178">
        <f t="shared" si="79"/>
        <v>0</v>
      </c>
      <c r="AM229" s="351">
        <f>IF(AS228&lt;0.01,0,IF(Resol!$G$19&gt;0,Resol!$G$19,IF(Resol!$F$19=Resol!$U$5,0,IF($AS$10=0,AS228*Adm!$Y$3,AS228*Adm!$X$3))))</f>
        <v>0</v>
      </c>
      <c r="AN229" s="351">
        <f>IF(AS228&lt;0.01,0,IF(Resol!$F$20=Resol!$V$3,0,IF(OR(Resol!$F$10=Resol!$T$16,Resol!$F$10=Resol!$T$17),0,IF(Resol!$F$10=Resol!$T$13,0,$AL$5*Adm!$AA$4/1.16))))</f>
        <v>0</v>
      </c>
      <c r="AO229" s="178">
        <f t="shared" si="97"/>
        <v>0</v>
      </c>
      <c r="AP229" s="178"/>
      <c r="AQ229" s="178">
        <f t="shared" si="85"/>
        <v>0</v>
      </c>
      <c r="AR229" s="178">
        <f t="shared" si="92"/>
        <v>0</v>
      </c>
      <c r="AS229" s="178">
        <f t="shared" si="99"/>
        <v>0</v>
      </c>
      <c r="AT229" s="348"/>
      <c r="AU229" s="348"/>
      <c r="AV229" s="176">
        <f t="shared" si="100"/>
        <v>0</v>
      </c>
      <c r="BB229" s="571">
        <f t="shared" si="93"/>
        <v>1</v>
      </c>
      <c r="BC229" s="293">
        <f>IF(BB229=1,Adm!$AN$2,0)</f>
        <v>0</v>
      </c>
      <c r="BE229" s="341">
        <f t="shared" si="98"/>
        <v>0</v>
      </c>
      <c r="BF229" s="345">
        <f t="shared" ca="1" si="94"/>
        <v>0</v>
      </c>
    </row>
    <row r="230" spans="1:58">
      <c r="A230" s="151">
        <f t="shared" ca="1" si="80"/>
        <v>1</v>
      </c>
      <c r="C230" s="178">
        <f t="shared" si="81"/>
        <v>206</v>
      </c>
      <c r="D230" s="178">
        <f t="shared" si="86"/>
        <v>2319.0313031405708</v>
      </c>
      <c r="E230" s="178">
        <f t="shared" ref="E230:E264" si="101">IF(L229&lt;0.01,0,F230-D230)</f>
        <v>7296.2747518373017</v>
      </c>
      <c r="F230" s="178">
        <f t="shared" si="95"/>
        <v>9615.3060549778729</v>
      </c>
      <c r="G230" s="178">
        <f>IF(L229&lt;0.01,0,IF(Adm!$S$3=Adm!$S$13,Cal!$E$94,IF(Adm!$R$3=Adm!$R$6,0,IF(Cal!$E$91=0,L229*Adm!$Y$3,L229*Adm!$X$3))))</f>
        <v>125.96001604426679</v>
      </c>
      <c r="H230" s="178">
        <f>IF(L229&lt;0.01,0,IF(Adm!$R$4=Adm!$R$6,0,IF(Adm!$B$3=Adm!$B$12,0,Cal!$E$89*Adm!$AA$3/1.16)))</f>
        <v>494.46758620689661</v>
      </c>
      <c r="I230" s="178">
        <f>IF(L229&lt;0.01,0,Adm!$O$3)</f>
        <v>250</v>
      </c>
      <c r="J230" s="178">
        <f t="shared" si="82"/>
        <v>10485.733657229035</v>
      </c>
      <c r="K230" s="178">
        <f>IF(Adm!$F$3="si",MIN(L229+D230+G230+H230+I230-J230,Y230),0)</f>
        <v>0</v>
      </c>
      <c r="L230" s="178">
        <f t="shared" si="87"/>
        <v>285633.99511855061</v>
      </c>
      <c r="M230" s="348"/>
      <c r="N230" s="348"/>
      <c r="O230" s="348">
        <f t="shared" si="88"/>
        <v>10485.733657229035</v>
      </c>
      <c r="U230" s="571">
        <f t="shared" si="89"/>
        <v>2</v>
      </c>
      <c r="V230" s="293">
        <f>IF(U230=1,Adm!$AN$2,0)</f>
        <v>0</v>
      </c>
      <c r="X230" s="341">
        <f t="shared" si="96"/>
        <v>0</v>
      </c>
      <c r="Y230" s="345">
        <f t="shared" ca="1" si="90"/>
        <v>0</v>
      </c>
      <c r="AG230" s="151">
        <f t="shared" ca="1" si="83"/>
        <v>1</v>
      </c>
      <c r="AI230" s="178">
        <f t="shared" si="84"/>
        <v>0</v>
      </c>
      <c r="AJ230" s="178">
        <f t="shared" si="91"/>
        <v>0</v>
      </c>
      <c r="AK230" s="178">
        <f t="shared" ref="AK230:AK264" si="102">IF(AS229&lt;0.01,0,AL230-AJ230)</f>
        <v>0</v>
      </c>
      <c r="AL230" s="178">
        <f t="shared" ref="AL230:AL264" si="103">IF(AS229&lt;0.1,0,MIN(AS229+AJ230,AL229*(1+BC230)))</f>
        <v>0</v>
      </c>
      <c r="AM230" s="351">
        <f>IF(AS229&lt;0.01,0,IF(Resol!$G$19&gt;0,Resol!$G$19,IF(Resol!$F$19=Resol!$U$5,0,IF($AS$10=0,AS229*Adm!$Y$3,AS229*Adm!$X$3))))</f>
        <v>0</v>
      </c>
      <c r="AN230" s="351">
        <f>IF(AS229&lt;0.01,0,IF(Resol!$F$20=Resol!$V$3,0,IF(OR(Resol!$F$10=Resol!$T$16,Resol!$F$10=Resol!$T$17),0,IF(Resol!$F$10=Resol!$T$13,0,$AL$5*Adm!$AA$4/1.16))))</f>
        <v>0</v>
      </c>
      <c r="AO230" s="178">
        <f t="shared" si="97"/>
        <v>0</v>
      </c>
      <c r="AP230" s="178"/>
      <c r="AQ230" s="178">
        <f t="shared" si="85"/>
        <v>0</v>
      </c>
      <c r="AR230" s="178">
        <f t="shared" si="92"/>
        <v>0</v>
      </c>
      <c r="AS230" s="178">
        <f t="shared" si="99"/>
        <v>0</v>
      </c>
      <c r="AT230" s="348"/>
      <c r="AU230" s="348"/>
      <c r="AV230" s="176">
        <f t="shared" si="100"/>
        <v>0</v>
      </c>
      <c r="BB230" s="571">
        <f t="shared" si="93"/>
        <v>2</v>
      </c>
      <c r="BC230" s="293">
        <f>IF(BB230=1,Adm!$AN$2,0)</f>
        <v>0</v>
      </c>
      <c r="BE230" s="341">
        <f t="shared" si="98"/>
        <v>0</v>
      </c>
      <c r="BF230" s="345">
        <f t="shared" ca="1" si="94"/>
        <v>0</v>
      </c>
    </row>
    <row r="231" spans="1:58">
      <c r="A231" s="151">
        <f t="shared" ca="1" si="80"/>
        <v>2</v>
      </c>
      <c r="C231" s="178">
        <f t="shared" si="81"/>
        <v>207</v>
      </c>
      <c r="D231" s="178">
        <f t="shared" si="86"/>
        <v>2261.2691280218592</v>
      </c>
      <c r="E231" s="178">
        <f t="shared" si="101"/>
        <v>7354.0369269560142</v>
      </c>
      <c r="F231" s="178">
        <f t="shared" si="95"/>
        <v>9615.3060549778729</v>
      </c>
      <c r="G231" s="178">
        <f>IF(L230&lt;0.01,0,IF(Adm!$S$3=Adm!$S$13,Cal!$E$94,IF(Adm!$R$3=Adm!$R$6,0,IF(Cal!$E$91=0,L230*Adm!$Y$3,L230*Adm!$X$3))))</f>
        <v>122.82261790097675</v>
      </c>
      <c r="H231" s="178">
        <f>IF(L230&lt;0.01,0,IF(Adm!$R$4=Adm!$R$6,0,IF(Adm!$B$3=Adm!$B$12,0,Cal!$E$89*Adm!$AA$3/1.16)))</f>
        <v>494.46758620689661</v>
      </c>
      <c r="I231" s="178">
        <f>IF(L230&lt;0.01,0,Adm!$O$3)</f>
        <v>250</v>
      </c>
      <c r="J231" s="178">
        <f t="shared" si="82"/>
        <v>10482.596259085745</v>
      </c>
      <c r="K231" s="178">
        <f>IF(Adm!$F$3="si",MIN(L230+D231+G231+H231+I231-J231,Y231),0)</f>
        <v>0</v>
      </c>
      <c r="L231" s="178">
        <f t="shared" si="87"/>
        <v>278279.95819159457</v>
      </c>
      <c r="M231" s="348"/>
      <c r="N231" s="348"/>
      <c r="O231" s="348">
        <f t="shared" si="88"/>
        <v>10482.596259085745</v>
      </c>
      <c r="U231" s="571">
        <f t="shared" si="89"/>
        <v>3</v>
      </c>
      <c r="V231" s="293">
        <f>IF(U231=1,Adm!$AN$2,0)</f>
        <v>0</v>
      </c>
      <c r="X231" s="341">
        <f t="shared" si="96"/>
        <v>0</v>
      </c>
      <c r="Y231" s="345">
        <f t="shared" ca="1" si="90"/>
        <v>0</v>
      </c>
      <c r="AG231" s="151">
        <f t="shared" ca="1" si="83"/>
        <v>2</v>
      </c>
      <c r="AI231" s="178">
        <f t="shared" si="84"/>
        <v>0</v>
      </c>
      <c r="AJ231" s="178">
        <f t="shared" si="91"/>
        <v>0</v>
      </c>
      <c r="AK231" s="178">
        <f t="shared" si="102"/>
        <v>0</v>
      </c>
      <c r="AL231" s="178">
        <f t="shared" si="103"/>
        <v>0</v>
      </c>
      <c r="AM231" s="351">
        <f>IF(AS230&lt;0.01,0,IF(Resol!$G$19&gt;0,Resol!$G$19,IF(Resol!$F$19=Resol!$U$5,0,IF($AS$10=0,AS230*Adm!$Y$3,AS230*Adm!$X$3))))</f>
        <v>0</v>
      </c>
      <c r="AN231" s="351">
        <f>IF(AS230&lt;0.01,0,IF(Resol!$F$20=Resol!$V$3,0,IF(OR(Resol!$F$10=Resol!$T$16,Resol!$F$10=Resol!$T$17),0,IF(Resol!$F$10=Resol!$T$13,0,$AL$5*Adm!$AA$4/1.16))))</f>
        <v>0</v>
      </c>
      <c r="AO231" s="178">
        <f t="shared" si="97"/>
        <v>0</v>
      </c>
      <c r="AP231" s="178"/>
      <c r="AQ231" s="178">
        <f t="shared" si="85"/>
        <v>0</v>
      </c>
      <c r="AR231" s="178">
        <f t="shared" si="92"/>
        <v>0</v>
      </c>
      <c r="AS231" s="178">
        <f t="shared" si="99"/>
        <v>0</v>
      </c>
      <c r="AT231" s="348"/>
      <c r="AU231" s="348"/>
      <c r="AV231" s="176">
        <f t="shared" si="100"/>
        <v>0</v>
      </c>
      <c r="BB231" s="571">
        <f t="shared" si="93"/>
        <v>3</v>
      </c>
      <c r="BC231" s="293">
        <f>IF(BB231=1,Adm!$AN$2,0)</f>
        <v>0</v>
      </c>
      <c r="BE231" s="341">
        <f t="shared" si="98"/>
        <v>0</v>
      </c>
      <c r="BF231" s="345">
        <f t="shared" ca="1" si="94"/>
        <v>0</v>
      </c>
    </row>
    <row r="232" spans="1:58">
      <c r="A232" s="151">
        <f t="shared" ca="1" si="80"/>
        <v>3</v>
      </c>
      <c r="C232" s="178">
        <f t="shared" si="81"/>
        <v>208</v>
      </c>
      <c r="D232" s="178">
        <f t="shared" si="86"/>
        <v>2203.0496690167906</v>
      </c>
      <c r="E232" s="178">
        <f t="shared" si="101"/>
        <v>7412.2563859610818</v>
      </c>
      <c r="F232" s="178">
        <f t="shared" si="95"/>
        <v>9615.3060549778729</v>
      </c>
      <c r="G232" s="178">
        <f>IF(L231&lt;0.01,0,IF(Adm!$S$3=Adm!$S$13,Cal!$E$94,IF(Adm!$R$3=Adm!$R$6,0,IF(Cal!$E$91=0,L231*Adm!$Y$3,L231*Adm!$X$3))))</f>
        <v>119.66038202238566</v>
      </c>
      <c r="H232" s="178">
        <f>IF(L231&lt;0.01,0,IF(Adm!$R$4=Adm!$R$6,0,IF(Adm!$B$3=Adm!$B$12,0,Cal!$E$89*Adm!$AA$3/1.16)))</f>
        <v>494.46758620689661</v>
      </c>
      <c r="I232" s="178">
        <f>IF(L231&lt;0.01,0,Adm!$O$3)</f>
        <v>250</v>
      </c>
      <c r="J232" s="178">
        <f t="shared" si="82"/>
        <v>10479.434023207155</v>
      </c>
      <c r="K232" s="178">
        <f>IF(Adm!$F$3="si",MIN(L231+D232+G232+H232+I232-J232,Y232),0)</f>
        <v>0</v>
      </c>
      <c r="L232" s="178">
        <f t="shared" si="87"/>
        <v>270867.70180563349</v>
      </c>
      <c r="M232" s="348"/>
      <c r="N232" s="348"/>
      <c r="O232" s="348">
        <f t="shared" si="88"/>
        <v>10479.434023207155</v>
      </c>
      <c r="U232" s="571">
        <f t="shared" si="89"/>
        <v>4</v>
      </c>
      <c r="V232" s="293">
        <f>IF(U232=1,Adm!$AN$2,0)</f>
        <v>0</v>
      </c>
      <c r="X232" s="341">
        <f t="shared" si="96"/>
        <v>0</v>
      </c>
      <c r="Y232" s="345">
        <f t="shared" ca="1" si="90"/>
        <v>0</v>
      </c>
      <c r="AG232" s="151">
        <f t="shared" ca="1" si="83"/>
        <v>3</v>
      </c>
      <c r="AI232" s="178">
        <f t="shared" si="84"/>
        <v>0</v>
      </c>
      <c r="AJ232" s="178">
        <f t="shared" si="91"/>
        <v>0</v>
      </c>
      <c r="AK232" s="178">
        <f t="shared" si="102"/>
        <v>0</v>
      </c>
      <c r="AL232" s="178">
        <f t="shared" si="103"/>
        <v>0</v>
      </c>
      <c r="AM232" s="351">
        <f>IF(AS231&lt;0.01,0,IF(Resol!$G$19&gt;0,Resol!$G$19,IF(Resol!$F$19=Resol!$U$5,0,IF($AS$10=0,AS231*Adm!$Y$3,AS231*Adm!$X$3))))</f>
        <v>0</v>
      </c>
      <c r="AN232" s="351">
        <f>IF(AS231&lt;0.01,0,IF(Resol!$F$20=Resol!$V$3,0,IF(OR(Resol!$F$10=Resol!$T$16,Resol!$F$10=Resol!$T$17),0,IF(Resol!$F$10=Resol!$T$13,0,$AL$5*Adm!$AA$4/1.16))))</f>
        <v>0</v>
      </c>
      <c r="AO232" s="178">
        <f t="shared" si="97"/>
        <v>0</v>
      </c>
      <c r="AP232" s="178"/>
      <c r="AQ232" s="178">
        <f t="shared" si="85"/>
        <v>0</v>
      </c>
      <c r="AR232" s="178">
        <f t="shared" si="92"/>
        <v>0</v>
      </c>
      <c r="AS232" s="178">
        <f t="shared" si="99"/>
        <v>0</v>
      </c>
      <c r="AT232" s="348"/>
      <c r="AU232" s="348"/>
      <c r="AV232" s="176">
        <f t="shared" si="100"/>
        <v>0</v>
      </c>
      <c r="BB232" s="571">
        <f t="shared" si="93"/>
        <v>4</v>
      </c>
      <c r="BC232" s="293">
        <f>IF(BB232=1,Adm!$AN$2,0)</f>
        <v>0</v>
      </c>
      <c r="BE232" s="341">
        <f t="shared" si="98"/>
        <v>0</v>
      </c>
      <c r="BF232" s="345">
        <f t="shared" ca="1" si="94"/>
        <v>0</v>
      </c>
    </row>
    <row r="233" spans="1:58">
      <c r="A233" s="151">
        <f t="shared" ca="1" si="80"/>
        <v>4</v>
      </c>
      <c r="C233" s="178">
        <f t="shared" si="81"/>
        <v>209</v>
      </c>
      <c r="D233" s="178">
        <f t="shared" si="86"/>
        <v>2144.3693059612651</v>
      </c>
      <c r="E233" s="178">
        <f t="shared" si="101"/>
        <v>7470.9367490166078</v>
      </c>
      <c r="F233" s="178">
        <f t="shared" si="95"/>
        <v>9615.3060549778729</v>
      </c>
      <c r="G233" s="178">
        <f>IF(L232&lt;0.01,0,IF(Adm!$S$3=Adm!$S$13,Cal!$E$94,IF(Adm!$R$3=Adm!$R$6,0,IF(Cal!$E$91=0,L232*Adm!$Y$3,L232*Adm!$X$3))))</f>
        <v>116.4731117764224</v>
      </c>
      <c r="H233" s="178">
        <f>IF(L232&lt;0.01,0,IF(Adm!$R$4=Adm!$R$6,0,IF(Adm!$B$3=Adm!$B$12,0,Cal!$E$89*Adm!$AA$3/1.16)))</f>
        <v>494.46758620689661</v>
      </c>
      <c r="I233" s="178">
        <f>IF(L232&lt;0.01,0,Adm!$O$3)</f>
        <v>250</v>
      </c>
      <c r="J233" s="178">
        <f t="shared" si="82"/>
        <v>10476.246752961191</v>
      </c>
      <c r="K233" s="178">
        <f>IF(Adm!$F$3="si",MIN(L232+D233+G233+H233+I233-J233,Y233),0)</f>
        <v>0</v>
      </c>
      <c r="L233" s="178">
        <f t="shared" si="87"/>
        <v>263396.76505661686</v>
      </c>
      <c r="M233" s="348"/>
      <c r="N233" s="348"/>
      <c r="O233" s="348">
        <f t="shared" si="88"/>
        <v>10476.246752961191</v>
      </c>
      <c r="U233" s="571">
        <f t="shared" si="89"/>
        <v>5</v>
      </c>
      <c r="V233" s="293">
        <f>IF(U233=1,Adm!$AN$2,0)</f>
        <v>0</v>
      </c>
      <c r="X233" s="341">
        <f t="shared" si="96"/>
        <v>0</v>
      </c>
      <c r="Y233" s="345">
        <f t="shared" ca="1" si="90"/>
        <v>0</v>
      </c>
      <c r="AG233" s="151">
        <f t="shared" ca="1" si="83"/>
        <v>4</v>
      </c>
      <c r="AI233" s="178">
        <f t="shared" si="84"/>
        <v>0</v>
      </c>
      <c r="AJ233" s="178">
        <f t="shared" si="91"/>
        <v>0</v>
      </c>
      <c r="AK233" s="178">
        <f t="shared" si="102"/>
        <v>0</v>
      </c>
      <c r="AL233" s="178">
        <f t="shared" si="103"/>
        <v>0</v>
      </c>
      <c r="AM233" s="351">
        <f>IF(AS232&lt;0.01,0,IF(Resol!$G$19&gt;0,Resol!$G$19,IF(Resol!$F$19=Resol!$U$5,0,IF($AS$10=0,AS232*Adm!$Y$3,AS232*Adm!$X$3))))</f>
        <v>0</v>
      </c>
      <c r="AN233" s="351">
        <f>IF(AS232&lt;0.01,0,IF(Resol!$F$20=Resol!$V$3,0,IF(OR(Resol!$F$10=Resol!$T$16,Resol!$F$10=Resol!$T$17),0,IF(Resol!$F$10=Resol!$T$13,0,$AL$5*Adm!$AA$4/1.16))))</f>
        <v>0</v>
      </c>
      <c r="AO233" s="178">
        <f t="shared" si="97"/>
        <v>0</v>
      </c>
      <c r="AP233" s="178"/>
      <c r="AQ233" s="178">
        <f t="shared" si="85"/>
        <v>0</v>
      </c>
      <c r="AR233" s="178">
        <f t="shared" si="92"/>
        <v>0</v>
      </c>
      <c r="AS233" s="178">
        <f t="shared" si="99"/>
        <v>0</v>
      </c>
      <c r="AT233" s="348"/>
      <c r="AU233" s="348"/>
      <c r="AV233" s="176">
        <f t="shared" si="100"/>
        <v>0</v>
      </c>
      <c r="BB233" s="571">
        <f t="shared" si="93"/>
        <v>5</v>
      </c>
      <c r="BC233" s="293">
        <f>IF(BB233=1,Adm!$AN$2,0)</f>
        <v>0</v>
      </c>
      <c r="BE233" s="341">
        <f t="shared" si="98"/>
        <v>0</v>
      </c>
      <c r="BF233" s="345">
        <f t="shared" ca="1" si="94"/>
        <v>0</v>
      </c>
    </row>
    <row r="234" spans="1:58">
      <c r="A234" s="151">
        <f t="shared" ca="1" si="80"/>
        <v>5</v>
      </c>
      <c r="C234" s="178">
        <f t="shared" si="81"/>
        <v>210</v>
      </c>
      <c r="D234" s="178">
        <f t="shared" si="86"/>
        <v>2085.2243900315502</v>
      </c>
      <c r="E234" s="178">
        <f t="shared" si="101"/>
        <v>7530.0816649463231</v>
      </c>
      <c r="F234" s="178">
        <f t="shared" si="95"/>
        <v>9615.3060549778729</v>
      </c>
      <c r="G234" s="178">
        <f>IF(L233&lt;0.01,0,IF(Adm!$S$3=Adm!$S$13,Cal!$E$94,IF(Adm!$R$3=Adm!$R$6,0,IF(Cal!$E$91=0,L233*Adm!$Y$3,L233*Adm!$X$3))))</f>
        <v>113.26060897434525</v>
      </c>
      <c r="H234" s="178">
        <f>IF(L233&lt;0.01,0,IF(Adm!$R$4=Adm!$R$6,0,IF(Adm!$B$3=Adm!$B$12,0,Cal!$E$89*Adm!$AA$3/1.16)))</f>
        <v>494.46758620689661</v>
      </c>
      <c r="I234" s="178">
        <f>IF(L233&lt;0.01,0,Adm!$O$3)</f>
        <v>250</v>
      </c>
      <c r="J234" s="178">
        <f t="shared" si="82"/>
        <v>10473.034250159115</v>
      </c>
      <c r="K234" s="178">
        <f>IF(Adm!$F$3="si",MIN(L233+D234+G234+H234+I234-J234,Y234),0)</f>
        <v>0</v>
      </c>
      <c r="L234" s="178">
        <f t="shared" si="87"/>
        <v>255866.68339167052</v>
      </c>
      <c r="M234" s="348"/>
      <c r="N234" s="348"/>
      <c r="O234" s="348">
        <f t="shared" si="88"/>
        <v>10473.034250159115</v>
      </c>
      <c r="U234" s="571">
        <f t="shared" si="89"/>
        <v>6</v>
      </c>
      <c r="V234" s="293">
        <f>IF(U234=1,Adm!$AN$2,0)</f>
        <v>0</v>
      </c>
      <c r="X234" s="341">
        <f t="shared" si="96"/>
        <v>0</v>
      </c>
      <c r="Y234" s="345">
        <f t="shared" ca="1" si="90"/>
        <v>0</v>
      </c>
      <c r="AG234" s="151">
        <f t="shared" ca="1" si="83"/>
        <v>5</v>
      </c>
      <c r="AI234" s="178">
        <f t="shared" si="84"/>
        <v>0</v>
      </c>
      <c r="AJ234" s="178">
        <f t="shared" si="91"/>
        <v>0</v>
      </c>
      <c r="AK234" s="178">
        <f t="shared" si="102"/>
        <v>0</v>
      </c>
      <c r="AL234" s="178">
        <f t="shared" si="103"/>
        <v>0</v>
      </c>
      <c r="AM234" s="351">
        <f>IF(AS233&lt;0.01,0,IF(Resol!$G$19&gt;0,Resol!$G$19,IF(Resol!$F$19=Resol!$U$5,0,IF($AS$10=0,AS233*Adm!$Y$3,AS233*Adm!$X$3))))</f>
        <v>0</v>
      </c>
      <c r="AN234" s="351">
        <f>IF(AS233&lt;0.01,0,IF(Resol!$F$20=Resol!$V$3,0,IF(OR(Resol!$F$10=Resol!$T$16,Resol!$F$10=Resol!$T$17),0,IF(Resol!$F$10=Resol!$T$13,0,$AL$5*Adm!$AA$4/1.16))))</f>
        <v>0</v>
      </c>
      <c r="AO234" s="178">
        <f t="shared" si="97"/>
        <v>0</v>
      </c>
      <c r="AP234" s="178"/>
      <c r="AQ234" s="178">
        <f t="shared" si="85"/>
        <v>0</v>
      </c>
      <c r="AR234" s="178">
        <f t="shared" si="92"/>
        <v>0</v>
      </c>
      <c r="AS234" s="178">
        <f t="shared" si="99"/>
        <v>0</v>
      </c>
      <c r="AT234" s="348"/>
      <c r="AU234" s="348"/>
      <c r="AV234" s="176">
        <f t="shared" si="100"/>
        <v>0</v>
      </c>
      <c r="BB234" s="571">
        <f t="shared" si="93"/>
        <v>6</v>
      </c>
      <c r="BC234" s="293">
        <f>IF(BB234=1,Adm!$AN$2,0)</f>
        <v>0</v>
      </c>
      <c r="BE234" s="341">
        <f t="shared" si="98"/>
        <v>0</v>
      </c>
      <c r="BF234" s="345">
        <f t="shared" ca="1" si="94"/>
        <v>0</v>
      </c>
    </row>
    <row r="235" spans="1:58">
      <c r="A235" s="151">
        <f t="shared" ca="1" si="80"/>
        <v>6</v>
      </c>
      <c r="C235" s="178">
        <f t="shared" si="81"/>
        <v>211</v>
      </c>
      <c r="D235" s="178">
        <f t="shared" si="86"/>
        <v>2025.6112435173916</v>
      </c>
      <c r="E235" s="178">
        <f t="shared" si="101"/>
        <v>7589.6948114604811</v>
      </c>
      <c r="F235" s="178">
        <f t="shared" si="95"/>
        <v>9615.3060549778729</v>
      </c>
      <c r="G235" s="178">
        <f>IF(L234&lt;0.01,0,IF(Adm!$S$3=Adm!$S$13,Cal!$E$94,IF(Adm!$R$3=Adm!$R$6,0,IF(Cal!$E$91=0,L234*Adm!$Y$3,L234*Adm!$X$3))))</f>
        <v>110.02267385841832</v>
      </c>
      <c r="H235" s="178">
        <f>IF(L234&lt;0.01,0,IF(Adm!$R$4=Adm!$R$6,0,IF(Adm!$B$3=Adm!$B$12,0,Cal!$E$89*Adm!$AA$3/1.16)))</f>
        <v>494.46758620689661</v>
      </c>
      <c r="I235" s="178">
        <f>IF(L234&lt;0.01,0,Adm!$O$3)</f>
        <v>250</v>
      </c>
      <c r="J235" s="178">
        <f t="shared" si="82"/>
        <v>10469.796315043188</v>
      </c>
      <c r="K235" s="178">
        <f>IF(Adm!$F$3="si",MIN(L234+D235+G235+H235+I235-J235,Y235),0)</f>
        <v>0</v>
      </c>
      <c r="L235" s="178">
        <f t="shared" si="87"/>
        <v>248276.98858021005</v>
      </c>
      <c r="M235" s="348"/>
      <c r="N235" s="348"/>
      <c r="O235" s="348">
        <f t="shared" si="88"/>
        <v>10469.796315043188</v>
      </c>
      <c r="U235" s="571">
        <f t="shared" si="89"/>
        <v>7</v>
      </c>
      <c r="V235" s="293">
        <f>IF(U235=1,Adm!$AN$2,0)</f>
        <v>0</v>
      </c>
      <c r="X235" s="341">
        <f t="shared" si="96"/>
        <v>0</v>
      </c>
      <c r="Y235" s="345">
        <f t="shared" ca="1" si="90"/>
        <v>0</v>
      </c>
      <c r="AG235" s="151">
        <f t="shared" ca="1" si="83"/>
        <v>6</v>
      </c>
      <c r="AI235" s="178">
        <f t="shared" si="84"/>
        <v>0</v>
      </c>
      <c r="AJ235" s="178">
        <f t="shared" si="91"/>
        <v>0</v>
      </c>
      <c r="AK235" s="178">
        <f t="shared" si="102"/>
        <v>0</v>
      </c>
      <c r="AL235" s="178">
        <f t="shared" si="103"/>
        <v>0</v>
      </c>
      <c r="AM235" s="351">
        <f>IF(AS234&lt;0.01,0,IF(Resol!$G$19&gt;0,Resol!$G$19,IF(Resol!$F$19=Resol!$U$5,0,IF($AS$10=0,AS234*Adm!$Y$3,AS234*Adm!$X$3))))</f>
        <v>0</v>
      </c>
      <c r="AN235" s="351">
        <f>IF(AS234&lt;0.01,0,IF(Resol!$F$20=Resol!$V$3,0,IF(OR(Resol!$F$10=Resol!$T$16,Resol!$F$10=Resol!$T$17),0,IF(Resol!$F$10=Resol!$T$13,0,$AL$5*Adm!$AA$4/1.16))))</f>
        <v>0</v>
      </c>
      <c r="AO235" s="178">
        <f t="shared" si="97"/>
        <v>0</v>
      </c>
      <c r="AP235" s="178"/>
      <c r="AQ235" s="178">
        <f t="shared" si="85"/>
        <v>0</v>
      </c>
      <c r="AR235" s="178">
        <f t="shared" si="92"/>
        <v>0</v>
      </c>
      <c r="AS235" s="178">
        <f t="shared" si="99"/>
        <v>0</v>
      </c>
      <c r="AT235" s="348"/>
      <c r="AU235" s="348"/>
      <c r="AV235" s="176">
        <f t="shared" si="100"/>
        <v>0</v>
      </c>
      <c r="BB235" s="571">
        <f t="shared" si="93"/>
        <v>7</v>
      </c>
      <c r="BC235" s="293">
        <f>IF(BB235=1,Adm!$AN$2,0)</f>
        <v>0</v>
      </c>
      <c r="BE235" s="341">
        <f t="shared" si="98"/>
        <v>0</v>
      </c>
      <c r="BF235" s="345">
        <f t="shared" ca="1" si="94"/>
        <v>0</v>
      </c>
    </row>
    <row r="236" spans="1:58">
      <c r="A236" s="151">
        <f t="shared" ca="1" si="80"/>
        <v>7</v>
      </c>
      <c r="C236" s="178">
        <f t="shared" si="81"/>
        <v>212</v>
      </c>
      <c r="D236" s="178">
        <f t="shared" si="86"/>
        <v>1965.5261595933296</v>
      </c>
      <c r="E236" s="178">
        <f t="shared" si="101"/>
        <v>7649.7798953845431</v>
      </c>
      <c r="F236" s="178">
        <f t="shared" si="95"/>
        <v>9615.3060549778729</v>
      </c>
      <c r="G236" s="178">
        <f>IF(L235&lt;0.01,0,IF(Adm!$S$3=Adm!$S$13,Cal!$E$94,IF(Adm!$R$3=Adm!$R$6,0,IF(Cal!$E$91=0,L235*Adm!$Y$3,L235*Adm!$X$3))))</f>
        <v>106.75910508949032</v>
      </c>
      <c r="H236" s="178">
        <f>IF(L235&lt;0.01,0,IF(Adm!$R$4=Adm!$R$6,0,IF(Adm!$B$3=Adm!$B$12,0,Cal!$E$89*Adm!$AA$3/1.16)))</f>
        <v>494.46758620689661</v>
      </c>
      <c r="I236" s="178">
        <f>IF(L235&lt;0.01,0,Adm!$O$3)</f>
        <v>250</v>
      </c>
      <c r="J236" s="178">
        <f t="shared" si="82"/>
        <v>10466.532746274259</v>
      </c>
      <c r="K236" s="178">
        <f>IF(Adm!$F$3="si",MIN(L235+D236+G236+H236+I236-J236,Y236),0)</f>
        <v>0</v>
      </c>
      <c r="L236" s="178">
        <f t="shared" si="87"/>
        <v>240627.20868482551</v>
      </c>
      <c r="M236" s="348"/>
      <c r="N236" s="348"/>
      <c r="O236" s="348">
        <f t="shared" si="88"/>
        <v>10466.532746274259</v>
      </c>
      <c r="U236" s="571">
        <f t="shared" si="89"/>
        <v>8</v>
      </c>
      <c r="V236" s="293">
        <f>IF(U236=1,Adm!$AN$2,0)</f>
        <v>0</v>
      </c>
      <c r="X236" s="341">
        <f t="shared" si="96"/>
        <v>0</v>
      </c>
      <c r="Y236" s="345">
        <f t="shared" ca="1" si="90"/>
        <v>0</v>
      </c>
      <c r="AG236" s="151">
        <f t="shared" ca="1" si="83"/>
        <v>7</v>
      </c>
      <c r="AI236" s="178">
        <f t="shared" si="84"/>
        <v>0</v>
      </c>
      <c r="AJ236" s="178">
        <f t="shared" si="91"/>
        <v>0</v>
      </c>
      <c r="AK236" s="178">
        <f t="shared" si="102"/>
        <v>0</v>
      </c>
      <c r="AL236" s="178">
        <f t="shared" si="103"/>
        <v>0</v>
      </c>
      <c r="AM236" s="351">
        <f>IF(AS235&lt;0.01,0,IF(Resol!$G$19&gt;0,Resol!$G$19,IF(Resol!$F$19=Resol!$U$5,0,IF($AS$10=0,AS235*Adm!$Y$3,AS235*Adm!$X$3))))</f>
        <v>0</v>
      </c>
      <c r="AN236" s="351">
        <f>IF(AS235&lt;0.01,0,IF(Resol!$F$20=Resol!$V$3,0,IF(OR(Resol!$F$10=Resol!$T$16,Resol!$F$10=Resol!$T$17),0,IF(Resol!$F$10=Resol!$T$13,0,$AL$5*Adm!$AA$4/1.16))))</f>
        <v>0</v>
      </c>
      <c r="AO236" s="178">
        <f t="shared" si="97"/>
        <v>0</v>
      </c>
      <c r="AP236" s="178"/>
      <c r="AQ236" s="178">
        <f t="shared" si="85"/>
        <v>0</v>
      </c>
      <c r="AR236" s="178">
        <f t="shared" si="92"/>
        <v>0</v>
      </c>
      <c r="AS236" s="178">
        <f t="shared" si="99"/>
        <v>0</v>
      </c>
      <c r="AT236" s="348"/>
      <c r="AU236" s="348"/>
      <c r="AV236" s="176">
        <f t="shared" si="100"/>
        <v>0</v>
      </c>
      <c r="BB236" s="571">
        <f t="shared" si="93"/>
        <v>8</v>
      </c>
      <c r="BC236" s="293">
        <f>IF(BB236=1,Adm!$AN$2,0)</f>
        <v>0</v>
      </c>
      <c r="BE236" s="341">
        <f t="shared" si="98"/>
        <v>0</v>
      </c>
      <c r="BF236" s="345">
        <f t="shared" ca="1" si="94"/>
        <v>0</v>
      </c>
    </row>
    <row r="237" spans="1:58">
      <c r="A237" s="151">
        <f t="shared" ca="1" si="80"/>
        <v>8</v>
      </c>
      <c r="C237" s="178">
        <f t="shared" si="81"/>
        <v>213</v>
      </c>
      <c r="D237" s="178">
        <f t="shared" si="86"/>
        <v>1904.9654020882019</v>
      </c>
      <c r="E237" s="178">
        <f t="shared" si="101"/>
        <v>7710.3406528896712</v>
      </c>
      <c r="F237" s="178">
        <f t="shared" si="95"/>
        <v>9615.3060549778729</v>
      </c>
      <c r="G237" s="178">
        <f>IF(L236&lt;0.01,0,IF(Adm!$S$3=Adm!$S$13,Cal!$E$94,IF(Adm!$R$3=Adm!$R$6,0,IF(Cal!$E$91=0,L236*Adm!$Y$3,L236*Adm!$X$3))))</f>
        <v>103.46969973447497</v>
      </c>
      <c r="H237" s="178">
        <f>IF(L236&lt;0.01,0,IF(Adm!$R$4=Adm!$R$6,0,IF(Adm!$B$3=Adm!$B$12,0,Cal!$E$89*Adm!$AA$3/1.16)))</f>
        <v>494.46758620689661</v>
      </c>
      <c r="I237" s="178">
        <f>IF(L236&lt;0.01,0,Adm!$O$3)</f>
        <v>250</v>
      </c>
      <c r="J237" s="178">
        <f t="shared" si="82"/>
        <v>10463.243340919244</v>
      </c>
      <c r="K237" s="178">
        <f>IF(Adm!$F$3="si",MIN(L236+D237+G237+H237+I237-J237,Y237),0)</f>
        <v>0</v>
      </c>
      <c r="L237" s="178">
        <f t="shared" si="87"/>
        <v>232916.86803193585</v>
      </c>
      <c r="M237" s="348"/>
      <c r="N237" s="348"/>
      <c r="O237" s="348">
        <f t="shared" si="88"/>
        <v>10463.243340919244</v>
      </c>
      <c r="U237" s="571">
        <f t="shared" si="89"/>
        <v>9</v>
      </c>
      <c r="V237" s="293">
        <f>IF(U237=1,Adm!$AN$2,0)</f>
        <v>0</v>
      </c>
      <c r="X237" s="341">
        <f t="shared" si="96"/>
        <v>0</v>
      </c>
      <c r="Y237" s="345">
        <f t="shared" ca="1" si="90"/>
        <v>0</v>
      </c>
      <c r="AG237" s="151">
        <f t="shared" ca="1" si="83"/>
        <v>8</v>
      </c>
      <c r="AI237" s="178">
        <f t="shared" si="84"/>
        <v>0</v>
      </c>
      <c r="AJ237" s="178">
        <f t="shared" si="91"/>
        <v>0</v>
      </c>
      <c r="AK237" s="178">
        <f t="shared" si="102"/>
        <v>0</v>
      </c>
      <c r="AL237" s="178">
        <f t="shared" si="103"/>
        <v>0</v>
      </c>
      <c r="AM237" s="351">
        <f>IF(AS236&lt;0.01,0,IF(Resol!$G$19&gt;0,Resol!$G$19,IF(Resol!$F$19=Resol!$U$5,0,IF($AS$10=0,AS236*Adm!$Y$3,AS236*Adm!$X$3))))</f>
        <v>0</v>
      </c>
      <c r="AN237" s="351">
        <f>IF(AS236&lt;0.01,0,IF(Resol!$F$20=Resol!$V$3,0,IF(OR(Resol!$F$10=Resol!$T$16,Resol!$F$10=Resol!$T$17),0,IF(Resol!$F$10=Resol!$T$13,0,$AL$5*Adm!$AA$4/1.16))))</f>
        <v>0</v>
      </c>
      <c r="AO237" s="178">
        <f t="shared" si="97"/>
        <v>0</v>
      </c>
      <c r="AP237" s="178"/>
      <c r="AQ237" s="178">
        <f t="shared" si="85"/>
        <v>0</v>
      </c>
      <c r="AR237" s="178">
        <f t="shared" si="92"/>
        <v>0</v>
      </c>
      <c r="AS237" s="178">
        <f t="shared" si="99"/>
        <v>0</v>
      </c>
      <c r="AT237" s="348"/>
      <c r="AU237" s="348"/>
      <c r="AV237" s="176">
        <f t="shared" si="100"/>
        <v>0</v>
      </c>
      <c r="BB237" s="571">
        <f t="shared" si="93"/>
        <v>9</v>
      </c>
      <c r="BC237" s="293">
        <f>IF(BB237=1,Adm!$AN$2,0)</f>
        <v>0</v>
      </c>
      <c r="BE237" s="341">
        <f t="shared" si="98"/>
        <v>0</v>
      </c>
      <c r="BF237" s="345">
        <f t="shared" ca="1" si="94"/>
        <v>0</v>
      </c>
    </row>
    <row r="238" spans="1:58">
      <c r="A238" s="151">
        <f t="shared" ca="1" si="80"/>
        <v>9</v>
      </c>
      <c r="C238" s="178">
        <f t="shared" si="81"/>
        <v>214</v>
      </c>
      <c r="D238" s="178">
        <f t="shared" si="86"/>
        <v>1843.9252052528254</v>
      </c>
      <c r="E238" s="178">
        <f t="shared" si="101"/>
        <v>7771.3808497250475</v>
      </c>
      <c r="F238" s="178">
        <f t="shared" si="95"/>
        <v>9615.3060549778729</v>
      </c>
      <c r="G238" s="178">
        <f>IF(L237&lt;0.01,0,IF(Adm!$S$3=Adm!$S$13,Cal!$E$94,IF(Adm!$R$3=Adm!$R$6,0,IF(Cal!$E$91=0,L237*Adm!$Y$3,L237*Adm!$X$3))))</f>
        <v>100.15425325373242</v>
      </c>
      <c r="H238" s="178">
        <f>IF(L237&lt;0.01,0,IF(Adm!$R$4=Adm!$R$6,0,IF(Adm!$B$3=Adm!$B$12,0,Cal!$E$89*Adm!$AA$3/1.16)))</f>
        <v>494.46758620689661</v>
      </c>
      <c r="I238" s="178">
        <f>IF(L237&lt;0.01,0,Adm!$O$3)</f>
        <v>250</v>
      </c>
      <c r="J238" s="178">
        <f t="shared" si="82"/>
        <v>10459.927894438502</v>
      </c>
      <c r="K238" s="178">
        <f>IF(Adm!$F$3="si",MIN(L237+D238+G238+H238+I238-J238,Y238),0)</f>
        <v>0</v>
      </c>
      <c r="L238" s="178">
        <f t="shared" si="87"/>
        <v>225145.48718221081</v>
      </c>
      <c r="M238" s="348"/>
      <c r="N238" s="348"/>
      <c r="O238" s="348">
        <f t="shared" si="88"/>
        <v>10459.927894438502</v>
      </c>
      <c r="U238" s="571">
        <f t="shared" si="89"/>
        <v>10</v>
      </c>
      <c r="V238" s="293">
        <f>IF(U238=1,Adm!$AN$2,0)</f>
        <v>0</v>
      </c>
      <c r="X238" s="341">
        <f t="shared" si="96"/>
        <v>0</v>
      </c>
      <c r="Y238" s="345">
        <f t="shared" ca="1" si="90"/>
        <v>0</v>
      </c>
      <c r="AG238" s="151">
        <f t="shared" ca="1" si="83"/>
        <v>9</v>
      </c>
      <c r="AI238" s="178">
        <f t="shared" si="84"/>
        <v>0</v>
      </c>
      <c r="AJ238" s="178">
        <f t="shared" si="91"/>
        <v>0</v>
      </c>
      <c r="AK238" s="178">
        <f t="shared" si="102"/>
        <v>0</v>
      </c>
      <c r="AL238" s="178">
        <f t="shared" si="103"/>
        <v>0</v>
      </c>
      <c r="AM238" s="351">
        <f>IF(AS237&lt;0.01,0,IF(Resol!$G$19&gt;0,Resol!$G$19,IF(Resol!$F$19=Resol!$U$5,0,IF($AS$10=0,AS237*Adm!$Y$3,AS237*Adm!$X$3))))</f>
        <v>0</v>
      </c>
      <c r="AN238" s="351">
        <f>IF(AS237&lt;0.01,0,IF(Resol!$F$20=Resol!$V$3,0,IF(OR(Resol!$F$10=Resol!$T$16,Resol!$F$10=Resol!$T$17),0,IF(Resol!$F$10=Resol!$T$13,0,$AL$5*Adm!$AA$4/1.16))))</f>
        <v>0</v>
      </c>
      <c r="AO238" s="178">
        <f t="shared" si="97"/>
        <v>0</v>
      </c>
      <c r="AP238" s="178"/>
      <c r="AQ238" s="178">
        <f t="shared" si="85"/>
        <v>0</v>
      </c>
      <c r="AR238" s="178">
        <f t="shared" si="92"/>
        <v>0</v>
      </c>
      <c r="AS238" s="178">
        <f t="shared" si="99"/>
        <v>0</v>
      </c>
      <c r="AT238" s="348"/>
      <c r="AU238" s="348"/>
      <c r="AV238" s="176">
        <f t="shared" si="100"/>
        <v>0</v>
      </c>
      <c r="BB238" s="571">
        <f t="shared" si="93"/>
        <v>10</v>
      </c>
      <c r="BC238" s="293">
        <f>IF(BB238=1,Adm!$AN$2,0)</f>
        <v>0</v>
      </c>
      <c r="BE238" s="341">
        <f t="shared" si="98"/>
        <v>0</v>
      </c>
      <c r="BF238" s="345">
        <f t="shared" ca="1" si="94"/>
        <v>0</v>
      </c>
    </row>
    <row r="239" spans="1:58">
      <c r="A239" s="151">
        <f t="shared" ca="1" si="80"/>
        <v>10</v>
      </c>
      <c r="C239" s="178">
        <f t="shared" si="81"/>
        <v>215</v>
      </c>
      <c r="D239" s="178">
        <f t="shared" si="86"/>
        <v>1782.4017735258356</v>
      </c>
      <c r="E239" s="178">
        <f t="shared" si="101"/>
        <v>7832.9042814520371</v>
      </c>
      <c r="F239" s="178">
        <f t="shared" si="95"/>
        <v>9615.3060549778729</v>
      </c>
      <c r="G239" s="178">
        <f>IF(L238&lt;0.01,0,IF(Adm!$S$3=Adm!$S$13,Cal!$E$94,IF(Adm!$R$3=Adm!$R$6,0,IF(Cal!$E$91=0,L238*Adm!$Y$3,L238*Adm!$X$3))))</f>
        <v>96.812559488350644</v>
      </c>
      <c r="H239" s="178">
        <f>IF(L238&lt;0.01,0,IF(Adm!$R$4=Adm!$R$6,0,IF(Adm!$B$3=Adm!$B$12,0,Cal!$E$89*Adm!$AA$3/1.16)))</f>
        <v>494.46758620689661</v>
      </c>
      <c r="I239" s="178">
        <f>IF(L238&lt;0.01,0,Adm!$O$3)</f>
        <v>250</v>
      </c>
      <c r="J239" s="178">
        <f t="shared" si="82"/>
        <v>10456.58620067312</v>
      </c>
      <c r="K239" s="178">
        <f>IF(Adm!$F$3="si",MIN(L238+D239+G239+H239+I239-J239,Y239),0)</f>
        <v>0</v>
      </c>
      <c r="L239" s="178">
        <f t="shared" si="87"/>
        <v>217312.58290075877</v>
      </c>
      <c r="M239" s="348"/>
      <c r="N239" s="348"/>
      <c r="O239" s="348">
        <f t="shared" si="88"/>
        <v>10456.58620067312</v>
      </c>
      <c r="U239" s="571">
        <f t="shared" si="89"/>
        <v>11</v>
      </c>
      <c r="V239" s="293">
        <f>IF(U239=1,Adm!$AN$2,0)</f>
        <v>0</v>
      </c>
      <c r="X239" s="341">
        <f t="shared" si="96"/>
        <v>0</v>
      </c>
      <c r="Y239" s="345">
        <f t="shared" ca="1" si="90"/>
        <v>0</v>
      </c>
      <c r="AG239" s="151">
        <f t="shared" ca="1" si="83"/>
        <v>10</v>
      </c>
      <c r="AI239" s="178">
        <f t="shared" si="84"/>
        <v>0</v>
      </c>
      <c r="AJ239" s="178">
        <f t="shared" si="91"/>
        <v>0</v>
      </c>
      <c r="AK239" s="178">
        <f t="shared" si="102"/>
        <v>0</v>
      </c>
      <c r="AL239" s="178">
        <f t="shared" si="103"/>
        <v>0</v>
      </c>
      <c r="AM239" s="351">
        <f>IF(AS238&lt;0.01,0,IF(Resol!$G$19&gt;0,Resol!$G$19,IF(Resol!$F$19=Resol!$U$5,0,IF($AS$10=0,AS238*Adm!$Y$3,AS238*Adm!$X$3))))</f>
        <v>0</v>
      </c>
      <c r="AN239" s="351">
        <f>IF(AS238&lt;0.01,0,IF(Resol!$F$20=Resol!$V$3,0,IF(OR(Resol!$F$10=Resol!$T$16,Resol!$F$10=Resol!$T$17),0,IF(Resol!$F$10=Resol!$T$13,0,$AL$5*Adm!$AA$4/1.16))))</f>
        <v>0</v>
      </c>
      <c r="AO239" s="178">
        <f t="shared" si="97"/>
        <v>0</v>
      </c>
      <c r="AP239" s="178"/>
      <c r="AQ239" s="178">
        <f t="shared" si="85"/>
        <v>0</v>
      </c>
      <c r="AR239" s="178">
        <f t="shared" si="92"/>
        <v>0</v>
      </c>
      <c r="AS239" s="178">
        <f t="shared" si="99"/>
        <v>0</v>
      </c>
      <c r="AT239" s="348"/>
      <c r="AU239" s="348"/>
      <c r="AV239" s="176">
        <f t="shared" si="100"/>
        <v>0</v>
      </c>
      <c r="BB239" s="571">
        <f t="shared" si="93"/>
        <v>11</v>
      </c>
      <c r="BC239" s="293">
        <f>IF(BB239=1,Adm!$AN$2,0)</f>
        <v>0</v>
      </c>
      <c r="BE239" s="341">
        <f t="shared" si="98"/>
        <v>0</v>
      </c>
      <c r="BF239" s="345">
        <f t="shared" ca="1" si="94"/>
        <v>0</v>
      </c>
    </row>
    <row r="240" spans="1:58">
      <c r="A240" s="151">
        <f t="shared" ca="1" si="80"/>
        <v>11</v>
      </c>
      <c r="C240" s="178">
        <f t="shared" si="81"/>
        <v>216</v>
      </c>
      <c r="D240" s="178">
        <f t="shared" si="86"/>
        <v>1720.3912812976735</v>
      </c>
      <c r="E240" s="178">
        <f t="shared" si="101"/>
        <v>7894.9147736801997</v>
      </c>
      <c r="F240" s="178">
        <f t="shared" si="95"/>
        <v>9615.3060549778729</v>
      </c>
      <c r="G240" s="178">
        <f>IF(L239&lt;0.01,0,IF(Adm!$S$3=Adm!$S$13,Cal!$E$94,IF(Adm!$R$3=Adm!$R$6,0,IF(Cal!$E$91=0,L239*Adm!$Y$3,L239*Adm!$X$3))))</f>
        <v>93.444410647326265</v>
      </c>
      <c r="H240" s="178">
        <f>IF(L239&lt;0.01,0,IF(Adm!$R$4=Adm!$R$6,0,IF(Adm!$B$3=Adm!$B$12,0,Cal!$E$89*Adm!$AA$3/1.16)))</f>
        <v>494.46758620689661</v>
      </c>
      <c r="I240" s="178">
        <f>IF(L239&lt;0.01,0,Adm!$O$3)</f>
        <v>250</v>
      </c>
      <c r="J240" s="178">
        <f t="shared" si="82"/>
        <v>10453.218051832095</v>
      </c>
      <c r="K240" s="178">
        <f>IF(Adm!$F$3="si",MIN(L239+D240+G240+H240+I240-J240,Y240),0)</f>
        <v>0</v>
      </c>
      <c r="L240" s="178">
        <f t="shared" si="87"/>
        <v>209417.66812707856</v>
      </c>
      <c r="M240" s="348"/>
      <c r="N240" s="348"/>
      <c r="O240" s="348">
        <f t="shared" si="88"/>
        <v>10453.218051832095</v>
      </c>
      <c r="U240" s="571">
        <f t="shared" si="89"/>
        <v>12</v>
      </c>
      <c r="V240" s="293">
        <f>IF(U240=1,Adm!$AN$2,0)</f>
        <v>0</v>
      </c>
      <c r="X240" s="341">
        <f t="shared" si="96"/>
        <v>0</v>
      </c>
      <c r="Y240" s="345">
        <f t="shared" ca="1" si="90"/>
        <v>0</v>
      </c>
      <c r="AG240" s="151">
        <f t="shared" ca="1" si="83"/>
        <v>11</v>
      </c>
      <c r="AI240" s="178">
        <f t="shared" si="84"/>
        <v>0</v>
      </c>
      <c r="AJ240" s="178">
        <f t="shared" si="91"/>
        <v>0</v>
      </c>
      <c r="AK240" s="178">
        <f t="shared" si="102"/>
        <v>0</v>
      </c>
      <c r="AL240" s="178">
        <f t="shared" si="103"/>
        <v>0</v>
      </c>
      <c r="AM240" s="351">
        <f>IF(AS239&lt;0.01,0,IF(Resol!$G$19&gt;0,Resol!$G$19,IF(Resol!$F$19=Resol!$U$5,0,IF($AS$10=0,AS239*Adm!$Y$3,AS239*Adm!$X$3))))</f>
        <v>0</v>
      </c>
      <c r="AN240" s="351">
        <f>IF(AS239&lt;0.01,0,IF(Resol!$F$20=Resol!$V$3,0,IF(OR(Resol!$F$10=Resol!$T$16,Resol!$F$10=Resol!$T$17),0,IF(Resol!$F$10=Resol!$T$13,0,$AL$5*Adm!$AA$4/1.16))))</f>
        <v>0</v>
      </c>
      <c r="AO240" s="178">
        <f t="shared" si="97"/>
        <v>0</v>
      </c>
      <c r="AP240" s="178"/>
      <c r="AQ240" s="178">
        <f t="shared" si="85"/>
        <v>0</v>
      </c>
      <c r="AR240" s="178">
        <f t="shared" si="92"/>
        <v>0</v>
      </c>
      <c r="AS240" s="178">
        <f t="shared" si="99"/>
        <v>0</v>
      </c>
      <c r="AT240" s="348"/>
      <c r="AU240" s="348"/>
      <c r="AV240" s="176">
        <f t="shared" si="100"/>
        <v>0</v>
      </c>
      <c r="BB240" s="571">
        <f t="shared" si="93"/>
        <v>12</v>
      </c>
      <c r="BC240" s="293">
        <f>IF(BB240=1,Adm!$AN$2,0)</f>
        <v>0</v>
      </c>
      <c r="BE240" s="341">
        <f t="shared" si="98"/>
        <v>0</v>
      </c>
      <c r="BF240" s="345">
        <f t="shared" ca="1" si="94"/>
        <v>0</v>
      </c>
    </row>
    <row r="241" spans="1:58">
      <c r="A241" s="151">
        <f t="shared" ca="1" si="80"/>
        <v>12</v>
      </c>
      <c r="C241" s="178">
        <f t="shared" si="81"/>
        <v>217</v>
      </c>
      <c r="D241" s="178">
        <f t="shared" si="86"/>
        <v>1657.8898726727055</v>
      </c>
      <c r="E241" s="178">
        <f t="shared" si="101"/>
        <v>7957.4161823051672</v>
      </c>
      <c r="F241" s="178">
        <f t="shared" si="95"/>
        <v>9615.3060549778729</v>
      </c>
      <c r="G241" s="178">
        <f>IF(L240&lt;0.01,0,IF(Adm!$S$3=Adm!$S$13,Cal!$E$94,IF(Adm!$R$3=Adm!$R$6,0,IF(Cal!$E$91=0,L240*Adm!$Y$3,L240*Adm!$X$3))))</f>
        <v>90.049597294643775</v>
      </c>
      <c r="H241" s="178">
        <f>IF(L240&lt;0.01,0,IF(Adm!$R$4=Adm!$R$6,0,IF(Adm!$B$3=Adm!$B$12,0,Cal!$E$89*Adm!$AA$3/1.16)))</f>
        <v>494.46758620689661</v>
      </c>
      <c r="I241" s="178">
        <f>IF(L240&lt;0.01,0,Adm!$O$3)</f>
        <v>250</v>
      </c>
      <c r="J241" s="178">
        <f t="shared" si="82"/>
        <v>10449.823238479414</v>
      </c>
      <c r="K241" s="178">
        <f>IF(Adm!$F$3="si",MIN(L240+D241+G241+H241+I241-J241,Y241),0)</f>
        <v>0</v>
      </c>
      <c r="L241" s="178">
        <f t="shared" si="87"/>
        <v>201460.25194477339</v>
      </c>
      <c r="M241" s="348"/>
      <c r="N241" s="348"/>
      <c r="O241" s="348">
        <f t="shared" si="88"/>
        <v>10449.823238479414</v>
      </c>
      <c r="U241" s="571">
        <f t="shared" si="89"/>
        <v>1</v>
      </c>
      <c r="V241" s="293">
        <f>IF(U241=1,Adm!$AN$2,0)</f>
        <v>0</v>
      </c>
      <c r="X241" s="341">
        <f t="shared" si="96"/>
        <v>0</v>
      </c>
      <c r="Y241" s="345">
        <f t="shared" ca="1" si="90"/>
        <v>0</v>
      </c>
      <c r="AG241" s="151">
        <f t="shared" ca="1" si="83"/>
        <v>12</v>
      </c>
      <c r="AI241" s="178">
        <f t="shared" si="84"/>
        <v>0</v>
      </c>
      <c r="AJ241" s="178">
        <f t="shared" si="91"/>
        <v>0</v>
      </c>
      <c r="AK241" s="178">
        <f t="shared" si="102"/>
        <v>0</v>
      </c>
      <c r="AL241" s="178">
        <f t="shared" si="103"/>
        <v>0</v>
      </c>
      <c r="AM241" s="351">
        <f>IF(AS240&lt;0.01,0,IF(Resol!$G$19&gt;0,Resol!$G$19,IF(Resol!$F$19=Resol!$U$5,0,IF($AS$10=0,AS240*Adm!$Y$3,AS240*Adm!$X$3))))</f>
        <v>0</v>
      </c>
      <c r="AN241" s="351">
        <f>IF(AS240&lt;0.01,0,IF(Resol!$F$20=Resol!$V$3,0,IF(OR(Resol!$F$10=Resol!$T$16,Resol!$F$10=Resol!$T$17),0,IF(Resol!$F$10=Resol!$T$13,0,$AL$5*Adm!$AA$4/1.16))))</f>
        <v>0</v>
      </c>
      <c r="AO241" s="178">
        <f t="shared" si="97"/>
        <v>0</v>
      </c>
      <c r="AP241" s="178"/>
      <c r="AQ241" s="178">
        <f t="shared" si="85"/>
        <v>0</v>
      </c>
      <c r="AR241" s="178">
        <f t="shared" si="92"/>
        <v>0</v>
      </c>
      <c r="AS241" s="178">
        <f t="shared" si="99"/>
        <v>0</v>
      </c>
      <c r="AT241" s="348"/>
      <c r="AU241" s="348"/>
      <c r="AV241" s="176">
        <f t="shared" si="100"/>
        <v>0</v>
      </c>
      <c r="BB241" s="571">
        <f t="shared" si="93"/>
        <v>1</v>
      </c>
      <c r="BC241" s="293">
        <f>IF(BB241=1,Adm!$AN$2,0)</f>
        <v>0</v>
      </c>
      <c r="BE241" s="341">
        <f t="shared" si="98"/>
        <v>0</v>
      </c>
      <c r="BF241" s="345">
        <f t="shared" ca="1" si="94"/>
        <v>0</v>
      </c>
    </row>
    <row r="242" spans="1:58">
      <c r="A242" s="151">
        <f t="shared" ca="1" si="80"/>
        <v>1</v>
      </c>
      <c r="C242" s="178">
        <f t="shared" si="81"/>
        <v>218</v>
      </c>
      <c r="D242" s="178">
        <f t="shared" si="86"/>
        <v>1594.8936612294563</v>
      </c>
      <c r="E242" s="178">
        <f t="shared" si="101"/>
        <v>8020.4123937484164</v>
      </c>
      <c r="F242" s="178">
        <f t="shared" si="95"/>
        <v>9615.3060549778729</v>
      </c>
      <c r="G242" s="178">
        <f>IF(L241&lt;0.01,0,IF(Adm!$S$3=Adm!$S$13,Cal!$E$94,IF(Adm!$R$3=Adm!$R$6,0,IF(Cal!$E$91=0,L241*Adm!$Y$3,L241*Adm!$X$3))))</f>
        <v>86.62790833625256</v>
      </c>
      <c r="H242" s="178">
        <f>IF(L241&lt;0.01,0,IF(Adm!$R$4=Adm!$R$6,0,IF(Adm!$B$3=Adm!$B$12,0,Cal!$E$89*Adm!$AA$3/1.16)))</f>
        <v>494.46758620689661</v>
      </c>
      <c r="I242" s="178">
        <f>IF(L241&lt;0.01,0,Adm!$O$3)</f>
        <v>250</v>
      </c>
      <c r="J242" s="178">
        <f t="shared" si="82"/>
        <v>10446.401549521022</v>
      </c>
      <c r="K242" s="178">
        <f>IF(Adm!$F$3="si",MIN(L241+D242+G242+H242+I242-J242,Y242),0)</f>
        <v>0</v>
      </c>
      <c r="L242" s="178">
        <f t="shared" si="87"/>
        <v>193439.83955102498</v>
      </c>
      <c r="M242" s="348"/>
      <c r="N242" s="348"/>
      <c r="O242" s="348">
        <f t="shared" si="88"/>
        <v>10446.401549521022</v>
      </c>
      <c r="U242" s="571">
        <f t="shared" si="89"/>
        <v>2</v>
      </c>
      <c r="V242" s="293">
        <f>IF(U242=1,Adm!$AN$2,0)</f>
        <v>0</v>
      </c>
      <c r="X242" s="341">
        <f t="shared" si="96"/>
        <v>0</v>
      </c>
      <c r="Y242" s="345">
        <f t="shared" ca="1" si="90"/>
        <v>0</v>
      </c>
      <c r="AG242" s="151">
        <f t="shared" ca="1" si="83"/>
        <v>1</v>
      </c>
      <c r="AI242" s="178">
        <f t="shared" si="84"/>
        <v>0</v>
      </c>
      <c r="AJ242" s="178">
        <f t="shared" si="91"/>
        <v>0</v>
      </c>
      <c r="AK242" s="178">
        <f t="shared" si="102"/>
        <v>0</v>
      </c>
      <c r="AL242" s="178">
        <f t="shared" si="103"/>
        <v>0</v>
      </c>
      <c r="AM242" s="351">
        <f>IF(AS241&lt;0.01,0,IF(Resol!$G$19&gt;0,Resol!$G$19,IF(Resol!$F$19=Resol!$U$5,0,IF($AS$10=0,AS241*Adm!$Y$3,AS241*Adm!$X$3))))</f>
        <v>0</v>
      </c>
      <c r="AN242" s="351">
        <f>IF(AS241&lt;0.01,0,IF(Resol!$F$20=Resol!$V$3,0,IF(OR(Resol!$F$10=Resol!$T$16,Resol!$F$10=Resol!$T$17),0,IF(Resol!$F$10=Resol!$T$13,0,$AL$5*Adm!$AA$4/1.16))))</f>
        <v>0</v>
      </c>
      <c r="AO242" s="178">
        <f t="shared" si="97"/>
        <v>0</v>
      </c>
      <c r="AP242" s="178"/>
      <c r="AQ242" s="178">
        <f t="shared" si="85"/>
        <v>0</v>
      </c>
      <c r="AR242" s="178">
        <f t="shared" si="92"/>
        <v>0</v>
      </c>
      <c r="AS242" s="178">
        <f t="shared" si="99"/>
        <v>0</v>
      </c>
      <c r="AT242" s="348"/>
      <c r="AU242" s="348"/>
      <c r="AV242" s="176">
        <f t="shared" si="100"/>
        <v>0</v>
      </c>
      <c r="BB242" s="571">
        <f t="shared" si="93"/>
        <v>2</v>
      </c>
      <c r="BC242" s="293">
        <f>IF(BB242=1,Adm!$AN$2,0)</f>
        <v>0</v>
      </c>
      <c r="BE242" s="341">
        <f t="shared" si="98"/>
        <v>0</v>
      </c>
      <c r="BF242" s="345">
        <f t="shared" ca="1" si="94"/>
        <v>0</v>
      </c>
    </row>
    <row r="243" spans="1:58">
      <c r="A243" s="151">
        <f t="shared" ca="1" si="80"/>
        <v>2</v>
      </c>
      <c r="C243" s="178">
        <f t="shared" si="81"/>
        <v>219</v>
      </c>
      <c r="D243" s="178">
        <f t="shared" si="86"/>
        <v>1531.3987297789479</v>
      </c>
      <c r="E243" s="178">
        <f t="shared" si="101"/>
        <v>8083.9073251989248</v>
      </c>
      <c r="F243" s="178">
        <f t="shared" si="95"/>
        <v>9615.3060549778729</v>
      </c>
      <c r="G243" s="178">
        <f>IF(L242&lt;0.01,0,IF(Adm!$S$3=Adm!$S$13,Cal!$E$94,IF(Adm!$R$3=Adm!$R$6,0,IF(Cal!$E$91=0,L242*Adm!$Y$3,L242*Adm!$X$3))))</f>
        <v>83.179131006940736</v>
      </c>
      <c r="H243" s="178">
        <f>IF(L242&lt;0.01,0,IF(Adm!$R$4=Adm!$R$6,0,IF(Adm!$B$3=Adm!$B$12,0,Cal!$E$89*Adm!$AA$3/1.16)))</f>
        <v>494.46758620689661</v>
      </c>
      <c r="I243" s="178">
        <f>IF(L242&lt;0.01,0,Adm!$O$3)</f>
        <v>250</v>
      </c>
      <c r="J243" s="178">
        <f t="shared" si="82"/>
        <v>10442.952772191709</v>
      </c>
      <c r="K243" s="178">
        <f>IF(Adm!$F$3="si",MIN(L242+D243+G243+H243+I243-J243,Y243),0)</f>
        <v>0</v>
      </c>
      <c r="L243" s="178">
        <f t="shared" si="87"/>
        <v>185355.93222582605</v>
      </c>
      <c r="M243" s="348"/>
      <c r="N243" s="348"/>
      <c r="O243" s="348">
        <f t="shared" si="88"/>
        <v>10442.952772191709</v>
      </c>
      <c r="U243" s="571">
        <f t="shared" si="89"/>
        <v>3</v>
      </c>
      <c r="V243" s="293">
        <f>IF(U243=1,Adm!$AN$2,0)</f>
        <v>0</v>
      </c>
      <c r="X243" s="341">
        <f t="shared" si="96"/>
        <v>0</v>
      </c>
      <c r="Y243" s="345">
        <f t="shared" ca="1" si="90"/>
        <v>0</v>
      </c>
      <c r="AG243" s="151">
        <f t="shared" ca="1" si="83"/>
        <v>2</v>
      </c>
      <c r="AI243" s="178">
        <f t="shared" si="84"/>
        <v>0</v>
      </c>
      <c r="AJ243" s="178">
        <f t="shared" si="91"/>
        <v>0</v>
      </c>
      <c r="AK243" s="178">
        <f t="shared" si="102"/>
        <v>0</v>
      </c>
      <c r="AL243" s="178">
        <f t="shared" si="103"/>
        <v>0</v>
      </c>
      <c r="AM243" s="351">
        <f>IF(AS242&lt;0.01,0,IF(Resol!$G$19&gt;0,Resol!$G$19,IF(Resol!$F$19=Resol!$U$5,0,IF($AS$10=0,AS242*Adm!$Y$3,AS242*Adm!$X$3))))</f>
        <v>0</v>
      </c>
      <c r="AN243" s="351">
        <f>IF(AS242&lt;0.01,0,IF(Resol!$F$20=Resol!$V$3,0,IF(OR(Resol!$F$10=Resol!$T$16,Resol!$F$10=Resol!$T$17),0,IF(Resol!$F$10=Resol!$T$13,0,$AL$5*Adm!$AA$4/1.16))))</f>
        <v>0</v>
      </c>
      <c r="AO243" s="178">
        <f t="shared" si="97"/>
        <v>0</v>
      </c>
      <c r="AP243" s="178"/>
      <c r="AQ243" s="178">
        <f t="shared" si="85"/>
        <v>0</v>
      </c>
      <c r="AR243" s="178">
        <f t="shared" si="92"/>
        <v>0</v>
      </c>
      <c r="AS243" s="178">
        <f t="shared" si="99"/>
        <v>0</v>
      </c>
      <c r="AT243" s="348"/>
      <c r="AU243" s="348"/>
      <c r="AV243" s="176">
        <f t="shared" si="100"/>
        <v>0</v>
      </c>
      <c r="BB243" s="571">
        <f t="shared" si="93"/>
        <v>3</v>
      </c>
      <c r="BC243" s="293">
        <f>IF(BB243=1,Adm!$AN$2,0)</f>
        <v>0</v>
      </c>
      <c r="BE243" s="341">
        <f t="shared" si="98"/>
        <v>0</v>
      </c>
      <c r="BF243" s="345">
        <f t="shared" ca="1" si="94"/>
        <v>0</v>
      </c>
    </row>
    <row r="244" spans="1:58">
      <c r="A244" s="151">
        <f t="shared" ca="1" si="80"/>
        <v>3</v>
      </c>
      <c r="C244" s="178">
        <f t="shared" si="81"/>
        <v>220</v>
      </c>
      <c r="D244" s="178">
        <f t="shared" si="86"/>
        <v>1467.4011301211231</v>
      </c>
      <c r="E244" s="178">
        <f t="shared" si="101"/>
        <v>8147.9049248567499</v>
      </c>
      <c r="F244" s="178">
        <f t="shared" si="95"/>
        <v>9615.3060549778729</v>
      </c>
      <c r="G244" s="178">
        <f>IF(L243&lt;0.01,0,IF(Adm!$S$3=Adm!$S$13,Cal!$E$94,IF(Adm!$R$3=Adm!$R$6,0,IF(Cal!$E$91=0,L243*Adm!$Y$3,L243*Adm!$X$3))))</f>
        <v>79.703050857105197</v>
      </c>
      <c r="H244" s="178">
        <f>IF(L243&lt;0.01,0,IF(Adm!$R$4=Adm!$R$6,0,IF(Adm!$B$3=Adm!$B$12,0,Cal!$E$89*Adm!$AA$3/1.16)))</f>
        <v>494.46758620689661</v>
      </c>
      <c r="I244" s="178">
        <f>IF(L243&lt;0.01,0,Adm!$O$3)</f>
        <v>250</v>
      </c>
      <c r="J244" s="178">
        <f t="shared" si="82"/>
        <v>10439.476692041875</v>
      </c>
      <c r="K244" s="178">
        <f>IF(Adm!$F$3="si",MIN(L243+D244+G244+H244+I244-J244,Y244),0)</f>
        <v>0</v>
      </c>
      <c r="L244" s="178">
        <f t="shared" si="87"/>
        <v>177208.02730096929</v>
      </c>
      <c r="M244" s="348"/>
      <c r="N244" s="348"/>
      <c r="O244" s="348">
        <f t="shared" si="88"/>
        <v>10439.476692041875</v>
      </c>
      <c r="U244" s="571">
        <f t="shared" si="89"/>
        <v>4</v>
      </c>
      <c r="V244" s="293">
        <f>IF(U244=1,Adm!$AN$2,0)</f>
        <v>0</v>
      </c>
      <c r="X244" s="341">
        <f t="shared" si="96"/>
        <v>0</v>
      </c>
      <c r="Y244" s="345">
        <f t="shared" ca="1" si="90"/>
        <v>0</v>
      </c>
      <c r="AG244" s="151">
        <f t="shared" ca="1" si="83"/>
        <v>3</v>
      </c>
      <c r="AI244" s="178">
        <f t="shared" si="84"/>
        <v>0</v>
      </c>
      <c r="AJ244" s="178">
        <f t="shared" si="91"/>
        <v>0</v>
      </c>
      <c r="AK244" s="178">
        <f t="shared" si="102"/>
        <v>0</v>
      </c>
      <c r="AL244" s="178">
        <f t="shared" si="103"/>
        <v>0</v>
      </c>
      <c r="AM244" s="351">
        <f>IF(AS243&lt;0.01,0,IF(Resol!$G$19&gt;0,Resol!$G$19,IF(Resol!$F$19=Resol!$U$5,0,IF($AS$10=0,AS243*Adm!$Y$3,AS243*Adm!$X$3))))</f>
        <v>0</v>
      </c>
      <c r="AN244" s="351">
        <f>IF(AS243&lt;0.01,0,IF(Resol!$F$20=Resol!$V$3,0,IF(OR(Resol!$F$10=Resol!$T$16,Resol!$F$10=Resol!$T$17),0,IF(Resol!$F$10=Resol!$T$13,0,$AL$5*Adm!$AA$4/1.16))))</f>
        <v>0</v>
      </c>
      <c r="AO244" s="178">
        <f t="shared" si="97"/>
        <v>0</v>
      </c>
      <c r="AP244" s="178"/>
      <c r="AQ244" s="178">
        <f t="shared" si="85"/>
        <v>0</v>
      </c>
      <c r="AR244" s="178">
        <f t="shared" si="92"/>
        <v>0</v>
      </c>
      <c r="AS244" s="178">
        <f t="shared" si="99"/>
        <v>0</v>
      </c>
      <c r="AT244" s="348"/>
      <c r="AU244" s="348"/>
      <c r="AV244" s="176">
        <f t="shared" si="100"/>
        <v>0</v>
      </c>
      <c r="BB244" s="571">
        <f t="shared" si="93"/>
        <v>4</v>
      </c>
      <c r="BC244" s="293">
        <f>IF(BB244=1,Adm!$AN$2,0)</f>
        <v>0</v>
      </c>
      <c r="BE244" s="341">
        <f t="shared" si="98"/>
        <v>0</v>
      </c>
      <c r="BF244" s="345">
        <f t="shared" ca="1" si="94"/>
        <v>0</v>
      </c>
    </row>
    <row r="245" spans="1:58">
      <c r="A245" s="151">
        <f t="shared" ca="1" si="80"/>
        <v>4</v>
      </c>
      <c r="C245" s="178">
        <f t="shared" si="81"/>
        <v>221</v>
      </c>
      <c r="D245" s="178">
        <f t="shared" si="86"/>
        <v>1402.8968827993403</v>
      </c>
      <c r="E245" s="178">
        <f t="shared" si="101"/>
        <v>8212.4091721785335</v>
      </c>
      <c r="F245" s="178">
        <f t="shared" si="95"/>
        <v>9615.3060549778729</v>
      </c>
      <c r="G245" s="178">
        <f>IF(L244&lt;0.01,0,IF(Adm!$S$3=Adm!$S$13,Cal!$E$94,IF(Adm!$R$3=Adm!$R$6,0,IF(Cal!$E$91=0,L244*Adm!$Y$3,L244*Adm!$X$3))))</f>
        <v>76.199451739416787</v>
      </c>
      <c r="H245" s="178">
        <f>IF(L244&lt;0.01,0,IF(Adm!$R$4=Adm!$R$6,0,IF(Adm!$B$3=Adm!$B$12,0,Cal!$E$89*Adm!$AA$3/1.16)))</f>
        <v>494.46758620689661</v>
      </c>
      <c r="I245" s="178">
        <f>IF(L244&lt;0.01,0,Adm!$O$3)</f>
        <v>250</v>
      </c>
      <c r="J245" s="178">
        <f t="shared" si="82"/>
        <v>10435.973092924185</v>
      </c>
      <c r="K245" s="178">
        <f>IF(Adm!$F$3="si",MIN(L244+D245+G245+H245+I245-J245,Y245),0)</f>
        <v>0</v>
      </c>
      <c r="L245" s="178">
        <f t="shared" si="87"/>
        <v>168995.61812879075</v>
      </c>
      <c r="M245" s="348"/>
      <c r="N245" s="348"/>
      <c r="O245" s="348">
        <f t="shared" si="88"/>
        <v>10435.973092924185</v>
      </c>
      <c r="U245" s="571">
        <f t="shared" si="89"/>
        <v>5</v>
      </c>
      <c r="V245" s="293">
        <f>IF(U245=1,Adm!$AN$2,0)</f>
        <v>0</v>
      </c>
      <c r="X245" s="341">
        <f t="shared" si="96"/>
        <v>0</v>
      </c>
      <c r="Y245" s="345">
        <f t="shared" ca="1" si="90"/>
        <v>0</v>
      </c>
      <c r="AG245" s="151">
        <f t="shared" ca="1" si="83"/>
        <v>4</v>
      </c>
      <c r="AI245" s="178">
        <f t="shared" si="84"/>
        <v>0</v>
      </c>
      <c r="AJ245" s="178">
        <f t="shared" si="91"/>
        <v>0</v>
      </c>
      <c r="AK245" s="178">
        <f t="shared" si="102"/>
        <v>0</v>
      </c>
      <c r="AL245" s="178">
        <f t="shared" si="103"/>
        <v>0</v>
      </c>
      <c r="AM245" s="351">
        <f>IF(AS244&lt;0.01,0,IF(Resol!$G$19&gt;0,Resol!$G$19,IF(Resol!$F$19=Resol!$U$5,0,IF($AS$10=0,AS244*Adm!$Y$3,AS244*Adm!$X$3))))</f>
        <v>0</v>
      </c>
      <c r="AN245" s="351">
        <f>IF(AS244&lt;0.01,0,IF(Resol!$F$20=Resol!$V$3,0,IF(OR(Resol!$F$10=Resol!$T$16,Resol!$F$10=Resol!$T$17),0,IF(Resol!$F$10=Resol!$T$13,0,$AL$5*Adm!$AA$4/1.16))))</f>
        <v>0</v>
      </c>
      <c r="AO245" s="178">
        <f t="shared" si="97"/>
        <v>0</v>
      </c>
      <c r="AP245" s="178"/>
      <c r="AQ245" s="178">
        <f t="shared" si="85"/>
        <v>0</v>
      </c>
      <c r="AR245" s="178">
        <f t="shared" si="92"/>
        <v>0</v>
      </c>
      <c r="AS245" s="178">
        <f t="shared" si="99"/>
        <v>0</v>
      </c>
      <c r="AT245" s="348"/>
      <c r="AU245" s="348"/>
      <c r="AV245" s="176">
        <f t="shared" si="100"/>
        <v>0</v>
      </c>
      <c r="BB245" s="571">
        <f t="shared" si="93"/>
        <v>5</v>
      </c>
      <c r="BC245" s="293">
        <f>IF(BB245=1,Adm!$AN$2,0)</f>
        <v>0</v>
      </c>
      <c r="BE245" s="341">
        <f t="shared" si="98"/>
        <v>0</v>
      </c>
      <c r="BF245" s="345">
        <f t="shared" ca="1" si="94"/>
        <v>0</v>
      </c>
    </row>
    <row r="246" spans="1:58">
      <c r="A246" s="151">
        <f t="shared" ca="1" si="80"/>
        <v>5</v>
      </c>
      <c r="C246" s="178">
        <f t="shared" si="81"/>
        <v>222</v>
      </c>
      <c r="D246" s="178">
        <f t="shared" si="86"/>
        <v>1337.8819768529268</v>
      </c>
      <c r="E246" s="178">
        <f t="shared" si="101"/>
        <v>8277.4240781249464</v>
      </c>
      <c r="F246" s="178">
        <f t="shared" si="95"/>
        <v>9615.3060549778729</v>
      </c>
      <c r="G246" s="178">
        <f>IF(L245&lt;0.01,0,IF(Adm!$S$3=Adm!$S$13,Cal!$E$94,IF(Adm!$R$3=Adm!$R$6,0,IF(Cal!$E$91=0,L245*Adm!$Y$3,L245*Adm!$X$3))))</f>
        <v>72.668115795380018</v>
      </c>
      <c r="H246" s="178">
        <f>IF(L245&lt;0.01,0,IF(Adm!$R$4=Adm!$R$6,0,IF(Adm!$B$3=Adm!$B$12,0,Cal!$E$89*Adm!$AA$3/1.16)))</f>
        <v>494.46758620689661</v>
      </c>
      <c r="I246" s="178">
        <f>IF(L245&lt;0.01,0,Adm!$O$3)</f>
        <v>250</v>
      </c>
      <c r="J246" s="178">
        <f t="shared" si="82"/>
        <v>10432.44175698015</v>
      </c>
      <c r="K246" s="178">
        <f>IF(Adm!$F$3="si",MIN(L245+D246+G246+H246+I246-J246,Y246),0)</f>
        <v>0</v>
      </c>
      <c r="L246" s="178">
        <f t="shared" si="87"/>
        <v>160718.1940506658</v>
      </c>
      <c r="M246" s="348"/>
      <c r="N246" s="348"/>
      <c r="O246" s="348">
        <f t="shared" si="88"/>
        <v>10432.44175698015</v>
      </c>
      <c r="U246" s="571">
        <f t="shared" si="89"/>
        <v>6</v>
      </c>
      <c r="V246" s="293">
        <f>IF(U246=1,Adm!$AN$2,0)</f>
        <v>0</v>
      </c>
      <c r="X246" s="341">
        <f t="shared" si="96"/>
        <v>0</v>
      </c>
      <c r="Y246" s="345">
        <f t="shared" ca="1" si="90"/>
        <v>0</v>
      </c>
      <c r="AG246" s="151">
        <f t="shared" ca="1" si="83"/>
        <v>5</v>
      </c>
      <c r="AI246" s="178">
        <f t="shared" si="84"/>
        <v>0</v>
      </c>
      <c r="AJ246" s="178">
        <f t="shared" si="91"/>
        <v>0</v>
      </c>
      <c r="AK246" s="178">
        <f t="shared" si="102"/>
        <v>0</v>
      </c>
      <c r="AL246" s="178">
        <f t="shared" si="103"/>
        <v>0</v>
      </c>
      <c r="AM246" s="351">
        <f>IF(AS245&lt;0.01,0,IF(Resol!$G$19&gt;0,Resol!$G$19,IF(Resol!$F$19=Resol!$U$5,0,IF($AS$10=0,AS245*Adm!$Y$3,AS245*Adm!$X$3))))</f>
        <v>0</v>
      </c>
      <c r="AN246" s="351">
        <f>IF(AS245&lt;0.01,0,IF(Resol!$F$20=Resol!$V$3,0,IF(OR(Resol!$F$10=Resol!$T$16,Resol!$F$10=Resol!$T$17),0,IF(Resol!$F$10=Resol!$T$13,0,$AL$5*Adm!$AA$4/1.16))))</f>
        <v>0</v>
      </c>
      <c r="AO246" s="178">
        <f t="shared" si="97"/>
        <v>0</v>
      </c>
      <c r="AP246" s="178"/>
      <c r="AQ246" s="178">
        <f t="shared" si="85"/>
        <v>0</v>
      </c>
      <c r="AR246" s="178">
        <f t="shared" si="92"/>
        <v>0</v>
      </c>
      <c r="AS246" s="178">
        <f t="shared" si="99"/>
        <v>0</v>
      </c>
      <c r="AT246" s="348"/>
      <c r="AU246" s="348"/>
      <c r="AV246" s="176">
        <f t="shared" si="100"/>
        <v>0</v>
      </c>
      <c r="BB246" s="571">
        <f t="shared" si="93"/>
        <v>6</v>
      </c>
      <c r="BC246" s="293">
        <f>IF(BB246=1,Adm!$AN$2,0)</f>
        <v>0</v>
      </c>
      <c r="BE246" s="341">
        <f t="shared" si="98"/>
        <v>0</v>
      </c>
      <c r="BF246" s="345">
        <f t="shared" ca="1" si="94"/>
        <v>0</v>
      </c>
    </row>
    <row r="247" spans="1:58">
      <c r="A247" s="151">
        <f t="shared" ca="1" si="80"/>
        <v>6</v>
      </c>
      <c r="C247" s="178">
        <f t="shared" si="81"/>
        <v>223</v>
      </c>
      <c r="D247" s="178">
        <f t="shared" si="86"/>
        <v>1272.3523695677709</v>
      </c>
      <c r="E247" s="178">
        <f t="shared" si="101"/>
        <v>8342.9536854101025</v>
      </c>
      <c r="F247" s="178">
        <f t="shared" si="95"/>
        <v>9615.3060549778729</v>
      </c>
      <c r="G247" s="178">
        <f>IF(L246&lt;0.01,0,IF(Adm!$S$3=Adm!$S$13,Cal!$E$94,IF(Adm!$R$3=Adm!$R$6,0,IF(Cal!$E$91=0,L246*Adm!$Y$3,L246*Adm!$X$3))))</f>
        <v>69.108823441786285</v>
      </c>
      <c r="H247" s="178">
        <f>IF(L246&lt;0.01,0,IF(Adm!$R$4=Adm!$R$6,0,IF(Adm!$B$3=Adm!$B$12,0,Cal!$E$89*Adm!$AA$3/1.16)))</f>
        <v>494.46758620689661</v>
      </c>
      <c r="I247" s="178">
        <f>IF(L246&lt;0.01,0,Adm!$O$3)</f>
        <v>250</v>
      </c>
      <c r="J247" s="178">
        <f t="shared" si="82"/>
        <v>10428.882464626555</v>
      </c>
      <c r="K247" s="178">
        <f>IF(Adm!$F$3="si",MIN(L246+D247+G247+H247+I247-J247,Y247),0)</f>
        <v>0</v>
      </c>
      <c r="L247" s="178">
        <f t="shared" si="87"/>
        <v>152375.24036525568</v>
      </c>
      <c r="M247" s="348"/>
      <c r="N247" s="348"/>
      <c r="O247" s="348">
        <f t="shared" si="88"/>
        <v>10428.882464626555</v>
      </c>
      <c r="U247" s="571">
        <f t="shared" si="89"/>
        <v>7</v>
      </c>
      <c r="V247" s="293">
        <f>IF(U247=1,Adm!$AN$2,0)</f>
        <v>0</v>
      </c>
      <c r="X247" s="341">
        <f t="shared" si="96"/>
        <v>0</v>
      </c>
      <c r="Y247" s="345">
        <f t="shared" ca="1" si="90"/>
        <v>0</v>
      </c>
      <c r="AG247" s="151">
        <f t="shared" ca="1" si="83"/>
        <v>6</v>
      </c>
      <c r="AI247" s="178">
        <f t="shared" si="84"/>
        <v>0</v>
      </c>
      <c r="AJ247" s="178">
        <f t="shared" si="91"/>
        <v>0</v>
      </c>
      <c r="AK247" s="178">
        <f t="shared" si="102"/>
        <v>0</v>
      </c>
      <c r="AL247" s="178">
        <f t="shared" si="103"/>
        <v>0</v>
      </c>
      <c r="AM247" s="351">
        <f>IF(AS246&lt;0.01,0,IF(Resol!$G$19&gt;0,Resol!$G$19,IF(Resol!$F$19=Resol!$U$5,0,IF($AS$10=0,AS246*Adm!$Y$3,AS246*Adm!$X$3))))</f>
        <v>0</v>
      </c>
      <c r="AN247" s="351">
        <f>IF(AS246&lt;0.01,0,IF(Resol!$F$20=Resol!$V$3,0,IF(OR(Resol!$F$10=Resol!$T$16,Resol!$F$10=Resol!$T$17),0,IF(Resol!$F$10=Resol!$T$13,0,$AL$5*Adm!$AA$4/1.16))))</f>
        <v>0</v>
      </c>
      <c r="AO247" s="178">
        <f t="shared" si="97"/>
        <v>0</v>
      </c>
      <c r="AP247" s="178"/>
      <c r="AQ247" s="178">
        <f t="shared" si="85"/>
        <v>0</v>
      </c>
      <c r="AR247" s="178">
        <f t="shared" si="92"/>
        <v>0</v>
      </c>
      <c r="AS247" s="178">
        <f t="shared" si="99"/>
        <v>0</v>
      </c>
      <c r="AT247" s="348"/>
      <c r="AU247" s="348"/>
      <c r="AV247" s="176">
        <f t="shared" si="100"/>
        <v>0</v>
      </c>
      <c r="BB247" s="571">
        <f t="shared" si="93"/>
        <v>7</v>
      </c>
      <c r="BC247" s="293">
        <f>IF(BB247=1,Adm!$AN$2,0)</f>
        <v>0</v>
      </c>
      <c r="BE247" s="341">
        <f t="shared" si="98"/>
        <v>0</v>
      </c>
      <c r="BF247" s="345">
        <f t="shared" ca="1" si="94"/>
        <v>0</v>
      </c>
    </row>
    <row r="248" spans="1:58">
      <c r="A248" s="151">
        <f t="shared" ca="1" si="80"/>
        <v>7</v>
      </c>
      <c r="C248" s="178">
        <f t="shared" si="81"/>
        <v>224</v>
      </c>
      <c r="D248" s="178">
        <f t="shared" si="86"/>
        <v>1206.3039862249409</v>
      </c>
      <c r="E248" s="178">
        <f t="shared" si="101"/>
        <v>8409.0020687529322</v>
      </c>
      <c r="F248" s="178">
        <f t="shared" si="95"/>
        <v>9615.3060549778729</v>
      </c>
      <c r="G248" s="178">
        <f>IF(L247&lt;0.01,0,IF(Adm!$S$3=Adm!$S$13,Cal!$E$94,IF(Adm!$R$3=Adm!$R$6,0,IF(Cal!$E$91=0,L247*Adm!$Y$3,L247*Adm!$X$3))))</f>
        <v>65.521353357059937</v>
      </c>
      <c r="H248" s="178">
        <f>IF(L247&lt;0.01,0,IF(Adm!$R$4=Adm!$R$6,0,IF(Adm!$B$3=Adm!$B$12,0,Cal!$E$89*Adm!$AA$3/1.16)))</f>
        <v>494.46758620689661</v>
      </c>
      <c r="I248" s="178">
        <f>IF(L247&lt;0.01,0,Adm!$O$3)</f>
        <v>250</v>
      </c>
      <c r="J248" s="178">
        <f t="shared" si="82"/>
        <v>10425.29499454183</v>
      </c>
      <c r="K248" s="178">
        <f>IF(Adm!$F$3="si",MIN(L247+D248+G248+H248+I248-J248,Y248),0)</f>
        <v>0</v>
      </c>
      <c r="L248" s="178">
        <f t="shared" si="87"/>
        <v>143966.23829650274</v>
      </c>
      <c r="M248" s="348"/>
      <c r="N248" s="348"/>
      <c r="O248" s="348">
        <f t="shared" si="88"/>
        <v>10425.29499454183</v>
      </c>
      <c r="U248" s="571">
        <f t="shared" si="89"/>
        <v>8</v>
      </c>
      <c r="V248" s="293">
        <f>IF(U248=1,Adm!$AN$2,0)</f>
        <v>0</v>
      </c>
      <c r="X248" s="341">
        <f t="shared" si="96"/>
        <v>0</v>
      </c>
      <c r="Y248" s="345">
        <f t="shared" ca="1" si="90"/>
        <v>0</v>
      </c>
      <c r="AG248" s="151">
        <f t="shared" ca="1" si="83"/>
        <v>7</v>
      </c>
      <c r="AI248" s="178">
        <f t="shared" si="84"/>
        <v>0</v>
      </c>
      <c r="AJ248" s="178">
        <f t="shared" si="91"/>
        <v>0</v>
      </c>
      <c r="AK248" s="178">
        <f t="shared" si="102"/>
        <v>0</v>
      </c>
      <c r="AL248" s="178">
        <f t="shared" si="103"/>
        <v>0</v>
      </c>
      <c r="AM248" s="351">
        <f>IF(AS247&lt;0.01,0,IF(Resol!$G$19&gt;0,Resol!$G$19,IF(Resol!$F$19=Resol!$U$5,0,IF($AS$10=0,AS247*Adm!$Y$3,AS247*Adm!$X$3))))</f>
        <v>0</v>
      </c>
      <c r="AN248" s="351">
        <f>IF(AS247&lt;0.01,0,IF(Resol!$F$20=Resol!$V$3,0,IF(OR(Resol!$F$10=Resol!$T$16,Resol!$F$10=Resol!$T$17),0,IF(Resol!$F$10=Resol!$T$13,0,$AL$5*Adm!$AA$4/1.16))))</f>
        <v>0</v>
      </c>
      <c r="AO248" s="178">
        <f t="shared" si="97"/>
        <v>0</v>
      </c>
      <c r="AP248" s="178"/>
      <c r="AQ248" s="178">
        <f t="shared" si="85"/>
        <v>0</v>
      </c>
      <c r="AR248" s="178">
        <f t="shared" si="92"/>
        <v>0</v>
      </c>
      <c r="AS248" s="178">
        <f t="shared" si="99"/>
        <v>0</v>
      </c>
      <c r="AT248" s="348"/>
      <c r="AU248" s="348"/>
      <c r="AV248" s="176">
        <f t="shared" si="100"/>
        <v>0</v>
      </c>
      <c r="BB248" s="571">
        <f t="shared" si="93"/>
        <v>8</v>
      </c>
      <c r="BC248" s="293">
        <f>IF(BB248=1,Adm!$AN$2,0)</f>
        <v>0</v>
      </c>
      <c r="BE248" s="341">
        <f t="shared" si="98"/>
        <v>0</v>
      </c>
      <c r="BF248" s="345">
        <f t="shared" ca="1" si="94"/>
        <v>0</v>
      </c>
    </row>
    <row r="249" spans="1:58">
      <c r="A249" s="151">
        <f t="shared" ca="1" si="80"/>
        <v>8</v>
      </c>
      <c r="C249" s="178">
        <f t="shared" si="81"/>
        <v>225</v>
      </c>
      <c r="D249" s="178">
        <f t="shared" si="86"/>
        <v>1139.7327198473133</v>
      </c>
      <c r="E249" s="178">
        <f t="shared" si="101"/>
        <v>8475.5733351305589</v>
      </c>
      <c r="F249" s="178">
        <f t="shared" si="95"/>
        <v>9615.3060549778729</v>
      </c>
      <c r="G249" s="178">
        <f>IF(L248&lt;0.01,0,IF(Adm!$S$3=Adm!$S$13,Cal!$E$94,IF(Adm!$R$3=Adm!$R$6,0,IF(Cal!$E$91=0,L248*Adm!$Y$3,L248*Adm!$X$3))))</f>
        <v>61.905482467496178</v>
      </c>
      <c r="H249" s="178">
        <f>IF(L248&lt;0.01,0,IF(Adm!$R$4=Adm!$R$6,0,IF(Adm!$B$3=Adm!$B$12,0,Cal!$E$89*Adm!$AA$3/1.16)))</f>
        <v>494.46758620689661</v>
      </c>
      <c r="I249" s="178">
        <f>IF(L248&lt;0.01,0,Adm!$O$3)</f>
        <v>250</v>
      </c>
      <c r="J249" s="178">
        <f t="shared" si="82"/>
        <v>10421.679123652266</v>
      </c>
      <c r="K249" s="178">
        <f>IF(Adm!$F$3="si",MIN(L248+D249+G249+H249+I249-J249,Y249),0)</f>
        <v>0</v>
      </c>
      <c r="L249" s="178">
        <f t="shared" si="87"/>
        <v>135490.66496137218</v>
      </c>
      <c r="M249" s="348"/>
      <c r="N249" s="348"/>
      <c r="O249" s="348">
        <f t="shared" si="88"/>
        <v>10421.679123652266</v>
      </c>
      <c r="U249" s="571">
        <f t="shared" si="89"/>
        <v>9</v>
      </c>
      <c r="V249" s="293">
        <f>IF(U249=1,Adm!$AN$2,0)</f>
        <v>0</v>
      </c>
      <c r="X249" s="341">
        <f t="shared" si="96"/>
        <v>0</v>
      </c>
      <c r="Y249" s="345">
        <f t="shared" ca="1" si="90"/>
        <v>0</v>
      </c>
      <c r="AG249" s="151">
        <f t="shared" ca="1" si="83"/>
        <v>8</v>
      </c>
      <c r="AI249" s="178">
        <f t="shared" si="84"/>
        <v>0</v>
      </c>
      <c r="AJ249" s="178">
        <f t="shared" si="91"/>
        <v>0</v>
      </c>
      <c r="AK249" s="178">
        <f t="shared" si="102"/>
        <v>0</v>
      </c>
      <c r="AL249" s="178">
        <f t="shared" si="103"/>
        <v>0</v>
      </c>
      <c r="AM249" s="351">
        <f>IF(AS248&lt;0.01,0,IF(Resol!$G$19&gt;0,Resol!$G$19,IF(Resol!$F$19=Resol!$U$5,0,IF($AS$10=0,AS248*Adm!$Y$3,AS248*Adm!$X$3))))</f>
        <v>0</v>
      </c>
      <c r="AN249" s="351">
        <f>IF(AS248&lt;0.01,0,IF(Resol!$F$20=Resol!$V$3,0,IF(OR(Resol!$F$10=Resol!$T$16,Resol!$F$10=Resol!$T$17),0,IF(Resol!$F$10=Resol!$T$13,0,$AL$5*Adm!$AA$4/1.16))))</f>
        <v>0</v>
      </c>
      <c r="AO249" s="178">
        <f t="shared" si="97"/>
        <v>0</v>
      </c>
      <c r="AP249" s="178"/>
      <c r="AQ249" s="178">
        <f t="shared" si="85"/>
        <v>0</v>
      </c>
      <c r="AR249" s="178">
        <f t="shared" si="92"/>
        <v>0</v>
      </c>
      <c r="AS249" s="178">
        <f t="shared" si="99"/>
        <v>0</v>
      </c>
      <c r="AT249" s="348"/>
      <c r="AU249" s="348"/>
      <c r="AV249" s="176">
        <f t="shared" si="100"/>
        <v>0</v>
      </c>
      <c r="BB249" s="571">
        <f t="shared" si="93"/>
        <v>9</v>
      </c>
      <c r="BC249" s="293">
        <f>IF(BB249=1,Adm!$AN$2,0)</f>
        <v>0</v>
      </c>
      <c r="BE249" s="341">
        <f t="shared" si="98"/>
        <v>0</v>
      </c>
      <c r="BF249" s="345">
        <f t="shared" ca="1" si="94"/>
        <v>0</v>
      </c>
    </row>
    <row r="250" spans="1:58">
      <c r="A250" s="151">
        <f t="shared" ca="1" si="80"/>
        <v>9</v>
      </c>
      <c r="C250" s="178">
        <f t="shared" si="81"/>
        <v>226</v>
      </c>
      <c r="D250" s="178">
        <f t="shared" si="86"/>
        <v>1072.6344309441963</v>
      </c>
      <c r="E250" s="178">
        <f t="shared" si="101"/>
        <v>8542.6716240336773</v>
      </c>
      <c r="F250" s="178">
        <f t="shared" si="95"/>
        <v>9615.3060549778729</v>
      </c>
      <c r="G250" s="178">
        <f>IF(L249&lt;0.01,0,IF(Adm!$S$3=Adm!$S$13,Cal!$E$94,IF(Adm!$R$3=Adm!$R$6,0,IF(Cal!$E$91=0,L249*Adm!$Y$3,L249*Adm!$X$3))))</f>
        <v>58.260985933390039</v>
      </c>
      <c r="H250" s="178">
        <f>IF(L249&lt;0.01,0,IF(Adm!$R$4=Adm!$R$6,0,IF(Adm!$B$3=Adm!$B$12,0,Cal!$E$89*Adm!$AA$3/1.16)))</f>
        <v>494.46758620689661</v>
      </c>
      <c r="I250" s="178">
        <f>IF(L249&lt;0.01,0,Adm!$O$3)</f>
        <v>250</v>
      </c>
      <c r="J250" s="178">
        <f t="shared" si="82"/>
        <v>10418.034627118159</v>
      </c>
      <c r="K250" s="178">
        <f>IF(Adm!$F$3="si",MIN(L249+D250+G250+H250+I250-J250,Y250),0)</f>
        <v>0</v>
      </c>
      <c r="L250" s="178">
        <f t="shared" si="87"/>
        <v>126947.9933373385</v>
      </c>
      <c r="M250" s="348"/>
      <c r="N250" s="348"/>
      <c r="O250" s="348">
        <f t="shared" si="88"/>
        <v>10418.034627118159</v>
      </c>
      <c r="U250" s="571">
        <f t="shared" si="89"/>
        <v>10</v>
      </c>
      <c r="V250" s="293">
        <f>IF(U250=1,Adm!$AN$2,0)</f>
        <v>0</v>
      </c>
      <c r="X250" s="341">
        <f t="shared" si="96"/>
        <v>0</v>
      </c>
      <c r="Y250" s="345">
        <f t="shared" ca="1" si="90"/>
        <v>0</v>
      </c>
      <c r="AG250" s="151">
        <f t="shared" ca="1" si="83"/>
        <v>9</v>
      </c>
      <c r="AI250" s="178">
        <f t="shared" si="84"/>
        <v>0</v>
      </c>
      <c r="AJ250" s="178">
        <f t="shared" si="91"/>
        <v>0</v>
      </c>
      <c r="AK250" s="178">
        <f t="shared" si="102"/>
        <v>0</v>
      </c>
      <c r="AL250" s="178">
        <f t="shared" si="103"/>
        <v>0</v>
      </c>
      <c r="AM250" s="351">
        <f>IF(AS249&lt;0.01,0,IF(Resol!$G$19&gt;0,Resol!$G$19,IF(Resol!$F$19=Resol!$U$5,0,IF($AS$10=0,AS249*Adm!$Y$3,AS249*Adm!$X$3))))</f>
        <v>0</v>
      </c>
      <c r="AN250" s="351">
        <f>IF(AS249&lt;0.01,0,IF(Resol!$F$20=Resol!$V$3,0,IF(OR(Resol!$F$10=Resol!$T$16,Resol!$F$10=Resol!$T$17),0,IF(Resol!$F$10=Resol!$T$13,0,$AL$5*Adm!$AA$4/1.16))))</f>
        <v>0</v>
      </c>
      <c r="AO250" s="178">
        <f t="shared" si="97"/>
        <v>0</v>
      </c>
      <c r="AP250" s="178"/>
      <c r="AQ250" s="178">
        <f t="shared" si="85"/>
        <v>0</v>
      </c>
      <c r="AR250" s="178">
        <f t="shared" si="92"/>
        <v>0</v>
      </c>
      <c r="AS250" s="178">
        <f t="shared" si="99"/>
        <v>0</v>
      </c>
      <c r="AT250" s="348"/>
      <c r="AU250" s="348"/>
      <c r="AV250" s="176">
        <f t="shared" si="100"/>
        <v>0</v>
      </c>
      <c r="BB250" s="571">
        <f t="shared" si="93"/>
        <v>10</v>
      </c>
      <c r="BC250" s="293">
        <f>IF(BB250=1,Adm!$AN$2,0)</f>
        <v>0</v>
      </c>
      <c r="BE250" s="341">
        <f t="shared" si="98"/>
        <v>0</v>
      </c>
      <c r="BF250" s="345">
        <f t="shared" ca="1" si="94"/>
        <v>0</v>
      </c>
    </row>
    <row r="251" spans="1:58">
      <c r="A251" s="151">
        <f t="shared" ca="1" si="80"/>
        <v>10</v>
      </c>
      <c r="C251" s="178">
        <f t="shared" si="81"/>
        <v>227</v>
      </c>
      <c r="D251" s="178">
        <f t="shared" si="86"/>
        <v>1005.0049472539298</v>
      </c>
      <c r="E251" s="178">
        <f t="shared" si="101"/>
        <v>8610.3011077239426</v>
      </c>
      <c r="F251" s="178">
        <f t="shared" si="95"/>
        <v>9615.3060549778729</v>
      </c>
      <c r="G251" s="178">
        <f>IF(L250&lt;0.01,0,IF(Adm!$S$3=Adm!$S$13,Cal!$E$94,IF(Adm!$R$3=Adm!$R$6,0,IF(Cal!$E$91=0,L250*Adm!$Y$3,L250*Adm!$X$3))))</f>
        <v>54.587637135055552</v>
      </c>
      <c r="H251" s="178">
        <f>IF(L250&lt;0.01,0,IF(Adm!$R$4=Adm!$R$6,0,IF(Adm!$B$3=Adm!$B$12,0,Cal!$E$89*Adm!$AA$3/1.16)))</f>
        <v>494.46758620689661</v>
      </c>
      <c r="I251" s="178">
        <f>IF(L250&lt;0.01,0,Adm!$O$3)</f>
        <v>250</v>
      </c>
      <c r="J251" s="178">
        <f t="shared" si="82"/>
        <v>10414.361278319824</v>
      </c>
      <c r="K251" s="178">
        <f>IF(Adm!$F$3="si",MIN(L250+D251+G251+H251+I251-J251,Y251),0)</f>
        <v>0</v>
      </c>
      <c r="L251" s="178">
        <f t="shared" si="87"/>
        <v>118337.69222961456</v>
      </c>
      <c r="M251" s="348"/>
      <c r="N251" s="348"/>
      <c r="O251" s="348">
        <f t="shared" si="88"/>
        <v>10414.361278319824</v>
      </c>
      <c r="U251" s="571">
        <f t="shared" si="89"/>
        <v>11</v>
      </c>
      <c r="V251" s="293">
        <f>IF(U251=1,Adm!$AN$2,0)</f>
        <v>0</v>
      </c>
      <c r="X251" s="341">
        <f t="shared" si="96"/>
        <v>0</v>
      </c>
      <c r="Y251" s="345">
        <f t="shared" ca="1" si="90"/>
        <v>0</v>
      </c>
      <c r="AG251" s="151">
        <f t="shared" ca="1" si="83"/>
        <v>10</v>
      </c>
      <c r="AI251" s="178">
        <f t="shared" si="84"/>
        <v>0</v>
      </c>
      <c r="AJ251" s="178">
        <f t="shared" si="91"/>
        <v>0</v>
      </c>
      <c r="AK251" s="178">
        <f t="shared" si="102"/>
        <v>0</v>
      </c>
      <c r="AL251" s="178">
        <f t="shared" si="103"/>
        <v>0</v>
      </c>
      <c r="AM251" s="351">
        <f>IF(AS250&lt;0.01,0,IF(Resol!$G$19&gt;0,Resol!$G$19,IF(Resol!$F$19=Resol!$U$5,0,IF($AS$10=0,AS250*Adm!$Y$3,AS250*Adm!$X$3))))</f>
        <v>0</v>
      </c>
      <c r="AN251" s="351">
        <f>IF(AS250&lt;0.01,0,IF(Resol!$F$20=Resol!$V$3,0,IF(OR(Resol!$F$10=Resol!$T$16,Resol!$F$10=Resol!$T$17),0,IF(Resol!$F$10=Resol!$T$13,0,$AL$5*Adm!$AA$4/1.16))))</f>
        <v>0</v>
      </c>
      <c r="AO251" s="178">
        <f t="shared" si="97"/>
        <v>0</v>
      </c>
      <c r="AP251" s="178"/>
      <c r="AQ251" s="178">
        <f t="shared" si="85"/>
        <v>0</v>
      </c>
      <c r="AR251" s="178">
        <f t="shared" si="92"/>
        <v>0</v>
      </c>
      <c r="AS251" s="178">
        <f t="shared" si="99"/>
        <v>0</v>
      </c>
      <c r="AT251" s="348"/>
      <c r="AU251" s="348"/>
      <c r="AV251" s="176">
        <f t="shared" si="100"/>
        <v>0</v>
      </c>
      <c r="BB251" s="571">
        <f t="shared" si="93"/>
        <v>11</v>
      </c>
      <c r="BC251" s="293">
        <f>IF(BB251=1,Adm!$AN$2,0)</f>
        <v>0</v>
      </c>
      <c r="BE251" s="341">
        <f t="shared" si="98"/>
        <v>0</v>
      </c>
      <c r="BF251" s="345">
        <f t="shared" ca="1" si="94"/>
        <v>0</v>
      </c>
    </row>
    <row r="252" spans="1:58">
      <c r="A252" s="151">
        <f t="shared" ca="1" si="80"/>
        <v>11</v>
      </c>
      <c r="C252" s="178">
        <f t="shared" si="81"/>
        <v>228</v>
      </c>
      <c r="D252" s="178">
        <f t="shared" si="86"/>
        <v>936.84006348444871</v>
      </c>
      <c r="E252" s="178">
        <f t="shared" si="101"/>
        <v>8678.4659914934236</v>
      </c>
      <c r="F252" s="178">
        <f t="shared" si="95"/>
        <v>9615.3060549778729</v>
      </c>
      <c r="G252" s="178">
        <f>IF(L251&lt;0.01,0,IF(Adm!$S$3=Adm!$S$13,Cal!$E$94,IF(Adm!$R$3=Adm!$R$6,0,IF(Cal!$E$91=0,L251*Adm!$Y$3,L251*Adm!$X$3))))</f>
        <v>50.885207658734259</v>
      </c>
      <c r="H252" s="178">
        <f>IF(L251&lt;0.01,0,IF(Adm!$R$4=Adm!$R$6,0,IF(Adm!$B$3=Adm!$B$12,0,Cal!$E$89*Adm!$AA$3/1.16)))</f>
        <v>494.46758620689661</v>
      </c>
      <c r="I252" s="178">
        <f>IF(L251&lt;0.01,0,Adm!$O$3)</f>
        <v>250</v>
      </c>
      <c r="J252" s="178">
        <f t="shared" si="82"/>
        <v>10410.658848843503</v>
      </c>
      <c r="K252" s="178">
        <f>IF(Adm!$F$3="si",MIN(L251+D252+G252+H252+I252-J252,Y252),0)</f>
        <v>0</v>
      </c>
      <c r="L252" s="178">
        <f t="shared" si="87"/>
        <v>109659.22623812113</v>
      </c>
      <c r="M252" s="348"/>
      <c r="N252" s="348"/>
      <c r="O252" s="348">
        <f t="shared" si="88"/>
        <v>10410.658848843503</v>
      </c>
      <c r="U252" s="571">
        <f t="shared" si="89"/>
        <v>12</v>
      </c>
      <c r="V252" s="293">
        <f>IF(U252=1,Adm!$AN$2,0)</f>
        <v>0</v>
      </c>
      <c r="X252" s="341">
        <f t="shared" si="96"/>
        <v>0</v>
      </c>
      <c r="Y252" s="345">
        <f t="shared" ca="1" si="90"/>
        <v>0</v>
      </c>
      <c r="AG252" s="151">
        <f t="shared" ca="1" si="83"/>
        <v>11</v>
      </c>
      <c r="AI252" s="178">
        <f t="shared" si="84"/>
        <v>0</v>
      </c>
      <c r="AJ252" s="178">
        <f t="shared" si="91"/>
        <v>0</v>
      </c>
      <c r="AK252" s="178">
        <f t="shared" si="102"/>
        <v>0</v>
      </c>
      <c r="AL252" s="178">
        <f t="shared" si="103"/>
        <v>0</v>
      </c>
      <c r="AM252" s="351">
        <f>IF(AS251&lt;0.01,0,IF(Resol!$G$19&gt;0,Resol!$G$19,IF(Resol!$F$19=Resol!$U$5,0,IF($AS$10=0,AS251*Adm!$Y$3,AS251*Adm!$X$3))))</f>
        <v>0</v>
      </c>
      <c r="AN252" s="351">
        <f>IF(AS251&lt;0.01,0,IF(Resol!$F$20=Resol!$V$3,0,IF(OR(Resol!$F$10=Resol!$T$16,Resol!$F$10=Resol!$T$17),0,IF(Resol!$F$10=Resol!$T$13,0,$AL$5*Adm!$AA$4/1.16))))</f>
        <v>0</v>
      </c>
      <c r="AO252" s="178">
        <f t="shared" si="97"/>
        <v>0</v>
      </c>
      <c r="AP252" s="178"/>
      <c r="AQ252" s="178">
        <f t="shared" si="85"/>
        <v>0</v>
      </c>
      <c r="AR252" s="178">
        <f t="shared" si="92"/>
        <v>0</v>
      </c>
      <c r="AS252" s="178">
        <f t="shared" si="99"/>
        <v>0</v>
      </c>
      <c r="AT252" s="348"/>
      <c r="AU252" s="348"/>
      <c r="AV252" s="176">
        <f t="shared" si="100"/>
        <v>0</v>
      </c>
      <c r="BB252" s="571">
        <f t="shared" si="93"/>
        <v>12</v>
      </c>
      <c r="BC252" s="293">
        <f>IF(BB252=1,Adm!$AN$2,0)</f>
        <v>0</v>
      </c>
      <c r="BE252" s="341">
        <f t="shared" si="98"/>
        <v>0</v>
      </c>
      <c r="BF252" s="345">
        <f t="shared" ca="1" si="94"/>
        <v>0</v>
      </c>
    </row>
    <row r="253" spans="1:58">
      <c r="A253" s="151">
        <f t="shared" ca="1" si="80"/>
        <v>12</v>
      </c>
      <c r="C253" s="178">
        <f t="shared" si="81"/>
        <v>229</v>
      </c>
      <c r="D253" s="178">
        <f t="shared" si="86"/>
        <v>868.1355410517923</v>
      </c>
      <c r="E253" s="178">
        <f t="shared" si="101"/>
        <v>8747.1705139260812</v>
      </c>
      <c r="F253" s="178">
        <f t="shared" si="95"/>
        <v>9615.3060549778729</v>
      </c>
      <c r="G253" s="178">
        <f>IF(L252&lt;0.01,0,IF(Adm!$S$3=Adm!$S$13,Cal!$E$94,IF(Adm!$R$3=Adm!$R$6,0,IF(Cal!$E$91=0,L252*Adm!$Y$3,L252*Adm!$X$3))))</f>
        <v>47.153467282392086</v>
      </c>
      <c r="H253" s="178">
        <f>IF(L252&lt;0.01,0,IF(Adm!$R$4=Adm!$R$6,0,IF(Adm!$B$3=Adm!$B$12,0,Cal!$E$89*Adm!$AA$3/1.16)))</f>
        <v>494.46758620689661</v>
      </c>
      <c r="I253" s="178">
        <f>IF(L252&lt;0.01,0,Adm!$O$3)</f>
        <v>250</v>
      </c>
      <c r="J253" s="178">
        <f t="shared" si="82"/>
        <v>10406.927108467162</v>
      </c>
      <c r="K253" s="178">
        <f>IF(Adm!$F$3="si",MIN(L252+D253+G253+H253+I253-J253,Y253),0)</f>
        <v>0</v>
      </c>
      <c r="L253" s="178">
        <f t="shared" si="87"/>
        <v>100912.05572419506</v>
      </c>
      <c r="M253" s="348"/>
      <c r="N253" s="348"/>
      <c r="O253" s="348">
        <f t="shared" si="88"/>
        <v>10406.927108467162</v>
      </c>
      <c r="U253" s="571">
        <f t="shared" si="89"/>
        <v>1</v>
      </c>
      <c r="V253" s="293">
        <f>IF(U253=1,Adm!$AN$2,0)</f>
        <v>0</v>
      </c>
      <c r="X253" s="341">
        <f t="shared" si="96"/>
        <v>0</v>
      </c>
      <c r="Y253" s="345">
        <f t="shared" ca="1" si="90"/>
        <v>0</v>
      </c>
      <c r="AG253" s="151">
        <f t="shared" ca="1" si="83"/>
        <v>12</v>
      </c>
      <c r="AI253" s="178">
        <f t="shared" si="84"/>
        <v>0</v>
      </c>
      <c r="AJ253" s="178">
        <f t="shared" si="91"/>
        <v>0</v>
      </c>
      <c r="AK253" s="178">
        <f t="shared" si="102"/>
        <v>0</v>
      </c>
      <c r="AL253" s="178">
        <f t="shared" si="103"/>
        <v>0</v>
      </c>
      <c r="AM253" s="351">
        <f>IF(AS252&lt;0.01,0,IF(Resol!$G$19&gt;0,Resol!$G$19,IF(Resol!$F$19=Resol!$U$5,0,IF($AS$10=0,AS252*Adm!$Y$3,AS252*Adm!$X$3))))</f>
        <v>0</v>
      </c>
      <c r="AN253" s="351">
        <f>IF(AS252&lt;0.01,0,IF(Resol!$F$20=Resol!$V$3,0,IF(OR(Resol!$F$10=Resol!$T$16,Resol!$F$10=Resol!$T$17),0,IF(Resol!$F$10=Resol!$T$13,0,$AL$5*Adm!$AA$4/1.16))))</f>
        <v>0</v>
      </c>
      <c r="AO253" s="178">
        <f t="shared" si="97"/>
        <v>0</v>
      </c>
      <c r="AP253" s="178"/>
      <c r="AQ253" s="178">
        <f t="shared" si="85"/>
        <v>0</v>
      </c>
      <c r="AR253" s="178">
        <f t="shared" si="92"/>
        <v>0</v>
      </c>
      <c r="AS253" s="178">
        <f t="shared" si="99"/>
        <v>0</v>
      </c>
      <c r="AT253" s="348"/>
      <c r="AU253" s="348"/>
      <c r="AV253" s="176">
        <f t="shared" si="100"/>
        <v>0</v>
      </c>
      <c r="BB253" s="571">
        <f t="shared" si="93"/>
        <v>1</v>
      </c>
      <c r="BC253" s="293">
        <f>IF(BB253=1,Adm!$AN$2,0)</f>
        <v>0</v>
      </c>
      <c r="BE253" s="341">
        <f t="shared" si="98"/>
        <v>0</v>
      </c>
      <c r="BF253" s="345">
        <f t="shared" ca="1" si="94"/>
        <v>0</v>
      </c>
    </row>
    <row r="254" spans="1:58">
      <c r="A254" s="151">
        <f t="shared" ca="1" si="80"/>
        <v>1</v>
      </c>
      <c r="C254" s="178">
        <f t="shared" si="81"/>
        <v>230</v>
      </c>
      <c r="D254" s="178">
        <f t="shared" si="86"/>
        <v>798.88710781654424</v>
      </c>
      <c r="E254" s="178">
        <f t="shared" si="101"/>
        <v>8816.4189471613281</v>
      </c>
      <c r="F254" s="178">
        <f t="shared" si="95"/>
        <v>9615.3060549778729</v>
      </c>
      <c r="G254" s="178">
        <f>IF(L253&lt;0.01,0,IF(Adm!$S$3=Adm!$S$13,Cal!$E$94,IF(Adm!$R$3=Adm!$R$6,0,IF(Cal!$E$91=0,L253*Adm!$Y$3,L253*Adm!$X$3))))</f>
        <v>43.392183961403873</v>
      </c>
      <c r="H254" s="178">
        <f>IF(L253&lt;0.01,0,IF(Adm!$R$4=Adm!$R$6,0,IF(Adm!$B$3=Adm!$B$12,0,Cal!$E$89*Adm!$AA$3/1.16)))</f>
        <v>494.46758620689661</v>
      </c>
      <c r="I254" s="178">
        <f>IF(L253&lt;0.01,0,Adm!$O$3)</f>
        <v>250</v>
      </c>
      <c r="J254" s="178">
        <f t="shared" si="82"/>
        <v>10403.165825146172</v>
      </c>
      <c r="K254" s="178">
        <f>IF(Adm!$F$3="si",MIN(L253+D254+G254+H254+I254-J254,Y254),0)</f>
        <v>0</v>
      </c>
      <c r="L254" s="178">
        <f t="shared" si="87"/>
        <v>92095.636777033738</v>
      </c>
      <c r="M254" s="348"/>
      <c r="N254" s="348"/>
      <c r="O254" s="348">
        <f t="shared" si="88"/>
        <v>10403.165825146172</v>
      </c>
      <c r="U254" s="571">
        <f t="shared" si="89"/>
        <v>2</v>
      </c>
      <c r="V254" s="293">
        <f>IF(U254=1,Adm!$AN$2,0)</f>
        <v>0</v>
      </c>
      <c r="X254" s="341">
        <f t="shared" si="96"/>
        <v>0</v>
      </c>
      <c r="Y254" s="345">
        <f t="shared" ca="1" si="90"/>
        <v>0</v>
      </c>
      <c r="AG254" s="151">
        <f t="shared" ca="1" si="83"/>
        <v>1</v>
      </c>
      <c r="AI254" s="178">
        <f t="shared" si="84"/>
        <v>0</v>
      </c>
      <c r="AJ254" s="178">
        <f t="shared" si="91"/>
        <v>0</v>
      </c>
      <c r="AK254" s="178">
        <f t="shared" si="102"/>
        <v>0</v>
      </c>
      <c r="AL254" s="178">
        <f t="shared" si="103"/>
        <v>0</v>
      </c>
      <c r="AM254" s="351">
        <f>IF(AS253&lt;0.01,0,IF(Resol!$G$19&gt;0,Resol!$G$19,IF(Resol!$F$19=Resol!$U$5,0,IF($AS$10=0,AS253*Adm!$Y$3,AS253*Adm!$X$3))))</f>
        <v>0</v>
      </c>
      <c r="AN254" s="351">
        <f>IF(AS253&lt;0.01,0,IF(Resol!$F$20=Resol!$V$3,0,IF(OR(Resol!$F$10=Resol!$T$16,Resol!$F$10=Resol!$T$17),0,IF(Resol!$F$10=Resol!$T$13,0,$AL$5*Adm!$AA$4/1.16))))</f>
        <v>0</v>
      </c>
      <c r="AO254" s="178">
        <f t="shared" si="97"/>
        <v>0</v>
      </c>
      <c r="AP254" s="178"/>
      <c r="AQ254" s="178">
        <f t="shared" si="85"/>
        <v>0</v>
      </c>
      <c r="AR254" s="178">
        <f t="shared" si="92"/>
        <v>0</v>
      </c>
      <c r="AS254" s="178">
        <f t="shared" si="99"/>
        <v>0</v>
      </c>
      <c r="AT254" s="348"/>
      <c r="AU254" s="348"/>
      <c r="AV254" s="176">
        <f t="shared" si="100"/>
        <v>0</v>
      </c>
      <c r="BB254" s="571">
        <f t="shared" si="93"/>
        <v>2</v>
      </c>
      <c r="BC254" s="293">
        <f>IF(BB254=1,Adm!$AN$2,0)</f>
        <v>0</v>
      </c>
      <c r="BE254" s="341">
        <f t="shared" si="98"/>
        <v>0</v>
      </c>
      <c r="BF254" s="345">
        <f t="shared" ca="1" si="94"/>
        <v>0</v>
      </c>
    </row>
    <row r="255" spans="1:58">
      <c r="A255" s="151">
        <f t="shared" ca="1" si="80"/>
        <v>2</v>
      </c>
      <c r="C255" s="178">
        <f t="shared" si="81"/>
        <v>231</v>
      </c>
      <c r="D255" s="178">
        <f t="shared" si="86"/>
        <v>729.09045781818384</v>
      </c>
      <c r="E255" s="178">
        <f t="shared" si="101"/>
        <v>8886.2155971596894</v>
      </c>
      <c r="F255" s="178">
        <f t="shared" si="95"/>
        <v>9615.3060549778729</v>
      </c>
      <c r="G255" s="178">
        <f>IF(L254&lt;0.01,0,IF(Adm!$S$3=Adm!$S$13,Cal!$E$94,IF(Adm!$R$3=Adm!$R$6,0,IF(Cal!$E$91=0,L254*Adm!$Y$3,L254*Adm!$X$3))))</f>
        <v>39.601123814124506</v>
      </c>
      <c r="H255" s="178">
        <f>IF(L254&lt;0.01,0,IF(Adm!$R$4=Adm!$R$6,0,IF(Adm!$B$3=Adm!$B$12,0,Cal!$E$89*Adm!$AA$3/1.16)))</f>
        <v>494.46758620689661</v>
      </c>
      <c r="I255" s="178">
        <f>IF(L254&lt;0.01,0,Adm!$O$3)</f>
        <v>250</v>
      </c>
      <c r="J255" s="178">
        <f t="shared" si="82"/>
        <v>10399.374764998893</v>
      </c>
      <c r="K255" s="178">
        <f>IF(Adm!$F$3="si",MIN(L254+D255+G255+H255+I255-J255,Y255),0)</f>
        <v>0</v>
      </c>
      <c r="L255" s="178">
        <f t="shared" si="87"/>
        <v>83209.421179874043</v>
      </c>
      <c r="M255" s="348"/>
      <c r="N255" s="348"/>
      <c r="O255" s="348">
        <f t="shared" si="88"/>
        <v>10399.374764998893</v>
      </c>
      <c r="U255" s="571">
        <f t="shared" si="89"/>
        <v>3</v>
      </c>
      <c r="V255" s="293">
        <f>IF(U255=1,Adm!$AN$2,0)</f>
        <v>0</v>
      </c>
      <c r="X255" s="341">
        <f t="shared" si="96"/>
        <v>0</v>
      </c>
      <c r="Y255" s="345">
        <f t="shared" ca="1" si="90"/>
        <v>0</v>
      </c>
      <c r="AG255" s="151">
        <f t="shared" ca="1" si="83"/>
        <v>2</v>
      </c>
      <c r="AI255" s="178">
        <f t="shared" si="84"/>
        <v>0</v>
      </c>
      <c r="AJ255" s="178">
        <f t="shared" si="91"/>
        <v>0</v>
      </c>
      <c r="AK255" s="178">
        <f t="shared" si="102"/>
        <v>0</v>
      </c>
      <c r="AL255" s="178">
        <f t="shared" si="103"/>
        <v>0</v>
      </c>
      <c r="AM255" s="351">
        <f>IF(AS254&lt;0.01,0,IF(Resol!$G$19&gt;0,Resol!$G$19,IF(Resol!$F$19=Resol!$U$5,0,IF($AS$10=0,AS254*Adm!$Y$3,AS254*Adm!$X$3))))</f>
        <v>0</v>
      </c>
      <c r="AN255" s="351">
        <f>IF(AS254&lt;0.01,0,IF(Resol!$F$20=Resol!$V$3,0,IF(OR(Resol!$F$10=Resol!$T$16,Resol!$F$10=Resol!$T$17),0,IF(Resol!$F$10=Resol!$T$13,0,$AL$5*Adm!$AA$4/1.16))))</f>
        <v>0</v>
      </c>
      <c r="AO255" s="178">
        <f t="shared" si="97"/>
        <v>0</v>
      </c>
      <c r="AP255" s="178"/>
      <c r="AQ255" s="178">
        <f t="shared" si="85"/>
        <v>0</v>
      </c>
      <c r="AR255" s="178">
        <f t="shared" si="92"/>
        <v>0</v>
      </c>
      <c r="AS255" s="178">
        <f t="shared" si="99"/>
        <v>0</v>
      </c>
      <c r="AT255" s="348"/>
      <c r="AU255" s="348"/>
      <c r="AV255" s="176">
        <f t="shared" si="100"/>
        <v>0</v>
      </c>
      <c r="BB255" s="571">
        <f t="shared" si="93"/>
        <v>3</v>
      </c>
      <c r="BC255" s="293">
        <f>IF(BB255=1,Adm!$AN$2,0)</f>
        <v>0</v>
      </c>
      <c r="BE255" s="341">
        <f t="shared" si="98"/>
        <v>0</v>
      </c>
      <c r="BF255" s="345">
        <f t="shared" ca="1" si="94"/>
        <v>0</v>
      </c>
    </row>
    <row r="256" spans="1:58">
      <c r="A256" s="151">
        <f t="shared" ca="1" si="80"/>
        <v>3</v>
      </c>
      <c r="C256" s="178">
        <f t="shared" si="81"/>
        <v>232</v>
      </c>
      <c r="D256" s="178">
        <f t="shared" si="86"/>
        <v>658.74125100733625</v>
      </c>
      <c r="E256" s="178">
        <f t="shared" si="101"/>
        <v>8956.5648039705375</v>
      </c>
      <c r="F256" s="178">
        <f t="shared" si="95"/>
        <v>9615.3060549778729</v>
      </c>
      <c r="G256" s="178">
        <f>IF(L255&lt;0.01,0,IF(Adm!$S$3=Adm!$S$13,Cal!$E$94,IF(Adm!$R$3=Adm!$R$6,0,IF(Cal!$E$91=0,L255*Adm!$Y$3,L255*Adm!$X$3))))</f>
        <v>35.780051107345841</v>
      </c>
      <c r="H256" s="178">
        <f>IF(L255&lt;0.01,0,IF(Adm!$R$4=Adm!$R$6,0,IF(Adm!$B$3=Adm!$B$12,0,Cal!$E$89*Adm!$AA$3/1.16)))</f>
        <v>494.46758620689661</v>
      </c>
      <c r="I256" s="178">
        <f>IF(L255&lt;0.01,0,Adm!$O$3)</f>
        <v>250</v>
      </c>
      <c r="J256" s="178">
        <f t="shared" si="82"/>
        <v>10395.553692292115</v>
      </c>
      <c r="K256" s="178">
        <f>IF(Adm!$F$3="si",MIN(L255+D256+G256+H256+I256-J256,Y256),0)</f>
        <v>0</v>
      </c>
      <c r="L256" s="178">
        <f t="shared" si="87"/>
        <v>74252.856375903502</v>
      </c>
      <c r="M256" s="348"/>
      <c r="N256" s="348"/>
      <c r="O256" s="348">
        <f t="shared" si="88"/>
        <v>10395.553692292115</v>
      </c>
      <c r="U256" s="571">
        <f t="shared" si="89"/>
        <v>4</v>
      </c>
      <c r="V256" s="293">
        <f>IF(U256=1,Adm!$AN$2,0)</f>
        <v>0</v>
      </c>
      <c r="X256" s="341">
        <f t="shared" si="96"/>
        <v>0</v>
      </c>
      <c r="Y256" s="345">
        <f t="shared" ca="1" si="90"/>
        <v>0</v>
      </c>
      <c r="AG256" s="151">
        <f t="shared" ca="1" si="83"/>
        <v>3</v>
      </c>
      <c r="AI256" s="178">
        <f t="shared" si="84"/>
        <v>0</v>
      </c>
      <c r="AJ256" s="178">
        <f t="shared" si="91"/>
        <v>0</v>
      </c>
      <c r="AK256" s="178">
        <f t="shared" si="102"/>
        <v>0</v>
      </c>
      <c r="AL256" s="178">
        <f t="shared" si="103"/>
        <v>0</v>
      </c>
      <c r="AM256" s="351">
        <f>IF(AS255&lt;0.01,0,IF(Resol!$G$19&gt;0,Resol!$G$19,IF(Resol!$F$19=Resol!$U$5,0,IF($AS$10=0,AS255*Adm!$Y$3,AS255*Adm!$X$3))))</f>
        <v>0</v>
      </c>
      <c r="AN256" s="351">
        <f>IF(AS255&lt;0.01,0,IF(Resol!$F$20=Resol!$V$3,0,IF(OR(Resol!$F$10=Resol!$T$16,Resol!$F$10=Resol!$T$17),0,IF(Resol!$F$10=Resol!$T$13,0,$AL$5*Adm!$AA$4/1.16))))</f>
        <v>0</v>
      </c>
      <c r="AO256" s="178">
        <f t="shared" si="97"/>
        <v>0</v>
      </c>
      <c r="AP256" s="178"/>
      <c r="AQ256" s="178">
        <f t="shared" si="85"/>
        <v>0</v>
      </c>
      <c r="AR256" s="178">
        <f t="shared" si="92"/>
        <v>0</v>
      </c>
      <c r="AS256" s="178">
        <f t="shared" si="99"/>
        <v>0</v>
      </c>
      <c r="AT256" s="348"/>
      <c r="AU256" s="348"/>
      <c r="AV256" s="176">
        <f t="shared" si="100"/>
        <v>0</v>
      </c>
      <c r="BB256" s="571">
        <f t="shared" si="93"/>
        <v>4</v>
      </c>
      <c r="BC256" s="293">
        <f>IF(BB256=1,Adm!$AN$2,0)</f>
        <v>0</v>
      </c>
      <c r="BE256" s="341">
        <f t="shared" si="98"/>
        <v>0</v>
      </c>
      <c r="BF256" s="345">
        <f t="shared" ca="1" si="94"/>
        <v>0</v>
      </c>
    </row>
    <row r="257" spans="1:59">
      <c r="A257" s="151">
        <f t="shared" ca="1" si="80"/>
        <v>4</v>
      </c>
      <c r="C257" s="178">
        <f t="shared" si="81"/>
        <v>233</v>
      </c>
      <c r="D257" s="178">
        <f t="shared" si="86"/>
        <v>587.83511297590269</v>
      </c>
      <c r="E257" s="178">
        <f t="shared" si="101"/>
        <v>9027.4709420019699</v>
      </c>
      <c r="F257" s="178">
        <f t="shared" si="95"/>
        <v>9615.3060549778729</v>
      </c>
      <c r="G257" s="178">
        <f>IF(L256&lt;0.01,0,IF(Adm!$S$3=Adm!$S$13,Cal!$E$94,IF(Adm!$R$3=Adm!$R$6,0,IF(Cal!$E$91=0,L256*Adm!$Y$3,L256*Adm!$X$3))))</f>
        <v>31.928728241638506</v>
      </c>
      <c r="H257" s="178">
        <f>IF(L256&lt;0.01,0,IF(Adm!$R$4=Adm!$R$6,0,IF(Adm!$B$3=Adm!$B$12,0,Cal!$E$89*Adm!$AA$3/1.16)))</f>
        <v>494.46758620689661</v>
      </c>
      <c r="I257" s="178">
        <f>IF(L256&lt;0.01,0,Adm!$O$3)</f>
        <v>250</v>
      </c>
      <c r="J257" s="178">
        <f t="shared" si="82"/>
        <v>10391.702369426408</v>
      </c>
      <c r="K257" s="178">
        <f>IF(Adm!$F$3="si",MIN(L256+D257+G257+H257+I257-J257,Y257),0)</f>
        <v>0</v>
      </c>
      <c r="L257" s="178">
        <f t="shared" si="87"/>
        <v>65225.385433901531</v>
      </c>
      <c r="M257" s="348"/>
      <c r="N257" s="348"/>
      <c r="O257" s="348">
        <f t="shared" si="88"/>
        <v>10391.702369426408</v>
      </c>
      <c r="U257" s="571">
        <f t="shared" si="89"/>
        <v>5</v>
      </c>
      <c r="V257" s="293">
        <f>IF(U257=1,Adm!$AN$2,0)</f>
        <v>0</v>
      </c>
      <c r="X257" s="341">
        <f t="shared" si="96"/>
        <v>0</v>
      </c>
      <c r="Y257" s="345">
        <f t="shared" ca="1" si="90"/>
        <v>0</v>
      </c>
      <c r="AG257" s="151">
        <f t="shared" ca="1" si="83"/>
        <v>4</v>
      </c>
      <c r="AI257" s="178">
        <f t="shared" si="84"/>
        <v>0</v>
      </c>
      <c r="AJ257" s="178">
        <f t="shared" si="91"/>
        <v>0</v>
      </c>
      <c r="AK257" s="178">
        <f t="shared" si="102"/>
        <v>0</v>
      </c>
      <c r="AL257" s="178">
        <f t="shared" si="103"/>
        <v>0</v>
      </c>
      <c r="AM257" s="351">
        <f>IF(AS256&lt;0.01,0,IF(Resol!$G$19&gt;0,Resol!$G$19,IF(Resol!$F$19=Resol!$U$5,0,IF($AS$10=0,AS256*Adm!$Y$3,AS256*Adm!$X$3))))</f>
        <v>0</v>
      </c>
      <c r="AN257" s="351">
        <f>IF(AS256&lt;0.01,0,IF(Resol!$F$20=Resol!$V$3,0,IF(OR(Resol!$F$10=Resol!$T$16,Resol!$F$10=Resol!$T$17),0,IF(Resol!$F$10=Resol!$T$13,0,$AL$5*Adm!$AA$4/1.16))))</f>
        <v>0</v>
      </c>
      <c r="AO257" s="178">
        <f t="shared" si="97"/>
        <v>0</v>
      </c>
      <c r="AP257" s="178"/>
      <c r="AQ257" s="178">
        <f t="shared" si="85"/>
        <v>0</v>
      </c>
      <c r="AR257" s="178">
        <f t="shared" si="92"/>
        <v>0</v>
      </c>
      <c r="AS257" s="178">
        <f t="shared" si="99"/>
        <v>0</v>
      </c>
      <c r="AT257" s="348"/>
      <c r="AU257" s="348"/>
      <c r="AV257" s="176">
        <f t="shared" si="100"/>
        <v>0</v>
      </c>
      <c r="BB257" s="571">
        <f t="shared" si="93"/>
        <v>5</v>
      </c>
      <c r="BC257" s="293">
        <f>IF(BB257=1,Adm!$AN$2,0)</f>
        <v>0</v>
      </c>
      <c r="BE257" s="341">
        <f t="shared" si="98"/>
        <v>0</v>
      </c>
      <c r="BF257" s="345">
        <f t="shared" ca="1" si="94"/>
        <v>0</v>
      </c>
    </row>
    <row r="258" spans="1:59">
      <c r="A258" s="151">
        <f t="shared" ca="1" si="80"/>
        <v>5</v>
      </c>
      <c r="C258" s="178">
        <f t="shared" si="81"/>
        <v>234</v>
      </c>
      <c r="D258" s="178">
        <f t="shared" si="86"/>
        <v>516.36763468505376</v>
      </c>
      <c r="E258" s="178">
        <f t="shared" si="101"/>
        <v>9098.9384202928195</v>
      </c>
      <c r="F258" s="178">
        <f t="shared" si="95"/>
        <v>9615.3060549778729</v>
      </c>
      <c r="G258" s="178">
        <f>IF(L257&lt;0.01,0,IF(Adm!$S$3=Adm!$S$13,Cal!$E$94,IF(Adm!$R$3=Adm!$R$6,0,IF(Cal!$E$91=0,L257*Adm!$Y$3,L257*Adm!$X$3))))</f>
        <v>28.046915736577656</v>
      </c>
      <c r="H258" s="178">
        <f>IF(L257&lt;0.01,0,IF(Adm!$R$4=Adm!$R$6,0,IF(Adm!$B$3=Adm!$B$12,0,Cal!$E$89*Adm!$AA$3/1.16)))</f>
        <v>494.46758620689661</v>
      </c>
      <c r="I258" s="178">
        <f>IF(L257&lt;0.01,0,Adm!$O$3)</f>
        <v>250</v>
      </c>
      <c r="J258" s="178">
        <f t="shared" si="82"/>
        <v>10387.820556921346</v>
      </c>
      <c r="K258" s="178">
        <f>IF(Adm!$F$3="si",MIN(L257+D258+G258+H258+I258-J258,Y258),0)</f>
        <v>0</v>
      </c>
      <c r="L258" s="178">
        <f t="shared" si="87"/>
        <v>56126.447013608711</v>
      </c>
      <c r="M258" s="348"/>
      <c r="N258" s="348"/>
      <c r="O258" s="348">
        <f t="shared" si="88"/>
        <v>10387.820556921346</v>
      </c>
      <c r="U258" s="571">
        <f t="shared" si="89"/>
        <v>6</v>
      </c>
      <c r="V258" s="293">
        <f>IF(U258=1,Adm!$AN$2,0)</f>
        <v>0</v>
      </c>
      <c r="X258" s="341">
        <f t="shared" si="96"/>
        <v>0</v>
      </c>
      <c r="Y258" s="345">
        <f t="shared" ca="1" si="90"/>
        <v>0</v>
      </c>
      <c r="AG258" s="151">
        <f t="shared" ca="1" si="83"/>
        <v>5</v>
      </c>
      <c r="AI258" s="178">
        <f t="shared" si="84"/>
        <v>0</v>
      </c>
      <c r="AJ258" s="178">
        <f t="shared" si="91"/>
        <v>0</v>
      </c>
      <c r="AK258" s="178">
        <f t="shared" si="102"/>
        <v>0</v>
      </c>
      <c r="AL258" s="178">
        <f t="shared" si="103"/>
        <v>0</v>
      </c>
      <c r="AM258" s="351">
        <f>IF(AS257&lt;0.01,0,IF(Resol!$G$19&gt;0,Resol!$G$19,IF(Resol!$F$19=Resol!$U$5,0,IF($AS$10=0,AS257*Adm!$Y$3,AS257*Adm!$X$3))))</f>
        <v>0</v>
      </c>
      <c r="AN258" s="351">
        <f>IF(AS257&lt;0.01,0,IF(Resol!$F$20=Resol!$V$3,0,IF(OR(Resol!$F$10=Resol!$T$16,Resol!$F$10=Resol!$T$17),0,IF(Resol!$F$10=Resol!$T$13,0,$AL$5*Adm!$AA$4/1.16))))</f>
        <v>0</v>
      </c>
      <c r="AO258" s="178">
        <f t="shared" si="97"/>
        <v>0</v>
      </c>
      <c r="AP258" s="178"/>
      <c r="AQ258" s="178">
        <f t="shared" si="85"/>
        <v>0</v>
      </c>
      <c r="AR258" s="178">
        <f t="shared" si="92"/>
        <v>0</v>
      </c>
      <c r="AS258" s="178">
        <f t="shared" si="99"/>
        <v>0</v>
      </c>
      <c r="AT258" s="348"/>
      <c r="AU258" s="348"/>
      <c r="AV258" s="176">
        <f t="shared" si="100"/>
        <v>0</v>
      </c>
      <c r="BB258" s="571">
        <f t="shared" si="93"/>
        <v>6</v>
      </c>
      <c r="BC258" s="293">
        <f>IF(BB258=1,Adm!$AN$2,0)</f>
        <v>0</v>
      </c>
      <c r="BE258" s="341">
        <f t="shared" si="98"/>
        <v>0</v>
      </c>
      <c r="BF258" s="345">
        <f t="shared" ca="1" si="94"/>
        <v>0</v>
      </c>
    </row>
    <row r="259" spans="1:59">
      <c r="A259" s="151">
        <f t="shared" ca="1" si="80"/>
        <v>6</v>
      </c>
      <c r="C259" s="178">
        <f t="shared" si="81"/>
        <v>235</v>
      </c>
      <c r="D259" s="178">
        <f t="shared" si="86"/>
        <v>444.33437219106895</v>
      </c>
      <c r="E259" s="178">
        <f t="shared" si="101"/>
        <v>9170.9716827868033</v>
      </c>
      <c r="F259" s="178">
        <f t="shared" si="95"/>
        <v>9615.3060549778729</v>
      </c>
      <c r="G259" s="178">
        <f>IF(L258&lt;0.01,0,IF(Adm!$S$3=Adm!$S$13,Cal!$E$94,IF(Adm!$R$3=Adm!$R$6,0,IF(Cal!$E$91=0,L258*Adm!$Y$3,L258*Adm!$X$3))))</f>
        <v>24.134372215851744</v>
      </c>
      <c r="H259" s="178">
        <f>IF(L258&lt;0.01,0,IF(Adm!$R$4=Adm!$R$6,0,IF(Adm!$B$3=Adm!$B$12,0,Cal!$E$89*Adm!$AA$3/1.16)))</f>
        <v>494.46758620689661</v>
      </c>
      <c r="I259" s="178">
        <f>IF(L258&lt;0.01,0,Adm!$O$3)</f>
        <v>250</v>
      </c>
      <c r="J259" s="178">
        <f t="shared" si="82"/>
        <v>10383.908013400622</v>
      </c>
      <c r="K259" s="178">
        <f>IF(Adm!$F$3="si",MIN(L258+D259+G259+H259+I259-J259,Y259),0)</f>
        <v>0</v>
      </c>
      <c r="L259" s="178">
        <f t="shared" si="87"/>
        <v>46955.475330821908</v>
      </c>
      <c r="M259" s="348"/>
      <c r="N259" s="348"/>
      <c r="O259" s="348">
        <f t="shared" si="88"/>
        <v>10383.908013400622</v>
      </c>
      <c r="U259" s="571">
        <f t="shared" si="89"/>
        <v>7</v>
      </c>
      <c r="V259" s="293">
        <f>IF(U259=1,Adm!$AN$2,0)</f>
        <v>0</v>
      </c>
      <c r="X259" s="341">
        <f t="shared" si="96"/>
        <v>0</v>
      </c>
      <c r="Y259" s="345">
        <f t="shared" ca="1" si="90"/>
        <v>0</v>
      </c>
      <c r="AG259" s="151">
        <f t="shared" ca="1" si="83"/>
        <v>6</v>
      </c>
      <c r="AI259" s="178">
        <f t="shared" si="84"/>
        <v>0</v>
      </c>
      <c r="AJ259" s="178">
        <f t="shared" si="91"/>
        <v>0</v>
      </c>
      <c r="AK259" s="178">
        <f t="shared" si="102"/>
        <v>0</v>
      </c>
      <c r="AL259" s="178">
        <f t="shared" si="103"/>
        <v>0</v>
      </c>
      <c r="AM259" s="351">
        <f>IF(AS258&lt;0.01,0,IF(Resol!$G$19&gt;0,Resol!$G$19,IF(Resol!$F$19=Resol!$U$5,0,IF($AS$10=0,AS258*Adm!$Y$3,AS258*Adm!$X$3))))</f>
        <v>0</v>
      </c>
      <c r="AN259" s="351">
        <f>IF(AS258&lt;0.01,0,IF(Resol!$F$20=Resol!$V$3,0,IF(OR(Resol!$F$10=Resol!$T$16,Resol!$F$10=Resol!$T$17),0,IF(Resol!$F$10=Resol!$T$13,0,$AL$5*Adm!$AA$4/1.16))))</f>
        <v>0</v>
      </c>
      <c r="AO259" s="178">
        <f t="shared" si="97"/>
        <v>0</v>
      </c>
      <c r="AP259" s="178"/>
      <c r="AQ259" s="178">
        <f t="shared" si="85"/>
        <v>0</v>
      </c>
      <c r="AR259" s="178">
        <f t="shared" si="92"/>
        <v>0</v>
      </c>
      <c r="AS259" s="178">
        <f t="shared" si="99"/>
        <v>0</v>
      </c>
      <c r="AT259" s="348"/>
      <c r="AU259" s="348"/>
      <c r="AV259" s="176">
        <f t="shared" si="100"/>
        <v>0</v>
      </c>
      <c r="BB259" s="571">
        <f t="shared" si="93"/>
        <v>7</v>
      </c>
      <c r="BC259" s="293">
        <f>IF(BB259=1,Adm!$AN$2,0)</f>
        <v>0</v>
      </c>
      <c r="BE259" s="341">
        <f t="shared" si="98"/>
        <v>0</v>
      </c>
      <c r="BF259" s="345">
        <f t="shared" ca="1" si="94"/>
        <v>0</v>
      </c>
    </row>
    <row r="260" spans="1:59">
      <c r="A260" s="151">
        <f t="shared" ca="1" si="80"/>
        <v>7</v>
      </c>
      <c r="C260" s="178">
        <f t="shared" si="81"/>
        <v>236</v>
      </c>
      <c r="D260" s="178">
        <f t="shared" si="86"/>
        <v>371.73084636900677</v>
      </c>
      <c r="E260" s="178">
        <f t="shared" si="101"/>
        <v>9243.5752086088669</v>
      </c>
      <c r="F260" s="178">
        <f t="shared" si="95"/>
        <v>9615.3060549778729</v>
      </c>
      <c r="G260" s="178">
        <f>IF(L259&lt;0.01,0,IF(Adm!$S$3=Adm!$S$13,Cal!$E$94,IF(Adm!$R$3=Adm!$R$6,0,IF(Cal!$E$91=0,L259*Adm!$Y$3,L259*Adm!$X$3))))</f>
        <v>20.190854392253421</v>
      </c>
      <c r="H260" s="178">
        <f>IF(L259&lt;0.01,0,IF(Adm!$R$4=Adm!$R$6,0,IF(Adm!$B$3=Adm!$B$12,0,Cal!$E$89*Adm!$AA$3/1.16)))</f>
        <v>494.46758620689661</v>
      </c>
      <c r="I260" s="178">
        <f>IF(L259&lt;0.01,0,Adm!$O$3)</f>
        <v>250</v>
      </c>
      <c r="J260" s="178">
        <f t="shared" si="82"/>
        <v>10379.964495577022</v>
      </c>
      <c r="K260" s="178">
        <f>IF(Adm!$F$3="si",MIN(L259+D260+G260+H260+I260-J260,Y260),0)</f>
        <v>0</v>
      </c>
      <c r="L260" s="178">
        <f t="shared" si="87"/>
        <v>37711.900122213039</v>
      </c>
      <c r="M260" s="348"/>
      <c r="N260" s="348"/>
      <c r="O260" s="348">
        <f t="shared" si="88"/>
        <v>10379.964495577022</v>
      </c>
      <c r="U260" s="571">
        <f t="shared" si="89"/>
        <v>8</v>
      </c>
      <c r="V260" s="293">
        <f>IF(U260=1,Adm!$AN$2,0)</f>
        <v>0</v>
      </c>
      <c r="X260" s="341">
        <f t="shared" si="96"/>
        <v>0</v>
      </c>
      <c r="Y260" s="345">
        <f t="shared" ca="1" si="90"/>
        <v>0</v>
      </c>
      <c r="AG260" s="151">
        <f t="shared" ca="1" si="83"/>
        <v>7</v>
      </c>
      <c r="AI260" s="178">
        <f t="shared" si="84"/>
        <v>0</v>
      </c>
      <c r="AJ260" s="178">
        <f t="shared" si="91"/>
        <v>0</v>
      </c>
      <c r="AK260" s="178">
        <f t="shared" si="102"/>
        <v>0</v>
      </c>
      <c r="AL260" s="178">
        <f t="shared" si="103"/>
        <v>0</v>
      </c>
      <c r="AM260" s="351">
        <f>IF(AS259&lt;0.01,0,IF(Resol!$G$19&gt;0,Resol!$G$19,IF(Resol!$F$19=Resol!$U$5,0,IF($AS$10=0,AS259*Adm!$Y$3,AS259*Adm!$X$3))))</f>
        <v>0</v>
      </c>
      <c r="AN260" s="351">
        <f>IF(AS259&lt;0.01,0,IF(Resol!$F$20=Resol!$V$3,0,IF(OR(Resol!$F$10=Resol!$T$16,Resol!$F$10=Resol!$T$17),0,IF(Resol!$F$10=Resol!$T$13,0,$AL$5*Adm!$AA$4/1.16))))</f>
        <v>0</v>
      </c>
      <c r="AO260" s="178">
        <f t="shared" si="97"/>
        <v>0</v>
      </c>
      <c r="AP260" s="178"/>
      <c r="AQ260" s="178">
        <f t="shared" si="85"/>
        <v>0</v>
      </c>
      <c r="AR260" s="178">
        <f t="shared" si="92"/>
        <v>0</v>
      </c>
      <c r="AS260" s="178">
        <f t="shared" si="99"/>
        <v>0</v>
      </c>
      <c r="AT260" s="348"/>
      <c r="AU260" s="348"/>
      <c r="AV260" s="176">
        <f t="shared" si="100"/>
        <v>0</v>
      </c>
      <c r="BB260" s="571">
        <f t="shared" si="93"/>
        <v>8</v>
      </c>
      <c r="BC260" s="293">
        <f>IF(BB260=1,Adm!$AN$2,0)</f>
        <v>0</v>
      </c>
      <c r="BE260" s="341">
        <f t="shared" si="98"/>
        <v>0</v>
      </c>
      <c r="BF260" s="345">
        <f t="shared" ca="1" si="94"/>
        <v>0</v>
      </c>
    </row>
    <row r="261" spans="1:59">
      <c r="A261" s="151">
        <f t="shared" ca="1" si="80"/>
        <v>8</v>
      </c>
      <c r="C261" s="178">
        <f t="shared" si="81"/>
        <v>237</v>
      </c>
      <c r="D261" s="178">
        <f t="shared" si="86"/>
        <v>298.55254263418658</v>
      </c>
      <c r="E261" s="178">
        <f t="shared" si="101"/>
        <v>9316.7535123436865</v>
      </c>
      <c r="F261" s="178">
        <f t="shared" si="95"/>
        <v>9615.3060549778729</v>
      </c>
      <c r="G261" s="178">
        <f>IF(L260&lt;0.01,0,IF(Adm!$S$3=Adm!$S$13,Cal!$E$94,IF(Adm!$R$3=Adm!$R$6,0,IF(Cal!$E$91=0,L260*Adm!$Y$3,L260*Adm!$X$3))))</f>
        <v>16.216117052551606</v>
      </c>
      <c r="H261" s="178">
        <f>IF(L260&lt;0.01,0,IF(Adm!$R$4=Adm!$R$6,0,IF(Adm!$B$3=Adm!$B$12,0,Cal!$E$89*Adm!$AA$3/1.16)))</f>
        <v>494.46758620689661</v>
      </c>
      <c r="I261" s="178">
        <f>IF(L260&lt;0.01,0,Adm!$O$3)</f>
        <v>250</v>
      </c>
      <c r="J261" s="178">
        <f t="shared" si="82"/>
        <v>10375.989758237321</v>
      </c>
      <c r="K261" s="178">
        <f>IF(Adm!$F$3="si",MIN(L260+D261+G261+H261+I261-J261,Y261),0)</f>
        <v>0</v>
      </c>
      <c r="L261" s="178">
        <f t="shared" si="87"/>
        <v>28395.146609869353</v>
      </c>
      <c r="M261" s="348"/>
      <c r="N261" s="348"/>
      <c r="O261" s="348">
        <f t="shared" si="88"/>
        <v>10375.989758237321</v>
      </c>
      <c r="U261" s="571">
        <f t="shared" si="89"/>
        <v>9</v>
      </c>
      <c r="V261" s="293">
        <f>IF(U261=1,Adm!$AN$2,0)</f>
        <v>0</v>
      </c>
      <c r="X261" s="341">
        <f t="shared" si="96"/>
        <v>0</v>
      </c>
      <c r="Y261" s="345">
        <f t="shared" ca="1" si="90"/>
        <v>0</v>
      </c>
      <c r="AG261" s="151">
        <f t="shared" ca="1" si="83"/>
        <v>8</v>
      </c>
      <c r="AI261" s="178">
        <f t="shared" si="84"/>
        <v>0</v>
      </c>
      <c r="AJ261" s="178">
        <f t="shared" si="91"/>
        <v>0</v>
      </c>
      <c r="AK261" s="178">
        <f t="shared" si="102"/>
        <v>0</v>
      </c>
      <c r="AL261" s="178">
        <f t="shared" si="103"/>
        <v>0</v>
      </c>
      <c r="AM261" s="351">
        <f>IF(AS260&lt;0.01,0,IF(Resol!$G$19&gt;0,Resol!$G$19,IF(Resol!$F$19=Resol!$U$5,0,IF($AS$10=0,AS260*Adm!$Y$3,AS260*Adm!$X$3))))</f>
        <v>0</v>
      </c>
      <c r="AN261" s="351">
        <f>IF(AS260&lt;0.01,0,IF(Resol!$F$20=Resol!$V$3,0,IF(OR(Resol!$F$10=Resol!$T$16,Resol!$F$10=Resol!$T$17),0,IF(Resol!$F$10=Resol!$T$13,0,$AL$5*Adm!$AA$4/1.16))))</f>
        <v>0</v>
      </c>
      <c r="AO261" s="178">
        <f t="shared" si="97"/>
        <v>0</v>
      </c>
      <c r="AP261" s="178"/>
      <c r="AQ261" s="178">
        <f t="shared" si="85"/>
        <v>0</v>
      </c>
      <c r="AR261" s="178">
        <f t="shared" si="92"/>
        <v>0</v>
      </c>
      <c r="AS261" s="178">
        <f t="shared" si="99"/>
        <v>0</v>
      </c>
      <c r="AT261" s="348"/>
      <c r="AU261" s="348"/>
      <c r="AV261" s="176">
        <f t="shared" si="100"/>
        <v>0</v>
      </c>
      <c r="BB261" s="571">
        <f t="shared" si="93"/>
        <v>9</v>
      </c>
      <c r="BC261" s="293">
        <f>IF(BB261=1,Adm!$AN$2,0)</f>
        <v>0</v>
      </c>
      <c r="BE261" s="341">
        <f t="shared" si="98"/>
        <v>0</v>
      </c>
      <c r="BF261" s="345">
        <f t="shared" ca="1" si="94"/>
        <v>0</v>
      </c>
    </row>
    <row r="262" spans="1:59">
      <c r="A262" s="151">
        <f t="shared" ca="1" si="80"/>
        <v>9</v>
      </c>
      <c r="C262" s="178">
        <f t="shared" si="81"/>
        <v>238</v>
      </c>
      <c r="D262" s="178">
        <f t="shared" si="86"/>
        <v>224.79491066146571</v>
      </c>
      <c r="E262" s="178">
        <f t="shared" si="101"/>
        <v>9390.5111443164078</v>
      </c>
      <c r="F262" s="178">
        <f t="shared" si="95"/>
        <v>9615.3060549778729</v>
      </c>
      <c r="G262" s="178">
        <f>IF(L261&lt;0.01,0,IF(Adm!$S$3=Adm!$S$13,Cal!$E$94,IF(Adm!$R$3=Adm!$R$6,0,IF(Cal!$E$91=0,L261*Adm!$Y$3,L261*Adm!$X$3))))</f>
        <v>12.209913042243821</v>
      </c>
      <c r="H262" s="178">
        <f>IF(L261&lt;0.01,0,IF(Adm!$R$4=Adm!$R$6,0,IF(Adm!$B$3=Adm!$B$12,0,Cal!$E$89*Adm!$AA$3/1.16)))</f>
        <v>494.46758620689661</v>
      </c>
      <c r="I262" s="178">
        <f>IF(L261&lt;0.01,0,Adm!$O$3)</f>
        <v>250</v>
      </c>
      <c r="J262" s="178">
        <f t="shared" si="82"/>
        <v>10371.983554227012</v>
      </c>
      <c r="K262" s="178">
        <f>IF(Adm!$F$3="si",MIN(L261+D262+G262+H262+I262-J262,Y262),0)</f>
        <v>0</v>
      </c>
      <c r="L262" s="178">
        <f t="shared" si="87"/>
        <v>19004.635465552943</v>
      </c>
      <c r="M262" s="348"/>
      <c r="N262" s="348"/>
      <c r="O262" s="348">
        <f t="shared" si="88"/>
        <v>10371.983554227012</v>
      </c>
      <c r="U262" s="571">
        <f t="shared" si="89"/>
        <v>10</v>
      </c>
      <c r="V262" s="293">
        <f>IF(U262=1,Adm!$AN$2,0)</f>
        <v>0</v>
      </c>
      <c r="X262" s="341">
        <f t="shared" si="96"/>
        <v>0</v>
      </c>
      <c r="Y262" s="345">
        <f t="shared" ca="1" si="90"/>
        <v>0</v>
      </c>
      <c r="AG262" s="151">
        <f t="shared" ca="1" si="83"/>
        <v>9</v>
      </c>
      <c r="AI262" s="178">
        <f t="shared" si="84"/>
        <v>0</v>
      </c>
      <c r="AJ262" s="178">
        <f t="shared" si="91"/>
        <v>0</v>
      </c>
      <c r="AK262" s="178">
        <f t="shared" si="102"/>
        <v>0</v>
      </c>
      <c r="AL262" s="178">
        <f t="shared" si="103"/>
        <v>0</v>
      </c>
      <c r="AM262" s="351">
        <f>IF(AS261&lt;0.01,0,IF(Resol!$G$19&gt;0,Resol!$G$19,IF(Resol!$F$19=Resol!$U$5,0,IF($AS$10=0,AS261*Adm!$Y$3,AS261*Adm!$X$3))))</f>
        <v>0</v>
      </c>
      <c r="AN262" s="351">
        <f>IF(AS261&lt;0.01,0,IF(Resol!$F$20=Resol!$V$3,0,IF(OR(Resol!$F$10=Resol!$T$16,Resol!$F$10=Resol!$T$17),0,IF(Resol!$F$10=Resol!$T$13,0,$AL$5*Adm!$AA$4/1.16))))</f>
        <v>0</v>
      </c>
      <c r="AO262" s="178">
        <f t="shared" si="97"/>
        <v>0</v>
      </c>
      <c r="AP262" s="178"/>
      <c r="AQ262" s="178">
        <f t="shared" si="85"/>
        <v>0</v>
      </c>
      <c r="AR262" s="178">
        <f t="shared" si="92"/>
        <v>0</v>
      </c>
      <c r="AS262" s="178">
        <f t="shared" si="99"/>
        <v>0</v>
      </c>
      <c r="AT262" s="348"/>
      <c r="AU262" s="348"/>
      <c r="AV262" s="176">
        <f t="shared" si="100"/>
        <v>0</v>
      </c>
      <c r="BB262" s="571">
        <f t="shared" si="93"/>
        <v>10</v>
      </c>
      <c r="BC262" s="293">
        <f>IF(BB262=1,Adm!$AN$2,0)</f>
        <v>0</v>
      </c>
      <c r="BE262" s="341">
        <f t="shared" si="98"/>
        <v>0</v>
      </c>
      <c r="BF262" s="345">
        <f t="shared" ca="1" si="94"/>
        <v>0</v>
      </c>
    </row>
    <row r="263" spans="1:59">
      <c r="A263" s="151">
        <f t="shared" ca="1" si="80"/>
        <v>10</v>
      </c>
      <c r="C263" s="178">
        <f t="shared" si="81"/>
        <v>239</v>
      </c>
      <c r="D263" s="178">
        <f t="shared" si="86"/>
        <v>150.45336410229413</v>
      </c>
      <c r="E263" s="178">
        <f t="shared" si="101"/>
        <v>9464.8526908755794</v>
      </c>
      <c r="F263" s="178">
        <f t="shared" si="95"/>
        <v>9615.3060549778729</v>
      </c>
      <c r="G263" s="178">
        <f>IF(L262&lt;0.01,0,IF(Adm!$S$3=Adm!$S$13,Cal!$E$94,IF(Adm!$R$3=Adm!$R$6,0,IF(Cal!$E$91=0,L262*Adm!$Y$3,L262*Adm!$X$3))))</f>
        <v>8.1719932501877661</v>
      </c>
      <c r="H263" s="178">
        <f>IF(L262&lt;0.01,0,IF(Adm!$R$4=Adm!$R$6,0,IF(Adm!$B$3=Adm!$B$12,0,Cal!$E$89*Adm!$AA$3/1.16)))</f>
        <v>494.46758620689661</v>
      </c>
      <c r="I263" s="178">
        <f>IF(L262&lt;0.01,0,Adm!$O$3)</f>
        <v>250</v>
      </c>
      <c r="J263" s="178">
        <f t="shared" si="82"/>
        <v>10367.945634434956</v>
      </c>
      <c r="K263" s="178">
        <f>IF(Adm!$F$3="si",MIN(L262+D263+G263+H263+I263-J263,Y263),0)</f>
        <v>0</v>
      </c>
      <c r="L263" s="178">
        <f t="shared" si="87"/>
        <v>9539.7827746773637</v>
      </c>
      <c r="M263" s="348"/>
      <c r="N263" s="348"/>
      <c r="O263" s="348">
        <f t="shared" si="88"/>
        <v>10367.945634434956</v>
      </c>
      <c r="U263" s="571">
        <f t="shared" si="89"/>
        <v>11</v>
      </c>
      <c r="V263" s="293">
        <f>IF(U263=1,Adm!$AN$2,0)</f>
        <v>0</v>
      </c>
      <c r="X263" s="341">
        <f t="shared" si="96"/>
        <v>0</v>
      </c>
      <c r="Y263" s="345">
        <f t="shared" ca="1" si="90"/>
        <v>0</v>
      </c>
      <c r="AG263" s="151">
        <f t="shared" ca="1" si="83"/>
        <v>10</v>
      </c>
      <c r="AI263" s="178">
        <f t="shared" si="84"/>
        <v>0</v>
      </c>
      <c r="AJ263" s="178">
        <f t="shared" si="91"/>
        <v>0</v>
      </c>
      <c r="AK263" s="178">
        <f t="shared" si="102"/>
        <v>0</v>
      </c>
      <c r="AL263" s="178">
        <f t="shared" si="103"/>
        <v>0</v>
      </c>
      <c r="AM263" s="351">
        <f>IF(AS262&lt;0.01,0,IF(Resol!$G$19&gt;0,Resol!$G$19,IF(Resol!$F$19=Resol!$U$5,0,IF($AS$10=0,AS262*Adm!$Y$3,AS262*Adm!$X$3))))</f>
        <v>0</v>
      </c>
      <c r="AN263" s="351">
        <f>IF(AS262&lt;0.01,0,IF(Resol!$F$20=Resol!$V$3,0,IF(OR(Resol!$F$10=Resol!$T$16,Resol!$F$10=Resol!$T$17),0,IF(Resol!$F$10=Resol!$T$13,0,$AL$5*Adm!$AA$4/1.16))))</f>
        <v>0</v>
      </c>
      <c r="AO263" s="178">
        <f t="shared" si="97"/>
        <v>0</v>
      </c>
      <c r="AP263" s="178"/>
      <c r="AQ263" s="178">
        <f t="shared" si="85"/>
        <v>0</v>
      </c>
      <c r="AR263" s="178">
        <f t="shared" si="92"/>
        <v>0</v>
      </c>
      <c r="AS263" s="178">
        <f t="shared" si="99"/>
        <v>0</v>
      </c>
      <c r="AT263" s="348"/>
      <c r="AU263" s="348"/>
      <c r="AV263" s="176">
        <f t="shared" si="100"/>
        <v>0</v>
      </c>
      <c r="BB263" s="571">
        <f t="shared" si="93"/>
        <v>11</v>
      </c>
      <c r="BC263" s="293">
        <f>IF(BB263=1,Adm!$AN$2,0)</f>
        <v>0</v>
      </c>
      <c r="BE263" s="341">
        <f t="shared" si="98"/>
        <v>0</v>
      </c>
      <c r="BF263" s="345">
        <f t="shared" ca="1" si="94"/>
        <v>0</v>
      </c>
    </row>
    <row r="264" spans="1:59">
      <c r="A264" s="151">
        <f t="shared" ca="1" si="80"/>
        <v>11</v>
      </c>
      <c r="C264" s="178">
        <f t="shared" si="81"/>
        <v>240</v>
      </c>
      <c r="D264" s="178">
        <f t="shared" si="86"/>
        <v>75.523280299529134</v>
      </c>
      <c r="E264" s="931">
        <f t="shared" si="101"/>
        <v>9539.7827746773637</v>
      </c>
      <c r="F264" s="931">
        <f t="shared" si="95"/>
        <v>9615.3060549768925</v>
      </c>
      <c r="G264" s="178">
        <f>IF(L263&lt;0.01,0,IF(Adm!$S$3=Adm!$S$13,Cal!$E$94,IF(Adm!$R$3=Adm!$R$6,0,IF(Cal!$E$91=0,L263*Adm!$Y$3,L263*Adm!$X$3))))</f>
        <v>4.1021065931112659</v>
      </c>
      <c r="H264" s="178">
        <f>IF(L263&lt;0.01,0,IF(Adm!$R$4=Adm!$R$6,0,IF(Adm!$B$3=Adm!$B$12,0,Cal!$E$89*Adm!$AA$3/1.16)))</f>
        <v>494.46758620689661</v>
      </c>
      <c r="I264" s="931">
        <f>IF(L263&lt;0.01,0,Adm!$O$3)</f>
        <v>250</v>
      </c>
      <c r="J264" s="931">
        <f t="shared" si="82"/>
        <v>10363.8757477769</v>
      </c>
      <c r="K264" s="931">
        <f>IF(Adm!$F$3="si",MIN(L263+D264+G264+H264+I264-J264,Y264),0)</f>
        <v>0</v>
      </c>
      <c r="L264" s="178">
        <f t="shared" si="87"/>
        <v>0</v>
      </c>
      <c r="M264" s="348"/>
      <c r="N264" s="348"/>
      <c r="O264" s="348">
        <f t="shared" si="88"/>
        <v>10363.8757477769</v>
      </c>
      <c r="U264" s="572">
        <f t="shared" si="89"/>
        <v>12</v>
      </c>
      <c r="V264" s="294">
        <f>IF(U264=1,Adm!$AN$2,0)</f>
        <v>0</v>
      </c>
      <c r="X264" s="342">
        <f t="shared" si="96"/>
        <v>0</v>
      </c>
      <c r="Y264" s="346">
        <f t="shared" ca="1" si="90"/>
        <v>0</v>
      </c>
      <c r="AG264" s="151">
        <f t="shared" ca="1" si="83"/>
        <v>11</v>
      </c>
      <c r="AI264" s="178">
        <f t="shared" si="84"/>
        <v>0</v>
      </c>
      <c r="AJ264" s="178">
        <f t="shared" si="91"/>
        <v>0</v>
      </c>
      <c r="AK264" s="178">
        <f t="shared" si="102"/>
        <v>0</v>
      </c>
      <c r="AL264" s="178">
        <f t="shared" si="103"/>
        <v>0</v>
      </c>
      <c r="AM264" s="351">
        <f>IF(AS263&lt;0.01,0,IF(Resol!$G$19&gt;0,Resol!$G$19,IF(Resol!$F$19=Resol!$U$5,0,IF($AS$10=0,AS263*Adm!$Y$3,AS263*Adm!$X$3))))</f>
        <v>0</v>
      </c>
      <c r="AN264" s="351">
        <f>IF(AS263&lt;0.01,0,IF(Resol!$F$20=Resol!$V$3,0,IF(OR(Resol!$F$10=Resol!$T$16,Resol!$F$10=Resol!$T$17),0,IF(Resol!$F$10=Resol!$T$13,0,$AL$5*Adm!$AA$4/1.16))))</f>
        <v>0</v>
      </c>
      <c r="AO264" s="178">
        <f t="shared" si="97"/>
        <v>0</v>
      </c>
      <c r="AP264" s="178"/>
      <c r="AQ264" s="178">
        <f t="shared" si="85"/>
        <v>0</v>
      </c>
      <c r="AR264" s="178">
        <f t="shared" si="92"/>
        <v>0</v>
      </c>
      <c r="AS264" s="178">
        <f t="shared" si="99"/>
        <v>0</v>
      </c>
      <c r="AT264" s="348"/>
      <c r="AU264" s="348"/>
      <c r="AV264" s="176">
        <f t="shared" si="100"/>
        <v>0</v>
      </c>
      <c r="BB264" s="572">
        <f t="shared" si="93"/>
        <v>12</v>
      </c>
      <c r="BC264" s="294">
        <f>IF(BB264=1,Adm!$AN$2,0)</f>
        <v>0</v>
      </c>
      <c r="BE264" s="342">
        <f t="shared" si="98"/>
        <v>0</v>
      </c>
      <c r="BF264" s="346">
        <f t="shared" ca="1" si="94"/>
        <v>0</v>
      </c>
    </row>
    <row r="265" spans="1:59">
      <c r="C265" s="172"/>
      <c r="D265" s="172"/>
      <c r="E265" s="172"/>
      <c r="F265" s="172"/>
      <c r="G265" s="172"/>
      <c r="H265" s="172"/>
      <c r="I265" s="172"/>
      <c r="J265" s="172"/>
      <c r="K265" s="172"/>
      <c r="L265" s="172"/>
      <c r="M265" s="172"/>
      <c r="N265" s="172"/>
      <c r="O265" s="172"/>
      <c r="P265" s="172"/>
      <c r="Q265" s="172"/>
      <c r="R265" s="172"/>
      <c r="S265" s="172"/>
      <c r="T265" s="172"/>
      <c r="U265" s="172"/>
      <c r="V265" s="172"/>
      <c r="W265" s="172"/>
      <c r="X265" s="172"/>
      <c r="Y265" s="172"/>
      <c r="Z265" s="172"/>
      <c r="AA265" s="172"/>
      <c r="AI265" s="172"/>
      <c r="AJ265" s="172"/>
      <c r="AK265" s="172"/>
      <c r="AL265" s="172"/>
      <c r="AM265" s="172"/>
      <c r="AN265" s="172"/>
      <c r="AO265" s="172"/>
      <c r="AP265" s="172"/>
      <c r="AQ265" s="172"/>
      <c r="AR265" s="172"/>
      <c r="AS265" s="172"/>
      <c r="AT265" s="172"/>
      <c r="AU265" s="172"/>
      <c r="AV265" s="172"/>
      <c r="AW265" s="172"/>
      <c r="AX265" s="172"/>
      <c r="AY265" s="172"/>
      <c r="AZ265" s="172"/>
      <c r="BA265" s="172"/>
      <c r="BB265" s="172"/>
      <c r="BC265" s="172"/>
      <c r="BD265" s="172"/>
      <c r="BE265" s="172"/>
      <c r="BF265" s="172"/>
      <c r="BG265" s="172"/>
    </row>
    <row r="266" spans="1:59" ht="15" thickBot="1"/>
    <row r="267" spans="1:59">
      <c r="C267" s="184"/>
      <c r="D267" s="184"/>
      <c r="E267" s="184"/>
      <c r="F267" s="184"/>
      <c r="G267" s="184"/>
      <c r="H267" s="184"/>
      <c r="I267" s="184"/>
      <c r="J267" s="184"/>
      <c r="K267" s="184"/>
      <c r="L267" s="184"/>
      <c r="M267" s="184"/>
      <c r="N267" s="184"/>
      <c r="O267" s="185"/>
    </row>
    <row r="268" spans="1:59">
      <c r="C268" s="186"/>
      <c r="D268" s="353" t="s">
        <v>33</v>
      </c>
      <c r="E268" s="186"/>
      <c r="F268" s="186"/>
      <c r="G268" s="186"/>
      <c r="H268" s="186"/>
      <c r="I268" s="186"/>
      <c r="J268" s="187" t="s">
        <v>28</v>
      </c>
      <c r="K268" s="187"/>
      <c r="L268" s="187"/>
      <c r="M268" s="186"/>
      <c r="O268" s="188"/>
    </row>
    <row r="269" spans="1:59">
      <c r="C269" s="186"/>
      <c r="D269" s="186"/>
      <c r="E269" s="186" t="s">
        <v>35</v>
      </c>
      <c r="F269" s="186">
        <f>Adm!G3</f>
        <v>240</v>
      </c>
      <c r="G269" s="186"/>
      <c r="H269" s="186"/>
      <c r="I269" s="186"/>
      <c r="J269" s="186"/>
      <c r="K269" s="186"/>
      <c r="L269" s="186"/>
      <c r="M269" s="186"/>
      <c r="O269" s="188"/>
    </row>
    <row r="270" spans="1:59">
      <c r="C270" s="186"/>
      <c r="D270" s="186"/>
      <c r="E270" s="186" t="s">
        <v>92</v>
      </c>
      <c r="F270" s="189">
        <f>Adm!AH7</f>
        <v>9.5000000000000001E-2</v>
      </c>
      <c r="G270" s="186"/>
      <c r="H270" s="186"/>
      <c r="I270" s="186"/>
      <c r="J270" s="186" t="s">
        <v>4</v>
      </c>
      <c r="K270" s="186"/>
      <c r="L270" s="190"/>
      <c r="M270" s="190"/>
      <c r="O270" s="188"/>
    </row>
    <row r="271" spans="1:59">
      <c r="C271" s="186"/>
      <c r="D271" s="186"/>
      <c r="E271" s="186"/>
      <c r="F271" s="186"/>
      <c r="G271" s="186"/>
      <c r="H271" s="186"/>
      <c r="I271" s="186"/>
      <c r="J271" s="186" t="s">
        <v>32</v>
      </c>
      <c r="K271" s="186"/>
      <c r="L271" s="186"/>
      <c r="M271" s="186"/>
      <c r="O271" s="188"/>
    </row>
    <row r="272" spans="1:59">
      <c r="C272" s="186"/>
      <c r="D272" s="186"/>
      <c r="E272" s="186"/>
      <c r="F272" s="186"/>
      <c r="G272" s="186"/>
      <c r="H272" s="186"/>
      <c r="I272" s="186"/>
      <c r="J272" s="186" t="s">
        <v>34</v>
      </c>
      <c r="K272" s="186"/>
      <c r="L272" s="191">
        <f>Cal!F99/1.16</f>
        <v>0</v>
      </c>
      <c r="M272" s="191"/>
      <c r="O272" s="188"/>
    </row>
    <row r="273" spans="3:22">
      <c r="C273" s="186"/>
      <c r="D273" s="186"/>
      <c r="E273" s="186"/>
      <c r="F273" s="186"/>
      <c r="G273" s="186"/>
      <c r="H273" s="186"/>
      <c r="I273" s="186"/>
      <c r="J273" s="186"/>
      <c r="K273" s="186"/>
      <c r="L273" s="186"/>
      <c r="M273" s="186"/>
      <c r="O273" s="188"/>
    </row>
    <row r="274" spans="3:22" ht="20">
      <c r="C274" s="186"/>
      <c r="D274" s="182" t="s">
        <v>95</v>
      </c>
      <c r="E274" s="181" t="e">
        <f>(1+IRR(O282:O522,0.01))^12-1</f>
        <v>#NUM!</v>
      </c>
      <c r="F274" t="s">
        <v>39</v>
      </c>
      <c r="G274" s="186"/>
      <c r="H274" s="186"/>
      <c r="I274" s="186"/>
      <c r="J274" s="186"/>
      <c r="K274" s="186"/>
      <c r="L274" s="186"/>
      <c r="M274" s="186"/>
      <c r="O274" s="188"/>
    </row>
    <row r="275" spans="3:22">
      <c r="C275" s="186"/>
      <c r="D275" s="186"/>
      <c r="E275" s="186"/>
      <c r="F275" s="186"/>
      <c r="G275" s="186"/>
      <c r="H275" s="186"/>
      <c r="I275" s="186"/>
      <c r="J275" s="186" t="s">
        <v>13</v>
      </c>
      <c r="K275" s="186"/>
      <c r="L275" s="352">
        <f>Cal!F91</f>
        <v>-964.35581751555583</v>
      </c>
      <c r="M275" s="186"/>
      <c r="O275" s="188"/>
    </row>
    <row r="276" spans="3:22">
      <c r="C276" s="186"/>
      <c r="D276" s="186"/>
      <c r="E276" s="186"/>
      <c r="F276" s="186"/>
      <c r="G276" s="186"/>
      <c r="H276" s="186"/>
      <c r="I276" s="186"/>
      <c r="J276" s="186"/>
      <c r="K276" s="186"/>
      <c r="L276" s="186"/>
      <c r="M276" s="186"/>
      <c r="O276" s="188"/>
    </row>
    <row r="277" spans="3:22" ht="20">
      <c r="C277" s="186"/>
      <c r="D277" s="186"/>
      <c r="E277" s="186"/>
      <c r="F277" s="193" t="s">
        <v>97</v>
      </c>
      <c r="G277" s="186"/>
      <c r="H277" s="186"/>
      <c r="I277" s="186"/>
      <c r="J277" s="186" t="s">
        <v>36</v>
      </c>
      <c r="K277" s="186"/>
      <c r="L277" s="192">
        <f>SUM(L270:L275)</f>
        <v>-964.35581751555583</v>
      </c>
      <c r="M277" s="192"/>
      <c r="O277" s="188"/>
    </row>
    <row r="278" spans="3:22">
      <c r="C278" s="186"/>
      <c r="D278" s="186"/>
      <c r="E278" s="186"/>
      <c r="F278" s="186"/>
      <c r="G278" s="186"/>
      <c r="H278" s="186"/>
      <c r="I278" s="186"/>
      <c r="J278" s="186"/>
      <c r="K278" s="186"/>
      <c r="L278" s="186"/>
      <c r="M278" s="186"/>
      <c r="O278" s="358">
        <f>SUM(O282:O522)</f>
        <v>-964.35581751555583</v>
      </c>
    </row>
    <row r="279" spans="3:22">
      <c r="C279" s="186"/>
      <c r="D279" s="186"/>
      <c r="E279" s="186"/>
      <c r="F279" s="186"/>
      <c r="G279" s="186">
        <f>IF(Adm!R3=Adm!R6,0,IF(Adm!S10=Adm!S11,0,IF(Adm!S10=Adm!S13,L282*Adm!X6,IF(Adm!S10=Adm!S12,L282*Adm!$Y$3))))</f>
        <v>0</v>
      </c>
      <c r="H279" s="186"/>
      <c r="I279" s="186"/>
      <c r="J279" s="186"/>
      <c r="K279" s="186"/>
      <c r="L279" s="186"/>
      <c r="M279" s="186"/>
      <c r="N279" s="186"/>
      <c r="O279" s="188"/>
    </row>
    <row r="280" spans="3:22">
      <c r="C280" s="186"/>
      <c r="D280" s="186"/>
      <c r="E280" s="186"/>
      <c r="G280" s="186"/>
      <c r="H280" s="186"/>
      <c r="I280" s="186"/>
      <c r="J280" s="186"/>
      <c r="K280" s="186"/>
      <c r="L280" s="186"/>
      <c r="M280" s="186"/>
      <c r="N280" s="186"/>
      <c r="O280" s="188"/>
    </row>
    <row r="281" spans="3:22" ht="22">
      <c r="C281" s="183" t="s">
        <v>41</v>
      </c>
      <c r="D281" s="183" t="s">
        <v>42</v>
      </c>
      <c r="E281" s="183" t="s">
        <v>43</v>
      </c>
      <c r="F281" s="183" t="s">
        <v>44</v>
      </c>
      <c r="G281" s="183" t="str">
        <f>IF(Adm!R63="no","","Seguro Vida")</f>
        <v>Seguro Vida</v>
      </c>
      <c r="H281" s="356" t="str">
        <f>IF(Adm!R64="no","","Seguro Daños")</f>
        <v>Seguro Daños</v>
      </c>
      <c r="I281" s="357" t="s">
        <v>45</v>
      </c>
      <c r="J281" s="183" t="s">
        <v>46</v>
      </c>
      <c r="K281" s="134"/>
      <c r="L281" s="183" t="s">
        <v>47</v>
      </c>
      <c r="M281" s="186"/>
      <c r="N281" s="186"/>
      <c r="O281" s="194" t="s">
        <v>77</v>
      </c>
      <c r="U281" s="569" t="s">
        <v>161</v>
      </c>
      <c r="V281" s="567" t="s">
        <v>274</v>
      </c>
    </row>
    <row r="282" spans="3:22">
      <c r="C282" s="178">
        <v>0</v>
      </c>
      <c r="D282" s="178"/>
      <c r="E282" s="178"/>
      <c r="F282" s="178"/>
      <c r="G282" s="178"/>
      <c r="H282" s="178"/>
      <c r="I282" s="178"/>
      <c r="J282" s="178"/>
      <c r="K282" s="178"/>
      <c r="L282" s="178">
        <f>Liquidez!K17</f>
        <v>0</v>
      </c>
      <c r="O282" s="180">
        <f>-L282+L277</f>
        <v>-964.35581751555583</v>
      </c>
      <c r="U282" s="574">
        <v>12</v>
      </c>
      <c r="V282" s="568" t="s">
        <v>275</v>
      </c>
    </row>
    <row r="283" spans="3:22">
      <c r="C283" s="178">
        <f t="shared" ref="C283:C346" si="104">IF(L282&lt;0.01,0,C282+1)</f>
        <v>0</v>
      </c>
      <c r="D283" s="354">
        <f>IF(L282&lt;0.01,0,L282*$F$270/12)</f>
        <v>0</v>
      </c>
      <c r="E283" s="178">
        <f>IF(L282&lt;0.01,0,F283-D283)</f>
        <v>0</v>
      </c>
      <c r="F283" s="178">
        <f>IF(L282&lt;0.01,0,IF(Adm!$AF$3=Adm!$AF$6,PMT(Adm!AH7/12,Adm!G3,-L282),IF(Adm!C3=Adm!C5,L282*Adm!AI6/1000,PMT(Adm!AH7/12,Adm!G3,-L282))))</f>
        <v>0</v>
      </c>
      <c r="G283" s="178">
        <f>IF(L282&lt;0.01,0,IF(Adm!$R$3=Adm!$R$6,0,IF(Adm!$S$10=Adm!$S$11,0,IF(Adm!$S$10=Adm!$S$13,L282*Adm!$X$6,IF(Adm!$S$10=Adm!$S$12,L282*Adm!$Y$3)))))</f>
        <v>0</v>
      </c>
      <c r="H283" s="178"/>
      <c r="I283" s="178"/>
      <c r="J283" s="178">
        <f t="shared" ref="J283:J346" si="105">IF(L282&lt;0.01,0,F283+G283+H283+I283)</f>
        <v>0</v>
      </c>
      <c r="K283" s="178"/>
      <c r="L283" s="178">
        <f t="shared" ref="L283:L346" si="106">L282-E283</f>
        <v>0</v>
      </c>
      <c r="O283" s="176">
        <f t="shared" ref="O283:O346" si="107">J283</f>
        <v>0</v>
      </c>
      <c r="U283" s="571">
        <f>IF(U282=12,1,U282+1)</f>
        <v>1</v>
      </c>
      <c r="V283" s="293"/>
    </row>
    <row r="284" spans="3:22">
      <c r="C284" s="178">
        <f t="shared" si="104"/>
        <v>0</v>
      </c>
      <c r="D284" s="354">
        <f t="shared" ref="D284:D347" si="108">IF(L283&lt;0.01,0,L283*$F$270/12)</f>
        <v>0</v>
      </c>
      <c r="E284" s="178">
        <f t="shared" ref="E284:E347" si="109">IF(L283&lt;0.01,0,F284-D284)</f>
        <v>0</v>
      </c>
      <c r="F284" s="178">
        <f>IF(L283&lt;0.1,0,MIN(L283+D284,F283*(1+V284)))</f>
        <v>0</v>
      </c>
      <c r="G284" s="178">
        <f>IF(L283&lt;0.01,0,IF(Adm!$R$3=Adm!$R$6,0,IF(Adm!$S$10=Adm!$S$11,0,IF(Adm!$S$10=Adm!$S$13,L283*Adm!$X$6,IF(Adm!$S$10=Adm!$S$12,L283*Adm!$Y$3)))))</f>
        <v>0</v>
      </c>
      <c r="H284" s="178"/>
      <c r="I284" s="178"/>
      <c r="J284" s="178">
        <f t="shared" si="105"/>
        <v>0</v>
      </c>
      <c r="K284" s="178"/>
      <c r="L284" s="178">
        <f t="shared" si="106"/>
        <v>0</v>
      </c>
      <c r="O284" s="176">
        <f t="shared" si="107"/>
        <v>0</v>
      </c>
      <c r="U284" s="571">
        <f t="shared" ref="U284:U347" si="110">IF(U283=12,1,U283+1)</f>
        <v>2</v>
      </c>
      <c r="V284" s="293">
        <f>IF(U284=1,Adm!$AN$2,0)</f>
        <v>0</v>
      </c>
    </row>
    <row r="285" spans="3:22">
      <c r="C285" s="178">
        <f t="shared" si="104"/>
        <v>0</v>
      </c>
      <c r="D285" s="354">
        <f t="shared" si="108"/>
        <v>0</v>
      </c>
      <c r="E285" s="178">
        <f t="shared" si="109"/>
        <v>0</v>
      </c>
      <c r="F285" s="178">
        <f t="shared" ref="F285:F348" si="111">IF(L284&lt;0.1,0,MIN(L284+D285,F284*(1+V285)))</f>
        <v>0</v>
      </c>
      <c r="G285" s="178">
        <f>IF(L284&lt;0.01,0,IF(Adm!$R$3=Adm!$R$6,0,IF(Adm!$S$10=Adm!$S$11,0,IF(Adm!$S$10=Adm!$S$13,L284*Adm!$X$6,IF(Adm!$S$10=Adm!$S$12,L284*Adm!$Y$3)))))</f>
        <v>0</v>
      </c>
      <c r="H285" s="178"/>
      <c r="I285" s="178"/>
      <c r="J285" s="178">
        <f t="shared" si="105"/>
        <v>0</v>
      </c>
      <c r="K285" s="178"/>
      <c r="L285" s="178">
        <f t="shared" si="106"/>
        <v>0</v>
      </c>
      <c r="O285" s="176">
        <f t="shared" si="107"/>
        <v>0</v>
      </c>
      <c r="U285" s="571">
        <f t="shared" si="110"/>
        <v>3</v>
      </c>
      <c r="V285" s="293">
        <f>IF(U285=1,Adm!$AN$2,0)</f>
        <v>0</v>
      </c>
    </row>
    <row r="286" spans="3:22">
      <c r="C286" s="178">
        <f t="shared" si="104"/>
        <v>0</v>
      </c>
      <c r="D286" s="354">
        <f t="shared" si="108"/>
        <v>0</v>
      </c>
      <c r="E286" s="178">
        <f t="shared" si="109"/>
        <v>0</v>
      </c>
      <c r="F286" s="178">
        <f t="shared" si="111"/>
        <v>0</v>
      </c>
      <c r="G286" s="178">
        <f>IF(L285&lt;0.01,0,IF(Adm!$R$3=Adm!$R$6,0,IF(Adm!$S$10=Adm!$S$11,0,IF(Adm!$S$10=Adm!$S$13,L285*Adm!$X$6,IF(Adm!$S$10=Adm!$S$12,L285*Adm!$Y$3)))))</f>
        <v>0</v>
      </c>
      <c r="H286" s="178"/>
      <c r="I286" s="178"/>
      <c r="J286" s="178">
        <f t="shared" si="105"/>
        <v>0</v>
      </c>
      <c r="K286" s="178"/>
      <c r="L286" s="178">
        <f t="shared" si="106"/>
        <v>0</v>
      </c>
      <c r="O286" s="176">
        <f t="shared" si="107"/>
        <v>0</v>
      </c>
      <c r="U286" s="571">
        <f t="shared" si="110"/>
        <v>4</v>
      </c>
      <c r="V286" s="293">
        <f>IF(U286=1,Adm!$AN$2,0)</f>
        <v>0</v>
      </c>
    </row>
    <row r="287" spans="3:22">
      <c r="C287" s="178">
        <f t="shared" si="104"/>
        <v>0</v>
      </c>
      <c r="D287" s="354">
        <f t="shared" si="108"/>
        <v>0</v>
      </c>
      <c r="E287" s="178">
        <f t="shared" si="109"/>
        <v>0</v>
      </c>
      <c r="F287" s="178">
        <f t="shared" si="111"/>
        <v>0</v>
      </c>
      <c r="G287" s="178">
        <f>IF(L286&lt;0.01,0,IF(Adm!$R$3=Adm!$R$6,0,IF(Adm!$S$10=Adm!$S$11,0,IF(Adm!$S$10=Adm!$S$13,L286*Adm!$X$6,IF(Adm!$S$10=Adm!$S$12,L286*Adm!$Y$3)))))</f>
        <v>0</v>
      </c>
      <c r="H287" s="178"/>
      <c r="I287" s="178"/>
      <c r="J287" s="178">
        <f t="shared" si="105"/>
        <v>0</v>
      </c>
      <c r="K287" s="178"/>
      <c r="L287" s="178">
        <f t="shared" si="106"/>
        <v>0</v>
      </c>
      <c r="O287" s="176">
        <f t="shared" si="107"/>
        <v>0</v>
      </c>
      <c r="U287" s="571">
        <f t="shared" si="110"/>
        <v>5</v>
      </c>
      <c r="V287" s="293">
        <f>IF(U287=1,Adm!$AN$2,0)</f>
        <v>0</v>
      </c>
    </row>
    <row r="288" spans="3:22">
      <c r="C288" s="178">
        <f t="shared" si="104"/>
        <v>0</v>
      </c>
      <c r="D288" s="354">
        <f t="shared" si="108"/>
        <v>0</v>
      </c>
      <c r="E288" s="178">
        <f t="shared" si="109"/>
        <v>0</v>
      </c>
      <c r="F288" s="178">
        <f t="shared" si="111"/>
        <v>0</v>
      </c>
      <c r="G288" s="178">
        <f>IF(L287&lt;0.01,0,IF(Adm!$R$3=Adm!$R$6,0,IF(Adm!$S$10=Adm!$S$11,0,IF(Adm!$S$10=Adm!$S$13,L287*Adm!$X$6,IF(Adm!$S$10=Adm!$S$12,L287*Adm!$Y$3)))))</f>
        <v>0</v>
      </c>
      <c r="H288" s="178"/>
      <c r="I288" s="178"/>
      <c r="J288" s="178">
        <f t="shared" si="105"/>
        <v>0</v>
      </c>
      <c r="K288" s="178"/>
      <c r="L288" s="178">
        <f t="shared" si="106"/>
        <v>0</v>
      </c>
      <c r="O288" s="176">
        <f t="shared" si="107"/>
        <v>0</v>
      </c>
      <c r="U288" s="571">
        <f t="shared" si="110"/>
        <v>6</v>
      </c>
      <c r="V288" s="293">
        <f>IF(U288=1,Adm!$AN$2,0)</f>
        <v>0</v>
      </c>
    </row>
    <row r="289" spans="3:22">
      <c r="C289" s="178">
        <f t="shared" si="104"/>
        <v>0</v>
      </c>
      <c r="D289" s="354">
        <f t="shared" si="108"/>
        <v>0</v>
      </c>
      <c r="E289" s="178">
        <f t="shared" si="109"/>
        <v>0</v>
      </c>
      <c r="F289" s="178">
        <f t="shared" si="111"/>
        <v>0</v>
      </c>
      <c r="G289" s="178">
        <f>IF(L288&lt;0.01,0,IF(Adm!$R$3=Adm!$R$6,0,IF(Adm!$S$10=Adm!$S$11,0,IF(Adm!$S$10=Adm!$S$13,L288*Adm!$X$6,IF(Adm!$S$10=Adm!$S$12,L288*Adm!$Y$3)))))</f>
        <v>0</v>
      </c>
      <c r="H289" s="178"/>
      <c r="I289" s="178"/>
      <c r="J289" s="178">
        <f t="shared" si="105"/>
        <v>0</v>
      </c>
      <c r="K289" s="178"/>
      <c r="L289" s="178">
        <f t="shared" si="106"/>
        <v>0</v>
      </c>
      <c r="O289" s="176">
        <f t="shared" si="107"/>
        <v>0</v>
      </c>
      <c r="U289" s="571">
        <f t="shared" si="110"/>
        <v>7</v>
      </c>
      <c r="V289" s="293">
        <f>IF(U289=1,Adm!$AN$2,0)</f>
        <v>0</v>
      </c>
    </row>
    <row r="290" spans="3:22">
      <c r="C290" s="178">
        <f t="shared" si="104"/>
        <v>0</v>
      </c>
      <c r="D290" s="354">
        <f t="shared" si="108"/>
        <v>0</v>
      </c>
      <c r="E290" s="178">
        <f t="shared" si="109"/>
        <v>0</v>
      </c>
      <c r="F290" s="178">
        <f t="shared" si="111"/>
        <v>0</v>
      </c>
      <c r="G290" s="178">
        <f>IF(L289&lt;0.01,0,IF(Adm!$R$3=Adm!$R$6,0,IF(Adm!$S$10=Adm!$S$11,0,IF(Adm!$S$10=Adm!$S$13,L289*Adm!$X$6,IF(Adm!$S$10=Adm!$S$12,L289*Adm!$Y$3)))))</f>
        <v>0</v>
      </c>
      <c r="H290" s="178"/>
      <c r="I290" s="178"/>
      <c r="J290" s="178">
        <f t="shared" si="105"/>
        <v>0</v>
      </c>
      <c r="K290" s="178"/>
      <c r="L290" s="178">
        <f t="shared" si="106"/>
        <v>0</v>
      </c>
      <c r="O290" s="176">
        <f t="shared" si="107"/>
        <v>0</v>
      </c>
      <c r="U290" s="571">
        <f t="shared" si="110"/>
        <v>8</v>
      </c>
      <c r="V290" s="293">
        <f>IF(U290=1,Adm!$AN$2,0)</f>
        <v>0</v>
      </c>
    </row>
    <row r="291" spans="3:22">
      <c r="C291" s="178">
        <f t="shared" si="104"/>
        <v>0</v>
      </c>
      <c r="D291" s="354">
        <f t="shared" si="108"/>
        <v>0</v>
      </c>
      <c r="E291" s="178">
        <f t="shared" si="109"/>
        <v>0</v>
      </c>
      <c r="F291" s="178">
        <f t="shared" si="111"/>
        <v>0</v>
      </c>
      <c r="G291" s="178">
        <f>IF(L290&lt;0.01,0,IF(Adm!$R$3=Adm!$R$6,0,IF(Adm!$S$10=Adm!$S$11,0,IF(Adm!$S$10=Adm!$S$13,L290*Adm!$X$6,IF(Adm!$S$10=Adm!$S$12,L290*Adm!$Y$3)))))</f>
        <v>0</v>
      </c>
      <c r="H291" s="178"/>
      <c r="I291" s="178"/>
      <c r="J291" s="178">
        <f t="shared" si="105"/>
        <v>0</v>
      </c>
      <c r="K291" s="178"/>
      <c r="L291" s="178">
        <f t="shared" si="106"/>
        <v>0</v>
      </c>
      <c r="O291" s="176">
        <f t="shared" si="107"/>
        <v>0</v>
      </c>
      <c r="U291" s="571">
        <f t="shared" si="110"/>
        <v>9</v>
      </c>
      <c r="V291" s="293">
        <f>IF(U291=1,Adm!$AN$2,0)</f>
        <v>0</v>
      </c>
    </row>
    <row r="292" spans="3:22">
      <c r="C292" s="178">
        <f t="shared" si="104"/>
        <v>0</v>
      </c>
      <c r="D292" s="354">
        <f t="shared" si="108"/>
        <v>0</v>
      </c>
      <c r="E292" s="178">
        <f t="shared" si="109"/>
        <v>0</v>
      </c>
      <c r="F292" s="178">
        <f t="shared" si="111"/>
        <v>0</v>
      </c>
      <c r="G292" s="178">
        <f>IF(L291&lt;0.01,0,IF(Adm!$R$3=Adm!$R$6,0,IF(Adm!$S$10=Adm!$S$11,0,IF(Adm!$S$10=Adm!$S$13,L291*Adm!$X$6,IF(Adm!$S$10=Adm!$S$12,L291*Adm!$Y$3)))))</f>
        <v>0</v>
      </c>
      <c r="H292" s="178"/>
      <c r="I292" s="178"/>
      <c r="J292" s="178">
        <f t="shared" si="105"/>
        <v>0</v>
      </c>
      <c r="K292" s="178"/>
      <c r="L292" s="178">
        <f t="shared" si="106"/>
        <v>0</v>
      </c>
      <c r="O292" s="176">
        <f t="shared" si="107"/>
        <v>0</v>
      </c>
      <c r="U292" s="571">
        <f t="shared" si="110"/>
        <v>10</v>
      </c>
      <c r="V292" s="293">
        <f>IF(U292=1,Adm!$AN$2,0)</f>
        <v>0</v>
      </c>
    </row>
    <row r="293" spans="3:22">
      <c r="C293" s="178">
        <f t="shared" si="104"/>
        <v>0</v>
      </c>
      <c r="D293" s="354">
        <f t="shared" si="108"/>
        <v>0</v>
      </c>
      <c r="E293" s="178">
        <f t="shared" si="109"/>
        <v>0</v>
      </c>
      <c r="F293" s="178">
        <f t="shared" si="111"/>
        <v>0</v>
      </c>
      <c r="G293" s="178">
        <f>IF(L292&lt;0.01,0,IF(Adm!$R$3=Adm!$R$6,0,IF(Adm!$S$10=Adm!$S$11,0,IF(Adm!$S$10=Adm!$S$13,L292*Adm!$X$6,IF(Adm!$S$10=Adm!$S$12,L292*Adm!$Y$3)))))</f>
        <v>0</v>
      </c>
      <c r="H293" s="178"/>
      <c r="I293" s="178"/>
      <c r="J293" s="178">
        <f t="shared" si="105"/>
        <v>0</v>
      </c>
      <c r="K293" s="178"/>
      <c r="L293" s="178">
        <f t="shared" si="106"/>
        <v>0</v>
      </c>
      <c r="O293" s="176">
        <f t="shared" si="107"/>
        <v>0</v>
      </c>
      <c r="U293" s="571">
        <f t="shared" si="110"/>
        <v>11</v>
      </c>
      <c r="V293" s="293">
        <f>IF(U293=1,Adm!$AN$2,0)</f>
        <v>0</v>
      </c>
    </row>
    <row r="294" spans="3:22">
      <c r="C294" s="178">
        <f t="shared" si="104"/>
        <v>0</v>
      </c>
      <c r="D294" s="354">
        <f t="shared" si="108"/>
        <v>0</v>
      </c>
      <c r="E294" s="178">
        <f t="shared" si="109"/>
        <v>0</v>
      </c>
      <c r="F294" s="178">
        <f t="shared" si="111"/>
        <v>0</v>
      </c>
      <c r="G294" s="178">
        <f>IF(L293&lt;0.01,0,IF(Adm!$R$3=Adm!$R$6,0,IF(Adm!$S$10=Adm!$S$11,0,IF(Adm!$S$10=Adm!$S$13,L293*Adm!$X$6,IF(Adm!$S$10=Adm!$S$12,L293*Adm!$Y$3)))))</f>
        <v>0</v>
      </c>
      <c r="H294" s="178"/>
      <c r="I294" s="178"/>
      <c r="J294" s="178">
        <f t="shared" si="105"/>
        <v>0</v>
      </c>
      <c r="K294" s="178"/>
      <c r="L294" s="178">
        <f t="shared" si="106"/>
        <v>0</v>
      </c>
      <c r="O294" s="176">
        <f t="shared" si="107"/>
        <v>0</v>
      </c>
      <c r="U294" s="571">
        <f t="shared" si="110"/>
        <v>12</v>
      </c>
      <c r="V294" s="293">
        <f>IF(U294=1,Adm!$AN$2,0)</f>
        <v>0</v>
      </c>
    </row>
    <row r="295" spans="3:22">
      <c r="C295" s="178">
        <f t="shared" si="104"/>
        <v>0</v>
      </c>
      <c r="D295" s="354">
        <f t="shared" si="108"/>
        <v>0</v>
      </c>
      <c r="E295" s="178">
        <f t="shared" si="109"/>
        <v>0</v>
      </c>
      <c r="F295" s="178">
        <f t="shared" si="111"/>
        <v>0</v>
      </c>
      <c r="G295" s="178">
        <f>IF(L294&lt;0.01,0,IF(Adm!$R$3=Adm!$R$6,0,IF(Adm!$S$10=Adm!$S$11,0,IF(Adm!$S$10=Adm!$S$13,L294*Adm!$X$6,IF(Adm!$S$10=Adm!$S$12,L294*Adm!$Y$3)))))</f>
        <v>0</v>
      </c>
      <c r="H295" s="178"/>
      <c r="I295" s="178"/>
      <c r="J295" s="178">
        <f t="shared" si="105"/>
        <v>0</v>
      </c>
      <c r="K295" s="178"/>
      <c r="L295" s="178">
        <f t="shared" si="106"/>
        <v>0</v>
      </c>
      <c r="O295" s="176">
        <f t="shared" si="107"/>
        <v>0</v>
      </c>
      <c r="U295" s="571">
        <f t="shared" si="110"/>
        <v>1</v>
      </c>
      <c r="V295" s="293">
        <f>IF(U295=1,Adm!$AN$2,0)</f>
        <v>0</v>
      </c>
    </row>
    <row r="296" spans="3:22">
      <c r="C296" s="178">
        <f t="shared" si="104"/>
        <v>0</v>
      </c>
      <c r="D296" s="354">
        <f t="shared" si="108"/>
        <v>0</v>
      </c>
      <c r="E296" s="178">
        <f t="shared" si="109"/>
        <v>0</v>
      </c>
      <c r="F296" s="178">
        <f t="shared" si="111"/>
        <v>0</v>
      </c>
      <c r="G296" s="178">
        <f>IF(L295&lt;0.01,0,IF(Adm!$R$3=Adm!$R$6,0,IF(Adm!$S$10=Adm!$S$11,0,IF(Adm!$S$10=Adm!$S$13,L295*Adm!$X$6,IF(Adm!$S$10=Adm!$S$12,L295*Adm!$Y$3)))))</f>
        <v>0</v>
      </c>
      <c r="H296" s="178"/>
      <c r="I296" s="178"/>
      <c r="J296" s="178">
        <f t="shared" si="105"/>
        <v>0</v>
      </c>
      <c r="K296" s="178"/>
      <c r="L296" s="178">
        <f t="shared" si="106"/>
        <v>0</v>
      </c>
      <c r="O296" s="176">
        <f t="shared" si="107"/>
        <v>0</v>
      </c>
      <c r="U296" s="571">
        <f t="shared" si="110"/>
        <v>2</v>
      </c>
      <c r="V296" s="293">
        <f>IF(U296=1,Adm!$AN$2,0)</f>
        <v>0</v>
      </c>
    </row>
    <row r="297" spans="3:22">
      <c r="C297" s="178">
        <f t="shared" si="104"/>
        <v>0</v>
      </c>
      <c r="D297" s="354">
        <f t="shared" si="108"/>
        <v>0</v>
      </c>
      <c r="E297" s="178">
        <f t="shared" si="109"/>
        <v>0</v>
      </c>
      <c r="F297" s="178">
        <f t="shared" si="111"/>
        <v>0</v>
      </c>
      <c r="G297" s="178">
        <f>IF(L296&lt;0.01,0,IF(Adm!$R$3=Adm!$R$6,0,IF(Adm!$S$10=Adm!$S$11,0,IF(Adm!$S$10=Adm!$S$13,L296*Adm!$X$6,IF(Adm!$S$10=Adm!$S$12,L296*Adm!$Y$3)))))</f>
        <v>0</v>
      </c>
      <c r="H297" s="178"/>
      <c r="I297" s="178"/>
      <c r="J297" s="178">
        <f t="shared" si="105"/>
        <v>0</v>
      </c>
      <c r="K297" s="178"/>
      <c r="L297" s="178">
        <f t="shared" si="106"/>
        <v>0</v>
      </c>
      <c r="O297" s="176">
        <f t="shared" si="107"/>
        <v>0</v>
      </c>
      <c r="U297" s="571">
        <f t="shared" si="110"/>
        <v>3</v>
      </c>
      <c r="V297" s="293">
        <f>IF(U297=1,Adm!$AN$2,0)</f>
        <v>0</v>
      </c>
    </row>
    <row r="298" spans="3:22">
      <c r="C298" s="178">
        <f t="shared" si="104"/>
        <v>0</v>
      </c>
      <c r="D298" s="354">
        <f t="shared" si="108"/>
        <v>0</v>
      </c>
      <c r="E298" s="178">
        <f t="shared" si="109"/>
        <v>0</v>
      </c>
      <c r="F298" s="178">
        <f t="shared" si="111"/>
        <v>0</v>
      </c>
      <c r="G298" s="178">
        <f>IF(L297&lt;0.01,0,IF(Adm!$R$3=Adm!$R$6,0,IF(Adm!$S$10=Adm!$S$11,0,IF(Adm!$S$10=Adm!$S$13,L297*Adm!$X$6,IF(Adm!$S$10=Adm!$S$12,L297*Adm!$Y$3)))))</f>
        <v>0</v>
      </c>
      <c r="H298" s="178"/>
      <c r="I298" s="178"/>
      <c r="J298" s="178">
        <f t="shared" si="105"/>
        <v>0</v>
      </c>
      <c r="K298" s="178"/>
      <c r="L298" s="178">
        <f t="shared" si="106"/>
        <v>0</v>
      </c>
      <c r="O298" s="176">
        <f t="shared" si="107"/>
        <v>0</v>
      </c>
      <c r="U298" s="571">
        <f t="shared" si="110"/>
        <v>4</v>
      </c>
      <c r="V298" s="293">
        <f>IF(U298=1,Adm!$AN$2,0)</f>
        <v>0</v>
      </c>
    </row>
    <row r="299" spans="3:22">
      <c r="C299" s="178">
        <f t="shared" si="104"/>
        <v>0</v>
      </c>
      <c r="D299" s="354">
        <f t="shared" si="108"/>
        <v>0</v>
      </c>
      <c r="E299" s="178">
        <f t="shared" si="109"/>
        <v>0</v>
      </c>
      <c r="F299" s="178">
        <f t="shared" si="111"/>
        <v>0</v>
      </c>
      <c r="G299" s="178">
        <f>IF(L298&lt;0.01,0,IF(Adm!$R$3=Adm!$R$6,0,IF(Adm!$S$10=Adm!$S$11,0,IF(Adm!$S$10=Adm!$S$13,L298*Adm!$X$6,IF(Adm!$S$10=Adm!$S$12,L298*Adm!$Y$3)))))</f>
        <v>0</v>
      </c>
      <c r="H299" s="178"/>
      <c r="I299" s="178"/>
      <c r="J299" s="178">
        <f t="shared" si="105"/>
        <v>0</v>
      </c>
      <c r="K299" s="178"/>
      <c r="L299" s="178">
        <f t="shared" si="106"/>
        <v>0</v>
      </c>
      <c r="O299" s="176">
        <f t="shared" si="107"/>
        <v>0</v>
      </c>
      <c r="U299" s="571">
        <f t="shared" si="110"/>
        <v>5</v>
      </c>
      <c r="V299" s="293">
        <f>IF(U299=1,Adm!$AN$2,0)</f>
        <v>0</v>
      </c>
    </row>
    <row r="300" spans="3:22">
      <c r="C300" s="178">
        <f t="shared" si="104"/>
        <v>0</v>
      </c>
      <c r="D300" s="354">
        <f t="shared" si="108"/>
        <v>0</v>
      </c>
      <c r="E300" s="178">
        <f t="shared" si="109"/>
        <v>0</v>
      </c>
      <c r="F300" s="178">
        <f t="shared" si="111"/>
        <v>0</v>
      </c>
      <c r="G300" s="178">
        <f>IF(L299&lt;0.01,0,IF(Adm!$R$3=Adm!$R$6,0,IF(Adm!$S$10=Adm!$S$11,0,IF(Adm!$S$10=Adm!$S$13,L299*Adm!$X$6,IF(Adm!$S$10=Adm!$S$12,L299*Adm!$Y$3)))))</f>
        <v>0</v>
      </c>
      <c r="H300" s="178"/>
      <c r="I300" s="178"/>
      <c r="J300" s="178">
        <f t="shared" si="105"/>
        <v>0</v>
      </c>
      <c r="K300" s="178"/>
      <c r="L300" s="178">
        <f t="shared" si="106"/>
        <v>0</v>
      </c>
      <c r="O300" s="176">
        <f t="shared" si="107"/>
        <v>0</v>
      </c>
      <c r="U300" s="571">
        <f t="shared" si="110"/>
        <v>6</v>
      </c>
      <c r="V300" s="293">
        <f>IF(U300=1,Adm!$AN$2,0)</f>
        <v>0</v>
      </c>
    </row>
    <row r="301" spans="3:22">
      <c r="C301" s="178">
        <f t="shared" si="104"/>
        <v>0</v>
      </c>
      <c r="D301" s="354">
        <f t="shared" si="108"/>
        <v>0</v>
      </c>
      <c r="E301" s="178">
        <f t="shared" si="109"/>
        <v>0</v>
      </c>
      <c r="F301" s="178">
        <f t="shared" si="111"/>
        <v>0</v>
      </c>
      <c r="G301" s="178">
        <f>IF(L300&lt;0.01,0,IF(Adm!$R$3=Adm!$R$6,0,IF(Adm!$S$10=Adm!$S$11,0,IF(Adm!$S$10=Adm!$S$13,L300*Adm!$X$6,IF(Adm!$S$10=Adm!$S$12,L300*Adm!$Y$3)))))</f>
        <v>0</v>
      </c>
      <c r="H301" s="178"/>
      <c r="I301" s="178"/>
      <c r="J301" s="178">
        <f t="shared" si="105"/>
        <v>0</v>
      </c>
      <c r="K301" s="178"/>
      <c r="L301" s="178">
        <f t="shared" si="106"/>
        <v>0</v>
      </c>
      <c r="O301" s="176">
        <f t="shared" si="107"/>
        <v>0</v>
      </c>
      <c r="U301" s="571">
        <f t="shared" si="110"/>
        <v>7</v>
      </c>
      <c r="V301" s="293">
        <f>IF(U301=1,Adm!$AN$2,0)</f>
        <v>0</v>
      </c>
    </row>
    <row r="302" spans="3:22">
      <c r="C302" s="178">
        <f t="shared" si="104"/>
        <v>0</v>
      </c>
      <c r="D302" s="354">
        <f t="shared" si="108"/>
        <v>0</v>
      </c>
      <c r="E302" s="178">
        <f t="shared" si="109"/>
        <v>0</v>
      </c>
      <c r="F302" s="178">
        <f t="shared" si="111"/>
        <v>0</v>
      </c>
      <c r="G302" s="178">
        <f>IF(L301&lt;0.01,0,IF(Adm!$R$3=Adm!$R$6,0,IF(Adm!$S$10=Adm!$S$11,0,IF(Adm!$S$10=Adm!$S$13,L301*Adm!$X$6,IF(Adm!$S$10=Adm!$S$12,L301*Adm!$Y$3)))))</f>
        <v>0</v>
      </c>
      <c r="H302" s="178"/>
      <c r="I302" s="178"/>
      <c r="J302" s="178">
        <f t="shared" si="105"/>
        <v>0</v>
      </c>
      <c r="K302" s="178"/>
      <c r="L302" s="178">
        <f t="shared" si="106"/>
        <v>0</v>
      </c>
      <c r="O302" s="176">
        <f t="shared" si="107"/>
        <v>0</v>
      </c>
      <c r="U302" s="571">
        <f t="shared" si="110"/>
        <v>8</v>
      </c>
      <c r="V302" s="293">
        <f>IF(U302=1,Adm!$AN$2,0)</f>
        <v>0</v>
      </c>
    </row>
    <row r="303" spans="3:22">
      <c r="C303" s="178">
        <f t="shared" si="104"/>
        <v>0</v>
      </c>
      <c r="D303" s="354">
        <f t="shared" si="108"/>
        <v>0</v>
      </c>
      <c r="E303" s="178">
        <f t="shared" si="109"/>
        <v>0</v>
      </c>
      <c r="F303" s="178">
        <f t="shared" si="111"/>
        <v>0</v>
      </c>
      <c r="G303" s="178">
        <f>IF(L302&lt;0.01,0,IF(Adm!$R$3=Adm!$R$6,0,IF(Adm!$S$10=Adm!$S$11,0,IF(Adm!$S$10=Adm!$S$13,L302*Adm!$X$6,IF(Adm!$S$10=Adm!$S$12,L302*Adm!$Y$3)))))</f>
        <v>0</v>
      </c>
      <c r="H303" s="178"/>
      <c r="I303" s="178"/>
      <c r="J303" s="178">
        <f t="shared" si="105"/>
        <v>0</v>
      </c>
      <c r="K303" s="178"/>
      <c r="L303" s="178">
        <f t="shared" si="106"/>
        <v>0</v>
      </c>
      <c r="O303" s="176">
        <f t="shared" si="107"/>
        <v>0</v>
      </c>
      <c r="U303" s="571">
        <f t="shared" si="110"/>
        <v>9</v>
      </c>
      <c r="V303" s="293">
        <f>IF(U303=1,Adm!$AN$2,0)</f>
        <v>0</v>
      </c>
    </row>
    <row r="304" spans="3:22">
      <c r="C304" s="178">
        <f t="shared" si="104"/>
        <v>0</v>
      </c>
      <c r="D304" s="354">
        <f t="shared" si="108"/>
        <v>0</v>
      </c>
      <c r="E304" s="178">
        <f t="shared" si="109"/>
        <v>0</v>
      </c>
      <c r="F304" s="178">
        <f t="shared" si="111"/>
        <v>0</v>
      </c>
      <c r="G304" s="178">
        <f>IF(L303&lt;0.01,0,IF(Adm!$R$3=Adm!$R$6,0,IF(Adm!$S$10=Adm!$S$11,0,IF(Adm!$S$10=Adm!$S$13,L303*Adm!$X$6,IF(Adm!$S$10=Adm!$S$12,L303*Adm!$Y$3)))))</f>
        <v>0</v>
      </c>
      <c r="H304" s="178"/>
      <c r="I304" s="178"/>
      <c r="J304" s="178">
        <f t="shared" si="105"/>
        <v>0</v>
      </c>
      <c r="K304" s="178"/>
      <c r="L304" s="178">
        <f t="shared" si="106"/>
        <v>0</v>
      </c>
      <c r="O304" s="176">
        <f t="shared" si="107"/>
        <v>0</v>
      </c>
      <c r="U304" s="571">
        <f t="shared" si="110"/>
        <v>10</v>
      </c>
      <c r="V304" s="293">
        <f>IF(U304=1,Adm!$AN$2,0)</f>
        <v>0</v>
      </c>
    </row>
    <row r="305" spans="3:22">
      <c r="C305" s="178">
        <f t="shared" si="104"/>
        <v>0</v>
      </c>
      <c r="D305" s="354">
        <f t="shared" si="108"/>
        <v>0</v>
      </c>
      <c r="E305" s="178">
        <f t="shared" si="109"/>
        <v>0</v>
      </c>
      <c r="F305" s="178">
        <f t="shared" si="111"/>
        <v>0</v>
      </c>
      <c r="G305" s="178">
        <f>IF(L304&lt;0.01,0,IF(Adm!$R$3=Adm!$R$6,0,IF(Adm!$S$10=Adm!$S$11,0,IF(Adm!$S$10=Adm!$S$13,L304*Adm!$X$6,IF(Adm!$S$10=Adm!$S$12,L304*Adm!$Y$3)))))</f>
        <v>0</v>
      </c>
      <c r="H305" s="178"/>
      <c r="I305" s="178"/>
      <c r="J305" s="178">
        <f t="shared" si="105"/>
        <v>0</v>
      </c>
      <c r="K305" s="178"/>
      <c r="L305" s="178">
        <f t="shared" si="106"/>
        <v>0</v>
      </c>
      <c r="O305" s="176">
        <f t="shared" si="107"/>
        <v>0</v>
      </c>
      <c r="U305" s="571">
        <f t="shared" si="110"/>
        <v>11</v>
      </c>
      <c r="V305" s="293">
        <f>IF(U305=1,Adm!$AN$2,0)</f>
        <v>0</v>
      </c>
    </row>
    <row r="306" spans="3:22">
      <c r="C306" s="178">
        <f t="shared" si="104"/>
        <v>0</v>
      </c>
      <c r="D306" s="354">
        <f t="shared" si="108"/>
        <v>0</v>
      </c>
      <c r="E306" s="178">
        <f t="shared" si="109"/>
        <v>0</v>
      </c>
      <c r="F306" s="178">
        <f t="shared" si="111"/>
        <v>0</v>
      </c>
      <c r="G306" s="178">
        <f>IF(L305&lt;0.01,0,IF(Adm!$R$3=Adm!$R$6,0,IF(Adm!$S$10=Adm!$S$11,0,IF(Adm!$S$10=Adm!$S$13,L305*Adm!$X$6,IF(Adm!$S$10=Adm!$S$12,L305*Adm!$Y$3)))))</f>
        <v>0</v>
      </c>
      <c r="H306" s="178"/>
      <c r="I306" s="178"/>
      <c r="J306" s="178">
        <f t="shared" si="105"/>
        <v>0</v>
      </c>
      <c r="K306" s="178"/>
      <c r="L306" s="178">
        <f t="shared" si="106"/>
        <v>0</v>
      </c>
      <c r="O306" s="176">
        <f t="shared" si="107"/>
        <v>0</v>
      </c>
      <c r="U306" s="571">
        <f t="shared" si="110"/>
        <v>12</v>
      </c>
      <c r="V306" s="293">
        <f>IF(U306=1,Adm!$AN$2,0)</f>
        <v>0</v>
      </c>
    </row>
    <row r="307" spans="3:22">
      <c r="C307" s="178">
        <f t="shared" si="104"/>
        <v>0</v>
      </c>
      <c r="D307" s="354">
        <f t="shared" si="108"/>
        <v>0</v>
      </c>
      <c r="E307" s="178">
        <f t="shared" si="109"/>
        <v>0</v>
      </c>
      <c r="F307" s="178">
        <f t="shared" si="111"/>
        <v>0</v>
      </c>
      <c r="G307" s="178">
        <f>IF(L306&lt;0.01,0,IF(Adm!$R$3=Adm!$R$6,0,IF(Adm!$S$10=Adm!$S$11,0,IF(Adm!$S$10=Adm!$S$13,L306*Adm!$X$6,IF(Adm!$S$10=Adm!$S$12,L306*Adm!$Y$3)))))</f>
        <v>0</v>
      </c>
      <c r="H307" s="178"/>
      <c r="I307" s="178"/>
      <c r="J307" s="178">
        <f t="shared" si="105"/>
        <v>0</v>
      </c>
      <c r="K307" s="178"/>
      <c r="L307" s="178">
        <f t="shared" si="106"/>
        <v>0</v>
      </c>
      <c r="O307" s="176">
        <f t="shared" si="107"/>
        <v>0</v>
      </c>
      <c r="U307" s="571">
        <f t="shared" si="110"/>
        <v>1</v>
      </c>
      <c r="V307" s="293">
        <f>IF(U307=1,Adm!$AN$2,0)</f>
        <v>0</v>
      </c>
    </row>
    <row r="308" spans="3:22">
      <c r="C308" s="178">
        <f t="shared" si="104"/>
        <v>0</v>
      </c>
      <c r="D308" s="354">
        <f t="shared" si="108"/>
        <v>0</v>
      </c>
      <c r="E308" s="178">
        <f t="shared" si="109"/>
        <v>0</v>
      </c>
      <c r="F308" s="178">
        <f t="shared" si="111"/>
        <v>0</v>
      </c>
      <c r="G308" s="178">
        <f>IF(L307&lt;0.01,0,IF(Adm!$R$3=Adm!$R$6,0,IF(Adm!$S$10=Adm!$S$11,0,IF(Adm!$S$10=Adm!$S$13,L307*Adm!$X$6,IF(Adm!$S$10=Adm!$S$12,L307*Adm!$Y$3)))))</f>
        <v>0</v>
      </c>
      <c r="H308" s="178"/>
      <c r="I308" s="178"/>
      <c r="J308" s="178">
        <f t="shared" si="105"/>
        <v>0</v>
      </c>
      <c r="K308" s="178"/>
      <c r="L308" s="178">
        <f t="shared" si="106"/>
        <v>0</v>
      </c>
      <c r="O308" s="176">
        <f t="shared" si="107"/>
        <v>0</v>
      </c>
      <c r="U308" s="571">
        <f t="shared" si="110"/>
        <v>2</v>
      </c>
      <c r="V308" s="293">
        <f>IF(U308=1,Adm!$AN$2,0)</f>
        <v>0</v>
      </c>
    </row>
    <row r="309" spans="3:22">
      <c r="C309" s="178">
        <f t="shared" si="104"/>
        <v>0</v>
      </c>
      <c r="D309" s="354">
        <f t="shared" si="108"/>
        <v>0</v>
      </c>
      <c r="E309" s="178">
        <f t="shared" si="109"/>
        <v>0</v>
      </c>
      <c r="F309" s="178">
        <f t="shared" si="111"/>
        <v>0</v>
      </c>
      <c r="G309" s="178">
        <f>IF(L308&lt;0.01,0,IF(Adm!$R$3=Adm!$R$6,0,IF(Adm!$S$10=Adm!$S$11,0,IF(Adm!$S$10=Adm!$S$13,L308*Adm!$X$6,IF(Adm!$S$10=Adm!$S$12,L308*Adm!$Y$3)))))</f>
        <v>0</v>
      </c>
      <c r="H309" s="178"/>
      <c r="I309" s="178"/>
      <c r="J309" s="178">
        <f t="shared" si="105"/>
        <v>0</v>
      </c>
      <c r="K309" s="178"/>
      <c r="L309" s="178">
        <f t="shared" si="106"/>
        <v>0</v>
      </c>
      <c r="O309" s="176">
        <f t="shared" si="107"/>
        <v>0</v>
      </c>
      <c r="U309" s="571">
        <f t="shared" si="110"/>
        <v>3</v>
      </c>
      <c r="V309" s="293">
        <f>IF(U309=1,Adm!$AN$2,0)</f>
        <v>0</v>
      </c>
    </row>
    <row r="310" spans="3:22">
      <c r="C310" s="178">
        <f t="shared" si="104"/>
        <v>0</v>
      </c>
      <c r="D310" s="354">
        <f t="shared" si="108"/>
        <v>0</v>
      </c>
      <c r="E310" s="178">
        <f t="shared" si="109"/>
        <v>0</v>
      </c>
      <c r="F310" s="178">
        <f t="shared" si="111"/>
        <v>0</v>
      </c>
      <c r="G310" s="178">
        <f>IF(L309&lt;0.01,0,IF(Adm!$R$3=Adm!$R$6,0,IF(Adm!$S$10=Adm!$S$11,0,IF(Adm!$S$10=Adm!$S$13,L309*Adm!$X$6,IF(Adm!$S$10=Adm!$S$12,L309*Adm!$Y$3)))))</f>
        <v>0</v>
      </c>
      <c r="H310" s="178"/>
      <c r="I310" s="178"/>
      <c r="J310" s="178">
        <f t="shared" si="105"/>
        <v>0</v>
      </c>
      <c r="K310" s="178"/>
      <c r="L310" s="178">
        <f t="shared" si="106"/>
        <v>0</v>
      </c>
      <c r="O310" s="176">
        <f t="shared" si="107"/>
        <v>0</v>
      </c>
      <c r="U310" s="571">
        <f t="shared" si="110"/>
        <v>4</v>
      </c>
      <c r="V310" s="293">
        <f>IF(U310=1,Adm!$AN$2,0)</f>
        <v>0</v>
      </c>
    </row>
    <row r="311" spans="3:22">
      <c r="C311" s="178">
        <f t="shared" si="104"/>
        <v>0</v>
      </c>
      <c r="D311" s="354">
        <f t="shared" si="108"/>
        <v>0</v>
      </c>
      <c r="E311" s="178">
        <f t="shared" si="109"/>
        <v>0</v>
      </c>
      <c r="F311" s="178">
        <f t="shared" si="111"/>
        <v>0</v>
      </c>
      <c r="G311" s="178">
        <f>IF(L310&lt;0.01,0,IF(Adm!$R$3=Adm!$R$6,0,IF(Adm!$S$10=Adm!$S$11,0,IF(Adm!$S$10=Adm!$S$13,L310*Adm!$X$6,IF(Adm!$S$10=Adm!$S$12,L310*Adm!$Y$3)))))</f>
        <v>0</v>
      </c>
      <c r="H311" s="178"/>
      <c r="I311" s="178"/>
      <c r="J311" s="178">
        <f t="shared" si="105"/>
        <v>0</v>
      </c>
      <c r="K311" s="178"/>
      <c r="L311" s="178">
        <f t="shared" si="106"/>
        <v>0</v>
      </c>
      <c r="O311" s="176">
        <f t="shared" si="107"/>
        <v>0</v>
      </c>
      <c r="U311" s="571">
        <f t="shared" si="110"/>
        <v>5</v>
      </c>
      <c r="V311" s="293">
        <f>IF(U311=1,Adm!$AN$2,0)</f>
        <v>0</v>
      </c>
    </row>
    <row r="312" spans="3:22">
      <c r="C312" s="178">
        <f t="shared" si="104"/>
        <v>0</v>
      </c>
      <c r="D312" s="354">
        <f t="shared" si="108"/>
        <v>0</v>
      </c>
      <c r="E312" s="178">
        <f t="shared" si="109"/>
        <v>0</v>
      </c>
      <c r="F312" s="178">
        <f t="shared" si="111"/>
        <v>0</v>
      </c>
      <c r="G312" s="178">
        <f>IF(L311&lt;0.01,0,IF(Adm!$R$3=Adm!$R$6,0,IF(Adm!$S$10=Adm!$S$11,0,IF(Adm!$S$10=Adm!$S$13,L311*Adm!$X$6,IF(Adm!$S$10=Adm!$S$12,L311*Adm!$Y$3)))))</f>
        <v>0</v>
      </c>
      <c r="H312" s="178"/>
      <c r="I312" s="178"/>
      <c r="J312" s="178">
        <f t="shared" si="105"/>
        <v>0</v>
      </c>
      <c r="K312" s="178"/>
      <c r="L312" s="178">
        <f t="shared" si="106"/>
        <v>0</v>
      </c>
      <c r="O312" s="176">
        <f t="shared" si="107"/>
        <v>0</v>
      </c>
      <c r="U312" s="571">
        <f t="shared" si="110"/>
        <v>6</v>
      </c>
      <c r="V312" s="293">
        <f>IF(U312=1,Adm!$AN$2,0)</f>
        <v>0</v>
      </c>
    </row>
    <row r="313" spans="3:22">
      <c r="C313" s="178">
        <f t="shared" si="104"/>
        <v>0</v>
      </c>
      <c r="D313" s="354">
        <f t="shared" si="108"/>
        <v>0</v>
      </c>
      <c r="E313" s="178">
        <f t="shared" si="109"/>
        <v>0</v>
      </c>
      <c r="F313" s="178">
        <f t="shared" si="111"/>
        <v>0</v>
      </c>
      <c r="G313" s="178">
        <f>IF(L312&lt;0.01,0,IF(Adm!$R$3=Adm!$R$6,0,IF(Adm!$S$10=Adm!$S$11,0,IF(Adm!$S$10=Adm!$S$13,L312*Adm!$X$6,IF(Adm!$S$10=Adm!$S$12,L312*Adm!$Y$3)))))</f>
        <v>0</v>
      </c>
      <c r="H313" s="178"/>
      <c r="I313" s="178"/>
      <c r="J313" s="178">
        <f t="shared" si="105"/>
        <v>0</v>
      </c>
      <c r="K313" s="178"/>
      <c r="L313" s="178">
        <f t="shared" si="106"/>
        <v>0</v>
      </c>
      <c r="O313" s="176">
        <f t="shared" si="107"/>
        <v>0</v>
      </c>
      <c r="U313" s="571">
        <f t="shared" si="110"/>
        <v>7</v>
      </c>
      <c r="V313" s="293">
        <f>IF(U313=1,Adm!$AN$2,0)</f>
        <v>0</v>
      </c>
    </row>
    <row r="314" spans="3:22">
      <c r="C314" s="178">
        <f t="shared" si="104"/>
        <v>0</v>
      </c>
      <c r="D314" s="354">
        <f t="shared" si="108"/>
        <v>0</v>
      </c>
      <c r="E314" s="178">
        <f t="shared" si="109"/>
        <v>0</v>
      </c>
      <c r="F314" s="178">
        <f t="shared" si="111"/>
        <v>0</v>
      </c>
      <c r="G314" s="178">
        <f>IF(L313&lt;0.01,0,IF(Adm!$R$3=Adm!$R$6,0,IF(Adm!$S$10=Adm!$S$11,0,IF(Adm!$S$10=Adm!$S$13,L313*Adm!$X$6,IF(Adm!$S$10=Adm!$S$12,L313*Adm!$Y$3)))))</f>
        <v>0</v>
      </c>
      <c r="H314" s="178"/>
      <c r="I314" s="178"/>
      <c r="J314" s="178">
        <f t="shared" si="105"/>
        <v>0</v>
      </c>
      <c r="K314" s="178"/>
      <c r="L314" s="178">
        <f t="shared" si="106"/>
        <v>0</v>
      </c>
      <c r="O314" s="176">
        <f t="shared" si="107"/>
        <v>0</v>
      </c>
      <c r="U314" s="571">
        <f t="shared" si="110"/>
        <v>8</v>
      </c>
      <c r="V314" s="293">
        <f>IF(U314=1,Adm!$AN$2,0)</f>
        <v>0</v>
      </c>
    </row>
    <row r="315" spans="3:22">
      <c r="C315" s="178">
        <f t="shared" si="104"/>
        <v>0</v>
      </c>
      <c r="D315" s="354">
        <f t="shared" si="108"/>
        <v>0</v>
      </c>
      <c r="E315" s="178">
        <f t="shared" si="109"/>
        <v>0</v>
      </c>
      <c r="F315" s="178">
        <f t="shared" si="111"/>
        <v>0</v>
      </c>
      <c r="G315" s="178">
        <f>IF(L314&lt;0.01,0,IF(Adm!$R$3=Adm!$R$6,0,IF(Adm!$S$10=Adm!$S$11,0,IF(Adm!$S$10=Adm!$S$13,L314*Adm!$X$6,IF(Adm!$S$10=Adm!$S$12,L314*Adm!$Y$3)))))</f>
        <v>0</v>
      </c>
      <c r="H315" s="178"/>
      <c r="I315" s="178"/>
      <c r="J315" s="178">
        <f t="shared" si="105"/>
        <v>0</v>
      </c>
      <c r="K315" s="178"/>
      <c r="L315" s="178">
        <f t="shared" si="106"/>
        <v>0</v>
      </c>
      <c r="O315" s="176">
        <f t="shared" si="107"/>
        <v>0</v>
      </c>
      <c r="U315" s="571">
        <f t="shared" si="110"/>
        <v>9</v>
      </c>
      <c r="V315" s="293">
        <f>IF(U315=1,Adm!$AN$2,0)</f>
        <v>0</v>
      </c>
    </row>
    <row r="316" spans="3:22">
      <c r="C316" s="178">
        <f t="shared" si="104"/>
        <v>0</v>
      </c>
      <c r="D316" s="354">
        <f t="shared" si="108"/>
        <v>0</v>
      </c>
      <c r="E316" s="178">
        <f t="shared" si="109"/>
        <v>0</v>
      </c>
      <c r="F316" s="178">
        <f t="shared" si="111"/>
        <v>0</v>
      </c>
      <c r="G316" s="178">
        <f>IF(L315&lt;0.01,0,IF(Adm!$R$3=Adm!$R$6,0,IF(Adm!$S$10=Adm!$S$11,0,IF(Adm!$S$10=Adm!$S$13,L315*Adm!$X$6,IF(Adm!$S$10=Adm!$S$12,L315*Adm!$Y$3)))))</f>
        <v>0</v>
      </c>
      <c r="H316" s="178"/>
      <c r="I316" s="178"/>
      <c r="J316" s="178">
        <f t="shared" si="105"/>
        <v>0</v>
      </c>
      <c r="K316" s="178"/>
      <c r="L316" s="178">
        <f t="shared" si="106"/>
        <v>0</v>
      </c>
      <c r="O316" s="176">
        <f t="shared" si="107"/>
        <v>0</v>
      </c>
      <c r="U316" s="571">
        <f t="shared" si="110"/>
        <v>10</v>
      </c>
      <c r="V316" s="293">
        <f>IF(U316=1,Adm!$AN$2,0)</f>
        <v>0</v>
      </c>
    </row>
    <row r="317" spans="3:22">
      <c r="C317" s="178">
        <f t="shared" si="104"/>
        <v>0</v>
      </c>
      <c r="D317" s="354">
        <f t="shared" si="108"/>
        <v>0</v>
      </c>
      <c r="E317" s="178">
        <f t="shared" si="109"/>
        <v>0</v>
      </c>
      <c r="F317" s="178">
        <f t="shared" si="111"/>
        <v>0</v>
      </c>
      <c r="G317" s="178">
        <f>IF(L316&lt;0.01,0,IF(Adm!$R$3=Adm!$R$6,0,IF(Adm!$S$10=Adm!$S$11,0,IF(Adm!$S$10=Adm!$S$13,L316*Adm!$X$6,IF(Adm!$S$10=Adm!$S$12,L316*Adm!$Y$3)))))</f>
        <v>0</v>
      </c>
      <c r="H317" s="178"/>
      <c r="I317" s="178"/>
      <c r="J317" s="178">
        <f t="shared" si="105"/>
        <v>0</v>
      </c>
      <c r="K317" s="178"/>
      <c r="L317" s="178">
        <f t="shared" si="106"/>
        <v>0</v>
      </c>
      <c r="O317" s="176">
        <f t="shared" si="107"/>
        <v>0</v>
      </c>
      <c r="U317" s="571">
        <f t="shared" si="110"/>
        <v>11</v>
      </c>
      <c r="V317" s="293">
        <f>IF(U317=1,Adm!$AN$2,0)</f>
        <v>0</v>
      </c>
    </row>
    <row r="318" spans="3:22">
      <c r="C318" s="178">
        <f t="shared" si="104"/>
        <v>0</v>
      </c>
      <c r="D318" s="354">
        <f t="shared" si="108"/>
        <v>0</v>
      </c>
      <c r="E318" s="178">
        <f t="shared" si="109"/>
        <v>0</v>
      </c>
      <c r="F318" s="178">
        <f t="shared" si="111"/>
        <v>0</v>
      </c>
      <c r="G318" s="178">
        <f>IF(L317&lt;0.01,0,IF(Adm!$R$3=Adm!$R$6,0,IF(Adm!$S$10=Adm!$S$11,0,IF(Adm!$S$10=Adm!$S$13,L317*Adm!$X$6,IF(Adm!$S$10=Adm!$S$12,L317*Adm!$Y$3)))))</f>
        <v>0</v>
      </c>
      <c r="H318" s="178"/>
      <c r="I318" s="178"/>
      <c r="J318" s="178">
        <f t="shared" si="105"/>
        <v>0</v>
      </c>
      <c r="K318" s="178"/>
      <c r="L318" s="178">
        <f t="shared" si="106"/>
        <v>0</v>
      </c>
      <c r="O318" s="176">
        <f t="shared" si="107"/>
        <v>0</v>
      </c>
      <c r="U318" s="571">
        <f t="shared" si="110"/>
        <v>12</v>
      </c>
      <c r="V318" s="293">
        <f>IF(U318=1,Adm!$AN$2,0)</f>
        <v>0</v>
      </c>
    </row>
    <row r="319" spans="3:22">
      <c r="C319" s="178">
        <f t="shared" si="104"/>
        <v>0</v>
      </c>
      <c r="D319" s="354">
        <f t="shared" si="108"/>
        <v>0</v>
      </c>
      <c r="E319" s="178">
        <f t="shared" si="109"/>
        <v>0</v>
      </c>
      <c r="F319" s="178">
        <f t="shared" si="111"/>
        <v>0</v>
      </c>
      <c r="G319" s="178">
        <f>IF(L318&lt;0.01,0,IF(Adm!$R$3=Adm!$R$6,0,IF(Adm!$S$10=Adm!$S$11,0,IF(Adm!$S$10=Adm!$S$13,L318*Adm!$X$6,IF(Adm!$S$10=Adm!$S$12,L318*Adm!$Y$3)))))</f>
        <v>0</v>
      </c>
      <c r="H319" s="178"/>
      <c r="I319" s="178"/>
      <c r="J319" s="178">
        <f t="shared" si="105"/>
        <v>0</v>
      </c>
      <c r="K319" s="178"/>
      <c r="L319" s="178">
        <f t="shared" si="106"/>
        <v>0</v>
      </c>
      <c r="O319" s="176">
        <f t="shared" si="107"/>
        <v>0</v>
      </c>
      <c r="U319" s="571">
        <f t="shared" si="110"/>
        <v>1</v>
      </c>
      <c r="V319" s="293">
        <f>IF(U319=1,Adm!$AN$2,0)</f>
        <v>0</v>
      </c>
    </row>
    <row r="320" spans="3:22">
      <c r="C320" s="178">
        <f t="shared" si="104"/>
        <v>0</v>
      </c>
      <c r="D320" s="354">
        <f t="shared" si="108"/>
        <v>0</v>
      </c>
      <c r="E320" s="178">
        <f t="shared" si="109"/>
        <v>0</v>
      </c>
      <c r="F320" s="178">
        <f t="shared" si="111"/>
        <v>0</v>
      </c>
      <c r="G320" s="178">
        <f>IF(L319&lt;0.01,0,IF(Adm!$R$3=Adm!$R$6,0,IF(Adm!$S$10=Adm!$S$11,0,IF(Adm!$S$10=Adm!$S$13,L319*Adm!$X$6,IF(Adm!$S$10=Adm!$S$12,L319*Adm!$Y$3)))))</f>
        <v>0</v>
      </c>
      <c r="H320" s="178"/>
      <c r="I320" s="178"/>
      <c r="J320" s="178">
        <f t="shared" si="105"/>
        <v>0</v>
      </c>
      <c r="K320" s="178"/>
      <c r="L320" s="178">
        <f t="shared" si="106"/>
        <v>0</v>
      </c>
      <c r="O320" s="176">
        <f t="shared" si="107"/>
        <v>0</v>
      </c>
      <c r="U320" s="571">
        <f t="shared" si="110"/>
        <v>2</v>
      </c>
      <c r="V320" s="293">
        <f>IF(U320=1,Adm!$AN$2,0)</f>
        <v>0</v>
      </c>
    </row>
    <row r="321" spans="3:22">
      <c r="C321" s="178">
        <f t="shared" si="104"/>
        <v>0</v>
      </c>
      <c r="D321" s="354">
        <f t="shared" si="108"/>
        <v>0</v>
      </c>
      <c r="E321" s="178">
        <f t="shared" si="109"/>
        <v>0</v>
      </c>
      <c r="F321" s="178">
        <f t="shared" si="111"/>
        <v>0</v>
      </c>
      <c r="G321" s="178">
        <f>IF(L320&lt;0.01,0,IF(Adm!$R$3=Adm!$R$6,0,IF(Adm!$S$10=Adm!$S$11,0,IF(Adm!$S$10=Adm!$S$13,L320*Adm!$X$6,IF(Adm!$S$10=Adm!$S$12,L320*Adm!$Y$3)))))</f>
        <v>0</v>
      </c>
      <c r="H321" s="178"/>
      <c r="I321" s="178"/>
      <c r="J321" s="178">
        <f t="shared" si="105"/>
        <v>0</v>
      </c>
      <c r="K321" s="178"/>
      <c r="L321" s="178">
        <f t="shared" si="106"/>
        <v>0</v>
      </c>
      <c r="O321" s="176">
        <f t="shared" si="107"/>
        <v>0</v>
      </c>
      <c r="U321" s="571">
        <f t="shared" si="110"/>
        <v>3</v>
      </c>
      <c r="V321" s="293">
        <f>IF(U321=1,Adm!$AN$2,0)</f>
        <v>0</v>
      </c>
    </row>
    <row r="322" spans="3:22">
      <c r="C322" s="178">
        <f t="shared" si="104"/>
        <v>0</v>
      </c>
      <c r="D322" s="354">
        <f t="shared" si="108"/>
        <v>0</v>
      </c>
      <c r="E322" s="178">
        <f t="shared" si="109"/>
        <v>0</v>
      </c>
      <c r="F322" s="178">
        <f t="shared" si="111"/>
        <v>0</v>
      </c>
      <c r="G322" s="178">
        <f>IF(L321&lt;0.01,0,IF(Adm!$R$3=Adm!$R$6,0,IF(Adm!$S$10=Adm!$S$11,0,IF(Adm!$S$10=Adm!$S$13,L321*Adm!$X$6,IF(Adm!$S$10=Adm!$S$12,L321*Adm!$Y$3)))))</f>
        <v>0</v>
      </c>
      <c r="H322" s="178"/>
      <c r="I322" s="178"/>
      <c r="J322" s="178">
        <f t="shared" si="105"/>
        <v>0</v>
      </c>
      <c r="K322" s="178"/>
      <c r="L322" s="178">
        <f t="shared" si="106"/>
        <v>0</v>
      </c>
      <c r="O322" s="176">
        <f t="shared" si="107"/>
        <v>0</v>
      </c>
      <c r="U322" s="571">
        <f t="shared" si="110"/>
        <v>4</v>
      </c>
      <c r="V322" s="293">
        <f>IF(U322=1,Adm!$AN$2,0)</f>
        <v>0</v>
      </c>
    </row>
    <row r="323" spans="3:22">
      <c r="C323" s="178">
        <f t="shared" si="104"/>
        <v>0</v>
      </c>
      <c r="D323" s="354">
        <f t="shared" si="108"/>
        <v>0</v>
      </c>
      <c r="E323" s="178">
        <f t="shared" si="109"/>
        <v>0</v>
      </c>
      <c r="F323" s="178">
        <f t="shared" si="111"/>
        <v>0</v>
      </c>
      <c r="G323" s="178">
        <f>IF(L322&lt;0.01,0,IF(Adm!$R$3=Adm!$R$6,0,IF(Adm!$S$10=Adm!$S$11,0,IF(Adm!$S$10=Adm!$S$13,L322*Adm!$X$6,IF(Adm!$S$10=Adm!$S$12,L322*Adm!$Y$3)))))</f>
        <v>0</v>
      </c>
      <c r="H323" s="178"/>
      <c r="I323" s="178"/>
      <c r="J323" s="178">
        <f t="shared" si="105"/>
        <v>0</v>
      </c>
      <c r="K323" s="178"/>
      <c r="L323" s="178">
        <f t="shared" si="106"/>
        <v>0</v>
      </c>
      <c r="O323" s="176">
        <f t="shared" si="107"/>
        <v>0</v>
      </c>
      <c r="U323" s="571">
        <f t="shared" si="110"/>
        <v>5</v>
      </c>
      <c r="V323" s="293">
        <f>IF(U323=1,Adm!$AN$2,0)</f>
        <v>0</v>
      </c>
    </row>
    <row r="324" spans="3:22">
      <c r="C324" s="178">
        <f t="shared" si="104"/>
        <v>0</v>
      </c>
      <c r="D324" s="354">
        <f t="shared" si="108"/>
        <v>0</v>
      </c>
      <c r="E324" s="178">
        <f t="shared" si="109"/>
        <v>0</v>
      </c>
      <c r="F324" s="178">
        <f t="shared" si="111"/>
        <v>0</v>
      </c>
      <c r="G324" s="178">
        <f>IF(L323&lt;0.01,0,IF(Adm!$R$3=Adm!$R$6,0,IF(Adm!$S$10=Adm!$S$11,0,IF(Adm!$S$10=Adm!$S$13,L323*Adm!$X$6,IF(Adm!$S$10=Adm!$S$12,L323*Adm!$Y$3)))))</f>
        <v>0</v>
      </c>
      <c r="H324" s="178"/>
      <c r="I324" s="178"/>
      <c r="J324" s="178">
        <f t="shared" si="105"/>
        <v>0</v>
      </c>
      <c r="K324" s="178"/>
      <c r="L324" s="178">
        <f t="shared" si="106"/>
        <v>0</v>
      </c>
      <c r="O324" s="176">
        <f t="shared" si="107"/>
        <v>0</v>
      </c>
      <c r="U324" s="571">
        <f t="shared" si="110"/>
        <v>6</v>
      </c>
      <c r="V324" s="293">
        <f>IF(U324=1,Adm!$AN$2,0)</f>
        <v>0</v>
      </c>
    </row>
    <row r="325" spans="3:22">
      <c r="C325" s="178">
        <f t="shared" si="104"/>
        <v>0</v>
      </c>
      <c r="D325" s="354">
        <f t="shared" si="108"/>
        <v>0</v>
      </c>
      <c r="E325" s="178">
        <f t="shared" si="109"/>
        <v>0</v>
      </c>
      <c r="F325" s="178">
        <f t="shared" si="111"/>
        <v>0</v>
      </c>
      <c r="G325" s="178">
        <f>IF(L324&lt;0.01,0,IF(Adm!$R$3=Adm!$R$6,0,IF(Adm!$S$10=Adm!$S$11,0,IF(Adm!$S$10=Adm!$S$13,L324*Adm!$X$6,IF(Adm!$S$10=Adm!$S$12,L324*Adm!$Y$3)))))</f>
        <v>0</v>
      </c>
      <c r="H325" s="178"/>
      <c r="I325" s="178"/>
      <c r="J325" s="178">
        <f t="shared" si="105"/>
        <v>0</v>
      </c>
      <c r="K325" s="178"/>
      <c r="L325" s="178">
        <f t="shared" si="106"/>
        <v>0</v>
      </c>
      <c r="O325" s="176">
        <f t="shared" si="107"/>
        <v>0</v>
      </c>
      <c r="U325" s="571">
        <f t="shared" si="110"/>
        <v>7</v>
      </c>
      <c r="V325" s="293">
        <f>IF(U325=1,Adm!$AN$2,0)</f>
        <v>0</v>
      </c>
    </row>
    <row r="326" spans="3:22">
      <c r="C326" s="178">
        <f t="shared" si="104"/>
        <v>0</v>
      </c>
      <c r="D326" s="354">
        <f t="shared" si="108"/>
        <v>0</v>
      </c>
      <c r="E326" s="178">
        <f t="shared" si="109"/>
        <v>0</v>
      </c>
      <c r="F326" s="178">
        <f t="shared" si="111"/>
        <v>0</v>
      </c>
      <c r="G326" s="178">
        <f>IF(L325&lt;0.01,0,IF(Adm!$R$3=Adm!$R$6,0,IF(Adm!$S$10=Adm!$S$11,0,IF(Adm!$S$10=Adm!$S$13,L325*Adm!$X$6,IF(Adm!$S$10=Adm!$S$12,L325*Adm!$Y$3)))))</f>
        <v>0</v>
      </c>
      <c r="H326" s="178"/>
      <c r="I326" s="178"/>
      <c r="J326" s="178">
        <f t="shared" si="105"/>
        <v>0</v>
      </c>
      <c r="K326" s="178"/>
      <c r="L326" s="178">
        <f t="shared" si="106"/>
        <v>0</v>
      </c>
      <c r="O326" s="176">
        <f t="shared" si="107"/>
        <v>0</v>
      </c>
      <c r="U326" s="571">
        <f t="shared" si="110"/>
        <v>8</v>
      </c>
      <c r="V326" s="293">
        <f>IF(U326=1,Adm!$AN$2,0)</f>
        <v>0</v>
      </c>
    </row>
    <row r="327" spans="3:22">
      <c r="C327" s="178">
        <f t="shared" si="104"/>
        <v>0</v>
      </c>
      <c r="D327" s="354">
        <f t="shared" si="108"/>
        <v>0</v>
      </c>
      <c r="E327" s="178">
        <f t="shared" si="109"/>
        <v>0</v>
      </c>
      <c r="F327" s="178">
        <f t="shared" si="111"/>
        <v>0</v>
      </c>
      <c r="G327" s="178">
        <f>IF(L326&lt;0.01,0,IF(Adm!$R$3=Adm!$R$6,0,IF(Adm!$S$10=Adm!$S$11,0,IF(Adm!$S$10=Adm!$S$13,L326*Adm!$X$6,IF(Adm!$S$10=Adm!$S$12,L326*Adm!$Y$3)))))</f>
        <v>0</v>
      </c>
      <c r="H327" s="178"/>
      <c r="I327" s="178"/>
      <c r="J327" s="178">
        <f t="shared" si="105"/>
        <v>0</v>
      </c>
      <c r="K327" s="178"/>
      <c r="L327" s="178">
        <f t="shared" si="106"/>
        <v>0</v>
      </c>
      <c r="O327" s="176">
        <f t="shared" si="107"/>
        <v>0</v>
      </c>
      <c r="U327" s="571">
        <f t="shared" si="110"/>
        <v>9</v>
      </c>
      <c r="V327" s="293">
        <f>IF(U327=1,Adm!$AN$2,0)</f>
        <v>0</v>
      </c>
    </row>
    <row r="328" spans="3:22">
      <c r="C328" s="178">
        <f t="shared" si="104"/>
        <v>0</v>
      </c>
      <c r="D328" s="354">
        <f t="shared" si="108"/>
        <v>0</v>
      </c>
      <c r="E328" s="178">
        <f t="shared" si="109"/>
        <v>0</v>
      </c>
      <c r="F328" s="178">
        <f t="shared" si="111"/>
        <v>0</v>
      </c>
      <c r="G328" s="178">
        <f>IF(L327&lt;0.01,0,IF(Adm!$R$3=Adm!$R$6,0,IF(Adm!$S$10=Adm!$S$11,0,IF(Adm!$S$10=Adm!$S$13,L327*Adm!$X$6,IF(Adm!$S$10=Adm!$S$12,L327*Adm!$Y$3)))))</f>
        <v>0</v>
      </c>
      <c r="H328" s="178"/>
      <c r="I328" s="178"/>
      <c r="J328" s="178">
        <f t="shared" si="105"/>
        <v>0</v>
      </c>
      <c r="K328" s="178"/>
      <c r="L328" s="178">
        <f t="shared" si="106"/>
        <v>0</v>
      </c>
      <c r="O328" s="176">
        <f t="shared" si="107"/>
        <v>0</v>
      </c>
      <c r="U328" s="571">
        <f t="shared" si="110"/>
        <v>10</v>
      </c>
      <c r="V328" s="293">
        <f>IF(U328=1,Adm!$AN$2,0)</f>
        <v>0</v>
      </c>
    </row>
    <row r="329" spans="3:22">
      <c r="C329" s="178">
        <f t="shared" si="104"/>
        <v>0</v>
      </c>
      <c r="D329" s="354">
        <f t="shared" si="108"/>
        <v>0</v>
      </c>
      <c r="E329" s="178">
        <f t="shared" si="109"/>
        <v>0</v>
      </c>
      <c r="F329" s="178">
        <f t="shared" si="111"/>
        <v>0</v>
      </c>
      <c r="G329" s="178">
        <f>IF(L328&lt;0.01,0,IF(Adm!$R$3=Adm!$R$6,0,IF(Adm!$S$10=Adm!$S$11,0,IF(Adm!$S$10=Adm!$S$13,L328*Adm!$X$6,IF(Adm!$S$10=Adm!$S$12,L328*Adm!$Y$3)))))</f>
        <v>0</v>
      </c>
      <c r="H329" s="178"/>
      <c r="I329" s="178"/>
      <c r="J329" s="178">
        <f t="shared" si="105"/>
        <v>0</v>
      </c>
      <c r="K329" s="178"/>
      <c r="L329" s="178">
        <f t="shared" si="106"/>
        <v>0</v>
      </c>
      <c r="O329" s="176">
        <f t="shared" si="107"/>
        <v>0</v>
      </c>
      <c r="U329" s="571">
        <f t="shared" si="110"/>
        <v>11</v>
      </c>
      <c r="V329" s="293">
        <f>IF(U329=1,Adm!$AN$2,0)</f>
        <v>0</v>
      </c>
    </row>
    <row r="330" spans="3:22">
      <c r="C330" s="178">
        <f t="shared" si="104"/>
        <v>0</v>
      </c>
      <c r="D330" s="354">
        <f t="shared" si="108"/>
        <v>0</v>
      </c>
      <c r="E330" s="178">
        <f t="shared" si="109"/>
        <v>0</v>
      </c>
      <c r="F330" s="178">
        <f t="shared" si="111"/>
        <v>0</v>
      </c>
      <c r="G330" s="178">
        <f>IF(L329&lt;0.01,0,IF(Adm!$R$3=Adm!$R$6,0,IF(Adm!$S$10=Adm!$S$11,0,IF(Adm!$S$10=Adm!$S$13,L329*Adm!$X$6,IF(Adm!$S$10=Adm!$S$12,L329*Adm!$Y$3)))))</f>
        <v>0</v>
      </c>
      <c r="H330" s="178"/>
      <c r="I330" s="178"/>
      <c r="J330" s="178">
        <f t="shared" si="105"/>
        <v>0</v>
      </c>
      <c r="K330" s="178"/>
      <c r="L330" s="178">
        <f t="shared" si="106"/>
        <v>0</v>
      </c>
      <c r="O330" s="176">
        <f t="shared" si="107"/>
        <v>0</v>
      </c>
      <c r="U330" s="571">
        <f t="shared" si="110"/>
        <v>12</v>
      </c>
      <c r="V330" s="293">
        <f>IF(U330=1,Adm!$AN$2,0)</f>
        <v>0</v>
      </c>
    </row>
    <row r="331" spans="3:22">
      <c r="C331" s="355">
        <f t="shared" si="104"/>
        <v>0</v>
      </c>
      <c r="D331" s="354">
        <f t="shared" si="108"/>
        <v>0</v>
      </c>
      <c r="E331" s="178">
        <f t="shared" si="109"/>
        <v>0</v>
      </c>
      <c r="F331" s="178">
        <f t="shared" si="111"/>
        <v>0</v>
      </c>
      <c r="G331" s="178">
        <f>IF(L330&lt;0.01,0,IF(Adm!$R$3=Adm!$R$6,0,IF(Adm!$S$10=Adm!$S$13,L330*Adm!$X$6,IF(Adm!$S$10=Adm!$S$11,L330*Adm!$X$3,IF(Adm!$S$10=Adm!$S$12,L330*Adm!$Y$3)))))</f>
        <v>0</v>
      </c>
      <c r="H331" s="178"/>
      <c r="I331" s="178"/>
      <c r="J331" s="178">
        <f t="shared" si="105"/>
        <v>0</v>
      </c>
      <c r="K331" s="178"/>
      <c r="L331" s="178">
        <f t="shared" si="106"/>
        <v>0</v>
      </c>
      <c r="O331" s="176">
        <f t="shared" si="107"/>
        <v>0</v>
      </c>
      <c r="U331" s="571">
        <f t="shared" si="110"/>
        <v>1</v>
      </c>
      <c r="V331" s="293">
        <f>IF(U331=1,Adm!$AN$2,0)</f>
        <v>0</v>
      </c>
    </row>
    <row r="332" spans="3:22">
      <c r="C332" s="178">
        <f t="shared" si="104"/>
        <v>0</v>
      </c>
      <c r="D332" s="354">
        <f t="shared" si="108"/>
        <v>0</v>
      </c>
      <c r="E332" s="178">
        <f t="shared" si="109"/>
        <v>0</v>
      </c>
      <c r="F332" s="178">
        <f t="shared" si="111"/>
        <v>0</v>
      </c>
      <c r="G332" s="178">
        <f>IF(L331&lt;0.01,0,IF(Adm!$R$3=Adm!$R$6,0,IF(Adm!$S$10=Adm!$S$13,L331*Adm!$X$6,IF(Adm!$S$10=Adm!$S$11,L331*Adm!$X$3,IF(Adm!$S$10=Adm!$S$12,L331*Adm!$Y$3)))))</f>
        <v>0</v>
      </c>
      <c r="H332" s="178"/>
      <c r="I332" s="178"/>
      <c r="J332" s="178">
        <f t="shared" si="105"/>
        <v>0</v>
      </c>
      <c r="K332" s="178"/>
      <c r="L332" s="178">
        <f t="shared" si="106"/>
        <v>0</v>
      </c>
      <c r="O332" s="176">
        <f t="shared" si="107"/>
        <v>0</v>
      </c>
      <c r="U332" s="571">
        <f t="shared" si="110"/>
        <v>2</v>
      </c>
      <c r="V332" s="293">
        <f>IF(U332=1,Adm!$AN$2,0)</f>
        <v>0</v>
      </c>
    </row>
    <row r="333" spans="3:22">
      <c r="C333" s="178">
        <f t="shared" si="104"/>
        <v>0</v>
      </c>
      <c r="D333" s="354">
        <f t="shared" si="108"/>
        <v>0</v>
      </c>
      <c r="E333" s="178">
        <f t="shared" si="109"/>
        <v>0</v>
      </c>
      <c r="F333" s="178">
        <f t="shared" si="111"/>
        <v>0</v>
      </c>
      <c r="G333" s="178">
        <f>IF(L332&lt;0.01,0,IF(Adm!$R$3=Adm!$R$6,0,IF(Adm!$S$10=Adm!$S$13,L332*Adm!$X$6,IF(Adm!$S$10=Adm!$S$11,L332*Adm!$X$3,IF(Adm!$S$10=Adm!$S$12,L332*Adm!$Y$3)))))</f>
        <v>0</v>
      </c>
      <c r="H333" s="178"/>
      <c r="I333" s="178"/>
      <c r="J333" s="178">
        <f t="shared" si="105"/>
        <v>0</v>
      </c>
      <c r="K333" s="178"/>
      <c r="L333" s="178">
        <f t="shared" si="106"/>
        <v>0</v>
      </c>
      <c r="O333" s="176">
        <f t="shared" si="107"/>
        <v>0</v>
      </c>
      <c r="U333" s="571">
        <f t="shared" si="110"/>
        <v>3</v>
      </c>
      <c r="V333" s="293">
        <f>IF(U333=1,Adm!$AN$2,0)</f>
        <v>0</v>
      </c>
    </row>
    <row r="334" spans="3:22">
      <c r="C334" s="178">
        <f t="shared" si="104"/>
        <v>0</v>
      </c>
      <c r="D334" s="354">
        <f t="shared" si="108"/>
        <v>0</v>
      </c>
      <c r="E334" s="178">
        <f t="shared" si="109"/>
        <v>0</v>
      </c>
      <c r="F334" s="178">
        <f t="shared" si="111"/>
        <v>0</v>
      </c>
      <c r="G334" s="178">
        <f>IF(L333&lt;0.01,0,IF(Adm!$R$3=Adm!$R$6,0,IF(Adm!$S$10=Adm!$S$13,L333*Adm!$X$6,IF(Adm!$S$10=Adm!$S$11,L333*Adm!$X$3,IF(Adm!$S$10=Adm!$S$12,L333*Adm!$Y$3)))))</f>
        <v>0</v>
      </c>
      <c r="H334" s="178"/>
      <c r="I334" s="178"/>
      <c r="J334" s="178">
        <f t="shared" si="105"/>
        <v>0</v>
      </c>
      <c r="K334" s="178"/>
      <c r="L334" s="178">
        <f t="shared" si="106"/>
        <v>0</v>
      </c>
      <c r="O334" s="176">
        <f t="shared" si="107"/>
        <v>0</v>
      </c>
      <c r="U334" s="571">
        <f t="shared" si="110"/>
        <v>4</v>
      </c>
      <c r="V334" s="293">
        <f>IF(U334=1,Adm!$AN$2,0)</f>
        <v>0</v>
      </c>
    </row>
    <row r="335" spans="3:22">
      <c r="C335" s="178">
        <f t="shared" si="104"/>
        <v>0</v>
      </c>
      <c r="D335" s="354">
        <f t="shared" si="108"/>
        <v>0</v>
      </c>
      <c r="E335" s="178">
        <f t="shared" si="109"/>
        <v>0</v>
      </c>
      <c r="F335" s="178">
        <f t="shared" si="111"/>
        <v>0</v>
      </c>
      <c r="G335" s="178">
        <f>IF(L334&lt;0.01,0,IF(Adm!$R$3=Adm!$R$6,0,IF(Adm!$S$10=Adm!$S$13,L334*Adm!$X$6,IF(Adm!$S$10=Adm!$S$11,L334*Adm!$X$3,IF(Adm!$S$10=Adm!$S$12,L334*Adm!$Y$3)))))</f>
        <v>0</v>
      </c>
      <c r="H335" s="178"/>
      <c r="I335" s="178"/>
      <c r="J335" s="178">
        <f t="shared" si="105"/>
        <v>0</v>
      </c>
      <c r="K335" s="178"/>
      <c r="L335" s="178">
        <f t="shared" si="106"/>
        <v>0</v>
      </c>
      <c r="O335" s="176">
        <f t="shared" si="107"/>
        <v>0</v>
      </c>
      <c r="U335" s="571">
        <f t="shared" si="110"/>
        <v>5</v>
      </c>
      <c r="V335" s="293">
        <f>IF(U335=1,Adm!$AN$2,0)</f>
        <v>0</v>
      </c>
    </row>
    <row r="336" spans="3:22">
      <c r="C336" s="178">
        <f t="shared" si="104"/>
        <v>0</v>
      </c>
      <c r="D336" s="354">
        <f t="shared" si="108"/>
        <v>0</v>
      </c>
      <c r="E336" s="178">
        <f t="shared" si="109"/>
        <v>0</v>
      </c>
      <c r="F336" s="178">
        <f t="shared" si="111"/>
        <v>0</v>
      </c>
      <c r="G336" s="178">
        <f>IF(L335&lt;0.01,0,IF(Adm!$R$3=Adm!$R$6,0,IF(Adm!$S$10=Adm!$S$13,L335*Adm!$X$6,IF(Adm!$S$10=Adm!$S$11,L335*Adm!$X$3,IF(Adm!$S$10=Adm!$S$12,L335*Adm!$Y$3)))))</f>
        <v>0</v>
      </c>
      <c r="H336" s="178"/>
      <c r="I336" s="178"/>
      <c r="J336" s="178">
        <f t="shared" si="105"/>
        <v>0</v>
      </c>
      <c r="K336" s="178"/>
      <c r="L336" s="178">
        <f t="shared" si="106"/>
        <v>0</v>
      </c>
      <c r="O336" s="176">
        <f t="shared" si="107"/>
        <v>0</v>
      </c>
      <c r="U336" s="571">
        <f t="shared" si="110"/>
        <v>6</v>
      </c>
      <c r="V336" s="293">
        <f>IF(U336=1,Adm!$AN$2,0)</f>
        <v>0</v>
      </c>
    </row>
    <row r="337" spans="3:22">
      <c r="C337" s="178">
        <f t="shared" si="104"/>
        <v>0</v>
      </c>
      <c r="D337" s="354">
        <f t="shared" si="108"/>
        <v>0</v>
      </c>
      <c r="E337" s="178">
        <f t="shared" si="109"/>
        <v>0</v>
      </c>
      <c r="F337" s="178">
        <f t="shared" si="111"/>
        <v>0</v>
      </c>
      <c r="G337" s="178">
        <f>IF(L336&lt;0.01,0,IF(Adm!$R$3=Adm!$R$6,0,IF(Adm!$S$10=Adm!$S$13,L336*Adm!$X$6,IF(Adm!$S$10=Adm!$S$11,L336*Adm!$X$3,IF(Adm!$S$10=Adm!$S$12,L336*Adm!$Y$3)))))</f>
        <v>0</v>
      </c>
      <c r="H337" s="178"/>
      <c r="I337" s="178"/>
      <c r="J337" s="178">
        <f t="shared" si="105"/>
        <v>0</v>
      </c>
      <c r="K337" s="178"/>
      <c r="L337" s="178">
        <f t="shared" si="106"/>
        <v>0</v>
      </c>
      <c r="O337" s="176">
        <f t="shared" si="107"/>
        <v>0</v>
      </c>
      <c r="U337" s="571">
        <f t="shared" si="110"/>
        <v>7</v>
      </c>
      <c r="V337" s="293">
        <f>IF(U337=1,Adm!$AN$2,0)</f>
        <v>0</v>
      </c>
    </row>
    <row r="338" spans="3:22">
      <c r="C338" s="178">
        <f t="shared" si="104"/>
        <v>0</v>
      </c>
      <c r="D338" s="354">
        <f t="shared" si="108"/>
        <v>0</v>
      </c>
      <c r="E338" s="178">
        <f t="shared" si="109"/>
        <v>0</v>
      </c>
      <c r="F338" s="178">
        <f t="shared" si="111"/>
        <v>0</v>
      </c>
      <c r="G338" s="178">
        <f>IF(L337&lt;0.01,0,IF(Adm!$R$3=Adm!$R$6,0,IF(Adm!$S$10=Adm!$S$13,L337*Adm!$X$6,IF(Adm!$S$10=Adm!$S$11,L337*Adm!$X$3,IF(Adm!$S$10=Adm!$S$12,L337*Adm!$Y$3)))))</f>
        <v>0</v>
      </c>
      <c r="H338" s="178"/>
      <c r="I338" s="178"/>
      <c r="J338" s="178">
        <f t="shared" si="105"/>
        <v>0</v>
      </c>
      <c r="K338" s="178"/>
      <c r="L338" s="178">
        <f t="shared" si="106"/>
        <v>0</v>
      </c>
      <c r="O338" s="176">
        <f t="shared" si="107"/>
        <v>0</v>
      </c>
      <c r="U338" s="571">
        <f t="shared" si="110"/>
        <v>8</v>
      </c>
      <c r="V338" s="293">
        <f>IF(U338=1,Adm!$AN$2,0)</f>
        <v>0</v>
      </c>
    </row>
    <row r="339" spans="3:22">
      <c r="C339" s="178">
        <f t="shared" si="104"/>
        <v>0</v>
      </c>
      <c r="D339" s="354">
        <f t="shared" si="108"/>
        <v>0</v>
      </c>
      <c r="E339" s="178">
        <f t="shared" si="109"/>
        <v>0</v>
      </c>
      <c r="F339" s="178">
        <f t="shared" si="111"/>
        <v>0</v>
      </c>
      <c r="G339" s="178">
        <f>IF(L338&lt;0.01,0,IF(Adm!$R$3=Adm!$R$6,0,IF(Adm!$S$10=Adm!$S$13,L338*Adm!$X$6,IF(Adm!$S$10=Adm!$S$11,L338*Adm!$X$3,IF(Adm!$S$10=Adm!$S$12,L338*Adm!$Y$3)))))</f>
        <v>0</v>
      </c>
      <c r="H339" s="178"/>
      <c r="I339" s="178"/>
      <c r="J339" s="178">
        <f t="shared" si="105"/>
        <v>0</v>
      </c>
      <c r="K339" s="178"/>
      <c r="L339" s="178">
        <f t="shared" si="106"/>
        <v>0</v>
      </c>
      <c r="O339" s="176">
        <f t="shared" si="107"/>
        <v>0</v>
      </c>
      <c r="U339" s="571">
        <f t="shared" si="110"/>
        <v>9</v>
      </c>
      <c r="V339" s="293">
        <f>IF(U339=1,Adm!$AN$2,0)</f>
        <v>0</v>
      </c>
    </row>
    <row r="340" spans="3:22">
      <c r="C340" s="178">
        <f t="shared" si="104"/>
        <v>0</v>
      </c>
      <c r="D340" s="354">
        <f t="shared" si="108"/>
        <v>0</v>
      </c>
      <c r="E340" s="178">
        <f t="shared" si="109"/>
        <v>0</v>
      </c>
      <c r="F340" s="178">
        <f t="shared" si="111"/>
        <v>0</v>
      </c>
      <c r="G340" s="178">
        <f>IF(L339&lt;0.01,0,IF(Adm!$R$3=Adm!$R$6,0,IF(Adm!$S$10=Adm!$S$13,L339*Adm!$X$6,IF(Adm!$S$10=Adm!$S$11,L339*Adm!$X$3,IF(Adm!$S$10=Adm!$S$12,L339*Adm!$Y$3)))))</f>
        <v>0</v>
      </c>
      <c r="H340" s="178"/>
      <c r="I340" s="178"/>
      <c r="J340" s="178">
        <f t="shared" si="105"/>
        <v>0</v>
      </c>
      <c r="K340" s="178"/>
      <c r="L340" s="178">
        <f t="shared" si="106"/>
        <v>0</v>
      </c>
      <c r="O340" s="176">
        <f t="shared" si="107"/>
        <v>0</v>
      </c>
      <c r="U340" s="571">
        <f t="shared" si="110"/>
        <v>10</v>
      </c>
      <c r="V340" s="293">
        <f>IF(U340=1,Adm!$AN$2,0)</f>
        <v>0</v>
      </c>
    </row>
    <row r="341" spans="3:22">
      <c r="C341" s="178">
        <f t="shared" si="104"/>
        <v>0</v>
      </c>
      <c r="D341" s="354">
        <f t="shared" si="108"/>
        <v>0</v>
      </c>
      <c r="E341" s="178">
        <f t="shared" si="109"/>
        <v>0</v>
      </c>
      <c r="F341" s="178">
        <f t="shared" si="111"/>
        <v>0</v>
      </c>
      <c r="G341" s="178">
        <f>IF(L340&lt;0.01,0,IF(Adm!$R$3=Adm!$R$6,0,IF(Adm!$S$10=Adm!$S$13,L340*Adm!$X$6,IF(Adm!$S$10=Adm!$S$11,L340*Adm!$X$3,IF(Adm!$S$10=Adm!$S$12,L340*Adm!$Y$3)))))</f>
        <v>0</v>
      </c>
      <c r="H341" s="178"/>
      <c r="I341" s="178"/>
      <c r="J341" s="178">
        <f t="shared" si="105"/>
        <v>0</v>
      </c>
      <c r="K341" s="178"/>
      <c r="L341" s="178">
        <f t="shared" si="106"/>
        <v>0</v>
      </c>
      <c r="O341" s="176">
        <f t="shared" si="107"/>
        <v>0</v>
      </c>
      <c r="U341" s="571">
        <f t="shared" si="110"/>
        <v>11</v>
      </c>
      <c r="V341" s="293">
        <f>IF(U341=1,Adm!$AN$2,0)</f>
        <v>0</v>
      </c>
    </row>
    <row r="342" spans="3:22">
      <c r="C342" s="178">
        <f t="shared" si="104"/>
        <v>0</v>
      </c>
      <c r="D342" s="354">
        <f t="shared" si="108"/>
        <v>0</v>
      </c>
      <c r="E342" s="178">
        <f t="shared" si="109"/>
        <v>0</v>
      </c>
      <c r="F342" s="178">
        <f t="shared" si="111"/>
        <v>0</v>
      </c>
      <c r="G342" s="178">
        <f>IF(L341&lt;0.01,0,IF(Adm!$R$3=Adm!$R$6,0,IF(Adm!$S$10=Adm!$S$13,L341*Adm!$X$6,IF(Adm!$S$10=Adm!$S$11,L341*Adm!$X$3,IF(Adm!$S$10=Adm!$S$12,L341*Adm!$Y$3)))))</f>
        <v>0</v>
      </c>
      <c r="H342" s="178"/>
      <c r="I342" s="178"/>
      <c r="J342" s="178">
        <f t="shared" si="105"/>
        <v>0</v>
      </c>
      <c r="K342" s="178"/>
      <c r="L342" s="178">
        <f t="shared" si="106"/>
        <v>0</v>
      </c>
      <c r="O342" s="176">
        <f t="shared" si="107"/>
        <v>0</v>
      </c>
      <c r="U342" s="571">
        <f t="shared" si="110"/>
        <v>12</v>
      </c>
      <c r="V342" s="293">
        <f>IF(U342=1,Adm!$AN$2,0)</f>
        <v>0</v>
      </c>
    </row>
    <row r="343" spans="3:22">
      <c r="C343" s="178">
        <f t="shared" si="104"/>
        <v>0</v>
      </c>
      <c r="D343" s="354">
        <f t="shared" si="108"/>
        <v>0</v>
      </c>
      <c r="E343" s="178">
        <f t="shared" si="109"/>
        <v>0</v>
      </c>
      <c r="F343" s="178">
        <f t="shared" si="111"/>
        <v>0</v>
      </c>
      <c r="G343" s="178">
        <f>IF(L342&lt;0.01,0,IF(Adm!$R$3=Adm!$R$6,0,IF(Adm!$S$10=Adm!$S$13,L342*Adm!$X$6,IF(Adm!$S$10=Adm!$S$11,L342*Adm!$X$3,IF(Adm!$S$10=Adm!$S$12,L342*Adm!$Y$3)))))</f>
        <v>0</v>
      </c>
      <c r="H343" s="178"/>
      <c r="I343" s="178"/>
      <c r="J343" s="178">
        <f t="shared" si="105"/>
        <v>0</v>
      </c>
      <c r="K343" s="178"/>
      <c r="L343" s="178">
        <f t="shared" si="106"/>
        <v>0</v>
      </c>
      <c r="O343" s="176">
        <f t="shared" si="107"/>
        <v>0</v>
      </c>
      <c r="U343" s="571">
        <f t="shared" si="110"/>
        <v>1</v>
      </c>
      <c r="V343" s="293">
        <f>IF(U343=1,Adm!$AN$2,0)</f>
        <v>0</v>
      </c>
    </row>
    <row r="344" spans="3:22">
      <c r="C344" s="178">
        <f t="shared" si="104"/>
        <v>0</v>
      </c>
      <c r="D344" s="354">
        <f t="shared" si="108"/>
        <v>0</v>
      </c>
      <c r="E344" s="178">
        <f t="shared" si="109"/>
        <v>0</v>
      </c>
      <c r="F344" s="178">
        <f t="shared" si="111"/>
        <v>0</v>
      </c>
      <c r="G344" s="178">
        <f>IF(L343&lt;0.01,0,IF(Adm!$R$3=Adm!$R$6,0,IF(Adm!$S$10=Adm!$S$13,L343*Adm!$X$6,IF(Adm!$S$10=Adm!$S$11,L343*Adm!$X$3,IF(Adm!$S$10=Adm!$S$12,L343*Adm!$Y$3)))))</f>
        <v>0</v>
      </c>
      <c r="H344" s="178"/>
      <c r="I344" s="178"/>
      <c r="J344" s="178">
        <f t="shared" si="105"/>
        <v>0</v>
      </c>
      <c r="K344" s="178"/>
      <c r="L344" s="178">
        <f t="shared" si="106"/>
        <v>0</v>
      </c>
      <c r="O344" s="176">
        <f t="shared" si="107"/>
        <v>0</v>
      </c>
      <c r="U344" s="571">
        <f t="shared" si="110"/>
        <v>2</v>
      </c>
      <c r="V344" s="293">
        <f>IF(U344=1,Adm!$AN$2,0)</f>
        <v>0</v>
      </c>
    </row>
    <row r="345" spans="3:22">
      <c r="C345" s="178">
        <f t="shared" si="104"/>
        <v>0</v>
      </c>
      <c r="D345" s="354">
        <f t="shared" si="108"/>
        <v>0</v>
      </c>
      <c r="E345" s="178">
        <f t="shared" si="109"/>
        <v>0</v>
      </c>
      <c r="F345" s="178">
        <f t="shared" si="111"/>
        <v>0</v>
      </c>
      <c r="G345" s="178">
        <f>IF(L344&lt;0.01,0,IF(Adm!$R$3=Adm!$R$6,0,IF(Adm!$S$10=Adm!$S$13,L344*Adm!$X$6,IF(Adm!$S$10=Adm!$S$11,L344*Adm!$X$3,IF(Adm!$S$10=Adm!$S$12,L344*Adm!$Y$3)))))</f>
        <v>0</v>
      </c>
      <c r="H345" s="178"/>
      <c r="I345" s="178"/>
      <c r="J345" s="178">
        <f t="shared" si="105"/>
        <v>0</v>
      </c>
      <c r="K345" s="178"/>
      <c r="L345" s="178">
        <f t="shared" si="106"/>
        <v>0</v>
      </c>
      <c r="O345" s="176">
        <f t="shared" si="107"/>
        <v>0</v>
      </c>
      <c r="U345" s="571">
        <f t="shared" si="110"/>
        <v>3</v>
      </c>
      <c r="V345" s="293">
        <f>IF(U345=1,Adm!$AN$2,0)</f>
        <v>0</v>
      </c>
    </row>
    <row r="346" spans="3:22">
      <c r="C346" s="178">
        <f t="shared" si="104"/>
        <v>0</v>
      </c>
      <c r="D346" s="354">
        <f t="shared" si="108"/>
        <v>0</v>
      </c>
      <c r="E346" s="178">
        <f t="shared" si="109"/>
        <v>0</v>
      </c>
      <c r="F346" s="178">
        <f t="shared" si="111"/>
        <v>0</v>
      </c>
      <c r="G346" s="178">
        <f>IF(L345&lt;0.01,0,IF(Adm!$R$3=Adm!$R$6,0,IF(Adm!$S$10=Adm!$S$13,L345*Adm!$X$6,IF(Adm!$S$10=Adm!$S$11,L345*Adm!$X$3,IF(Adm!$S$10=Adm!$S$12,L345*Adm!$Y$3)))))</f>
        <v>0</v>
      </c>
      <c r="H346" s="178"/>
      <c r="I346" s="178"/>
      <c r="J346" s="178">
        <f t="shared" si="105"/>
        <v>0</v>
      </c>
      <c r="K346" s="178"/>
      <c r="L346" s="178">
        <f t="shared" si="106"/>
        <v>0</v>
      </c>
      <c r="O346" s="176">
        <f t="shared" si="107"/>
        <v>0</v>
      </c>
      <c r="U346" s="571">
        <f t="shared" si="110"/>
        <v>4</v>
      </c>
      <c r="V346" s="293">
        <f>IF(U346=1,Adm!$AN$2,0)</f>
        <v>0</v>
      </c>
    </row>
    <row r="347" spans="3:22">
      <c r="C347" s="178">
        <f t="shared" ref="C347:C410" si="112">IF(L346&lt;0.01,0,C346+1)</f>
        <v>0</v>
      </c>
      <c r="D347" s="354">
        <f t="shared" si="108"/>
        <v>0</v>
      </c>
      <c r="E347" s="178">
        <f t="shared" si="109"/>
        <v>0</v>
      </c>
      <c r="F347" s="178">
        <f t="shared" si="111"/>
        <v>0</v>
      </c>
      <c r="G347" s="178">
        <f>IF(L346&lt;0.01,0,IF(Adm!$R$3=Adm!$R$6,0,IF(Adm!$S$10=Adm!$S$13,L346*Adm!$X$6,IF(Adm!$S$10=Adm!$S$11,L346*Adm!$X$3,IF(Adm!$S$10=Adm!$S$12,L346*Adm!$Y$3)))))</f>
        <v>0</v>
      </c>
      <c r="H347" s="178"/>
      <c r="I347" s="178"/>
      <c r="J347" s="178">
        <f t="shared" ref="J347:J410" si="113">IF(L346&lt;0.01,0,F347+G347+H347+I347)</f>
        <v>0</v>
      </c>
      <c r="K347" s="178"/>
      <c r="L347" s="178">
        <f t="shared" ref="L347:L410" si="114">L346-E347</f>
        <v>0</v>
      </c>
      <c r="O347" s="176">
        <f t="shared" ref="O347:O410" si="115">J347</f>
        <v>0</v>
      </c>
      <c r="U347" s="571">
        <f t="shared" si="110"/>
        <v>5</v>
      </c>
      <c r="V347" s="293">
        <f>IF(U347=1,Adm!$AN$2,0)</f>
        <v>0</v>
      </c>
    </row>
    <row r="348" spans="3:22">
      <c r="C348" s="178">
        <f t="shared" si="112"/>
        <v>0</v>
      </c>
      <c r="D348" s="354">
        <f t="shared" ref="D348:D411" si="116">IF(L347&lt;0.01,0,L347*$F$270/12)</f>
        <v>0</v>
      </c>
      <c r="E348" s="178">
        <f t="shared" ref="E348:E411" si="117">IF(L347&lt;0.01,0,F348-D348)</f>
        <v>0</v>
      </c>
      <c r="F348" s="178">
        <f t="shared" si="111"/>
        <v>0</v>
      </c>
      <c r="G348" s="178">
        <f>IF(L347&lt;0.01,0,IF(Adm!$R$3=Adm!$R$6,0,IF(Adm!$S$10=Adm!$S$13,L347*Adm!$X$6,IF(Adm!$S$10=Adm!$S$11,L347*Adm!$X$3,IF(Adm!$S$10=Adm!$S$12,L347*Adm!$Y$3)))))</f>
        <v>0</v>
      </c>
      <c r="H348" s="178"/>
      <c r="I348" s="178"/>
      <c r="J348" s="178">
        <f t="shared" si="113"/>
        <v>0</v>
      </c>
      <c r="K348" s="178"/>
      <c r="L348" s="178">
        <f t="shared" si="114"/>
        <v>0</v>
      </c>
      <c r="O348" s="176">
        <f t="shared" si="115"/>
        <v>0</v>
      </c>
      <c r="U348" s="571">
        <f t="shared" ref="U348:U411" si="118">IF(U347=12,1,U347+1)</f>
        <v>6</v>
      </c>
      <c r="V348" s="293">
        <f>IF(U348=1,Adm!$AN$2,0)</f>
        <v>0</v>
      </c>
    </row>
    <row r="349" spans="3:22">
      <c r="C349" s="178">
        <f t="shared" si="112"/>
        <v>0</v>
      </c>
      <c r="D349" s="354">
        <f t="shared" si="116"/>
        <v>0</v>
      </c>
      <c r="E349" s="178">
        <f t="shared" si="117"/>
        <v>0</v>
      </c>
      <c r="F349" s="178">
        <f t="shared" ref="F349:F412" si="119">IF(L348&lt;0.1,0,MIN(L348+D349,F348*(1+V349)))</f>
        <v>0</v>
      </c>
      <c r="G349" s="178">
        <f>IF(L348&lt;0.01,0,IF(Adm!$R$3=Adm!$R$6,0,IF(Adm!$S$10=Adm!$S$13,L348*Adm!$X$6,IF(Adm!$S$10=Adm!$S$11,L348*Adm!$X$3,IF(Adm!$S$10=Adm!$S$12,L348*Adm!$Y$3)))))</f>
        <v>0</v>
      </c>
      <c r="H349" s="178"/>
      <c r="I349" s="178"/>
      <c r="J349" s="178">
        <f t="shared" si="113"/>
        <v>0</v>
      </c>
      <c r="K349" s="178"/>
      <c r="L349" s="178">
        <f t="shared" si="114"/>
        <v>0</v>
      </c>
      <c r="O349" s="176">
        <f t="shared" si="115"/>
        <v>0</v>
      </c>
      <c r="U349" s="571">
        <f t="shared" si="118"/>
        <v>7</v>
      </c>
      <c r="V349" s="293">
        <f>IF(U349=1,Adm!$AN$2,0)</f>
        <v>0</v>
      </c>
    </row>
    <row r="350" spans="3:22">
      <c r="C350" s="178">
        <f t="shared" si="112"/>
        <v>0</v>
      </c>
      <c r="D350" s="354">
        <f t="shared" si="116"/>
        <v>0</v>
      </c>
      <c r="E350" s="178">
        <f t="shared" si="117"/>
        <v>0</v>
      </c>
      <c r="F350" s="178">
        <f t="shared" si="119"/>
        <v>0</v>
      </c>
      <c r="G350" s="178">
        <f>IF(L349&lt;0.01,0,IF(Adm!$R$3=Adm!$R$6,0,IF(Adm!$S$10=Adm!$S$13,L349*Adm!$X$6,IF(Adm!$S$10=Adm!$S$11,L349*Adm!$X$3,IF(Adm!$S$10=Adm!$S$12,L349*Adm!$Y$3)))))</f>
        <v>0</v>
      </c>
      <c r="H350" s="178"/>
      <c r="I350" s="178"/>
      <c r="J350" s="178">
        <f t="shared" si="113"/>
        <v>0</v>
      </c>
      <c r="K350" s="178"/>
      <c r="L350" s="178">
        <f t="shared" si="114"/>
        <v>0</v>
      </c>
      <c r="O350" s="176">
        <f t="shared" si="115"/>
        <v>0</v>
      </c>
      <c r="U350" s="571">
        <f t="shared" si="118"/>
        <v>8</v>
      </c>
      <c r="V350" s="293">
        <f>IF(U350=1,Adm!$AN$2,0)</f>
        <v>0</v>
      </c>
    </row>
    <row r="351" spans="3:22">
      <c r="C351" s="178">
        <f t="shared" si="112"/>
        <v>0</v>
      </c>
      <c r="D351" s="354">
        <f t="shared" si="116"/>
        <v>0</v>
      </c>
      <c r="E351" s="178">
        <f t="shared" si="117"/>
        <v>0</v>
      </c>
      <c r="F351" s="178">
        <f t="shared" si="119"/>
        <v>0</v>
      </c>
      <c r="G351" s="178">
        <f>IF(L350&lt;0.01,0,IF(Adm!$R$3=Adm!$R$6,0,IF(Adm!$S$10=Adm!$S$13,L350*Adm!$X$6,IF(Adm!$S$10=Adm!$S$11,L350*Adm!$X$3,IF(Adm!$S$10=Adm!$S$12,L350*Adm!$Y$3)))))</f>
        <v>0</v>
      </c>
      <c r="H351" s="178"/>
      <c r="I351" s="178"/>
      <c r="J351" s="178">
        <f t="shared" si="113"/>
        <v>0</v>
      </c>
      <c r="K351" s="178"/>
      <c r="L351" s="178">
        <f t="shared" si="114"/>
        <v>0</v>
      </c>
      <c r="O351" s="176">
        <f t="shared" si="115"/>
        <v>0</v>
      </c>
      <c r="U351" s="571">
        <f t="shared" si="118"/>
        <v>9</v>
      </c>
      <c r="V351" s="293">
        <f>IF(U351=1,Adm!$AN$2,0)</f>
        <v>0</v>
      </c>
    </row>
    <row r="352" spans="3:22">
      <c r="C352" s="178">
        <f t="shared" si="112"/>
        <v>0</v>
      </c>
      <c r="D352" s="354">
        <f t="shared" si="116"/>
        <v>0</v>
      </c>
      <c r="E352" s="178">
        <f t="shared" si="117"/>
        <v>0</v>
      </c>
      <c r="F352" s="178">
        <f t="shared" si="119"/>
        <v>0</v>
      </c>
      <c r="G352" s="178">
        <f>IF(L351&lt;0.01,0,IF(Adm!$R$3=Adm!$R$6,0,IF(Adm!$S$10=Adm!$S$13,L351*Adm!$X$6,IF(Adm!$S$10=Adm!$S$11,L351*Adm!$X$3,IF(Adm!$S$10=Adm!$S$12,L351*Adm!$Y$3)))))</f>
        <v>0</v>
      </c>
      <c r="H352" s="178"/>
      <c r="I352" s="178"/>
      <c r="J352" s="178">
        <f t="shared" si="113"/>
        <v>0</v>
      </c>
      <c r="K352" s="178"/>
      <c r="L352" s="178">
        <f t="shared" si="114"/>
        <v>0</v>
      </c>
      <c r="O352" s="176">
        <f t="shared" si="115"/>
        <v>0</v>
      </c>
      <c r="U352" s="571">
        <f t="shared" si="118"/>
        <v>10</v>
      </c>
      <c r="V352" s="293">
        <f>IF(U352=1,Adm!$AN$2,0)</f>
        <v>0</v>
      </c>
    </row>
    <row r="353" spans="3:22">
      <c r="C353" s="178">
        <f t="shared" si="112"/>
        <v>0</v>
      </c>
      <c r="D353" s="354">
        <f t="shared" si="116"/>
        <v>0</v>
      </c>
      <c r="E353" s="178">
        <f t="shared" si="117"/>
        <v>0</v>
      </c>
      <c r="F353" s="178">
        <f t="shared" si="119"/>
        <v>0</v>
      </c>
      <c r="G353" s="178">
        <f>IF(L352&lt;0.01,0,IF(Adm!$R$3=Adm!$R$6,0,IF(Adm!$S$10=Adm!$S$13,L352*Adm!$X$6,IF(Adm!$S$10=Adm!$S$11,L352*Adm!$X$3,IF(Adm!$S$10=Adm!$S$12,L352*Adm!$Y$3)))))</f>
        <v>0</v>
      </c>
      <c r="H353" s="178"/>
      <c r="I353" s="178"/>
      <c r="J353" s="178">
        <f t="shared" si="113"/>
        <v>0</v>
      </c>
      <c r="K353" s="178"/>
      <c r="L353" s="178">
        <f t="shared" si="114"/>
        <v>0</v>
      </c>
      <c r="O353" s="176">
        <f t="shared" si="115"/>
        <v>0</v>
      </c>
      <c r="U353" s="571">
        <f t="shared" si="118"/>
        <v>11</v>
      </c>
      <c r="V353" s="293">
        <f>IF(U353=1,Adm!$AN$2,0)</f>
        <v>0</v>
      </c>
    </row>
    <row r="354" spans="3:22">
      <c r="C354" s="178">
        <f t="shared" si="112"/>
        <v>0</v>
      </c>
      <c r="D354" s="354">
        <f t="shared" si="116"/>
        <v>0</v>
      </c>
      <c r="E354" s="178">
        <f t="shared" si="117"/>
        <v>0</v>
      </c>
      <c r="F354" s="178">
        <f t="shared" si="119"/>
        <v>0</v>
      </c>
      <c r="G354" s="178">
        <f>IF(L353&lt;0.01,0,IF(Adm!$R$3=Adm!$R$6,0,IF(Adm!$S$10=Adm!$S$13,L353*Adm!$X$6,IF(Adm!$S$10=Adm!$S$11,L353*Adm!$X$3,IF(Adm!$S$10=Adm!$S$12,L353*Adm!$Y$3)))))</f>
        <v>0</v>
      </c>
      <c r="H354" s="178"/>
      <c r="I354" s="178"/>
      <c r="J354" s="178">
        <f t="shared" si="113"/>
        <v>0</v>
      </c>
      <c r="K354" s="178"/>
      <c r="L354" s="178">
        <f t="shared" si="114"/>
        <v>0</v>
      </c>
      <c r="O354" s="176">
        <f t="shared" si="115"/>
        <v>0</v>
      </c>
      <c r="U354" s="571">
        <f t="shared" si="118"/>
        <v>12</v>
      </c>
      <c r="V354" s="293">
        <f>IF(U354=1,Adm!$AN$2,0)</f>
        <v>0</v>
      </c>
    </row>
    <row r="355" spans="3:22">
      <c r="C355" s="178">
        <f t="shared" si="112"/>
        <v>0</v>
      </c>
      <c r="D355" s="354">
        <f t="shared" si="116"/>
        <v>0</v>
      </c>
      <c r="E355" s="178">
        <f t="shared" si="117"/>
        <v>0</v>
      </c>
      <c r="F355" s="178">
        <f t="shared" si="119"/>
        <v>0</v>
      </c>
      <c r="G355" s="178">
        <f>IF(L354&lt;0.01,0,IF(Adm!$R$3=Adm!$R$6,0,IF(Adm!$S$10=Adm!$S$13,L354*Adm!$X$6,IF(Adm!$S$10=Adm!$S$11,L354*Adm!$X$3,IF(Adm!$S$10=Adm!$S$12,L354*Adm!$Y$3)))))</f>
        <v>0</v>
      </c>
      <c r="H355" s="178"/>
      <c r="I355" s="178"/>
      <c r="J355" s="178">
        <f t="shared" si="113"/>
        <v>0</v>
      </c>
      <c r="K355" s="178"/>
      <c r="L355" s="178">
        <f t="shared" si="114"/>
        <v>0</v>
      </c>
      <c r="O355" s="176">
        <f t="shared" si="115"/>
        <v>0</v>
      </c>
      <c r="U355" s="571">
        <f t="shared" si="118"/>
        <v>1</v>
      </c>
      <c r="V355" s="293">
        <f>IF(U355=1,Adm!$AN$2,0)</f>
        <v>0</v>
      </c>
    </row>
    <row r="356" spans="3:22">
      <c r="C356" s="178">
        <f t="shared" si="112"/>
        <v>0</v>
      </c>
      <c r="D356" s="354">
        <f t="shared" si="116"/>
        <v>0</v>
      </c>
      <c r="E356" s="178">
        <f t="shared" si="117"/>
        <v>0</v>
      </c>
      <c r="F356" s="178">
        <f t="shared" si="119"/>
        <v>0</v>
      </c>
      <c r="G356" s="178">
        <f>IF(L355&lt;0.01,0,IF(Adm!$R$3=Adm!$R$6,0,IF(Adm!$S$10=Adm!$S$13,L355*Adm!$X$6,IF(Adm!$S$10=Adm!$S$11,L355*Adm!$X$3,IF(Adm!$S$10=Adm!$S$12,L355*Adm!$Y$3)))))</f>
        <v>0</v>
      </c>
      <c r="H356" s="178"/>
      <c r="I356" s="178"/>
      <c r="J356" s="178">
        <f t="shared" si="113"/>
        <v>0</v>
      </c>
      <c r="K356" s="178"/>
      <c r="L356" s="178">
        <f t="shared" si="114"/>
        <v>0</v>
      </c>
      <c r="O356" s="176">
        <f t="shared" si="115"/>
        <v>0</v>
      </c>
      <c r="U356" s="571">
        <f t="shared" si="118"/>
        <v>2</v>
      </c>
      <c r="V356" s="293">
        <f>IF(U356=1,Adm!$AN$2,0)</f>
        <v>0</v>
      </c>
    </row>
    <row r="357" spans="3:22">
      <c r="C357" s="178">
        <f t="shared" si="112"/>
        <v>0</v>
      </c>
      <c r="D357" s="354">
        <f t="shared" si="116"/>
        <v>0</v>
      </c>
      <c r="E357" s="178">
        <f t="shared" si="117"/>
        <v>0</v>
      </c>
      <c r="F357" s="178">
        <f t="shared" si="119"/>
        <v>0</v>
      </c>
      <c r="G357" s="178">
        <f>IF(L356&lt;0.01,0,IF(Adm!$R$3=Adm!$R$6,0,IF(Adm!$S$10=Adm!$S$13,L356*Adm!$X$6,IF(Adm!$S$10=Adm!$S$11,L356*Adm!$X$3,IF(Adm!$S$10=Adm!$S$12,L356*Adm!$Y$3)))))</f>
        <v>0</v>
      </c>
      <c r="H357" s="178"/>
      <c r="I357" s="178"/>
      <c r="J357" s="178">
        <f t="shared" si="113"/>
        <v>0</v>
      </c>
      <c r="K357" s="178"/>
      <c r="L357" s="178">
        <f t="shared" si="114"/>
        <v>0</v>
      </c>
      <c r="O357" s="176">
        <f t="shared" si="115"/>
        <v>0</v>
      </c>
      <c r="U357" s="571">
        <f t="shared" si="118"/>
        <v>3</v>
      </c>
      <c r="V357" s="293">
        <f>IF(U357=1,Adm!$AN$2,0)</f>
        <v>0</v>
      </c>
    </row>
    <row r="358" spans="3:22">
      <c r="C358" s="178">
        <f t="shared" si="112"/>
        <v>0</v>
      </c>
      <c r="D358" s="354">
        <f t="shared" si="116"/>
        <v>0</v>
      </c>
      <c r="E358" s="178">
        <f t="shared" si="117"/>
        <v>0</v>
      </c>
      <c r="F358" s="178">
        <f t="shared" si="119"/>
        <v>0</v>
      </c>
      <c r="G358" s="178">
        <f>IF(L357&lt;0.01,0,IF(Adm!$R$3=Adm!$R$6,0,IF(Adm!$S$10=Adm!$S$13,L357*Adm!$X$6,IF(Adm!$S$10=Adm!$S$11,L357*Adm!$X$3,IF(Adm!$S$10=Adm!$S$12,L357*Adm!$Y$3)))))</f>
        <v>0</v>
      </c>
      <c r="H358" s="178"/>
      <c r="I358" s="178"/>
      <c r="J358" s="178">
        <f t="shared" si="113"/>
        <v>0</v>
      </c>
      <c r="K358" s="178"/>
      <c r="L358" s="178">
        <f t="shared" si="114"/>
        <v>0</v>
      </c>
      <c r="O358" s="176">
        <f t="shared" si="115"/>
        <v>0</v>
      </c>
      <c r="U358" s="571">
        <f t="shared" si="118"/>
        <v>4</v>
      </c>
      <c r="V358" s="293">
        <f>IF(U358=1,Adm!$AN$2,0)</f>
        <v>0</v>
      </c>
    </row>
    <row r="359" spans="3:22">
      <c r="C359" s="178">
        <f t="shared" si="112"/>
        <v>0</v>
      </c>
      <c r="D359" s="354">
        <f t="shared" si="116"/>
        <v>0</v>
      </c>
      <c r="E359" s="178">
        <f t="shared" si="117"/>
        <v>0</v>
      </c>
      <c r="F359" s="178">
        <f t="shared" si="119"/>
        <v>0</v>
      </c>
      <c r="G359" s="178">
        <f>IF(L358&lt;0.01,0,IF(Adm!$R$3=Adm!$R$6,0,IF(Adm!$S$10=Adm!$S$13,L358*Adm!$X$6,IF(Adm!$S$10=Adm!$S$11,L358*Adm!$X$3,IF(Adm!$S$10=Adm!$S$12,L358*Adm!$Y$3)))))</f>
        <v>0</v>
      </c>
      <c r="H359" s="178"/>
      <c r="I359" s="178"/>
      <c r="J359" s="178">
        <f t="shared" si="113"/>
        <v>0</v>
      </c>
      <c r="K359" s="178"/>
      <c r="L359" s="178">
        <f t="shared" si="114"/>
        <v>0</v>
      </c>
      <c r="O359" s="176">
        <f t="shared" si="115"/>
        <v>0</v>
      </c>
      <c r="U359" s="571">
        <f t="shared" si="118"/>
        <v>5</v>
      </c>
      <c r="V359" s="293">
        <f>IF(U359=1,Adm!$AN$2,0)</f>
        <v>0</v>
      </c>
    </row>
    <row r="360" spans="3:22">
      <c r="C360" s="178">
        <f t="shared" si="112"/>
        <v>0</v>
      </c>
      <c r="D360" s="354">
        <f t="shared" si="116"/>
        <v>0</v>
      </c>
      <c r="E360" s="178">
        <f t="shared" si="117"/>
        <v>0</v>
      </c>
      <c r="F360" s="178">
        <f t="shared" si="119"/>
        <v>0</v>
      </c>
      <c r="G360" s="178">
        <f>IF(L359&lt;0.01,0,IF(Adm!$R$3=Adm!$R$6,0,IF(Adm!$S$10=Adm!$S$13,L359*Adm!$X$6,IF(Adm!$S$10=Adm!$S$11,L359*Adm!$X$3,IF(Adm!$S$10=Adm!$S$12,L359*Adm!$Y$3)))))</f>
        <v>0</v>
      </c>
      <c r="H360" s="178"/>
      <c r="I360" s="178"/>
      <c r="J360" s="178">
        <f t="shared" si="113"/>
        <v>0</v>
      </c>
      <c r="K360" s="178"/>
      <c r="L360" s="178">
        <f t="shared" si="114"/>
        <v>0</v>
      </c>
      <c r="O360" s="176">
        <f t="shared" si="115"/>
        <v>0</v>
      </c>
      <c r="U360" s="571">
        <f t="shared" si="118"/>
        <v>6</v>
      </c>
      <c r="V360" s="293">
        <f>IF(U360=1,Adm!$AN$2,0)</f>
        <v>0</v>
      </c>
    </row>
    <row r="361" spans="3:22">
      <c r="C361" s="178">
        <f t="shared" si="112"/>
        <v>0</v>
      </c>
      <c r="D361" s="354">
        <f t="shared" si="116"/>
        <v>0</v>
      </c>
      <c r="E361" s="178">
        <f t="shared" si="117"/>
        <v>0</v>
      </c>
      <c r="F361" s="178">
        <f t="shared" si="119"/>
        <v>0</v>
      </c>
      <c r="G361" s="178">
        <f>IF(L360&lt;0.01,0,IF(Adm!$R$3=Adm!$R$6,0,IF(Adm!$S$10=Adm!$S$13,L360*Adm!$X$6,IF(Adm!$S$10=Adm!$S$11,L360*Adm!$X$3,IF(Adm!$S$10=Adm!$S$12,L360*Adm!$Y$3)))))</f>
        <v>0</v>
      </c>
      <c r="H361" s="178"/>
      <c r="I361" s="178"/>
      <c r="J361" s="178">
        <f t="shared" si="113"/>
        <v>0</v>
      </c>
      <c r="K361" s="178"/>
      <c r="L361" s="178">
        <f t="shared" si="114"/>
        <v>0</v>
      </c>
      <c r="O361" s="176">
        <f t="shared" si="115"/>
        <v>0</v>
      </c>
      <c r="U361" s="571">
        <f t="shared" si="118"/>
        <v>7</v>
      </c>
      <c r="V361" s="293">
        <f>IF(U361=1,Adm!$AN$2,0)</f>
        <v>0</v>
      </c>
    </row>
    <row r="362" spans="3:22">
      <c r="C362" s="178">
        <f t="shared" si="112"/>
        <v>0</v>
      </c>
      <c r="D362" s="354">
        <f t="shared" si="116"/>
        <v>0</v>
      </c>
      <c r="E362" s="178">
        <f t="shared" si="117"/>
        <v>0</v>
      </c>
      <c r="F362" s="178">
        <f t="shared" si="119"/>
        <v>0</v>
      </c>
      <c r="G362" s="178">
        <f>IF(L361&lt;0.01,0,IF(Adm!$R$3=Adm!$R$6,0,IF(Adm!$S$10=Adm!$S$13,L361*Adm!$X$6,IF(Adm!$S$10=Adm!$S$11,L361*Adm!$X$3,IF(Adm!$S$10=Adm!$S$12,L361*Adm!$Y$3)))))</f>
        <v>0</v>
      </c>
      <c r="H362" s="178"/>
      <c r="I362" s="178"/>
      <c r="J362" s="178">
        <f t="shared" si="113"/>
        <v>0</v>
      </c>
      <c r="K362" s="178"/>
      <c r="L362" s="178">
        <f t="shared" si="114"/>
        <v>0</v>
      </c>
      <c r="O362" s="176">
        <f t="shared" si="115"/>
        <v>0</v>
      </c>
      <c r="U362" s="571">
        <f t="shared" si="118"/>
        <v>8</v>
      </c>
      <c r="V362" s="293">
        <f>IF(U362=1,Adm!$AN$2,0)</f>
        <v>0</v>
      </c>
    </row>
    <row r="363" spans="3:22">
      <c r="C363" s="178">
        <f t="shared" si="112"/>
        <v>0</v>
      </c>
      <c r="D363" s="354">
        <f t="shared" si="116"/>
        <v>0</v>
      </c>
      <c r="E363" s="178">
        <f t="shared" si="117"/>
        <v>0</v>
      </c>
      <c r="F363" s="178">
        <f t="shared" si="119"/>
        <v>0</v>
      </c>
      <c r="G363" s="178">
        <f>IF(L362&lt;0.01,0,IF(Adm!$R$3=Adm!$R$6,0,IF(Adm!$S$10=Adm!$S$13,L362*Adm!$X$6,IF(Adm!$S$10=Adm!$S$11,L362*Adm!$X$3,IF(Adm!$S$10=Adm!$S$12,L362*Adm!$Y$3)))))</f>
        <v>0</v>
      </c>
      <c r="H363" s="178"/>
      <c r="I363" s="178"/>
      <c r="J363" s="178">
        <f t="shared" si="113"/>
        <v>0</v>
      </c>
      <c r="K363" s="178"/>
      <c r="L363" s="178">
        <f t="shared" si="114"/>
        <v>0</v>
      </c>
      <c r="O363" s="176">
        <f t="shared" si="115"/>
        <v>0</v>
      </c>
      <c r="U363" s="571">
        <f t="shared" si="118"/>
        <v>9</v>
      </c>
      <c r="V363" s="293">
        <f>IF(U363=1,Adm!$AN$2,0)</f>
        <v>0</v>
      </c>
    </row>
    <row r="364" spans="3:22">
      <c r="C364" s="178">
        <f t="shared" si="112"/>
        <v>0</v>
      </c>
      <c r="D364" s="354">
        <f t="shared" si="116"/>
        <v>0</v>
      </c>
      <c r="E364" s="178">
        <f t="shared" si="117"/>
        <v>0</v>
      </c>
      <c r="F364" s="178">
        <f t="shared" si="119"/>
        <v>0</v>
      </c>
      <c r="G364" s="178">
        <f>IF(L363&lt;0.01,0,IF(Adm!$R$3=Adm!$R$6,0,IF(Adm!$S$10=Adm!$S$13,L363*Adm!$X$6,IF(Adm!$S$10=Adm!$S$11,L363*Adm!$X$3,IF(Adm!$S$10=Adm!$S$12,L363*Adm!$Y$3)))))</f>
        <v>0</v>
      </c>
      <c r="H364" s="178"/>
      <c r="I364" s="178"/>
      <c r="J364" s="178">
        <f t="shared" si="113"/>
        <v>0</v>
      </c>
      <c r="K364" s="178"/>
      <c r="L364" s="178">
        <f t="shared" si="114"/>
        <v>0</v>
      </c>
      <c r="O364" s="176">
        <f t="shared" si="115"/>
        <v>0</v>
      </c>
      <c r="U364" s="571">
        <f t="shared" si="118"/>
        <v>10</v>
      </c>
      <c r="V364" s="293">
        <f>IF(U364=1,Adm!$AN$2,0)</f>
        <v>0</v>
      </c>
    </row>
    <row r="365" spans="3:22">
      <c r="C365" s="178">
        <f t="shared" si="112"/>
        <v>0</v>
      </c>
      <c r="D365" s="354">
        <f t="shared" si="116"/>
        <v>0</v>
      </c>
      <c r="E365" s="178">
        <f t="shared" si="117"/>
        <v>0</v>
      </c>
      <c r="F365" s="178">
        <f t="shared" si="119"/>
        <v>0</v>
      </c>
      <c r="G365" s="178">
        <f>IF(L364&lt;0.01,0,IF(Adm!$R$3=Adm!$R$6,0,IF(Adm!$S$10=Adm!$S$13,L364*Adm!$X$6,IF(Adm!$S$10=Adm!$S$11,L364*Adm!$X$3,IF(Adm!$S$10=Adm!$S$12,L364*Adm!$Y$3)))))</f>
        <v>0</v>
      </c>
      <c r="H365" s="178"/>
      <c r="I365" s="178"/>
      <c r="J365" s="178">
        <f t="shared" si="113"/>
        <v>0</v>
      </c>
      <c r="K365" s="178"/>
      <c r="L365" s="178">
        <f t="shared" si="114"/>
        <v>0</v>
      </c>
      <c r="O365" s="176">
        <f t="shared" si="115"/>
        <v>0</v>
      </c>
      <c r="U365" s="571">
        <f t="shared" si="118"/>
        <v>11</v>
      </c>
      <c r="V365" s="293">
        <f>IF(U365=1,Adm!$AN$2,0)</f>
        <v>0</v>
      </c>
    </row>
    <row r="366" spans="3:22">
      <c r="C366" s="178">
        <f t="shared" si="112"/>
        <v>0</v>
      </c>
      <c r="D366" s="354">
        <f t="shared" si="116"/>
        <v>0</v>
      </c>
      <c r="E366" s="178">
        <f t="shared" si="117"/>
        <v>0</v>
      </c>
      <c r="F366" s="178">
        <f t="shared" si="119"/>
        <v>0</v>
      </c>
      <c r="G366" s="178">
        <f>IF(L365&lt;0.01,0,IF(Adm!$R$3=Adm!$R$6,0,IF(Adm!$S$10=Adm!$S$13,L365*Adm!$X$6,IF(Adm!$S$10=Adm!$S$11,L365*Adm!$X$3,IF(Adm!$S$10=Adm!$S$12,L365*Adm!$Y$3)))))</f>
        <v>0</v>
      </c>
      <c r="H366" s="178"/>
      <c r="I366" s="178"/>
      <c r="J366" s="178">
        <f t="shared" si="113"/>
        <v>0</v>
      </c>
      <c r="K366" s="178"/>
      <c r="L366" s="178">
        <f t="shared" si="114"/>
        <v>0</v>
      </c>
      <c r="O366" s="176">
        <f t="shared" si="115"/>
        <v>0</v>
      </c>
      <c r="U366" s="571">
        <f t="shared" si="118"/>
        <v>12</v>
      </c>
      <c r="V366" s="293">
        <f>IF(U366=1,Adm!$AN$2,0)</f>
        <v>0</v>
      </c>
    </row>
    <row r="367" spans="3:22">
      <c r="C367" s="178">
        <f t="shared" si="112"/>
        <v>0</v>
      </c>
      <c r="D367" s="354">
        <f t="shared" si="116"/>
        <v>0</v>
      </c>
      <c r="E367" s="178">
        <f t="shared" si="117"/>
        <v>0</v>
      </c>
      <c r="F367" s="178">
        <f t="shared" si="119"/>
        <v>0</v>
      </c>
      <c r="G367" s="178">
        <f>IF(L366&lt;0.01,0,IF(Adm!$R$3=Adm!$R$6,0,IF(Adm!$S$10=Adm!$S$13,L366*Adm!$X$6,IF(Adm!$S$10=Adm!$S$11,L366*Adm!$X$3,IF(Adm!$S$10=Adm!$S$12,L366*Adm!$Y$3)))))</f>
        <v>0</v>
      </c>
      <c r="H367" s="178"/>
      <c r="I367" s="178"/>
      <c r="J367" s="178">
        <f t="shared" si="113"/>
        <v>0</v>
      </c>
      <c r="K367" s="178"/>
      <c r="L367" s="178">
        <f t="shared" si="114"/>
        <v>0</v>
      </c>
      <c r="O367" s="176">
        <f t="shared" si="115"/>
        <v>0</v>
      </c>
      <c r="U367" s="571">
        <f t="shared" si="118"/>
        <v>1</v>
      </c>
      <c r="V367" s="293">
        <f>IF(U367=1,Adm!$AN$2,0)</f>
        <v>0</v>
      </c>
    </row>
    <row r="368" spans="3:22">
      <c r="C368" s="178">
        <f t="shared" si="112"/>
        <v>0</v>
      </c>
      <c r="D368" s="354">
        <f t="shared" si="116"/>
        <v>0</v>
      </c>
      <c r="E368" s="178">
        <f t="shared" si="117"/>
        <v>0</v>
      </c>
      <c r="F368" s="178">
        <f t="shared" si="119"/>
        <v>0</v>
      </c>
      <c r="G368" s="178">
        <f>IF(L367&lt;0.01,0,IF(Adm!$R$3=Adm!$R$6,0,IF(Adm!$S$10=Adm!$S$13,L367*Adm!$X$6,IF(Adm!$S$10=Adm!$S$11,L367*Adm!$X$3,IF(Adm!$S$10=Adm!$S$12,L367*Adm!$Y$3)))))</f>
        <v>0</v>
      </c>
      <c r="H368" s="178"/>
      <c r="I368" s="178"/>
      <c r="J368" s="178">
        <f t="shared" si="113"/>
        <v>0</v>
      </c>
      <c r="K368" s="178"/>
      <c r="L368" s="178">
        <f t="shared" si="114"/>
        <v>0</v>
      </c>
      <c r="O368" s="176">
        <f t="shared" si="115"/>
        <v>0</v>
      </c>
      <c r="U368" s="571">
        <f t="shared" si="118"/>
        <v>2</v>
      </c>
      <c r="V368" s="293">
        <f>IF(U368=1,Adm!$AN$2,0)</f>
        <v>0</v>
      </c>
    </row>
    <row r="369" spans="3:22">
      <c r="C369" s="178">
        <f t="shared" si="112"/>
        <v>0</v>
      </c>
      <c r="D369" s="354">
        <f t="shared" si="116"/>
        <v>0</v>
      </c>
      <c r="E369" s="178">
        <f t="shared" si="117"/>
        <v>0</v>
      </c>
      <c r="F369" s="178">
        <f t="shared" si="119"/>
        <v>0</v>
      </c>
      <c r="G369" s="178">
        <f>IF(L368&lt;0.01,0,IF(Adm!$R$3=Adm!$R$6,0,IF(Adm!$S$10=Adm!$S$13,L368*Adm!$X$6,IF(Adm!$S$10=Adm!$S$11,L368*Adm!$X$3,IF(Adm!$S$10=Adm!$S$12,L368*Adm!$Y$3)))))</f>
        <v>0</v>
      </c>
      <c r="H369" s="178"/>
      <c r="I369" s="178"/>
      <c r="J369" s="178">
        <f t="shared" si="113"/>
        <v>0</v>
      </c>
      <c r="K369" s="178"/>
      <c r="L369" s="178">
        <f t="shared" si="114"/>
        <v>0</v>
      </c>
      <c r="O369" s="176">
        <f t="shared" si="115"/>
        <v>0</v>
      </c>
      <c r="U369" s="571">
        <f t="shared" si="118"/>
        <v>3</v>
      </c>
      <c r="V369" s="293">
        <f>IF(U369=1,Adm!$AN$2,0)</f>
        <v>0</v>
      </c>
    </row>
    <row r="370" spans="3:22">
      <c r="C370" s="178">
        <f t="shared" si="112"/>
        <v>0</v>
      </c>
      <c r="D370" s="354">
        <f t="shared" si="116"/>
        <v>0</v>
      </c>
      <c r="E370" s="178">
        <f t="shared" si="117"/>
        <v>0</v>
      </c>
      <c r="F370" s="178">
        <f t="shared" si="119"/>
        <v>0</v>
      </c>
      <c r="G370" s="178">
        <f>IF(L369&lt;0.01,0,IF(Adm!$R$3=Adm!$R$6,0,IF(Adm!$S$10=Adm!$S$13,L369*Adm!$X$6,IF(Adm!$S$10=Adm!$S$11,L369*Adm!$X$3,IF(Adm!$S$10=Adm!$S$12,L369*Adm!$Y$3)))))</f>
        <v>0</v>
      </c>
      <c r="H370" s="178"/>
      <c r="I370" s="178"/>
      <c r="J370" s="178">
        <f t="shared" si="113"/>
        <v>0</v>
      </c>
      <c r="K370" s="178"/>
      <c r="L370" s="178">
        <f t="shared" si="114"/>
        <v>0</v>
      </c>
      <c r="O370" s="176">
        <f t="shared" si="115"/>
        <v>0</v>
      </c>
      <c r="U370" s="571">
        <f t="shared" si="118"/>
        <v>4</v>
      </c>
      <c r="V370" s="293">
        <f>IF(U370=1,Adm!$AN$2,0)</f>
        <v>0</v>
      </c>
    </row>
    <row r="371" spans="3:22">
      <c r="C371" s="178">
        <f t="shared" si="112"/>
        <v>0</v>
      </c>
      <c r="D371" s="354">
        <f t="shared" si="116"/>
        <v>0</v>
      </c>
      <c r="E371" s="178">
        <f t="shared" si="117"/>
        <v>0</v>
      </c>
      <c r="F371" s="178">
        <f t="shared" si="119"/>
        <v>0</v>
      </c>
      <c r="G371" s="178">
        <f>IF(L370&lt;0.01,0,IF(Adm!$R$3=Adm!$R$6,0,IF(Adm!$S$10=Adm!$S$13,L370*Adm!$X$6,IF(Adm!$S$10=Adm!$S$11,L370*Adm!$X$3,IF(Adm!$S$10=Adm!$S$12,L370*Adm!$Y$3)))))</f>
        <v>0</v>
      </c>
      <c r="H371" s="178"/>
      <c r="I371" s="178"/>
      <c r="J371" s="178">
        <f t="shared" si="113"/>
        <v>0</v>
      </c>
      <c r="K371" s="178"/>
      <c r="L371" s="178">
        <f t="shared" si="114"/>
        <v>0</v>
      </c>
      <c r="O371" s="176">
        <f t="shared" si="115"/>
        <v>0</v>
      </c>
      <c r="U371" s="571">
        <f t="shared" si="118"/>
        <v>5</v>
      </c>
      <c r="V371" s="293">
        <f>IF(U371=1,Adm!$AN$2,0)</f>
        <v>0</v>
      </c>
    </row>
    <row r="372" spans="3:22">
      <c r="C372" s="178">
        <f t="shared" si="112"/>
        <v>0</v>
      </c>
      <c r="D372" s="354">
        <f t="shared" si="116"/>
        <v>0</v>
      </c>
      <c r="E372" s="178">
        <f t="shared" si="117"/>
        <v>0</v>
      </c>
      <c r="F372" s="178">
        <f t="shared" si="119"/>
        <v>0</v>
      </c>
      <c r="G372" s="178">
        <f>IF(L371&lt;0.01,0,IF(Adm!$R$3=Adm!$R$6,0,IF(Adm!$S$10=Adm!$S$13,L371*Adm!$X$6,IF(Adm!$S$10=Adm!$S$11,L371*Adm!$X$3,IF(Adm!$S$10=Adm!$S$12,L371*Adm!$Y$3)))))</f>
        <v>0</v>
      </c>
      <c r="H372" s="178"/>
      <c r="I372" s="178"/>
      <c r="J372" s="178">
        <f t="shared" si="113"/>
        <v>0</v>
      </c>
      <c r="K372" s="178"/>
      <c r="L372" s="178">
        <f t="shared" si="114"/>
        <v>0</v>
      </c>
      <c r="O372" s="176">
        <f t="shared" si="115"/>
        <v>0</v>
      </c>
      <c r="U372" s="571">
        <f t="shared" si="118"/>
        <v>6</v>
      </c>
      <c r="V372" s="293">
        <f>IF(U372=1,Adm!$AN$2,0)</f>
        <v>0</v>
      </c>
    </row>
    <row r="373" spans="3:22">
      <c r="C373" s="178">
        <f t="shared" si="112"/>
        <v>0</v>
      </c>
      <c r="D373" s="354">
        <f t="shared" si="116"/>
        <v>0</v>
      </c>
      <c r="E373" s="178">
        <f t="shared" si="117"/>
        <v>0</v>
      </c>
      <c r="F373" s="178">
        <f t="shared" si="119"/>
        <v>0</v>
      </c>
      <c r="G373" s="178">
        <f>IF(L372&lt;0.01,0,IF(Adm!$R$3=Adm!$R$6,0,IF(Adm!$S$10=Adm!$S$13,L372*Adm!$X$6,IF(Adm!$S$10=Adm!$S$11,L372*Adm!$X$3,IF(Adm!$S$10=Adm!$S$12,L372*Adm!$Y$3)))))</f>
        <v>0</v>
      </c>
      <c r="H373" s="178"/>
      <c r="I373" s="178"/>
      <c r="J373" s="178">
        <f t="shared" si="113"/>
        <v>0</v>
      </c>
      <c r="K373" s="178"/>
      <c r="L373" s="178">
        <f t="shared" si="114"/>
        <v>0</v>
      </c>
      <c r="O373" s="176">
        <f t="shared" si="115"/>
        <v>0</v>
      </c>
      <c r="U373" s="571">
        <f t="shared" si="118"/>
        <v>7</v>
      </c>
      <c r="V373" s="293">
        <f>IF(U373=1,Adm!$AN$2,0)</f>
        <v>0</v>
      </c>
    </row>
    <row r="374" spans="3:22">
      <c r="C374" s="178">
        <f t="shared" si="112"/>
        <v>0</v>
      </c>
      <c r="D374" s="354">
        <f t="shared" si="116"/>
        <v>0</v>
      </c>
      <c r="E374" s="178">
        <f t="shared" si="117"/>
        <v>0</v>
      </c>
      <c r="F374" s="178">
        <f t="shared" si="119"/>
        <v>0</v>
      </c>
      <c r="G374" s="178">
        <f>IF(L373&lt;0.01,0,IF(Adm!$R$3=Adm!$R$6,0,IF(Adm!$S$10=Adm!$S$13,L373*Adm!$X$6,IF(Adm!$S$10=Adm!$S$11,L373*Adm!$X$3,IF(Adm!$S$10=Adm!$S$12,L373*Adm!$Y$3)))))</f>
        <v>0</v>
      </c>
      <c r="H374" s="178"/>
      <c r="I374" s="178"/>
      <c r="J374" s="178">
        <f t="shared" si="113"/>
        <v>0</v>
      </c>
      <c r="K374" s="178"/>
      <c r="L374" s="178">
        <f t="shared" si="114"/>
        <v>0</v>
      </c>
      <c r="O374" s="176">
        <f t="shared" si="115"/>
        <v>0</v>
      </c>
      <c r="U374" s="571">
        <f t="shared" si="118"/>
        <v>8</v>
      </c>
      <c r="V374" s="293">
        <f>IF(U374=1,Adm!$AN$2,0)</f>
        <v>0</v>
      </c>
    </row>
    <row r="375" spans="3:22">
      <c r="C375" s="178">
        <f t="shared" si="112"/>
        <v>0</v>
      </c>
      <c r="D375" s="354">
        <f t="shared" si="116"/>
        <v>0</v>
      </c>
      <c r="E375" s="178">
        <f t="shared" si="117"/>
        <v>0</v>
      </c>
      <c r="F375" s="178">
        <f t="shared" si="119"/>
        <v>0</v>
      </c>
      <c r="G375" s="178">
        <f>IF(L374&lt;0.01,0,IF(Adm!$R$3=Adm!$R$6,0,IF(Adm!$S$10=Adm!$S$13,L374*Adm!$X$6,IF(Adm!$S$10=Adm!$S$11,L374*Adm!$X$3,IF(Adm!$S$10=Adm!$S$12,L374*Adm!$Y$3)))))</f>
        <v>0</v>
      </c>
      <c r="H375" s="178"/>
      <c r="I375" s="178"/>
      <c r="J375" s="178">
        <f t="shared" si="113"/>
        <v>0</v>
      </c>
      <c r="K375" s="178"/>
      <c r="L375" s="178">
        <f t="shared" si="114"/>
        <v>0</v>
      </c>
      <c r="O375" s="176">
        <f t="shared" si="115"/>
        <v>0</v>
      </c>
      <c r="U375" s="571">
        <f t="shared" si="118"/>
        <v>9</v>
      </c>
      <c r="V375" s="293">
        <f>IF(U375=1,Adm!$AN$2,0)</f>
        <v>0</v>
      </c>
    </row>
    <row r="376" spans="3:22">
      <c r="C376" s="178">
        <f t="shared" si="112"/>
        <v>0</v>
      </c>
      <c r="D376" s="354">
        <f t="shared" si="116"/>
        <v>0</v>
      </c>
      <c r="E376" s="178">
        <f t="shared" si="117"/>
        <v>0</v>
      </c>
      <c r="F376" s="178">
        <f t="shared" si="119"/>
        <v>0</v>
      </c>
      <c r="G376" s="178">
        <f>IF(L375&lt;0.01,0,IF(Adm!$R$3=Adm!$R$6,0,IF(Adm!$S$10=Adm!$S$13,L375*Adm!$X$6,IF(Adm!$S$10=Adm!$S$11,L375*Adm!$X$3,IF(Adm!$S$10=Adm!$S$12,L375*Adm!$Y$3)))))</f>
        <v>0</v>
      </c>
      <c r="H376" s="178"/>
      <c r="I376" s="178"/>
      <c r="J376" s="178">
        <f t="shared" si="113"/>
        <v>0</v>
      </c>
      <c r="K376" s="178"/>
      <c r="L376" s="178">
        <f t="shared" si="114"/>
        <v>0</v>
      </c>
      <c r="O376" s="176">
        <f t="shared" si="115"/>
        <v>0</v>
      </c>
      <c r="U376" s="571">
        <f t="shared" si="118"/>
        <v>10</v>
      </c>
      <c r="V376" s="293">
        <f>IF(U376=1,Adm!$AN$2,0)</f>
        <v>0</v>
      </c>
    </row>
    <row r="377" spans="3:22">
      <c r="C377" s="178">
        <f t="shared" si="112"/>
        <v>0</v>
      </c>
      <c r="D377" s="354">
        <f t="shared" si="116"/>
        <v>0</v>
      </c>
      <c r="E377" s="178">
        <f t="shared" si="117"/>
        <v>0</v>
      </c>
      <c r="F377" s="178">
        <f t="shared" si="119"/>
        <v>0</v>
      </c>
      <c r="G377" s="178">
        <f>IF(L376&lt;0.01,0,IF(Adm!$R$3=Adm!$R$6,0,IF(Adm!$S$10=Adm!$S$13,L376*Adm!$X$6,IF(Adm!$S$10=Adm!$S$11,L376*Adm!$X$3,IF(Adm!$S$10=Adm!$S$12,L376*Adm!$Y$3)))))</f>
        <v>0</v>
      </c>
      <c r="H377" s="178"/>
      <c r="I377" s="178"/>
      <c r="J377" s="178">
        <f t="shared" si="113"/>
        <v>0</v>
      </c>
      <c r="K377" s="178"/>
      <c r="L377" s="178">
        <f t="shared" si="114"/>
        <v>0</v>
      </c>
      <c r="O377" s="176">
        <f t="shared" si="115"/>
        <v>0</v>
      </c>
      <c r="U377" s="571">
        <f t="shared" si="118"/>
        <v>11</v>
      </c>
      <c r="V377" s="293">
        <f>IF(U377=1,Adm!$AN$2,0)</f>
        <v>0</v>
      </c>
    </row>
    <row r="378" spans="3:22">
      <c r="C378" s="178">
        <f t="shared" si="112"/>
        <v>0</v>
      </c>
      <c r="D378" s="354">
        <f t="shared" si="116"/>
        <v>0</v>
      </c>
      <c r="E378" s="178">
        <f t="shared" si="117"/>
        <v>0</v>
      </c>
      <c r="F378" s="178">
        <f t="shared" si="119"/>
        <v>0</v>
      </c>
      <c r="G378" s="178">
        <f>IF(L377&lt;0.01,0,IF(Adm!$R$3=Adm!$R$6,0,IF(Adm!$S$10=Adm!$S$13,L377*Adm!$X$6,IF(Adm!$S$10=Adm!$S$11,L377*Adm!$X$3,IF(Adm!$S$10=Adm!$S$12,L377*Adm!$Y$3)))))</f>
        <v>0</v>
      </c>
      <c r="H378" s="178"/>
      <c r="I378" s="178"/>
      <c r="J378" s="178">
        <f t="shared" si="113"/>
        <v>0</v>
      </c>
      <c r="K378" s="178"/>
      <c r="L378" s="178">
        <f t="shared" si="114"/>
        <v>0</v>
      </c>
      <c r="O378" s="176">
        <f t="shared" si="115"/>
        <v>0</v>
      </c>
      <c r="U378" s="571">
        <f t="shared" si="118"/>
        <v>12</v>
      </c>
      <c r="V378" s="293">
        <f>IF(U378=1,Adm!$AN$2,0)</f>
        <v>0</v>
      </c>
    </row>
    <row r="379" spans="3:22">
      <c r="C379" s="178">
        <f t="shared" si="112"/>
        <v>0</v>
      </c>
      <c r="D379" s="354">
        <f t="shared" si="116"/>
        <v>0</v>
      </c>
      <c r="E379" s="178">
        <f t="shared" si="117"/>
        <v>0</v>
      </c>
      <c r="F379" s="178">
        <f t="shared" si="119"/>
        <v>0</v>
      </c>
      <c r="G379" s="178">
        <f>IF(L378&lt;0.01,0,IF(Adm!$R$3=Adm!$R$6,0,IF(Adm!$S$10=Adm!$S$13,L378*Adm!$X$6,IF(Adm!$S$10=Adm!$S$11,L378*Adm!$X$3,IF(Adm!$S$10=Adm!$S$12,L378*Adm!$Y$3)))))</f>
        <v>0</v>
      </c>
      <c r="H379" s="178"/>
      <c r="I379" s="178"/>
      <c r="J379" s="178">
        <f t="shared" si="113"/>
        <v>0</v>
      </c>
      <c r="K379" s="178"/>
      <c r="L379" s="178">
        <f t="shared" si="114"/>
        <v>0</v>
      </c>
      <c r="O379" s="176">
        <f t="shared" si="115"/>
        <v>0</v>
      </c>
      <c r="U379" s="571">
        <f t="shared" si="118"/>
        <v>1</v>
      </c>
      <c r="V379" s="293">
        <f>IF(U379=1,Adm!$AN$2,0)</f>
        <v>0</v>
      </c>
    </row>
    <row r="380" spans="3:22">
      <c r="C380" s="178">
        <f t="shared" si="112"/>
        <v>0</v>
      </c>
      <c r="D380" s="354">
        <f t="shared" si="116"/>
        <v>0</v>
      </c>
      <c r="E380" s="178">
        <f t="shared" si="117"/>
        <v>0</v>
      </c>
      <c r="F380" s="178">
        <f t="shared" si="119"/>
        <v>0</v>
      </c>
      <c r="G380" s="178">
        <f>IF(L379&lt;0.01,0,IF(Adm!$R$3=Adm!$R$6,0,IF(Adm!$S$10=Adm!$S$13,L379*Adm!$X$6,IF(Adm!$S$10=Adm!$S$11,L379*Adm!$X$3,IF(Adm!$S$10=Adm!$S$12,L379*Adm!$Y$3)))))</f>
        <v>0</v>
      </c>
      <c r="H380" s="178"/>
      <c r="I380" s="178"/>
      <c r="J380" s="178">
        <f t="shared" si="113"/>
        <v>0</v>
      </c>
      <c r="K380" s="178"/>
      <c r="L380" s="178">
        <f t="shared" si="114"/>
        <v>0</v>
      </c>
      <c r="O380" s="176">
        <f t="shared" si="115"/>
        <v>0</v>
      </c>
      <c r="U380" s="571">
        <f t="shared" si="118"/>
        <v>2</v>
      </c>
      <c r="V380" s="293">
        <f>IF(U380=1,Adm!$AN$2,0)</f>
        <v>0</v>
      </c>
    </row>
    <row r="381" spans="3:22">
      <c r="C381" s="178">
        <f t="shared" si="112"/>
        <v>0</v>
      </c>
      <c r="D381" s="354">
        <f t="shared" si="116"/>
        <v>0</v>
      </c>
      <c r="E381" s="178">
        <f t="shared" si="117"/>
        <v>0</v>
      </c>
      <c r="F381" s="178">
        <f t="shared" si="119"/>
        <v>0</v>
      </c>
      <c r="G381" s="178">
        <f>IF(L380&lt;0.01,0,IF(Adm!$R$3=Adm!$R$6,0,IF(Adm!$S$10=Adm!$S$13,L380*Adm!$X$6,IF(Adm!$S$10=Adm!$S$11,L380*Adm!$X$3,IF(Adm!$S$10=Adm!$S$12,L380*Adm!$Y$3)))))</f>
        <v>0</v>
      </c>
      <c r="H381" s="178"/>
      <c r="I381" s="178"/>
      <c r="J381" s="178">
        <f t="shared" si="113"/>
        <v>0</v>
      </c>
      <c r="K381" s="178"/>
      <c r="L381" s="178">
        <f t="shared" si="114"/>
        <v>0</v>
      </c>
      <c r="O381" s="176">
        <f t="shared" si="115"/>
        <v>0</v>
      </c>
      <c r="U381" s="571">
        <f t="shared" si="118"/>
        <v>3</v>
      </c>
      <c r="V381" s="293">
        <f>IF(U381=1,Adm!$AN$2,0)</f>
        <v>0</v>
      </c>
    </row>
    <row r="382" spans="3:22">
      <c r="C382" s="178">
        <f t="shared" si="112"/>
        <v>0</v>
      </c>
      <c r="D382" s="354">
        <f t="shared" si="116"/>
        <v>0</v>
      </c>
      <c r="E382" s="178">
        <f t="shared" si="117"/>
        <v>0</v>
      </c>
      <c r="F382" s="178">
        <f t="shared" si="119"/>
        <v>0</v>
      </c>
      <c r="G382" s="178">
        <f>IF(L381&lt;0.01,0,IF(Adm!$R$3=Adm!$R$6,0,IF(Adm!$S$10=Adm!$S$13,L381*Adm!$X$6,IF(Adm!$S$10=Adm!$S$11,L381*Adm!$X$3,IF(Adm!$S$10=Adm!$S$12,L381*Adm!$Y$3)))))</f>
        <v>0</v>
      </c>
      <c r="H382" s="178"/>
      <c r="I382" s="178"/>
      <c r="J382" s="178">
        <f t="shared" si="113"/>
        <v>0</v>
      </c>
      <c r="K382" s="178"/>
      <c r="L382" s="178">
        <f t="shared" si="114"/>
        <v>0</v>
      </c>
      <c r="O382" s="176">
        <f t="shared" si="115"/>
        <v>0</v>
      </c>
      <c r="U382" s="571">
        <f t="shared" si="118"/>
        <v>4</v>
      </c>
      <c r="V382" s="293">
        <f>IF(U382=1,Adm!$AN$2,0)</f>
        <v>0</v>
      </c>
    </row>
    <row r="383" spans="3:22">
      <c r="C383" s="178">
        <f t="shared" si="112"/>
        <v>0</v>
      </c>
      <c r="D383" s="354">
        <f t="shared" si="116"/>
        <v>0</v>
      </c>
      <c r="E383" s="178">
        <f t="shared" si="117"/>
        <v>0</v>
      </c>
      <c r="F383" s="178">
        <f t="shared" si="119"/>
        <v>0</v>
      </c>
      <c r="G383" s="178">
        <f>IF(L382&lt;0.01,0,IF(Adm!$R$3=Adm!$R$6,0,IF(Adm!$S$10=Adm!$S$13,L382*Adm!$X$6,IF(Adm!$S$10=Adm!$S$11,L382*Adm!$X$3,IF(Adm!$S$10=Adm!$S$12,L382*Adm!$Y$3)))))</f>
        <v>0</v>
      </c>
      <c r="H383" s="178"/>
      <c r="I383" s="178"/>
      <c r="J383" s="178">
        <f t="shared" si="113"/>
        <v>0</v>
      </c>
      <c r="K383" s="178"/>
      <c r="L383" s="178">
        <f t="shared" si="114"/>
        <v>0</v>
      </c>
      <c r="O383" s="176">
        <f t="shared" si="115"/>
        <v>0</v>
      </c>
      <c r="U383" s="571">
        <f t="shared" si="118"/>
        <v>5</v>
      </c>
      <c r="V383" s="293">
        <f>IF(U383=1,Adm!$AN$2,0)</f>
        <v>0</v>
      </c>
    </row>
    <row r="384" spans="3:22">
      <c r="C384" s="178">
        <f t="shared" si="112"/>
        <v>0</v>
      </c>
      <c r="D384" s="354">
        <f t="shared" si="116"/>
        <v>0</v>
      </c>
      <c r="E384" s="178">
        <f t="shared" si="117"/>
        <v>0</v>
      </c>
      <c r="F384" s="178">
        <f t="shared" si="119"/>
        <v>0</v>
      </c>
      <c r="G384" s="178">
        <f>IF(L383&lt;0.01,0,IF(Adm!$R$3=Adm!$R$6,0,IF(Adm!$S$10=Adm!$S$13,L383*Adm!$X$6,IF(Adm!$S$10=Adm!$S$11,L383*Adm!$X$3,IF(Adm!$S$10=Adm!$S$12,L383*Adm!$Y$3)))))</f>
        <v>0</v>
      </c>
      <c r="H384" s="178"/>
      <c r="I384" s="178"/>
      <c r="J384" s="178">
        <f t="shared" si="113"/>
        <v>0</v>
      </c>
      <c r="K384" s="178"/>
      <c r="L384" s="178">
        <f t="shared" si="114"/>
        <v>0</v>
      </c>
      <c r="O384" s="176">
        <f t="shared" si="115"/>
        <v>0</v>
      </c>
      <c r="U384" s="571">
        <f t="shared" si="118"/>
        <v>6</v>
      </c>
      <c r="V384" s="293">
        <f>IF(U384=1,Adm!$AN$2,0)</f>
        <v>0</v>
      </c>
    </row>
    <row r="385" spans="3:22">
      <c r="C385" s="178">
        <f t="shared" si="112"/>
        <v>0</v>
      </c>
      <c r="D385" s="354">
        <f t="shared" si="116"/>
        <v>0</v>
      </c>
      <c r="E385" s="178">
        <f t="shared" si="117"/>
        <v>0</v>
      </c>
      <c r="F385" s="178">
        <f t="shared" si="119"/>
        <v>0</v>
      </c>
      <c r="G385" s="178">
        <f>IF(L384&lt;0.01,0,IF(Adm!$R$3=Adm!$R$6,0,IF(Adm!$S$10=Adm!$S$13,L384*Adm!$X$6,IF(Adm!$S$10=Adm!$S$11,L384*Adm!$X$3,IF(Adm!$S$10=Adm!$S$12,L384*Adm!$Y$3)))))</f>
        <v>0</v>
      </c>
      <c r="H385" s="178"/>
      <c r="I385" s="178"/>
      <c r="J385" s="178">
        <f t="shared" si="113"/>
        <v>0</v>
      </c>
      <c r="K385" s="178"/>
      <c r="L385" s="178">
        <f t="shared" si="114"/>
        <v>0</v>
      </c>
      <c r="O385" s="176">
        <f t="shared" si="115"/>
        <v>0</v>
      </c>
      <c r="U385" s="571">
        <f t="shared" si="118"/>
        <v>7</v>
      </c>
      <c r="V385" s="293">
        <f>IF(U385=1,Adm!$AN$2,0)</f>
        <v>0</v>
      </c>
    </row>
    <row r="386" spans="3:22">
      <c r="C386" s="178">
        <f t="shared" si="112"/>
        <v>0</v>
      </c>
      <c r="D386" s="354">
        <f t="shared" si="116"/>
        <v>0</v>
      </c>
      <c r="E386" s="178">
        <f t="shared" si="117"/>
        <v>0</v>
      </c>
      <c r="F386" s="178">
        <f t="shared" si="119"/>
        <v>0</v>
      </c>
      <c r="G386" s="178">
        <f>IF(L385&lt;0.01,0,IF(Adm!$R$3=Adm!$R$6,0,IF(Adm!$S$10=Adm!$S$13,L385*Adm!$X$6,IF(Adm!$S$10=Adm!$S$11,L385*Adm!$X$3,IF(Adm!$S$10=Adm!$S$12,L385*Adm!$Y$3)))))</f>
        <v>0</v>
      </c>
      <c r="H386" s="178"/>
      <c r="I386" s="178"/>
      <c r="J386" s="178">
        <f t="shared" si="113"/>
        <v>0</v>
      </c>
      <c r="K386" s="178"/>
      <c r="L386" s="178">
        <f t="shared" si="114"/>
        <v>0</v>
      </c>
      <c r="O386" s="176">
        <f t="shared" si="115"/>
        <v>0</v>
      </c>
      <c r="U386" s="571">
        <f t="shared" si="118"/>
        <v>8</v>
      </c>
      <c r="V386" s="293">
        <f>IF(U386=1,Adm!$AN$2,0)</f>
        <v>0</v>
      </c>
    </row>
    <row r="387" spans="3:22">
      <c r="C387" s="178">
        <f t="shared" si="112"/>
        <v>0</v>
      </c>
      <c r="D387" s="354">
        <f t="shared" si="116"/>
        <v>0</v>
      </c>
      <c r="E387" s="178">
        <f t="shared" si="117"/>
        <v>0</v>
      </c>
      <c r="F387" s="178">
        <f t="shared" si="119"/>
        <v>0</v>
      </c>
      <c r="G387" s="178">
        <f>IF(L386&lt;0.01,0,IF(Adm!$R$3=Adm!$R$6,0,IF(Adm!$S$10=Adm!$S$13,L386*Adm!$X$6,IF(Adm!$S$10=Adm!$S$11,L386*Adm!$X$3,IF(Adm!$S$10=Adm!$S$12,L386*Adm!$Y$3)))))</f>
        <v>0</v>
      </c>
      <c r="H387" s="178"/>
      <c r="I387" s="178"/>
      <c r="J387" s="178">
        <f t="shared" si="113"/>
        <v>0</v>
      </c>
      <c r="K387" s="178"/>
      <c r="L387" s="178">
        <f t="shared" si="114"/>
        <v>0</v>
      </c>
      <c r="O387" s="176">
        <f t="shared" si="115"/>
        <v>0</v>
      </c>
      <c r="U387" s="571">
        <f t="shared" si="118"/>
        <v>9</v>
      </c>
      <c r="V387" s="293">
        <f>IF(U387=1,Adm!$AN$2,0)</f>
        <v>0</v>
      </c>
    </row>
    <row r="388" spans="3:22">
      <c r="C388" s="178">
        <f t="shared" si="112"/>
        <v>0</v>
      </c>
      <c r="D388" s="354">
        <f t="shared" si="116"/>
        <v>0</v>
      </c>
      <c r="E388" s="178">
        <f t="shared" si="117"/>
        <v>0</v>
      </c>
      <c r="F388" s="178">
        <f t="shared" si="119"/>
        <v>0</v>
      </c>
      <c r="G388" s="178">
        <f>IF(L387&lt;0.01,0,IF(Adm!$R$3=Adm!$R$6,0,IF(Adm!$S$10=Adm!$S$13,L387*Adm!$X$6,IF(Adm!$S$10=Adm!$S$11,L387*Adm!$X$3,IF(Adm!$S$10=Adm!$S$12,L387*Adm!$Y$3)))))</f>
        <v>0</v>
      </c>
      <c r="H388" s="178"/>
      <c r="I388" s="178"/>
      <c r="J388" s="178">
        <f t="shared" si="113"/>
        <v>0</v>
      </c>
      <c r="K388" s="178"/>
      <c r="L388" s="178">
        <f t="shared" si="114"/>
        <v>0</v>
      </c>
      <c r="O388" s="176">
        <f t="shared" si="115"/>
        <v>0</v>
      </c>
      <c r="U388" s="571">
        <f t="shared" si="118"/>
        <v>10</v>
      </c>
      <c r="V388" s="293">
        <f>IF(U388=1,Adm!$AN$2,0)</f>
        <v>0</v>
      </c>
    </row>
    <row r="389" spans="3:22">
      <c r="C389" s="178">
        <f t="shared" si="112"/>
        <v>0</v>
      </c>
      <c r="D389" s="354">
        <f t="shared" si="116"/>
        <v>0</v>
      </c>
      <c r="E389" s="178">
        <f t="shared" si="117"/>
        <v>0</v>
      </c>
      <c r="F389" s="178">
        <f t="shared" si="119"/>
        <v>0</v>
      </c>
      <c r="G389" s="178">
        <f>IF(L388&lt;0.01,0,IF(Adm!$R$3=Adm!$R$6,0,IF(Adm!$S$10=Adm!$S$13,L388*Adm!$X$6,IF(Adm!$S$10=Adm!$S$11,L388*Adm!$X$3,IF(Adm!$S$10=Adm!$S$12,L388*Adm!$Y$3)))))</f>
        <v>0</v>
      </c>
      <c r="H389" s="178"/>
      <c r="I389" s="178"/>
      <c r="J389" s="178">
        <f t="shared" si="113"/>
        <v>0</v>
      </c>
      <c r="K389" s="178"/>
      <c r="L389" s="178">
        <f t="shared" si="114"/>
        <v>0</v>
      </c>
      <c r="O389" s="176">
        <f t="shared" si="115"/>
        <v>0</v>
      </c>
      <c r="U389" s="571">
        <f t="shared" si="118"/>
        <v>11</v>
      </c>
      <c r="V389" s="293">
        <f>IF(U389=1,Adm!$AN$2,0)</f>
        <v>0</v>
      </c>
    </row>
    <row r="390" spans="3:22">
      <c r="C390" s="178">
        <f t="shared" si="112"/>
        <v>0</v>
      </c>
      <c r="D390" s="354">
        <f t="shared" si="116"/>
        <v>0</v>
      </c>
      <c r="E390" s="178">
        <f t="shared" si="117"/>
        <v>0</v>
      </c>
      <c r="F390" s="178">
        <f t="shared" si="119"/>
        <v>0</v>
      </c>
      <c r="G390" s="178">
        <f>IF(L389&lt;0.01,0,IF(Adm!$R$3=Adm!$R$6,0,IF(Adm!$S$10=Adm!$S$13,L389*Adm!$X$6,IF(Adm!$S$10=Adm!$S$11,L389*Adm!$X$3,IF(Adm!$S$10=Adm!$S$12,L389*Adm!$Y$3)))))</f>
        <v>0</v>
      </c>
      <c r="H390" s="178"/>
      <c r="I390" s="178"/>
      <c r="J390" s="178">
        <f t="shared" si="113"/>
        <v>0</v>
      </c>
      <c r="K390" s="178"/>
      <c r="L390" s="178">
        <f t="shared" si="114"/>
        <v>0</v>
      </c>
      <c r="O390" s="176">
        <f t="shared" si="115"/>
        <v>0</v>
      </c>
      <c r="U390" s="571">
        <f t="shared" si="118"/>
        <v>12</v>
      </c>
      <c r="V390" s="293">
        <f>IF(U390=1,Adm!$AN$2,0)</f>
        <v>0</v>
      </c>
    </row>
    <row r="391" spans="3:22">
      <c r="C391" s="178">
        <f t="shared" si="112"/>
        <v>0</v>
      </c>
      <c r="D391" s="354">
        <f t="shared" si="116"/>
        <v>0</v>
      </c>
      <c r="E391" s="178">
        <f t="shared" si="117"/>
        <v>0</v>
      </c>
      <c r="F391" s="178">
        <f t="shared" si="119"/>
        <v>0</v>
      </c>
      <c r="G391" s="178">
        <f>IF(L390&lt;0.01,0,IF(Adm!$R$3=Adm!$R$6,0,IF(Adm!$S$10=Adm!$S$13,L390*Adm!$X$6,IF(Adm!$S$10=Adm!$S$11,L390*Adm!$X$3,IF(Adm!$S$10=Adm!$S$12,L390*Adm!$Y$3)))))</f>
        <v>0</v>
      </c>
      <c r="H391" s="178"/>
      <c r="I391" s="178"/>
      <c r="J391" s="178">
        <f t="shared" si="113"/>
        <v>0</v>
      </c>
      <c r="K391" s="178"/>
      <c r="L391" s="178">
        <f t="shared" si="114"/>
        <v>0</v>
      </c>
      <c r="O391" s="176">
        <f t="shared" si="115"/>
        <v>0</v>
      </c>
      <c r="U391" s="571">
        <f t="shared" si="118"/>
        <v>1</v>
      </c>
      <c r="V391" s="293">
        <f>IF(U391=1,Adm!$AN$2,0)</f>
        <v>0</v>
      </c>
    </row>
    <row r="392" spans="3:22">
      <c r="C392" s="178">
        <f t="shared" si="112"/>
        <v>0</v>
      </c>
      <c r="D392" s="354">
        <f t="shared" si="116"/>
        <v>0</v>
      </c>
      <c r="E392" s="178">
        <f t="shared" si="117"/>
        <v>0</v>
      </c>
      <c r="F392" s="178">
        <f t="shared" si="119"/>
        <v>0</v>
      </c>
      <c r="G392" s="178">
        <f>IF(L391&lt;0.01,0,IF(Adm!$R$3=Adm!$R$6,0,IF(Adm!$S$10=Adm!$S$13,L391*Adm!$X$6,IF(Adm!$S$10=Adm!$S$11,L391*Adm!$X$3,IF(Adm!$S$10=Adm!$S$12,L391*Adm!$Y$3)))))</f>
        <v>0</v>
      </c>
      <c r="H392" s="178"/>
      <c r="I392" s="178"/>
      <c r="J392" s="178">
        <f t="shared" si="113"/>
        <v>0</v>
      </c>
      <c r="K392" s="178"/>
      <c r="L392" s="178">
        <f t="shared" si="114"/>
        <v>0</v>
      </c>
      <c r="O392" s="176">
        <f t="shared" si="115"/>
        <v>0</v>
      </c>
      <c r="U392" s="571">
        <f t="shared" si="118"/>
        <v>2</v>
      </c>
      <c r="V392" s="293">
        <f>IF(U392=1,Adm!$AN$2,0)</f>
        <v>0</v>
      </c>
    </row>
    <row r="393" spans="3:22">
      <c r="C393" s="178">
        <f t="shared" si="112"/>
        <v>0</v>
      </c>
      <c r="D393" s="354">
        <f t="shared" si="116"/>
        <v>0</v>
      </c>
      <c r="E393" s="178">
        <f t="shared" si="117"/>
        <v>0</v>
      </c>
      <c r="F393" s="178">
        <f t="shared" si="119"/>
        <v>0</v>
      </c>
      <c r="G393" s="178">
        <f>IF(L392&lt;0.01,0,IF(Adm!$R$3=Adm!$R$6,0,IF(Adm!$S$10=Adm!$S$13,L392*Adm!$X$6,IF(Adm!$S$10=Adm!$S$11,L392*Adm!$X$3,IF(Adm!$S$10=Adm!$S$12,L392*Adm!$Y$3)))))</f>
        <v>0</v>
      </c>
      <c r="H393" s="178"/>
      <c r="I393" s="178"/>
      <c r="J393" s="178">
        <f t="shared" si="113"/>
        <v>0</v>
      </c>
      <c r="K393" s="178"/>
      <c r="L393" s="178">
        <f t="shared" si="114"/>
        <v>0</v>
      </c>
      <c r="O393" s="176">
        <f t="shared" si="115"/>
        <v>0</v>
      </c>
      <c r="U393" s="571">
        <f t="shared" si="118"/>
        <v>3</v>
      </c>
      <c r="V393" s="293">
        <f>IF(U393=1,Adm!$AN$2,0)</f>
        <v>0</v>
      </c>
    </row>
    <row r="394" spans="3:22">
      <c r="C394" s="178">
        <f t="shared" si="112"/>
        <v>0</v>
      </c>
      <c r="D394" s="354">
        <f t="shared" si="116"/>
        <v>0</v>
      </c>
      <c r="E394" s="178">
        <f t="shared" si="117"/>
        <v>0</v>
      </c>
      <c r="F394" s="178">
        <f t="shared" si="119"/>
        <v>0</v>
      </c>
      <c r="G394" s="178">
        <f>IF(L393&lt;0.01,0,IF(Adm!$R$3=Adm!$R$6,0,IF(Adm!$S$10=Adm!$S$13,L393*Adm!$X$6,IF(Adm!$S$10=Adm!$S$11,L393*Adm!$X$3,IF(Adm!$S$10=Adm!$S$12,L393*Adm!$Y$3)))))</f>
        <v>0</v>
      </c>
      <c r="H394" s="178"/>
      <c r="I394" s="178"/>
      <c r="J394" s="178">
        <f t="shared" si="113"/>
        <v>0</v>
      </c>
      <c r="K394" s="178"/>
      <c r="L394" s="178">
        <f t="shared" si="114"/>
        <v>0</v>
      </c>
      <c r="O394" s="176">
        <f t="shared" si="115"/>
        <v>0</v>
      </c>
      <c r="U394" s="571">
        <f t="shared" si="118"/>
        <v>4</v>
      </c>
      <c r="V394" s="293">
        <f>IF(U394=1,Adm!$AN$2,0)</f>
        <v>0</v>
      </c>
    </row>
    <row r="395" spans="3:22">
      <c r="C395" s="178">
        <f t="shared" si="112"/>
        <v>0</v>
      </c>
      <c r="D395" s="354">
        <f t="shared" si="116"/>
        <v>0</v>
      </c>
      <c r="E395" s="178">
        <f t="shared" si="117"/>
        <v>0</v>
      </c>
      <c r="F395" s="178">
        <f t="shared" si="119"/>
        <v>0</v>
      </c>
      <c r="G395" s="178">
        <f>IF(L394&lt;0.01,0,IF(Adm!$R$3=Adm!$R$6,0,IF(Adm!$S$10=Adm!$S$13,L394*Adm!$X$6,IF(Adm!$S$10=Adm!$S$11,L394*Adm!$X$3,IF(Adm!$S$10=Adm!$S$12,L394*Adm!$Y$3)))))</f>
        <v>0</v>
      </c>
      <c r="H395" s="178"/>
      <c r="I395" s="178"/>
      <c r="J395" s="178">
        <f t="shared" si="113"/>
        <v>0</v>
      </c>
      <c r="K395" s="178"/>
      <c r="L395" s="178">
        <f t="shared" si="114"/>
        <v>0</v>
      </c>
      <c r="O395" s="176">
        <f t="shared" si="115"/>
        <v>0</v>
      </c>
      <c r="U395" s="571">
        <f t="shared" si="118"/>
        <v>5</v>
      </c>
      <c r="V395" s="293">
        <f>IF(U395=1,Adm!$AN$2,0)</f>
        <v>0</v>
      </c>
    </row>
    <row r="396" spans="3:22">
      <c r="C396" s="178">
        <f t="shared" si="112"/>
        <v>0</v>
      </c>
      <c r="D396" s="354">
        <f t="shared" si="116"/>
        <v>0</v>
      </c>
      <c r="E396" s="178">
        <f t="shared" si="117"/>
        <v>0</v>
      </c>
      <c r="F396" s="178">
        <f t="shared" si="119"/>
        <v>0</v>
      </c>
      <c r="G396" s="178">
        <f>IF(L395&lt;0.01,0,IF(Adm!$R$3=Adm!$R$6,0,IF(Adm!$S$10=Adm!$S$13,L395*Adm!$X$6,IF(Adm!$S$10=Adm!$S$11,L395*Adm!$X$3,IF(Adm!$S$10=Adm!$S$12,L395*Adm!$Y$3)))))</f>
        <v>0</v>
      </c>
      <c r="H396" s="178"/>
      <c r="I396" s="178"/>
      <c r="J396" s="178">
        <f t="shared" si="113"/>
        <v>0</v>
      </c>
      <c r="K396" s="178"/>
      <c r="L396" s="178">
        <f t="shared" si="114"/>
        <v>0</v>
      </c>
      <c r="O396" s="176">
        <f t="shared" si="115"/>
        <v>0</v>
      </c>
      <c r="U396" s="571">
        <f t="shared" si="118"/>
        <v>6</v>
      </c>
      <c r="V396" s="293">
        <f>IF(U396=1,Adm!$AN$2,0)</f>
        <v>0</v>
      </c>
    </row>
    <row r="397" spans="3:22">
      <c r="C397" s="178">
        <f t="shared" si="112"/>
        <v>0</v>
      </c>
      <c r="D397" s="354">
        <f t="shared" si="116"/>
        <v>0</v>
      </c>
      <c r="E397" s="178">
        <f t="shared" si="117"/>
        <v>0</v>
      </c>
      <c r="F397" s="178">
        <f t="shared" si="119"/>
        <v>0</v>
      </c>
      <c r="G397" s="178">
        <f>IF(L396&lt;0.01,0,IF(Adm!$R$3=Adm!$R$6,0,IF(Adm!$S$10=Adm!$S$13,L396*Adm!$X$6,IF(Adm!$S$10=Adm!$S$11,L396*Adm!$X$3,IF(Adm!$S$10=Adm!$S$12,L396*Adm!$Y$3)))))</f>
        <v>0</v>
      </c>
      <c r="H397" s="178"/>
      <c r="I397" s="178"/>
      <c r="J397" s="178">
        <f t="shared" si="113"/>
        <v>0</v>
      </c>
      <c r="K397" s="178"/>
      <c r="L397" s="178">
        <f t="shared" si="114"/>
        <v>0</v>
      </c>
      <c r="O397" s="176">
        <f t="shared" si="115"/>
        <v>0</v>
      </c>
      <c r="U397" s="571">
        <f t="shared" si="118"/>
        <v>7</v>
      </c>
      <c r="V397" s="293">
        <f>IF(U397=1,Adm!$AN$2,0)</f>
        <v>0</v>
      </c>
    </row>
    <row r="398" spans="3:22">
      <c r="C398" s="178">
        <f t="shared" si="112"/>
        <v>0</v>
      </c>
      <c r="D398" s="354">
        <f t="shared" si="116"/>
        <v>0</v>
      </c>
      <c r="E398" s="178">
        <f t="shared" si="117"/>
        <v>0</v>
      </c>
      <c r="F398" s="178">
        <f t="shared" si="119"/>
        <v>0</v>
      </c>
      <c r="G398" s="178">
        <f>IF(L397&lt;0.01,0,IF(Adm!$R$3=Adm!$R$6,0,IF(Adm!$S$10=Adm!$S$13,L397*Adm!$X$6,IF(Adm!$S$10=Adm!$S$11,L397*Adm!$X$3,IF(Adm!$S$10=Adm!$S$12,L397*Adm!$Y$3)))))</f>
        <v>0</v>
      </c>
      <c r="H398" s="178"/>
      <c r="I398" s="178"/>
      <c r="J398" s="178">
        <f t="shared" si="113"/>
        <v>0</v>
      </c>
      <c r="K398" s="178"/>
      <c r="L398" s="178">
        <f t="shared" si="114"/>
        <v>0</v>
      </c>
      <c r="O398" s="176">
        <f t="shared" si="115"/>
        <v>0</v>
      </c>
      <c r="U398" s="571">
        <f t="shared" si="118"/>
        <v>8</v>
      </c>
      <c r="V398" s="293">
        <f>IF(U398=1,Adm!$AN$2,0)</f>
        <v>0</v>
      </c>
    </row>
    <row r="399" spans="3:22">
      <c r="C399" s="178">
        <f t="shared" si="112"/>
        <v>0</v>
      </c>
      <c r="D399" s="354">
        <f t="shared" si="116"/>
        <v>0</v>
      </c>
      <c r="E399" s="178">
        <f t="shared" si="117"/>
        <v>0</v>
      </c>
      <c r="F399" s="178">
        <f t="shared" si="119"/>
        <v>0</v>
      </c>
      <c r="G399" s="178">
        <f>IF(L398&lt;0.01,0,IF(Adm!$R$3=Adm!$R$6,0,IF(Adm!$S$10=Adm!$S$13,L398*Adm!$X$6,IF(Adm!$S$10=Adm!$S$11,L398*Adm!$X$3,IF(Adm!$S$10=Adm!$S$12,L398*Adm!$Y$3)))))</f>
        <v>0</v>
      </c>
      <c r="H399" s="178"/>
      <c r="I399" s="178"/>
      <c r="J399" s="178">
        <f t="shared" si="113"/>
        <v>0</v>
      </c>
      <c r="K399" s="178"/>
      <c r="L399" s="178">
        <f t="shared" si="114"/>
        <v>0</v>
      </c>
      <c r="O399" s="176">
        <f t="shared" si="115"/>
        <v>0</v>
      </c>
      <c r="U399" s="571">
        <f t="shared" si="118"/>
        <v>9</v>
      </c>
      <c r="V399" s="293">
        <f>IF(U399=1,Adm!$AN$2,0)</f>
        <v>0</v>
      </c>
    </row>
    <row r="400" spans="3:22">
      <c r="C400" s="178">
        <f t="shared" si="112"/>
        <v>0</v>
      </c>
      <c r="D400" s="354">
        <f t="shared" si="116"/>
        <v>0</v>
      </c>
      <c r="E400" s="178">
        <f t="shared" si="117"/>
        <v>0</v>
      </c>
      <c r="F400" s="178">
        <f t="shared" si="119"/>
        <v>0</v>
      </c>
      <c r="G400" s="178">
        <f>IF(L399&lt;0.01,0,IF(Adm!$R$3=Adm!$R$6,0,IF(Adm!$S$10=Adm!$S$13,L399*Adm!$X$6,IF(Adm!$S$10=Adm!$S$11,L399*Adm!$X$3,IF(Adm!$S$10=Adm!$S$12,L399*Adm!$Y$3)))))</f>
        <v>0</v>
      </c>
      <c r="H400" s="178"/>
      <c r="I400" s="178"/>
      <c r="J400" s="178">
        <f t="shared" si="113"/>
        <v>0</v>
      </c>
      <c r="K400" s="178"/>
      <c r="L400" s="178">
        <f t="shared" si="114"/>
        <v>0</v>
      </c>
      <c r="O400" s="176">
        <f t="shared" si="115"/>
        <v>0</v>
      </c>
      <c r="U400" s="571">
        <f t="shared" si="118"/>
        <v>10</v>
      </c>
      <c r="V400" s="293">
        <f>IF(U400=1,Adm!$AN$2,0)</f>
        <v>0</v>
      </c>
    </row>
    <row r="401" spans="3:22">
      <c r="C401" s="178">
        <f t="shared" si="112"/>
        <v>0</v>
      </c>
      <c r="D401" s="354">
        <f t="shared" si="116"/>
        <v>0</v>
      </c>
      <c r="E401" s="178">
        <f t="shared" si="117"/>
        <v>0</v>
      </c>
      <c r="F401" s="178">
        <f t="shared" si="119"/>
        <v>0</v>
      </c>
      <c r="G401" s="178">
        <f>IF(L400&lt;0.01,0,IF(Adm!$R$3=Adm!$R$6,0,IF(Adm!$S$10=Adm!$S$13,L400*Adm!$X$6,IF(Adm!$S$10=Adm!$S$11,L400*Adm!$X$3,IF(Adm!$S$10=Adm!$S$12,L400*Adm!$Y$3)))))</f>
        <v>0</v>
      </c>
      <c r="H401" s="178"/>
      <c r="I401" s="178"/>
      <c r="J401" s="178">
        <f t="shared" si="113"/>
        <v>0</v>
      </c>
      <c r="K401" s="178"/>
      <c r="L401" s="178">
        <f t="shared" si="114"/>
        <v>0</v>
      </c>
      <c r="O401" s="176">
        <f t="shared" si="115"/>
        <v>0</v>
      </c>
      <c r="U401" s="571">
        <f t="shared" si="118"/>
        <v>11</v>
      </c>
      <c r="V401" s="293">
        <f>IF(U401=1,Adm!$AN$2,0)</f>
        <v>0</v>
      </c>
    </row>
    <row r="402" spans="3:22">
      <c r="C402" s="178">
        <f t="shared" si="112"/>
        <v>0</v>
      </c>
      <c r="D402" s="354">
        <f t="shared" si="116"/>
        <v>0</v>
      </c>
      <c r="E402" s="178">
        <f t="shared" si="117"/>
        <v>0</v>
      </c>
      <c r="F402" s="178">
        <f t="shared" si="119"/>
        <v>0</v>
      </c>
      <c r="G402" s="178">
        <f>IF(L401&lt;0.01,0,IF(Adm!$R$3=Adm!$R$6,0,IF(Adm!$S$10=Adm!$S$13,L401*Adm!$X$6,IF(Adm!$S$10=Adm!$S$11,L401*Adm!$X$3,IF(Adm!$S$10=Adm!$S$12,L401*Adm!$Y$3)))))</f>
        <v>0</v>
      </c>
      <c r="H402" s="178"/>
      <c r="I402" s="178"/>
      <c r="J402" s="178">
        <f t="shared" si="113"/>
        <v>0</v>
      </c>
      <c r="K402" s="178"/>
      <c r="L402" s="178">
        <f t="shared" si="114"/>
        <v>0</v>
      </c>
      <c r="O402" s="176">
        <f t="shared" si="115"/>
        <v>0</v>
      </c>
      <c r="U402" s="571">
        <f t="shared" si="118"/>
        <v>12</v>
      </c>
      <c r="V402" s="293">
        <f>IF(U402=1,Adm!$AN$2,0)</f>
        <v>0</v>
      </c>
    </row>
    <row r="403" spans="3:22">
      <c r="C403" s="178">
        <f t="shared" si="112"/>
        <v>0</v>
      </c>
      <c r="D403" s="354">
        <f t="shared" si="116"/>
        <v>0</v>
      </c>
      <c r="E403" s="178">
        <f t="shared" si="117"/>
        <v>0</v>
      </c>
      <c r="F403" s="178">
        <f t="shared" si="119"/>
        <v>0</v>
      </c>
      <c r="G403" s="178">
        <f>IF(L402&lt;0.01,0,IF(Adm!$R$3=Adm!$R$6,0,IF(Adm!$S$10=Adm!$S$13,L402*Adm!$X$6,IF(Adm!$S$10=Adm!$S$11,L402*Adm!$X$3,IF(Adm!$S$10=Adm!$S$12,L402*Adm!$Y$3)))))</f>
        <v>0</v>
      </c>
      <c r="H403" s="178"/>
      <c r="I403" s="178"/>
      <c r="J403" s="178">
        <f t="shared" si="113"/>
        <v>0</v>
      </c>
      <c r="K403" s="178"/>
      <c r="L403" s="178">
        <f t="shared" si="114"/>
        <v>0</v>
      </c>
      <c r="O403" s="176">
        <f t="shared" si="115"/>
        <v>0</v>
      </c>
      <c r="U403" s="571">
        <f t="shared" si="118"/>
        <v>1</v>
      </c>
      <c r="V403" s="293">
        <f>IF(U403=1,Adm!$AN$2,0)</f>
        <v>0</v>
      </c>
    </row>
    <row r="404" spans="3:22">
      <c r="C404" s="178">
        <f t="shared" si="112"/>
        <v>0</v>
      </c>
      <c r="D404" s="354">
        <f t="shared" si="116"/>
        <v>0</v>
      </c>
      <c r="E404" s="178">
        <f t="shared" si="117"/>
        <v>0</v>
      </c>
      <c r="F404" s="178">
        <f t="shared" si="119"/>
        <v>0</v>
      </c>
      <c r="G404" s="178">
        <f>IF(L403&lt;0.01,0,IF(Adm!$R$3=Adm!$R$6,0,IF(Adm!$S$10=Adm!$S$13,L403*Adm!$X$6,IF(Adm!$S$10=Adm!$S$11,L403*Adm!$X$3,IF(Adm!$S$10=Adm!$S$12,L403*Adm!$Y$3)))))</f>
        <v>0</v>
      </c>
      <c r="H404" s="178"/>
      <c r="I404" s="178"/>
      <c r="J404" s="178">
        <f t="shared" si="113"/>
        <v>0</v>
      </c>
      <c r="K404" s="178"/>
      <c r="L404" s="178">
        <f t="shared" si="114"/>
        <v>0</v>
      </c>
      <c r="O404" s="176">
        <f t="shared" si="115"/>
        <v>0</v>
      </c>
      <c r="U404" s="571">
        <f t="shared" si="118"/>
        <v>2</v>
      </c>
      <c r="V404" s="293">
        <f>IF(U404=1,Adm!$AN$2,0)</f>
        <v>0</v>
      </c>
    </row>
    <row r="405" spans="3:22">
      <c r="C405" s="178">
        <f t="shared" si="112"/>
        <v>0</v>
      </c>
      <c r="D405" s="354">
        <f t="shared" si="116"/>
        <v>0</v>
      </c>
      <c r="E405" s="178">
        <f t="shared" si="117"/>
        <v>0</v>
      </c>
      <c r="F405" s="178">
        <f t="shared" si="119"/>
        <v>0</v>
      </c>
      <c r="G405" s="178">
        <f>IF(L404&lt;0.01,0,IF(Adm!$R$3=Adm!$R$6,0,IF(Adm!$S$10=Adm!$S$13,L404*Adm!$X$6,IF(Adm!$S$10=Adm!$S$11,L404*Adm!$X$3,IF(Adm!$S$10=Adm!$S$12,L404*Adm!$Y$3)))))</f>
        <v>0</v>
      </c>
      <c r="H405" s="178"/>
      <c r="I405" s="178"/>
      <c r="J405" s="178">
        <f t="shared" si="113"/>
        <v>0</v>
      </c>
      <c r="K405" s="178"/>
      <c r="L405" s="178">
        <f t="shared" si="114"/>
        <v>0</v>
      </c>
      <c r="O405" s="176">
        <f t="shared" si="115"/>
        <v>0</v>
      </c>
      <c r="U405" s="571">
        <f t="shared" si="118"/>
        <v>3</v>
      </c>
      <c r="V405" s="293">
        <f>IF(U405=1,Adm!$AN$2,0)</f>
        <v>0</v>
      </c>
    </row>
    <row r="406" spans="3:22">
      <c r="C406" s="178">
        <f t="shared" si="112"/>
        <v>0</v>
      </c>
      <c r="D406" s="354">
        <f t="shared" si="116"/>
        <v>0</v>
      </c>
      <c r="E406" s="178">
        <f t="shared" si="117"/>
        <v>0</v>
      </c>
      <c r="F406" s="178">
        <f t="shared" si="119"/>
        <v>0</v>
      </c>
      <c r="G406" s="178">
        <f>IF(L405&lt;0.01,0,IF(Adm!$R$3=Adm!$R$6,0,IF(Adm!$S$10=Adm!$S$13,L405*Adm!$X$6,IF(Adm!$S$10=Adm!$S$11,L405*Adm!$X$3,IF(Adm!$S$10=Adm!$S$12,L405*Adm!$Y$3)))))</f>
        <v>0</v>
      </c>
      <c r="H406" s="178"/>
      <c r="I406" s="178"/>
      <c r="J406" s="178">
        <f t="shared" si="113"/>
        <v>0</v>
      </c>
      <c r="K406" s="178"/>
      <c r="L406" s="178">
        <f t="shared" si="114"/>
        <v>0</v>
      </c>
      <c r="O406" s="176">
        <f t="shared" si="115"/>
        <v>0</v>
      </c>
      <c r="U406" s="571">
        <f t="shared" si="118"/>
        <v>4</v>
      </c>
      <c r="V406" s="293">
        <f>IF(U406=1,Adm!$AN$2,0)</f>
        <v>0</v>
      </c>
    </row>
    <row r="407" spans="3:22">
      <c r="C407" s="178">
        <f t="shared" si="112"/>
        <v>0</v>
      </c>
      <c r="D407" s="354">
        <f t="shared" si="116"/>
        <v>0</v>
      </c>
      <c r="E407" s="178">
        <f t="shared" si="117"/>
        <v>0</v>
      </c>
      <c r="F407" s="178">
        <f t="shared" si="119"/>
        <v>0</v>
      </c>
      <c r="G407" s="178">
        <f>IF(L406&lt;0.01,0,IF(Adm!$R$3=Adm!$R$6,0,IF(Adm!$S$10=Adm!$S$13,L406*Adm!$X$6,IF(Adm!$S$10=Adm!$S$11,L406*Adm!$X$3,IF(Adm!$S$10=Adm!$S$12,L406*Adm!$Y$3)))))</f>
        <v>0</v>
      </c>
      <c r="H407" s="178"/>
      <c r="I407" s="178"/>
      <c r="J407" s="178">
        <f t="shared" si="113"/>
        <v>0</v>
      </c>
      <c r="K407" s="178"/>
      <c r="L407" s="178">
        <f t="shared" si="114"/>
        <v>0</v>
      </c>
      <c r="O407" s="176">
        <f t="shared" si="115"/>
        <v>0</v>
      </c>
      <c r="U407" s="571">
        <f t="shared" si="118"/>
        <v>5</v>
      </c>
      <c r="V407" s="293">
        <f>IF(U407=1,Adm!$AN$2,0)</f>
        <v>0</v>
      </c>
    </row>
    <row r="408" spans="3:22">
      <c r="C408" s="178">
        <f t="shared" si="112"/>
        <v>0</v>
      </c>
      <c r="D408" s="354">
        <f t="shared" si="116"/>
        <v>0</v>
      </c>
      <c r="E408" s="178">
        <f t="shared" si="117"/>
        <v>0</v>
      </c>
      <c r="F408" s="178">
        <f t="shared" si="119"/>
        <v>0</v>
      </c>
      <c r="G408" s="178">
        <f>IF(L407&lt;0.01,0,IF(Adm!$R$3=Adm!$R$6,0,IF(Adm!$S$10=Adm!$S$13,L407*Adm!$X$6,IF(Adm!$S$10=Adm!$S$11,L407*Adm!$X$3,IF(Adm!$S$10=Adm!$S$12,L407*Adm!$Y$3)))))</f>
        <v>0</v>
      </c>
      <c r="H408" s="178"/>
      <c r="I408" s="178"/>
      <c r="J408" s="178">
        <f t="shared" si="113"/>
        <v>0</v>
      </c>
      <c r="K408" s="178"/>
      <c r="L408" s="178">
        <f t="shared" si="114"/>
        <v>0</v>
      </c>
      <c r="O408" s="176">
        <f t="shared" si="115"/>
        <v>0</v>
      </c>
      <c r="U408" s="571">
        <f t="shared" si="118"/>
        <v>6</v>
      </c>
      <c r="V408" s="293">
        <f>IF(U408=1,Adm!$AN$2,0)</f>
        <v>0</v>
      </c>
    </row>
    <row r="409" spans="3:22">
      <c r="C409" s="178">
        <f t="shared" si="112"/>
        <v>0</v>
      </c>
      <c r="D409" s="354">
        <f t="shared" si="116"/>
        <v>0</v>
      </c>
      <c r="E409" s="178">
        <f t="shared" si="117"/>
        <v>0</v>
      </c>
      <c r="F409" s="178">
        <f t="shared" si="119"/>
        <v>0</v>
      </c>
      <c r="G409" s="178">
        <f>IF(L408&lt;0.01,0,IF(Adm!$R$3=Adm!$R$6,0,IF(Adm!$S$10=Adm!$S$13,L408*Adm!$X$6,IF(Adm!$S$10=Adm!$S$11,L408*Adm!$X$3,IF(Adm!$S$10=Adm!$S$12,L408*Adm!$Y$3)))))</f>
        <v>0</v>
      </c>
      <c r="H409" s="178"/>
      <c r="I409" s="178"/>
      <c r="J409" s="178">
        <f t="shared" si="113"/>
        <v>0</v>
      </c>
      <c r="K409" s="178"/>
      <c r="L409" s="178">
        <f t="shared" si="114"/>
        <v>0</v>
      </c>
      <c r="O409" s="176">
        <f t="shared" si="115"/>
        <v>0</v>
      </c>
      <c r="U409" s="571">
        <f t="shared" si="118"/>
        <v>7</v>
      </c>
      <c r="V409" s="293">
        <f>IF(U409=1,Adm!$AN$2,0)</f>
        <v>0</v>
      </c>
    </row>
    <row r="410" spans="3:22">
      <c r="C410" s="178">
        <f t="shared" si="112"/>
        <v>0</v>
      </c>
      <c r="D410" s="354">
        <f t="shared" si="116"/>
        <v>0</v>
      </c>
      <c r="E410" s="178">
        <f t="shared" si="117"/>
        <v>0</v>
      </c>
      <c r="F410" s="178">
        <f t="shared" si="119"/>
        <v>0</v>
      </c>
      <c r="G410" s="178">
        <f>IF(L409&lt;0.01,0,IF(Adm!$R$3=Adm!$R$6,0,IF(Adm!$S$10=Adm!$S$13,L409*Adm!$X$6,IF(Adm!$S$10=Adm!$S$11,L409*Adm!$X$3,IF(Adm!$S$10=Adm!$S$12,L409*Adm!$Y$3)))))</f>
        <v>0</v>
      </c>
      <c r="H410" s="178"/>
      <c r="I410" s="178"/>
      <c r="J410" s="178">
        <f t="shared" si="113"/>
        <v>0</v>
      </c>
      <c r="K410" s="178"/>
      <c r="L410" s="178">
        <f t="shared" si="114"/>
        <v>0</v>
      </c>
      <c r="O410" s="176">
        <f t="shared" si="115"/>
        <v>0</v>
      </c>
      <c r="U410" s="571">
        <f t="shared" si="118"/>
        <v>8</v>
      </c>
      <c r="V410" s="293">
        <f>IF(U410=1,Adm!$AN$2,0)</f>
        <v>0</v>
      </c>
    </row>
    <row r="411" spans="3:22">
      <c r="C411" s="178">
        <f t="shared" ref="C411:C474" si="120">IF(L410&lt;0.01,0,C410+1)</f>
        <v>0</v>
      </c>
      <c r="D411" s="354">
        <f t="shared" si="116"/>
        <v>0</v>
      </c>
      <c r="E411" s="178">
        <f t="shared" si="117"/>
        <v>0</v>
      </c>
      <c r="F411" s="178">
        <f t="shared" si="119"/>
        <v>0</v>
      </c>
      <c r="G411" s="178">
        <f>IF(L410&lt;0.01,0,IF(Adm!$R$3=Adm!$R$6,0,IF(Adm!$S$10=Adm!$S$13,L410*Adm!$X$6,IF(Adm!$S$10=Adm!$S$11,L410*Adm!$X$3,IF(Adm!$S$10=Adm!$S$12,L410*Adm!$Y$3)))))</f>
        <v>0</v>
      </c>
      <c r="H411" s="178"/>
      <c r="I411" s="178"/>
      <c r="J411" s="178">
        <f t="shared" ref="J411:J474" si="121">IF(L410&lt;0.01,0,F411+G411+H411+I411)</f>
        <v>0</v>
      </c>
      <c r="K411" s="178"/>
      <c r="L411" s="178">
        <f t="shared" ref="L411:L474" si="122">L410-E411</f>
        <v>0</v>
      </c>
      <c r="O411" s="176">
        <f t="shared" ref="O411:O474" si="123">J411</f>
        <v>0</v>
      </c>
      <c r="U411" s="571">
        <f t="shared" si="118"/>
        <v>9</v>
      </c>
      <c r="V411" s="293">
        <f>IF(U411=1,Adm!$AN$2,0)</f>
        <v>0</v>
      </c>
    </row>
    <row r="412" spans="3:22">
      <c r="C412" s="178">
        <f t="shared" si="120"/>
        <v>0</v>
      </c>
      <c r="D412" s="354">
        <f t="shared" ref="D412:D475" si="124">IF(L411&lt;0.01,0,L411*$F$270/12)</f>
        <v>0</v>
      </c>
      <c r="E412" s="178">
        <f t="shared" ref="E412:E475" si="125">IF(L411&lt;0.01,0,F412-D412)</f>
        <v>0</v>
      </c>
      <c r="F412" s="178">
        <f t="shared" si="119"/>
        <v>0</v>
      </c>
      <c r="G412" s="178">
        <f>IF(L411&lt;0.01,0,IF(Adm!$R$3=Adm!$R$6,0,IF(Adm!$S$10=Adm!$S$13,L411*Adm!$X$6,IF(Adm!$S$10=Adm!$S$11,L411*Adm!$X$3,IF(Adm!$S$10=Adm!$S$12,L411*Adm!$Y$3)))))</f>
        <v>0</v>
      </c>
      <c r="H412" s="178"/>
      <c r="I412" s="178"/>
      <c r="J412" s="178">
        <f t="shared" si="121"/>
        <v>0</v>
      </c>
      <c r="K412" s="178"/>
      <c r="L412" s="178">
        <f t="shared" si="122"/>
        <v>0</v>
      </c>
      <c r="O412" s="176">
        <f t="shared" si="123"/>
        <v>0</v>
      </c>
      <c r="U412" s="571">
        <f t="shared" ref="U412:U475" si="126">IF(U411=12,1,U411+1)</f>
        <v>10</v>
      </c>
      <c r="V412" s="293">
        <f>IF(U412=1,Adm!$AN$2,0)</f>
        <v>0</v>
      </c>
    </row>
    <row r="413" spans="3:22">
      <c r="C413" s="178">
        <f t="shared" si="120"/>
        <v>0</v>
      </c>
      <c r="D413" s="354">
        <f t="shared" si="124"/>
        <v>0</v>
      </c>
      <c r="E413" s="178">
        <f t="shared" si="125"/>
        <v>0</v>
      </c>
      <c r="F413" s="178">
        <f t="shared" ref="F413:F476" si="127">IF(L412&lt;0.1,0,MIN(L412+D413,F412*(1+V413)))</f>
        <v>0</v>
      </c>
      <c r="G413" s="178">
        <f>IF(L412&lt;0.01,0,IF(Adm!$R$3=Adm!$R$6,0,IF(Adm!$S$10=Adm!$S$13,L412*Adm!$X$6,IF(Adm!$S$10=Adm!$S$11,L412*Adm!$X$3,IF(Adm!$S$10=Adm!$S$12,L412*Adm!$Y$3)))))</f>
        <v>0</v>
      </c>
      <c r="H413" s="178"/>
      <c r="I413" s="178"/>
      <c r="J413" s="178">
        <f t="shared" si="121"/>
        <v>0</v>
      </c>
      <c r="K413" s="178"/>
      <c r="L413" s="178">
        <f t="shared" si="122"/>
        <v>0</v>
      </c>
      <c r="O413" s="176">
        <f t="shared" si="123"/>
        <v>0</v>
      </c>
      <c r="U413" s="571">
        <f t="shared" si="126"/>
        <v>11</v>
      </c>
      <c r="V413" s="293">
        <f>IF(U413=1,Adm!$AN$2,0)</f>
        <v>0</v>
      </c>
    </row>
    <row r="414" spans="3:22">
      <c r="C414" s="178">
        <f t="shared" si="120"/>
        <v>0</v>
      </c>
      <c r="D414" s="354">
        <f t="shared" si="124"/>
        <v>0</v>
      </c>
      <c r="E414" s="178">
        <f t="shared" si="125"/>
        <v>0</v>
      </c>
      <c r="F414" s="178">
        <f t="shared" si="127"/>
        <v>0</v>
      </c>
      <c r="G414" s="178">
        <f>IF(L413&lt;0.01,0,IF(Adm!$R$3=Adm!$R$6,0,IF(Adm!$S$10=Adm!$S$13,L413*Adm!$X$6,IF(Adm!$S$10=Adm!$S$11,L413*Adm!$X$3,IF(Adm!$S$10=Adm!$S$12,L413*Adm!$Y$3)))))</f>
        <v>0</v>
      </c>
      <c r="H414" s="178"/>
      <c r="I414" s="178"/>
      <c r="J414" s="178">
        <f t="shared" si="121"/>
        <v>0</v>
      </c>
      <c r="K414" s="178"/>
      <c r="L414" s="178">
        <f t="shared" si="122"/>
        <v>0</v>
      </c>
      <c r="O414" s="176">
        <f t="shared" si="123"/>
        <v>0</v>
      </c>
      <c r="U414" s="571">
        <f t="shared" si="126"/>
        <v>12</v>
      </c>
      <c r="V414" s="293">
        <f>IF(U414=1,Adm!$AN$2,0)</f>
        <v>0</v>
      </c>
    </row>
    <row r="415" spans="3:22">
      <c r="C415" s="178">
        <f t="shared" si="120"/>
        <v>0</v>
      </c>
      <c r="D415" s="354">
        <f t="shared" si="124"/>
        <v>0</v>
      </c>
      <c r="E415" s="178">
        <f t="shared" si="125"/>
        <v>0</v>
      </c>
      <c r="F415" s="178">
        <f t="shared" si="127"/>
        <v>0</v>
      </c>
      <c r="G415" s="178">
        <f>IF(L414&lt;0.01,0,IF(Adm!$R$3=Adm!$R$6,0,IF(Adm!$S$10=Adm!$S$13,L414*Adm!$X$6,IF(Adm!$S$10=Adm!$S$11,L414*Adm!$X$3,IF(Adm!$S$10=Adm!$S$12,L414*Adm!$Y$3)))))</f>
        <v>0</v>
      </c>
      <c r="H415" s="178"/>
      <c r="I415" s="178"/>
      <c r="J415" s="178">
        <f t="shared" si="121"/>
        <v>0</v>
      </c>
      <c r="K415" s="178"/>
      <c r="L415" s="178">
        <f t="shared" si="122"/>
        <v>0</v>
      </c>
      <c r="O415" s="176">
        <f t="shared" si="123"/>
        <v>0</v>
      </c>
      <c r="U415" s="571">
        <f t="shared" si="126"/>
        <v>1</v>
      </c>
      <c r="V415" s="293">
        <f>IF(U415=1,Adm!$AN$2,0)</f>
        <v>0</v>
      </c>
    </row>
    <row r="416" spans="3:22">
      <c r="C416" s="178">
        <f t="shared" si="120"/>
        <v>0</v>
      </c>
      <c r="D416" s="354">
        <f t="shared" si="124"/>
        <v>0</v>
      </c>
      <c r="E416" s="178">
        <f t="shared" si="125"/>
        <v>0</v>
      </c>
      <c r="F416" s="178">
        <f t="shared" si="127"/>
        <v>0</v>
      </c>
      <c r="G416" s="178">
        <f>IF(L415&lt;0.01,0,IF(Adm!$R$3=Adm!$R$6,0,IF(Adm!$S$10=Adm!$S$13,L415*Adm!$X$6,IF(Adm!$S$10=Adm!$S$11,L415*Adm!$X$3,IF(Adm!$S$10=Adm!$S$12,L415*Adm!$Y$3)))))</f>
        <v>0</v>
      </c>
      <c r="H416" s="178"/>
      <c r="I416" s="178"/>
      <c r="J416" s="178">
        <f t="shared" si="121"/>
        <v>0</v>
      </c>
      <c r="K416" s="178"/>
      <c r="L416" s="178">
        <f t="shared" si="122"/>
        <v>0</v>
      </c>
      <c r="O416" s="176">
        <f t="shared" si="123"/>
        <v>0</v>
      </c>
      <c r="U416" s="571">
        <f t="shared" si="126"/>
        <v>2</v>
      </c>
      <c r="V416" s="293">
        <f>IF(U416=1,Adm!$AN$2,0)</f>
        <v>0</v>
      </c>
    </row>
    <row r="417" spans="3:22">
      <c r="C417" s="178">
        <f t="shared" si="120"/>
        <v>0</v>
      </c>
      <c r="D417" s="354">
        <f t="shared" si="124"/>
        <v>0</v>
      </c>
      <c r="E417" s="178">
        <f t="shared" si="125"/>
        <v>0</v>
      </c>
      <c r="F417" s="178">
        <f t="shared" si="127"/>
        <v>0</v>
      </c>
      <c r="G417" s="178">
        <f>IF(L416&lt;0.01,0,IF(Adm!$R$3=Adm!$R$6,0,IF(Adm!$S$10=Adm!$S$13,L416*Adm!$X$6,IF(Adm!$S$10=Adm!$S$11,L416*Adm!$X$3,IF(Adm!$S$10=Adm!$S$12,L416*Adm!$Y$3)))))</f>
        <v>0</v>
      </c>
      <c r="H417" s="178"/>
      <c r="I417" s="178"/>
      <c r="J417" s="178">
        <f t="shared" si="121"/>
        <v>0</v>
      </c>
      <c r="K417" s="178"/>
      <c r="L417" s="178">
        <f t="shared" si="122"/>
        <v>0</v>
      </c>
      <c r="O417" s="176">
        <f t="shared" si="123"/>
        <v>0</v>
      </c>
      <c r="U417" s="571">
        <f t="shared" si="126"/>
        <v>3</v>
      </c>
      <c r="V417" s="293">
        <f>IF(U417=1,Adm!$AN$2,0)</f>
        <v>0</v>
      </c>
    </row>
    <row r="418" spans="3:22">
      <c r="C418" s="178">
        <f t="shared" si="120"/>
        <v>0</v>
      </c>
      <c r="D418" s="354">
        <f t="shared" si="124"/>
        <v>0</v>
      </c>
      <c r="E418" s="178">
        <f t="shared" si="125"/>
        <v>0</v>
      </c>
      <c r="F418" s="178">
        <f t="shared" si="127"/>
        <v>0</v>
      </c>
      <c r="G418" s="178">
        <f>IF(L417&lt;0.01,0,IF(Adm!$R$3=Adm!$R$6,0,IF(Adm!$S$10=Adm!$S$13,L417*Adm!$X$6,IF(Adm!$S$10=Adm!$S$11,L417*Adm!$X$3,IF(Adm!$S$10=Adm!$S$12,L417*Adm!$Y$3)))))</f>
        <v>0</v>
      </c>
      <c r="H418" s="178"/>
      <c r="I418" s="178"/>
      <c r="J418" s="178">
        <f t="shared" si="121"/>
        <v>0</v>
      </c>
      <c r="K418" s="178"/>
      <c r="L418" s="178">
        <f t="shared" si="122"/>
        <v>0</v>
      </c>
      <c r="O418" s="176">
        <f t="shared" si="123"/>
        <v>0</v>
      </c>
      <c r="U418" s="571">
        <f t="shared" si="126"/>
        <v>4</v>
      </c>
      <c r="V418" s="293">
        <f>IF(U418=1,Adm!$AN$2,0)</f>
        <v>0</v>
      </c>
    </row>
    <row r="419" spans="3:22">
      <c r="C419" s="178">
        <f t="shared" si="120"/>
        <v>0</v>
      </c>
      <c r="D419" s="354">
        <f t="shared" si="124"/>
        <v>0</v>
      </c>
      <c r="E419" s="178">
        <f t="shared" si="125"/>
        <v>0</v>
      </c>
      <c r="F419" s="178">
        <f t="shared" si="127"/>
        <v>0</v>
      </c>
      <c r="G419" s="178">
        <f>IF(L418&lt;0.01,0,IF(Adm!$R$3=Adm!$R$6,0,IF(Adm!$S$10=Adm!$S$13,L418*Adm!$X$6,IF(Adm!$S$10=Adm!$S$11,L418*Adm!$X$3,IF(Adm!$S$10=Adm!$S$12,L418*Adm!$Y$3)))))</f>
        <v>0</v>
      </c>
      <c r="H419" s="178"/>
      <c r="I419" s="178"/>
      <c r="J419" s="178">
        <f t="shared" si="121"/>
        <v>0</v>
      </c>
      <c r="K419" s="178"/>
      <c r="L419" s="178">
        <f t="shared" si="122"/>
        <v>0</v>
      </c>
      <c r="O419" s="176">
        <f t="shared" si="123"/>
        <v>0</v>
      </c>
      <c r="U419" s="571">
        <f t="shared" si="126"/>
        <v>5</v>
      </c>
      <c r="V419" s="293">
        <f>IF(U419=1,Adm!$AN$2,0)</f>
        <v>0</v>
      </c>
    </row>
    <row r="420" spans="3:22">
      <c r="C420" s="178">
        <f t="shared" si="120"/>
        <v>0</v>
      </c>
      <c r="D420" s="354">
        <f t="shared" si="124"/>
        <v>0</v>
      </c>
      <c r="E420" s="178">
        <f t="shared" si="125"/>
        <v>0</v>
      </c>
      <c r="F420" s="178">
        <f t="shared" si="127"/>
        <v>0</v>
      </c>
      <c r="G420" s="178">
        <f>IF(L419&lt;0.01,0,IF(Adm!$R$3=Adm!$R$6,0,IF(Adm!$S$10=Adm!$S$13,L419*Adm!$X$6,IF(Adm!$S$10=Adm!$S$11,L419*Adm!$X$3,IF(Adm!$S$10=Adm!$S$12,L419*Adm!$Y$3)))))</f>
        <v>0</v>
      </c>
      <c r="H420" s="178"/>
      <c r="I420" s="178"/>
      <c r="J420" s="178">
        <f t="shared" si="121"/>
        <v>0</v>
      </c>
      <c r="K420" s="178"/>
      <c r="L420" s="178">
        <f t="shared" si="122"/>
        <v>0</v>
      </c>
      <c r="O420" s="176">
        <f t="shared" si="123"/>
        <v>0</v>
      </c>
      <c r="U420" s="571">
        <f t="shared" si="126"/>
        <v>6</v>
      </c>
      <c r="V420" s="293">
        <f>IF(U420=1,Adm!$AN$2,0)</f>
        <v>0</v>
      </c>
    </row>
    <row r="421" spans="3:22">
      <c r="C421" s="178">
        <f t="shared" si="120"/>
        <v>0</v>
      </c>
      <c r="D421" s="354">
        <f t="shared" si="124"/>
        <v>0</v>
      </c>
      <c r="E421" s="178">
        <f t="shared" si="125"/>
        <v>0</v>
      </c>
      <c r="F421" s="178">
        <f t="shared" si="127"/>
        <v>0</v>
      </c>
      <c r="G421" s="178">
        <f>IF(L420&lt;0.01,0,IF(Adm!$R$3=Adm!$R$6,0,IF(Adm!$S$10=Adm!$S$13,L420*Adm!$X$6,IF(Adm!$S$10=Adm!$S$11,L420*Adm!$X$3,IF(Adm!$S$10=Adm!$S$12,L420*Adm!$Y$3)))))</f>
        <v>0</v>
      </c>
      <c r="H421" s="178"/>
      <c r="I421" s="178"/>
      <c r="J421" s="178">
        <f t="shared" si="121"/>
        <v>0</v>
      </c>
      <c r="K421" s="178"/>
      <c r="L421" s="178">
        <f t="shared" si="122"/>
        <v>0</v>
      </c>
      <c r="O421" s="176">
        <f t="shared" si="123"/>
        <v>0</v>
      </c>
      <c r="U421" s="571">
        <f t="shared" si="126"/>
        <v>7</v>
      </c>
      <c r="V421" s="293">
        <f>IF(U421=1,Adm!$AN$2,0)</f>
        <v>0</v>
      </c>
    </row>
    <row r="422" spans="3:22">
      <c r="C422" s="178">
        <f t="shared" si="120"/>
        <v>0</v>
      </c>
      <c r="D422" s="354">
        <f t="shared" si="124"/>
        <v>0</v>
      </c>
      <c r="E422" s="178">
        <f t="shared" si="125"/>
        <v>0</v>
      </c>
      <c r="F422" s="178">
        <f t="shared" si="127"/>
        <v>0</v>
      </c>
      <c r="G422" s="178">
        <f>IF(L421&lt;0.01,0,IF(Adm!$R$3=Adm!$R$6,0,IF(Adm!$S$10=Adm!$S$13,L421*Adm!$X$6,IF(Adm!$S$10=Adm!$S$11,L421*Adm!$X$3,IF(Adm!$S$10=Adm!$S$12,L421*Adm!$Y$3)))))</f>
        <v>0</v>
      </c>
      <c r="H422" s="178"/>
      <c r="I422" s="178"/>
      <c r="J422" s="178">
        <f t="shared" si="121"/>
        <v>0</v>
      </c>
      <c r="K422" s="178"/>
      <c r="L422" s="178">
        <f t="shared" si="122"/>
        <v>0</v>
      </c>
      <c r="O422" s="176">
        <f t="shared" si="123"/>
        <v>0</v>
      </c>
      <c r="U422" s="571">
        <f t="shared" si="126"/>
        <v>8</v>
      </c>
      <c r="V422" s="293">
        <f>IF(U422=1,Adm!$AN$2,0)</f>
        <v>0</v>
      </c>
    </row>
    <row r="423" spans="3:22">
      <c r="C423" s="178">
        <f t="shared" si="120"/>
        <v>0</v>
      </c>
      <c r="D423" s="354">
        <f t="shared" si="124"/>
        <v>0</v>
      </c>
      <c r="E423" s="178">
        <f t="shared" si="125"/>
        <v>0</v>
      </c>
      <c r="F423" s="178">
        <f t="shared" si="127"/>
        <v>0</v>
      </c>
      <c r="G423" s="178">
        <f>IF(L422&lt;0.01,0,IF(Adm!$R$3=Adm!$R$6,0,IF(Adm!$S$10=Adm!$S$13,L422*Adm!$X$6,IF(Adm!$S$10=Adm!$S$11,L422*Adm!$X$3,IF(Adm!$S$10=Adm!$S$12,L422*Adm!$Y$3)))))</f>
        <v>0</v>
      </c>
      <c r="H423" s="178"/>
      <c r="I423" s="178"/>
      <c r="J423" s="178">
        <f t="shared" si="121"/>
        <v>0</v>
      </c>
      <c r="K423" s="178"/>
      <c r="L423" s="178">
        <f t="shared" si="122"/>
        <v>0</v>
      </c>
      <c r="O423" s="176">
        <f t="shared" si="123"/>
        <v>0</v>
      </c>
      <c r="U423" s="571">
        <f t="shared" si="126"/>
        <v>9</v>
      </c>
      <c r="V423" s="293">
        <f>IF(U423=1,Adm!$AN$2,0)</f>
        <v>0</v>
      </c>
    </row>
    <row r="424" spans="3:22">
      <c r="C424" s="178">
        <f t="shared" si="120"/>
        <v>0</v>
      </c>
      <c r="D424" s="354">
        <f t="shared" si="124"/>
        <v>0</v>
      </c>
      <c r="E424" s="178">
        <f t="shared" si="125"/>
        <v>0</v>
      </c>
      <c r="F424" s="178">
        <f t="shared" si="127"/>
        <v>0</v>
      </c>
      <c r="G424" s="178">
        <f>IF(L423&lt;0.01,0,IF(Adm!$R$3=Adm!$R$6,0,IF(Adm!$S$10=Adm!$S$13,L423*Adm!$X$6,IF(Adm!$S$10=Adm!$S$11,L423*Adm!$X$3,IF(Adm!$S$10=Adm!$S$12,L423*Adm!$Y$3)))))</f>
        <v>0</v>
      </c>
      <c r="H424" s="178"/>
      <c r="I424" s="178"/>
      <c r="J424" s="178">
        <f t="shared" si="121"/>
        <v>0</v>
      </c>
      <c r="K424" s="178"/>
      <c r="L424" s="178">
        <f t="shared" si="122"/>
        <v>0</v>
      </c>
      <c r="O424" s="176">
        <f t="shared" si="123"/>
        <v>0</v>
      </c>
      <c r="U424" s="571">
        <f t="shared" si="126"/>
        <v>10</v>
      </c>
      <c r="V424" s="293">
        <f>IF(U424=1,Adm!$AN$2,0)</f>
        <v>0</v>
      </c>
    </row>
    <row r="425" spans="3:22">
      <c r="C425" s="178">
        <f t="shared" si="120"/>
        <v>0</v>
      </c>
      <c r="D425" s="354">
        <f t="shared" si="124"/>
        <v>0</v>
      </c>
      <c r="E425" s="178">
        <f t="shared" si="125"/>
        <v>0</v>
      </c>
      <c r="F425" s="178">
        <f t="shared" si="127"/>
        <v>0</v>
      </c>
      <c r="G425" s="178">
        <f>IF(L424&lt;0.01,0,IF(Adm!$R$3=Adm!$R$6,0,IF(Adm!$S$10=Adm!$S$13,L424*Adm!$X$6,IF(Adm!$S$10=Adm!$S$11,L424*Adm!$X$3,IF(Adm!$S$10=Adm!$S$12,L424*Adm!$Y$3)))))</f>
        <v>0</v>
      </c>
      <c r="H425" s="178"/>
      <c r="I425" s="178"/>
      <c r="J425" s="178">
        <f t="shared" si="121"/>
        <v>0</v>
      </c>
      <c r="K425" s="178"/>
      <c r="L425" s="178">
        <f t="shared" si="122"/>
        <v>0</v>
      </c>
      <c r="O425" s="176">
        <f t="shared" si="123"/>
        <v>0</v>
      </c>
      <c r="U425" s="571">
        <f t="shared" si="126"/>
        <v>11</v>
      </c>
      <c r="V425" s="293">
        <f>IF(U425=1,Adm!$AN$2,0)</f>
        <v>0</v>
      </c>
    </row>
    <row r="426" spans="3:22">
      <c r="C426" s="178">
        <f t="shared" si="120"/>
        <v>0</v>
      </c>
      <c r="D426" s="354">
        <f t="shared" si="124"/>
        <v>0</v>
      </c>
      <c r="E426" s="178">
        <f t="shared" si="125"/>
        <v>0</v>
      </c>
      <c r="F426" s="178">
        <f t="shared" si="127"/>
        <v>0</v>
      </c>
      <c r="G426" s="178">
        <f>IF(L425&lt;0.01,0,IF(Adm!$R$3=Adm!$R$6,0,IF(Adm!$S$10=Adm!$S$13,L425*Adm!$X$6,IF(Adm!$S$10=Adm!$S$11,L425*Adm!$X$3,IF(Adm!$S$10=Adm!$S$12,L425*Adm!$Y$3)))))</f>
        <v>0</v>
      </c>
      <c r="H426" s="178"/>
      <c r="I426" s="178"/>
      <c r="J426" s="178">
        <f t="shared" si="121"/>
        <v>0</v>
      </c>
      <c r="K426" s="178"/>
      <c r="L426" s="178">
        <f t="shared" si="122"/>
        <v>0</v>
      </c>
      <c r="O426" s="176">
        <f t="shared" si="123"/>
        <v>0</v>
      </c>
      <c r="U426" s="571">
        <f t="shared" si="126"/>
        <v>12</v>
      </c>
      <c r="V426" s="293">
        <f>IF(U426=1,Adm!$AN$2,0)</f>
        <v>0</v>
      </c>
    </row>
    <row r="427" spans="3:22">
      <c r="C427" s="178">
        <f t="shared" si="120"/>
        <v>0</v>
      </c>
      <c r="D427" s="354">
        <f t="shared" si="124"/>
        <v>0</v>
      </c>
      <c r="E427" s="178">
        <f t="shared" si="125"/>
        <v>0</v>
      </c>
      <c r="F427" s="178">
        <f t="shared" si="127"/>
        <v>0</v>
      </c>
      <c r="G427" s="178">
        <f>IF(L426&lt;0.01,0,IF(Adm!$R$3=Adm!$R$6,0,IF(Adm!$S$10=Adm!$S$13,L426*Adm!$X$6,IF(Adm!$S$10=Adm!$S$11,L426*Adm!$X$3,IF(Adm!$S$10=Adm!$S$12,L426*Adm!$Y$3)))))</f>
        <v>0</v>
      </c>
      <c r="H427" s="178"/>
      <c r="I427" s="178"/>
      <c r="J427" s="178">
        <f t="shared" si="121"/>
        <v>0</v>
      </c>
      <c r="K427" s="178"/>
      <c r="L427" s="178">
        <f t="shared" si="122"/>
        <v>0</v>
      </c>
      <c r="O427" s="176">
        <f t="shared" si="123"/>
        <v>0</v>
      </c>
      <c r="U427" s="571">
        <f t="shared" si="126"/>
        <v>1</v>
      </c>
      <c r="V427" s="293">
        <f>IF(U427=1,Adm!$AN$2,0)</f>
        <v>0</v>
      </c>
    </row>
    <row r="428" spans="3:22">
      <c r="C428" s="178">
        <f t="shared" si="120"/>
        <v>0</v>
      </c>
      <c r="D428" s="354">
        <f t="shared" si="124"/>
        <v>0</v>
      </c>
      <c r="E428" s="178">
        <f t="shared" si="125"/>
        <v>0</v>
      </c>
      <c r="F428" s="178">
        <f t="shared" si="127"/>
        <v>0</v>
      </c>
      <c r="G428" s="178">
        <f>IF(L427&lt;0.01,0,IF(Adm!$R$3=Adm!$R$6,0,IF(Adm!$S$10=Adm!$S$13,L427*Adm!$X$6,IF(Adm!$S$10=Adm!$S$11,L427*Adm!$X$3,IF(Adm!$S$10=Adm!$S$12,L427*Adm!$Y$3)))))</f>
        <v>0</v>
      </c>
      <c r="H428" s="178"/>
      <c r="I428" s="178"/>
      <c r="J428" s="178">
        <f t="shared" si="121"/>
        <v>0</v>
      </c>
      <c r="K428" s="178"/>
      <c r="L428" s="178">
        <f t="shared" si="122"/>
        <v>0</v>
      </c>
      <c r="O428" s="176">
        <f t="shared" si="123"/>
        <v>0</v>
      </c>
      <c r="U428" s="571">
        <f t="shared" si="126"/>
        <v>2</v>
      </c>
      <c r="V428" s="293">
        <f>IF(U428=1,Adm!$AN$2,0)</f>
        <v>0</v>
      </c>
    </row>
    <row r="429" spans="3:22">
      <c r="C429" s="178">
        <f t="shared" si="120"/>
        <v>0</v>
      </c>
      <c r="D429" s="354">
        <f t="shared" si="124"/>
        <v>0</v>
      </c>
      <c r="E429" s="178">
        <f t="shared" si="125"/>
        <v>0</v>
      </c>
      <c r="F429" s="178">
        <f t="shared" si="127"/>
        <v>0</v>
      </c>
      <c r="G429" s="178">
        <f>IF(L428&lt;0.01,0,IF(Adm!$R$3=Adm!$R$6,0,IF(Adm!$S$10=Adm!$S$13,L428*Adm!$X$6,IF(Adm!$S$10=Adm!$S$11,L428*Adm!$X$3,IF(Adm!$S$10=Adm!$S$12,L428*Adm!$Y$3)))))</f>
        <v>0</v>
      </c>
      <c r="H429" s="178"/>
      <c r="I429" s="178"/>
      <c r="J429" s="178">
        <f t="shared" si="121"/>
        <v>0</v>
      </c>
      <c r="K429" s="178"/>
      <c r="L429" s="178">
        <f t="shared" si="122"/>
        <v>0</v>
      </c>
      <c r="O429" s="176">
        <f t="shared" si="123"/>
        <v>0</v>
      </c>
      <c r="U429" s="571">
        <f t="shared" si="126"/>
        <v>3</v>
      </c>
      <c r="V429" s="293">
        <f>IF(U429=1,Adm!$AN$2,0)</f>
        <v>0</v>
      </c>
    </row>
    <row r="430" spans="3:22">
      <c r="C430" s="178">
        <f t="shared" si="120"/>
        <v>0</v>
      </c>
      <c r="D430" s="354">
        <f t="shared" si="124"/>
        <v>0</v>
      </c>
      <c r="E430" s="178">
        <f t="shared" si="125"/>
        <v>0</v>
      </c>
      <c r="F430" s="178">
        <f t="shared" si="127"/>
        <v>0</v>
      </c>
      <c r="G430" s="178">
        <f>IF(L429&lt;0.01,0,IF(Adm!$R$3=Adm!$R$6,0,IF(Adm!$S$10=Adm!$S$13,L429*Adm!$X$6,IF(Adm!$S$10=Adm!$S$11,L429*Adm!$X$3,IF(Adm!$S$10=Adm!$S$12,L429*Adm!$Y$3)))))</f>
        <v>0</v>
      </c>
      <c r="H430" s="178"/>
      <c r="I430" s="178"/>
      <c r="J430" s="178">
        <f t="shared" si="121"/>
        <v>0</v>
      </c>
      <c r="K430" s="178"/>
      <c r="L430" s="178">
        <f t="shared" si="122"/>
        <v>0</v>
      </c>
      <c r="O430" s="176">
        <f t="shared" si="123"/>
        <v>0</v>
      </c>
      <c r="U430" s="571">
        <f t="shared" si="126"/>
        <v>4</v>
      </c>
      <c r="V430" s="293">
        <f>IF(U430=1,Adm!$AN$2,0)</f>
        <v>0</v>
      </c>
    </row>
    <row r="431" spans="3:22">
      <c r="C431" s="178">
        <f t="shared" si="120"/>
        <v>0</v>
      </c>
      <c r="D431" s="354">
        <f t="shared" si="124"/>
        <v>0</v>
      </c>
      <c r="E431" s="178">
        <f t="shared" si="125"/>
        <v>0</v>
      </c>
      <c r="F431" s="178">
        <f t="shared" si="127"/>
        <v>0</v>
      </c>
      <c r="G431" s="178">
        <f>IF(L430&lt;0.01,0,IF(Adm!$R$3=Adm!$R$6,0,IF(Adm!$S$10=Adm!$S$13,L430*Adm!$X$6,IF(Adm!$S$10=Adm!$S$11,L430*Adm!$X$3,IF(Adm!$S$10=Adm!$S$12,L430*Adm!$Y$3)))))</f>
        <v>0</v>
      </c>
      <c r="H431" s="178"/>
      <c r="I431" s="178"/>
      <c r="J431" s="178">
        <f t="shared" si="121"/>
        <v>0</v>
      </c>
      <c r="K431" s="178"/>
      <c r="L431" s="178">
        <f t="shared" si="122"/>
        <v>0</v>
      </c>
      <c r="O431" s="176">
        <f t="shared" si="123"/>
        <v>0</v>
      </c>
      <c r="U431" s="571">
        <f t="shared" si="126"/>
        <v>5</v>
      </c>
      <c r="V431" s="293">
        <f>IF(U431=1,Adm!$AN$2,0)</f>
        <v>0</v>
      </c>
    </row>
    <row r="432" spans="3:22">
      <c r="C432" s="178">
        <f t="shared" si="120"/>
        <v>0</v>
      </c>
      <c r="D432" s="354">
        <f t="shared" si="124"/>
        <v>0</v>
      </c>
      <c r="E432" s="178">
        <f t="shared" si="125"/>
        <v>0</v>
      </c>
      <c r="F432" s="178">
        <f t="shared" si="127"/>
        <v>0</v>
      </c>
      <c r="G432" s="178">
        <f>IF(L431&lt;0.01,0,IF(Adm!$R$3=Adm!$R$6,0,IF(Adm!$S$10=Adm!$S$13,L431*Adm!$X$6,IF(Adm!$S$10=Adm!$S$11,L431*Adm!$X$3,IF(Adm!$S$10=Adm!$S$12,L431*Adm!$Y$3)))))</f>
        <v>0</v>
      </c>
      <c r="H432" s="178"/>
      <c r="I432" s="178"/>
      <c r="J432" s="178">
        <f t="shared" si="121"/>
        <v>0</v>
      </c>
      <c r="K432" s="178"/>
      <c r="L432" s="178">
        <f t="shared" si="122"/>
        <v>0</v>
      </c>
      <c r="O432" s="176">
        <f t="shared" si="123"/>
        <v>0</v>
      </c>
      <c r="U432" s="571">
        <f t="shared" si="126"/>
        <v>6</v>
      </c>
      <c r="V432" s="293">
        <f>IF(U432=1,Adm!$AN$2,0)</f>
        <v>0</v>
      </c>
    </row>
    <row r="433" spans="3:22">
      <c r="C433" s="178">
        <f t="shared" si="120"/>
        <v>0</v>
      </c>
      <c r="D433" s="354">
        <f t="shared" si="124"/>
        <v>0</v>
      </c>
      <c r="E433" s="178">
        <f t="shared" si="125"/>
        <v>0</v>
      </c>
      <c r="F433" s="178">
        <f t="shared" si="127"/>
        <v>0</v>
      </c>
      <c r="G433" s="178">
        <f>IF(L432&lt;0.01,0,IF(Adm!$R$3=Adm!$R$6,0,IF(Adm!$S$10=Adm!$S$13,L432*Adm!$X$6,IF(Adm!$S$10=Adm!$S$11,L432*Adm!$X$3,IF(Adm!$S$10=Adm!$S$12,L432*Adm!$Y$3)))))</f>
        <v>0</v>
      </c>
      <c r="H433" s="178"/>
      <c r="I433" s="178"/>
      <c r="J433" s="178">
        <f t="shared" si="121"/>
        <v>0</v>
      </c>
      <c r="K433" s="178"/>
      <c r="L433" s="178">
        <f t="shared" si="122"/>
        <v>0</v>
      </c>
      <c r="O433" s="176">
        <f t="shared" si="123"/>
        <v>0</v>
      </c>
      <c r="U433" s="571">
        <f t="shared" si="126"/>
        <v>7</v>
      </c>
      <c r="V433" s="293">
        <f>IF(U433=1,Adm!$AN$2,0)</f>
        <v>0</v>
      </c>
    </row>
    <row r="434" spans="3:22">
      <c r="C434" s="178">
        <f t="shared" si="120"/>
        <v>0</v>
      </c>
      <c r="D434" s="354">
        <f t="shared" si="124"/>
        <v>0</v>
      </c>
      <c r="E434" s="178">
        <f t="shared" si="125"/>
        <v>0</v>
      </c>
      <c r="F434" s="178">
        <f t="shared" si="127"/>
        <v>0</v>
      </c>
      <c r="G434" s="178">
        <f>IF(L433&lt;0.01,0,IF(Adm!$R$3=Adm!$R$6,0,IF(Adm!$S$10=Adm!$S$13,L433*Adm!$X$6,IF(Adm!$S$10=Adm!$S$11,L433*Adm!$X$3,IF(Adm!$S$10=Adm!$S$12,L433*Adm!$Y$3)))))</f>
        <v>0</v>
      </c>
      <c r="H434" s="178"/>
      <c r="I434" s="178"/>
      <c r="J434" s="178">
        <f t="shared" si="121"/>
        <v>0</v>
      </c>
      <c r="K434" s="178"/>
      <c r="L434" s="178">
        <f t="shared" si="122"/>
        <v>0</v>
      </c>
      <c r="O434" s="176">
        <f t="shared" si="123"/>
        <v>0</v>
      </c>
      <c r="U434" s="571">
        <f t="shared" si="126"/>
        <v>8</v>
      </c>
      <c r="V434" s="293">
        <f>IF(U434=1,Adm!$AN$2,0)</f>
        <v>0</v>
      </c>
    </row>
    <row r="435" spans="3:22">
      <c r="C435" s="178">
        <f t="shared" si="120"/>
        <v>0</v>
      </c>
      <c r="D435" s="354">
        <f t="shared" si="124"/>
        <v>0</v>
      </c>
      <c r="E435" s="178">
        <f t="shared" si="125"/>
        <v>0</v>
      </c>
      <c r="F435" s="178">
        <f t="shared" si="127"/>
        <v>0</v>
      </c>
      <c r="G435" s="178">
        <f>IF(L434&lt;0.01,0,IF(Adm!$R$3=Adm!$R$6,0,IF(Adm!$S$10=Adm!$S$13,L434*Adm!$X$6,IF(Adm!$S$10=Adm!$S$11,L434*Adm!$X$3,IF(Adm!$S$10=Adm!$S$12,L434*Adm!$Y$3)))))</f>
        <v>0</v>
      </c>
      <c r="H435" s="178"/>
      <c r="I435" s="178"/>
      <c r="J435" s="178">
        <f t="shared" si="121"/>
        <v>0</v>
      </c>
      <c r="K435" s="178"/>
      <c r="L435" s="178">
        <f t="shared" si="122"/>
        <v>0</v>
      </c>
      <c r="O435" s="176">
        <f t="shared" si="123"/>
        <v>0</v>
      </c>
      <c r="U435" s="571">
        <f t="shared" si="126"/>
        <v>9</v>
      </c>
      <c r="V435" s="293">
        <f>IF(U435=1,Adm!$AN$2,0)</f>
        <v>0</v>
      </c>
    </row>
    <row r="436" spans="3:22">
      <c r="C436" s="178">
        <f t="shared" si="120"/>
        <v>0</v>
      </c>
      <c r="D436" s="354">
        <f t="shared" si="124"/>
        <v>0</v>
      </c>
      <c r="E436" s="178">
        <f t="shared" si="125"/>
        <v>0</v>
      </c>
      <c r="F436" s="178">
        <f t="shared" si="127"/>
        <v>0</v>
      </c>
      <c r="G436" s="178">
        <f>IF(L435&lt;0.01,0,IF(Adm!$R$3=Adm!$R$6,0,IF(Adm!$S$10=Adm!$S$13,L435*Adm!$X$6,IF(Adm!$S$10=Adm!$S$11,L435*Adm!$X$3,IF(Adm!$S$10=Adm!$S$12,L435*Adm!$Y$3)))))</f>
        <v>0</v>
      </c>
      <c r="H436" s="178"/>
      <c r="I436" s="178"/>
      <c r="J436" s="178">
        <f t="shared" si="121"/>
        <v>0</v>
      </c>
      <c r="K436" s="178"/>
      <c r="L436" s="178">
        <f t="shared" si="122"/>
        <v>0</v>
      </c>
      <c r="O436" s="176">
        <f t="shared" si="123"/>
        <v>0</v>
      </c>
      <c r="U436" s="571">
        <f t="shared" si="126"/>
        <v>10</v>
      </c>
      <c r="V436" s="293">
        <f>IF(U436=1,Adm!$AN$2,0)</f>
        <v>0</v>
      </c>
    </row>
    <row r="437" spans="3:22">
      <c r="C437" s="178">
        <f t="shared" si="120"/>
        <v>0</v>
      </c>
      <c r="D437" s="354">
        <f t="shared" si="124"/>
        <v>0</v>
      </c>
      <c r="E437" s="178">
        <f t="shared" si="125"/>
        <v>0</v>
      </c>
      <c r="F437" s="178">
        <f t="shared" si="127"/>
        <v>0</v>
      </c>
      <c r="G437" s="178">
        <f>IF(L436&lt;0.01,0,IF(Adm!$R$3=Adm!$R$6,0,IF(Adm!$S$10=Adm!$S$13,L436*Adm!$X$6,IF(Adm!$S$10=Adm!$S$11,L436*Adm!$X$3,IF(Adm!$S$10=Adm!$S$12,L436*Adm!$Y$3)))))</f>
        <v>0</v>
      </c>
      <c r="H437" s="178"/>
      <c r="I437" s="178"/>
      <c r="J437" s="178">
        <f t="shared" si="121"/>
        <v>0</v>
      </c>
      <c r="K437" s="178"/>
      <c r="L437" s="178">
        <f t="shared" si="122"/>
        <v>0</v>
      </c>
      <c r="O437" s="176">
        <f t="shared" si="123"/>
        <v>0</v>
      </c>
      <c r="U437" s="571">
        <f t="shared" si="126"/>
        <v>11</v>
      </c>
      <c r="V437" s="293">
        <f>IF(U437=1,Adm!$AN$2,0)</f>
        <v>0</v>
      </c>
    </row>
    <row r="438" spans="3:22">
      <c r="C438" s="178">
        <f t="shared" si="120"/>
        <v>0</v>
      </c>
      <c r="D438" s="354">
        <f t="shared" si="124"/>
        <v>0</v>
      </c>
      <c r="E438" s="178">
        <f t="shared" si="125"/>
        <v>0</v>
      </c>
      <c r="F438" s="178">
        <f t="shared" si="127"/>
        <v>0</v>
      </c>
      <c r="G438" s="178">
        <f>IF(L437&lt;0.01,0,IF(Adm!$R$3=Adm!$R$6,0,IF(Adm!$S$10=Adm!$S$13,L437*Adm!$X$6,IF(Adm!$S$10=Adm!$S$11,L437*Adm!$X$3,IF(Adm!$S$10=Adm!$S$12,L437*Adm!$Y$3)))))</f>
        <v>0</v>
      </c>
      <c r="H438" s="178"/>
      <c r="I438" s="178"/>
      <c r="J438" s="178">
        <f t="shared" si="121"/>
        <v>0</v>
      </c>
      <c r="K438" s="178"/>
      <c r="L438" s="178">
        <f t="shared" si="122"/>
        <v>0</v>
      </c>
      <c r="O438" s="176">
        <f t="shared" si="123"/>
        <v>0</v>
      </c>
      <c r="U438" s="571">
        <f t="shared" si="126"/>
        <v>12</v>
      </c>
      <c r="V438" s="293">
        <f>IF(U438=1,Adm!$AN$2,0)</f>
        <v>0</v>
      </c>
    </row>
    <row r="439" spans="3:22">
      <c r="C439" s="178">
        <f t="shared" si="120"/>
        <v>0</v>
      </c>
      <c r="D439" s="354">
        <f t="shared" si="124"/>
        <v>0</v>
      </c>
      <c r="E439" s="178">
        <f t="shared" si="125"/>
        <v>0</v>
      </c>
      <c r="F439" s="178">
        <f t="shared" si="127"/>
        <v>0</v>
      </c>
      <c r="G439" s="178">
        <f>IF(L438&lt;0.01,0,IF(Adm!$R$3=Adm!$R$6,0,IF(Adm!$S$10=Adm!$S$13,L438*Adm!$X$6,IF(Adm!$S$10=Adm!$S$11,L438*Adm!$X$3,IF(Adm!$S$10=Adm!$S$12,L438*Adm!$Y$3)))))</f>
        <v>0</v>
      </c>
      <c r="H439" s="178"/>
      <c r="I439" s="178"/>
      <c r="J439" s="178">
        <f t="shared" si="121"/>
        <v>0</v>
      </c>
      <c r="K439" s="178"/>
      <c r="L439" s="178">
        <f t="shared" si="122"/>
        <v>0</v>
      </c>
      <c r="O439" s="176">
        <f t="shared" si="123"/>
        <v>0</v>
      </c>
      <c r="U439" s="571">
        <f t="shared" si="126"/>
        <v>1</v>
      </c>
      <c r="V439" s="293">
        <f>IF(U439=1,Adm!$AN$2,0)</f>
        <v>0</v>
      </c>
    </row>
    <row r="440" spans="3:22">
      <c r="C440" s="178">
        <f t="shared" si="120"/>
        <v>0</v>
      </c>
      <c r="D440" s="354">
        <f t="shared" si="124"/>
        <v>0</v>
      </c>
      <c r="E440" s="178">
        <f t="shared" si="125"/>
        <v>0</v>
      </c>
      <c r="F440" s="178">
        <f t="shared" si="127"/>
        <v>0</v>
      </c>
      <c r="G440" s="178">
        <f>IF(L439&lt;0.01,0,IF(Adm!$R$3=Adm!$R$6,0,IF(Adm!$S$10=Adm!$S$13,L439*Adm!$X$6,IF(Adm!$S$10=Adm!$S$11,L439*Adm!$X$3,IF(Adm!$S$10=Adm!$S$12,L439*Adm!$Y$3)))))</f>
        <v>0</v>
      </c>
      <c r="H440" s="178"/>
      <c r="I440" s="178"/>
      <c r="J440" s="178">
        <f t="shared" si="121"/>
        <v>0</v>
      </c>
      <c r="K440" s="178"/>
      <c r="L440" s="178">
        <f t="shared" si="122"/>
        <v>0</v>
      </c>
      <c r="O440" s="176">
        <f t="shared" si="123"/>
        <v>0</v>
      </c>
      <c r="U440" s="571">
        <f t="shared" si="126"/>
        <v>2</v>
      </c>
      <c r="V440" s="293">
        <f>IF(U440=1,Adm!$AN$2,0)</f>
        <v>0</v>
      </c>
    </row>
    <row r="441" spans="3:22">
      <c r="C441" s="178">
        <f t="shared" si="120"/>
        <v>0</v>
      </c>
      <c r="D441" s="354">
        <f t="shared" si="124"/>
        <v>0</v>
      </c>
      <c r="E441" s="178">
        <f t="shared" si="125"/>
        <v>0</v>
      </c>
      <c r="F441" s="178">
        <f t="shared" si="127"/>
        <v>0</v>
      </c>
      <c r="G441" s="178">
        <f>IF(L440&lt;0.01,0,IF(Adm!$R$3=Adm!$R$6,0,IF(Adm!$S$10=Adm!$S$13,L440*Adm!$X$6,IF(Adm!$S$10=Adm!$S$11,L440*Adm!$X$3,IF(Adm!$S$10=Adm!$S$12,L440*Adm!$Y$3)))))</f>
        <v>0</v>
      </c>
      <c r="H441" s="178"/>
      <c r="I441" s="178"/>
      <c r="J441" s="178">
        <f t="shared" si="121"/>
        <v>0</v>
      </c>
      <c r="K441" s="178"/>
      <c r="L441" s="178">
        <f t="shared" si="122"/>
        <v>0</v>
      </c>
      <c r="O441" s="176">
        <f t="shared" si="123"/>
        <v>0</v>
      </c>
      <c r="U441" s="571">
        <f t="shared" si="126"/>
        <v>3</v>
      </c>
      <c r="V441" s="293">
        <f>IF(U441=1,Adm!$AN$2,0)</f>
        <v>0</v>
      </c>
    </row>
    <row r="442" spans="3:22">
      <c r="C442" s="178">
        <f t="shared" si="120"/>
        <v>0</v>
      </c>
      <c r="D442" s="354">
        <f t="shared" si="124"/>
        <v>0</v>
      </c>
      <c r="E442" s="178">
        <f t="shared" si="125"/>
        <v>0</v>
      </c>
      <c r="F442" s="178">
        <f t="shared" si="127"/>
        <v>0</v>
      </c>
      <c r="G442" s="178">
        <f>IF(L441&lt;0.01,0,IF(Adm!$R$3=Adm!$R$6,0,IF(Adm!$S$10=Adm!$S$13,L441*Adm!$X$6,IF(Adm!$S$10=Adm!$S$11,L441*Adm!$X$3,IF(Adm!$S$10=Adm!$S$12,L441*Adm!$Y$3)))))</f>
        <v>0</v>
      </c>
      <c r="H442" s="178"/>
      <c r="I442" s="178"/>
      <c r="J442" s="178">
        <f t="shared" si="121"/>
        <v>0</v>
      </c>
      <c r="K442" s="178"/>
      <c r="L442" s="178">
        <f t="shared" si="122"/>
        <v>0</v>
      </c>
      <c r="O442" s="176">
        <f t="shared" si="123"/>
        <v>0</v>
      </c>
      <c r="U442" s="571">
        <f t="shared" si="126"/>
        <v>4</v>
      </c>
      <c r="V442" s="293">
        <f>IF(U442=1,Adm!$AN$2,0)</f>
        <v>0</v>
      </c>
    </row>
    <row r="443" spans="3:22">
      <c r="C443" s="178">
        <f t="shared" si="120"/>
        <v>0</v>
      </c>
      <c r="D443" s="354">
        <f t="shared" si="124"/>
        <v>0</v>
      </c>
      <c r="E443" s="178">
        <f t="shared" si="125"/>
        <v>0</v>
      </c>
      <c r="F443" s="178">
        <f t="shared" si="127"/>
        <v>0</v>
      </c>
      <c r="G443" s="178">
        <f>IF(L442&lt;0.01,0,IF(Adm!$R$3=Adm!$R$6,0,IF(Adm!$S$10=Adm!$S$13,L442*Adm!$X$6,IF(Adm!$S$10=Adm!$S$11,L442*Adm!$X$3,IF(Adm!$S$10=Adm!$S$12,L442*Adm!$Y$3)))))</f>
        <v>0</v>
      </c>
      <c r="H443" s="178"/>
      <c r="I443" s="178"/>
      <c r="J443" s="178">
        <f t="shared" si="121"/>
        <v>0</v>
      </c>
      <c r="K443" s="178"/>
      <c r="L443" s="178">
        <f t="shared" si="122"/>
        <v>0</v>
      </c>
      <c r="O443" s="176">
        <f t="shared" si="123"/>
        <v>0</v>
      </c>
      <c r="U443" s="571">
        <f t="shared" si="126"/>
        <v>5</v>
      </c>
      <c r="V443" s="293">
        <f>IF(U443=1,Adm!$AN$2,0)</f>
        <v>0</v>
      </c>
    </row>
    <row r="444" spans="3:22">
      <c r="C444" s="178">
        <f t="shared" si="120"/>
        <v>0</v>
      </c>
      <c r="D444" s="354">
        <f t="shared" si="124"/>
        <v>0</v>
      </c>
      <c r="E444" s="178">
        <f t="shared" si="125"/>
        <v>0</v>
      </c>
      <c r="F444" s="178">
        <f t="shared" si="127"/>
        <v>0</v>
      </c>
      <c r="G444" s="178">
        <f>IF(L443&lt;0.01,0,IF(Adm!$R$3=Adm!$R$6,0,IF(Adm!$S$10=Adm!$S$13,L443*Adm!$X$6,IF(Adm!$S$10=Adm!$S$11,L443*Adm!$X$3,IF(Adm!$S$10=Adm!$S$12,L443*Adm!$Y$3)))))</f>
        <v>0</v>
      </c>
      <c r="H444" s="178"/>
      <c r="I444" s="178"/>
      <c r="J444" s="178">
        <f t="shared" si="121"/>
        <v>0</v>
      </c>
      <c r="K444" s="178"/>
      <c r="L444" s="178">
        <f t="shared" si="122"/>
        <v>0</v>
      </c>
      <c r="O444" s="176">
        <f t="shared" si="123"/>
        <v>0</v>
      </c>
      <c r="U444" s="571">
        <f t="shared" si="126"/>
        <v>6</v>
      </c>
      <c r="V444" s="293">
        <f>IF(U444=1,Adm!$AN$2,0)</f>
        <v>0</v>
      </c>
    </row>
    <row r="445" spans="3:22">
      <c r="C445" s="178">
        <f t="shared" si="120"/>
        <v>0</v>
      </c>
      <c r="D445" s="354">
        <f t="shared" si="124"/>
        <v>0</v>
      </c>
      <c r="E445" s="178">
        <f t="shared" si="125"/>
        <v>0</v>
      </c>
      <c r="F445" s="178">
        <f t="shared" si="127"/>
        <v>0</v>
      </c>
      <c r="G445" s="178">
        <f>IF(L444&lt;0.01,0,IF(Adm!$R$3=Adm!$R$6,0,IF(Adm!$S$10=Adm!$S$13,L444*Adm!$X$6,IF(Adm!$S$10=Adm!$S$11,L444*Adm!$X$3,IF(Adm!$S$10=Adm!$S$12,L444*Adm!$Y$3)))))</f>
        <v>0</v>
      </c>
      <c r="H445" s="178"/>
      <c r="I445" s="178"/>
      <c r="J445" s="178">
        <f t="shared" si="121"/>
        <v>0</v>
      </c>
      <c r="K445" s="178"/>
      <c r="L445" s="178">
        <f t="shared" si="122"/>
        <v>0</v>
      </c>
      <c r="O445" s="176">
        <f t="shared" si="123"/>
        <v>0</v>
      </c>
      <c r="U445" s="571">
        <f t="shared" si="126"/>
        <v>7</v>
      </c>
      <c r="V445" s="293">
        <f>IF(U445=1,Adm!$AN$2,0)</f>
        <v>0</v>
      </c>
    </row>
    <row r="446" spans="3:22">
      <c r="C446" s="178">
        <f t="shared" si="120"/>
        <v>0</v>
      </c>
      <c r="D446" s="354">
        <f t="shared" si="124"/>
        <v>0</v>
      </c>
      <c r="E446" s="178">
        <f t="shared" si="125"/>
        <v>0</v>
      </c>
      <c r="F446" s="178">
        <f t="shared" si="127"/>
        <v>0</v>
      </c>
      <c r="G446" s="178">
        <f>IF(L445&lt;0.01,0,IF(Adm!$R$3=Adm!$R$6,0,IF(Adm!$S$10=Adm!$S$13,L445*Adm!$X$6,IF(Adm!$S$10=Adm!$S$11,L445*Adm!$X$3,IF(Adm!$S$10=Adm!$S$12,L445*Adm!$Y$3)))))</f>
        <v>0</v>
      </c>
      <c r="H446" s="178"/>
      <c r="I446" s="178"/>
      <c r="J446" s="178">
        <f t="shared" si="121"/>
        <v>0</v>
      </c>
      <c r="K446" s="178"/>
      <c r="L446" s="178">
        <f t="shared" si="122"/>
        <v>0</v>
      </c>
      <c r="O446" s="176">
        <f t="shared" si="123"/>
        <v>0</v>
      </c>
      <c r="U446" s="571">
        <f t="shared" si="126"/>
        <v>8</v>
      </c>
      <c r="V446" s="293">
        <f>IF(U446=1,Adm!$AN$2,0)</f>
        <v>0</v>
      </c>
    </row>
    <row r="447" spans="3:22">
      <c r="C447" s="178">
        <f t="shared" si="120"/>
        <v>0</v>
      </c>
      <c r="D447" s="354">
        <f t="shared" si="124"/>
        <v>0</v>
      </c>
      <c r="E447" s="178">
        <f t="shared" si="125"/>
        <v>0</v>
      </c>
      <c r="F447" s="178">
        <f t="shared" si="127"/>
        <v>0</v>
      </c>
      <c r="G447" s="178">
        <f>IF(L446&lt;0.01,0,IF(Adm!$R$3=Adm!$R$6,0,IF(Adm!$S$10=Adm!$S$13,L446*Adm!$X$6,IF(Adm!$S$10=Adm!$S$11,L446*Adm!$X$3,IF(Adm!$S$10=Adm!$S$12,L446*Adm!$Y$3)))))</f>
        <v>0</v>
      </c>
      <c r="H447" s="178"/>
      <c r="I447" s="178"/>
      <c r="J447" s="178">
        <f t="shared" si="121"/>
        <v>0</v>
      </c>
      <c r="K447" s="178"/>
      <c r="L447" s="178">
        <f t="shared" si="122"/>
        <v>0</v>
      </c>
      <c r="O447" s="176">
        <f t="shared" si="123"/>
        <v>0</v>
      </c>
      <c r="U447" s="571">
        <f t="shared" si="126"/>
        <v>9</v>
      </c>
      <c r="V447" s="293">
        <f>IF(U447=1,Adm!$AN$2,0)</f>
        <v>0</v>
      </c>
    </row>
    <row r="448" spans="3:22">
      <c r="C448" s="178">
        <f t="shared" si="120"/>
        <v>0</v>
      </c>
      <c r="D448" s="354">
        <f t="shared" si="124"/>
        <v>0</v>
      </c>
      <c r="E448" s="178">
        <f t="shared" si="125"/>
        <v>0</v>
      </c>
      <c r="F448" s="178">
        <f t="shared" si="127"/>
        <v>0</v>
      </c>
      <c r="G448" s="178">
        <f>IF(L447&lt;0.01,0,IF(Adm!$R$3=Adm!$R$6,0,IF(Adm!$S$10=Adm!$S$13,L447*Adm!$X$6,IF(Adm!$S$10=Adm!$S$11,L447*Adm!$X$3,IF(Adm!$S$10=Adm!$S$12,L447*Adm!$Y$3)))))</f>
        <v>0</v>
      </c>
      <c r="H448" s="178"/>
      <c r="I448" s="178"/>
      <c r="J448" s="178">
        <f t="shared" si="121"/>
        <v>0</v>
      </c>
      <c r="K448" s="178"/>
      <c r="L448" s="178">
        <f t="shared" si="122"/>
        <v>0</v>
      </c>
      <c r="O448" s="176">
        <f t="shared" si="123"/>
        <v>0</v>
      </c>
      <c r="U448" s="571">
        <f t="shared" si="126"/>
        <v>10</v>
      </c>
      <c r="V448" s="293">
        <f>IF(U448=1,Adm!$AN$2,0)</f>
        <v>0</v>
      </c>
    </row>
    <row r="449" spans="3:22">
      <c r="C449" s="178">
        <f t="shared" si="120"/>
        <v>0</v>
      </c>
      <c r="D449" s="354">
        <f t="shared" si="124"/>
        <v>0</v>
      </c>
      <c r="E449" s="178">
        <f t="shared" si="125"/>
        <v>0</v>
      </c>
      <c r="F449" s="178">
        <f t="shared" si="127"/>
        <v>0</v>
      </c>
      <c r="G449" s="178">
        <f>IF(L448&lt;0.01,0,IF(Adm!$R$3=Adm!$R$6,0,IF(Adm!$S$10=Adm!$S$13,L448*Adm!$X$6,IF(Adm!$S$10=Adm!$S$11,L448*Adm!$X$3,IF(Adm!$S$10=Adm!$S$12,L448*Adm!$Y$3)))))</f>
        <v>0</v>
      </c>
      <c r="H449" s="178"/>
      <c r="I449" s="178"/>
      <c r="J449" s="178">
        <f t="shared" si="121"/>
        <v>0</v>
      </c>
      <c r="K449" s="178"/>
      <c r="L449" s="178">
        <f t="shared" si="122"/>
        <v>0</v>
      </c>
      <c r="O449" s="176">
        <f t="shared" si="123"/>
        <v>0</v>
      </c>
      <c r="U449" s="571">
        <f t="shared" si="126"/>
        <v>11</v>
      </c>
      <c r="V449" s="293">
        <f>IF(U449=1,Adm!$AN$2,0)</f>
        <v>0</v>
      </c>
    </row>
    <row r="450" spans="3:22">
      <c r="C450" s="178">
        <f t="shared" si="120"/>
        <v>0</v>
      </c>
      <c r="D450" s="354">
        <f t="shared" si="124"/>
        <v>0</v>
      </c>
      <c r="E450" s="178">
        <f t="shared" si="125"/>
        <v>0</v>
      </c>
      <c r="F450" s="178">
        <f t="shared" si="127"/>
        <v>0</v>
      </c>
      <c r="G450" s="178">
        <f>IF(L449&lt;0.01,0,IF(Adm!$R$3=Adm!$R$6,0,IF(Adm!$S$10=Adm!$S$13,L449*Adm!$X$6,IF(Adm!$S$10=Adm!$S$11,L449*Adm!$X$3,IF(Adm!$S$10=Adm!$S$12,L449*Adm!$Y$3)))))</f>
        <v>0</v>
      </c>
      <c r="H450" s="178"/>
      <c r="I450" s="178"/>
      <c r="J450" s="178">
        <f t="shared" si="121"/>
        <v>0</v>
      </c>
      <c r="K450" s="178"/>
      <c r="L450" s="178">
        <f t="shared" si="122"/>
        <v>0</v>
      </c>
      <c r="O450" s="176">
        <f t="shared" si="123"/>
        <v>0</v>
      </c>
      <c r="U450" s="571">
        <f t="shared" si="126"/>
        <v>12</v>
      </c>
      <c r="V450" s="293">
        <f>IF(U450=1,Adm!$AN$2,0)</f>
        <v>0</v>
      </c>
    </row>
    <row r="451" spans="3:22">
      <c r="C451" s="178">
        <f t="shared" si="120"/>
        <v>0</v>
      </c>
      <c r="D451" s="354">
        <f t="shared" si="124"/>
        <v>0</v>
      </c>
      <c r="E451" s="178">
        <f t="shared" si="125"/>
        <v>0</v>
      </c>
      <c r="F451" s="178">
        <f t="shared" si="127"/>
        <v>0</v>
      </c>
      <c r="G451" s="178">
        <f>IF(L450&lt;0.01,0,IF(Adm!$R$3=Adm!$R$6,0,IF(Adm!$S$10=Adm!$S$13,L450*Adm!$X$6,IF(Adm!$S$10=Adm!$S$11,L450*Adm!$X$3,IF(Adm!$S$10=Adm!$S$12,L450*Adm!$Y$3)))))</f>
        <v>0</v>
      </c>
      <c r="H451" s="178"/>
      <c r="I451" s="178"/>
      <c r="J451" s="178">
        <f t="shared" si="121"/>
        <v>0</v>
      </c>
      <c r="K451" s="178"/>
      <c r="L451" s="178">
        <f t="shared" si="122"/>
        <v>0</v>
      </c>
      <c r="O451" s="176">
        <f t="shared" si="123"/>
        <v>0</v>
      </c>
      <c r="U451" s="571">
        <f t="shared" si="126"/>
        <v>1</v>
      </c>
      <c r="V451" s="293">
        <f>IF(U451=1,Adm!$AN$2,0)</f>
        <v>0</v>
      </c>
    </row>
    <row r="452" spans="3:22">
      <c r="C452" s="178">
        <f t="shared" si="120"/>
        <v>0</v>
      </c>
      <c r="D452" s="354">
        <f t="shared" si="124"/>
        <v>0</v>
      </c>
      <c r="E452" s="178">
        <f t="shared" si="125"/>
        <v>0</v>
      </c>
      <c r="F452" s="178">
        <f t="shared" si="127"/>
        <v>0</v>
      </c>
      <c r="G452" s="178">
        <f>IF(L451&lt;0.01,0,IF(Adm!$R$3=Adm!$R$6,0,IF(Adm!$S$10=Adm!$S$13,L451*Adm!$X$6,IF(Adm!$S$10=Adm!$S$11,L451*Adm!$X$3,IF(Adm!$S$10=Adm!$S$12,L451*Adm!$Y$3)))))</f>
        <v>0</v>
      </c>
      <c r="H452" s="178"/>
      <c r="I452" s="178"/>
      <c r="J452" s="178">
        <f t="shared" si="121"/>
        <v>0</v>
      </c>
      <c r="K452" s="178"/>
      <c r="L452" s="178">
        <f t="shared" si="122"/>
        <v>0</v>
      </c>
      <c r="O452" s="176">
        <f t="shared" si="123"/>
        <v>0</v>
      </c>
      <c r="U452" s="571">
        <f t="shared" si="126"/>
        <v>2</v>
      </c>
      <c r="V452" s="293">
        <f>IF(U452=1,Adm!$AN$2,0)</f>
        <v>0</v>
      </c>
    </row>
    <row r="453" spans="3:22">
      <c r="C453" s="178">
        <f t="shared" si="120"/>
        <v>0</v>
      </c>
      <c r="D453" s="354">
        <f t="shared" si="124"/>
        <v>0</v>
      </c>
      <c r="E453" s="178">
        <f t="shared" si="125"/>
        <v>0</v>
      </c>
      <c r="F453" s="178">
        <f t="shared" si="127"/>
        <v>0</v>
      </c>
      <c r="G453" s="178">
        <f>IF(L452&lt;0.01,0,IF(Adm!$R$3=Adm!$R$6,0,IF(Adm!$S$10=Adm!$S$13,L452*Adm!$X$6,IF(Adm!$S$10=Adm!$S$11,L452*Adm!$X$3,IF(Adm!$S$10=Adm!$S$12,L452*Adm!$Y$3)))))</f>
        <v>0</v>
      </c>
      <c r="H453" s="178"/>
      <c r="I453" s="178"/>
      <c r="J453" s="178">
        <f t="shared" si="121"/>
        <v>0</v>
      </c>
      <c r="K453" s="178"/>
      <c r="L453" s="178">
        <f t="shared" si="122"/>
        <v>0</v>
      </c>
      <c r="O453" s="176">
        <f t="shared" si="123"/>
        <v>0</v>
      </c>
      <c r="U453" s="571">
        <f t="shared" si="126"/>
        <v>3</v>
      </c>
      <c r="V453" s="293">
        <f>IF(U453=1,Adm!$AN$2,0)</f>
        <v>0</v>
      </c>
    </row>
    <row r="454" spans="3:22">
      <c r="C454" s="178">
        <f t="shared" si="120"/>
        <v>0</v>
      </c>
      <c r="D454" s="354">
        <f t="shared" si="124"/>
        <v>0</v>
      </c>
      <c r="E454" s="178">
        <f t="shared" si="125"/>
        <v>0</v>
      </c>
      <c r="F454" s="178">
        <f t="shared" si="127"/>
        <v>0</v>
      </c>
      <c r="G454" s="178">
        <f>IF(L453&lt;0.01,0,IF(Adm!$R$3=Adm!$R$6,0,IF(Adm!$S$10=Adm!$S$13,L453*Adm!$X$6,IF(Adm!$S$10=Adm!$S$11,L453*Adm!$X$3,IF(Adm!$S$10=Adm!$S$12,L453*Adm!$Y$3)))))</f>
        <v>0</v>
      </c>
      <c r="H454" s="178"/>
      <c r="I454" s="178"/>
      <c r="J454" s="178">
        <f t="shared" si="121"/>
        <v>0</v>
      </c>
      <c r="K454" s="178"/>
      <c r="L454" s="178">
        <f t="shared" si="122"/>
        <v>0</v>
      </c>
      <c r="O454" s="176">
        <f t="shared" si="123"/>
        <v>0</v>
      </c>
      <c r="U454" s="571">
        <f t="shared" si="126"/>
        <v>4</v>
      </c>
      <c r="V454" s="293">
        <f>IF(U454=1,Adm!$AN$2,0)</f>
        <v>0</v>
      </c>
    </row>
    <row r="455" spans="3:22">
      <c r="C455" s="178">
        <f t="shared" si="120"/>
        <v>0</v>
      </c>
      <c r="D455" s="354">
        <f t="shared" si="124"/>
        <v>0</v>
      </c>
      <c r="E455" s="178">
        <f t="shared" si="125"/>
        <v>0</v>
      </c>
      <c r="F455" s="178">
        <f t="shared" si="127"/>
        <v>0</v>
      </c>
      <c r="G455" s="178">
        <f>IF(L454&lt;0.01,0,IF(Adm!$R$3=Adm!$R$6,0,IF(Adm!$S$10=Adm!$S$13,L454*Adm!$X$6,IF(Adm!$S$10=Adm!$S$11,L454*Adm!$X$3,IF(Adm!$S$10=Adm!$S$12,L454*Adm!$Y$3)))))</f>
        <v>0</v>
      </c>
      <c r="H455" s="178"/>
      <c r="I455" s="178"/>
      <c r="J455" s="178">
        <f t="shared" si="121"/>
        <v>0</v>
      </c>
      <c r="K455" s="178"/>
      <c r="L455" s="178">
        <f t="shared" si="122"/>
        <v>0</v>
      </c>
      <c r="O455" s="176">
        <f t="shared" si="123"/>
        <v>0</v>
      </c>
      <c r="U455" s="571">
        <f t="shared" si="126"/>
        <v>5</v>
      </c>
      <c r="V455" s="293">
        <f>IF(U455=1,Adm!$AN$2,0)</f>
        <v>0</v>
      </c>
    </row>
    <row r="456" spans="3:22">
      <c r="C456" s="178">
        <f t="shared" si="120"/>
        <v>0</v>
      </c>
      <c r="D456" s="354">
        <f t="shared" si="124"/>
        <v>0</v>
      </c>
      <c r="E456" s="178">
        <f t="shared" si="125"/>
        <v>0</v>
      </c>
      <c r="F456" s="178">
        <f t="shared" si="127"/>
        <v>0</v>
      </c>
      <c r="G456" s="178">
        <f>IF(L455&lt;0.01,0,IF(Adm!$R$3=Adm!$R$6,0,IF(Adm!$S$10=Adm!$S$13,L455*Adm!$X$6,IF(Adm!$S$10=Adm!$S$11,L455*Adm!$X$3,IF(Adm!$S$10=Adm!$S$12,L455*Adm!$Y$3)))))</f>
        <v>0</v>
      </c>
      <c r="H456" s="178"/>
      <c r="I456" s="178"/>
      <c r="J456" s="178">
        <f t="shared" si="121"/>
        <v>0</v>
      </c>
      <c r="K456" s="178"/>
      <c r="L456" s="178">
        <f t="shared" si="122"/>
        <v>0</v>
      </c>
      <c r="O456" s="176">
        <f t="shared" si="123"/>
        <v>0</v>
      </c>
      <c r="U456" s="571">
        <f t="shared" si="126"/>
        <v>6</v>
      </c>
      <c r="V456" s="293">
        <f>IF(U456=1,Adm!$AN$2,0)</f>
        <v>0</v>
      </c>
    </row>
    <row r="457" spans="3:22">
      <c r="C457" s="178">
        <f t="shared" si="120"/>
        <v>0</v>
      </c>
      <c r="D457" s="354">
        <f t="shared" si="124"/>
        <v>0</v>
      </c>
      <c r="E457" s="178">
        <f t="shared" si="125"/>
        <v>0</v>
      </c>
      <c r="F457" s="178">
        <f t="shared" si="127"/>
        <v>0</v>
      </c>
      <c r="G457" s="178">
        <f>IF(L456&lt;0.01,0,IF(Adm!$R$3=Adm!$R$6,0,IF(Adm!$S$10=Adm!$S$13,L456*Adm!$X$6,IF(Adm!$S$10=Adm!$S$11,L456*Adm!$X$3,IF(Adm!$S$10=Adm!$S$12,L456*Adm!$Y$3)))))</f>
        <v>0</v>
      </c>
      <c r="H457" s="178"/>
      <c r="I457" s="178"/>
      <c r="J457" s="178">
        <f t="shared" si="121"/>
        <v>0</v>
      </c>
      <c r="K457" s="178"/>
      <c r="L457" s="178">
        <f t="shared" si="122"/>
        <v>0</v>
      </c>
      <c r="O457" s="176">
        <f t="shared" si="123"/>
        <v>0</v>
      </c>
      <c r="U457" s="571">
        <f t="shared" si="126"/>
        <v>7</v>
      </c>
      <c r="V457" s="293">
        <f>IF(U457=1,Adm!$AN$2,0)</f>
        <v>0</v>
      </c>
    </row>
    <row r="458" spans="3:22">
      <c r="C458" s="178">
        <f t="shared" si="120"/>
        <v>0</v>
      </c>
      <c r="D458" s="354">
        <f t="shared" si="124"/>
        <v>0</v>
      </c>
      <c r="E458" s="178">
        <f t="shared" si="125"/>
        <v>0</v>
      </c>
      <c r="F458" s="178">
        <f t="shared" si="127"/>
        <v>0</v>
      </c>
      <c r="G458" s="178">
        <f>IF(L457&lt;0.01,0,IF(Adm!$R$3=Adm!$R$6,0,IF(Adm!$S$10=Adm!$S$13,L457*Adm!$X$6,IF(Adm!$S$10=Adm!$S$11,L457*Adm!$X$3,IF(Adm!$S$10=Adm!$S$12,L457*Adm!$Y$3)))))</f>
        <v>0</v>
      </c>
      <c r="H458" s="178"/>
      <c r="I458" s="178"/>
      <c r="J458" s="178">
        <f t="shared" si="121"/>
        <v>0</v>
      </c>
      <c r="K458" s="178"/>
      <c r="L458" s="178">
        <f t="shared" si="122"/>
        <v>0</v>
      </c>
      <c r="O458" s="176">
        <f t="shared" si="123"/>
        <v>0</v>
      </c>
      <c r="U458" s="571">
        <f t="shared" si="126"/>
        <v>8</v>
      </c>
      <c r="V458" s="293">
        <f>IF(U458=1,Adm!$AN$2,0)</f>
        <v>0</v>
      </c>
    </row>
    <row r="459" spans="3:22">
      <c r="C459" s="178">
        <f t="shared" si="120"/>
        <v>0</v>
      </c>
      <c r="D459" s="354">
        <f t="shared" si="124"/>
        <v>0</v>
      </c>
      <c r="E459" s="178">
        <f t="shared" si="125"/>
        <v>0</v>
      </c>
      <c r="F459" s="178">
        <f t="shared" si="127"/>
        <v>0</v>
      </c>
      <c r="G459" s="178">
        <f>IF(L458&lt;0.01,0,IF(Adm!$R$3=Adm!$R$6,0,IF(Adm!$S$10=Adm!$S$13,L458*Adm!$X$6,IF(Adm!$S$10=Adm!$S$11,L458*Adm!$X$3,IF(Adm!$S$10=Adm!$S$12,L458*Adm!$Y$3)))))</f>
        <v>0</v>
      </c>
      <c r="H459" s="178"/>
      <c r="I459" s="178"/>
      <c r="J459" s="178">
        <f t="shared" si="121"/>
        <v>0</v>
      </c>
      <c r="K459" s="178"/>
      <c r="L459" s="178">
        <f t="shared" si="122"/>
        <v>0</v>
      </c>
      <c r="O459" s="176">
        <f t="shared" si="123"/>
        <v>0</v>
      </c>
      <c r="U459" s="571">
        <f t="shared" si="126"/>
        <v>9</v>
      </c>
      <c r="V459" s="293">
        <f>IF(U459=1,Adm!$AN$2,0)</f>
        <v>0</v>
      </c>
    </row>
    <row r="460" spans="3:22">
      <c r="C460" s="178">
        <f t="shared" si="120"/>
        <v>0</v>
      </c>
      <c r="D460" s="354">
        <f t="shared" si="124"/>
        <v>0</v>
      </c>
      <c r="E460" s="178">
        <f t="shared" si="125"/>
        <v>0</v>
      </c>
      <c r="F460" s="178">
        <f t="shared" si="127"/>
        <v>0</v>
      </c>
      <c r="G460" s="178">
        <f>IF(L459&lt;0.01,0,IF(Adm!$R$3=Adm!$R$6,0,IF(Adm!$S$10=Adm!$S$13,L459*Adm!$X$6,IF(Adm!$S$10=Adm!$S$11,L459*Adm!$X$3,IF(Adm!$S$10=Adm!$S$12,L459*Adm!$Y$3)))))</f>
        <v>0</v>
      </c>
      <c r="H460" s="178"/>
      <c r="I460" s="178"/>
      <c r="J460" s="178">
        <f t="shared" si="121"/>
        <v>0</v>
      </c>
      <c r="K460" s="178"/>
      <c r="L460" s="178">
        <f t="shared" si="122"/>
        <v>0</v>
      </c>
      <c r="O460" s="176">
        <f t="shared" si="123"/>
        <v>0</v>
      </c>
      <c r="U460" s="571">
        <f t="shared" si="126"/>
        <v>10</v>
      </c>
      <c r="V460" s="293">
        <f>IF(U460=1,Adm!$AN$2,0)</f>
        <v>0</v>
      </c>
    </row>
    <row r="461" spans="3:22">
      <c r="C461" s="178">
        <f t="shared" si="120"/>
        <v>0</v>
      </c>
      <c r="D461" s="354">
        <f t="shared" si="124"/>
        <v>0</v>
      </c>
      <c r="E461" s="178">
        <f t="shared" si="125"/>
        <v>0</v>
      </c>
      <c r="F461" s="178">
        <f t="shared" si="127"/>
        <v>0</v>
      </c>
      <c r="G461" s="178">
        <f>IF(L460&lt;0.01,0,IF(Adm!$R$3=Adm!$R$6,0,IF(Adm!$S$10=Adm!$S$13,L460*Adm!$X$6,IF(Adm!$S$10=Adm!$S$11,L460*Adm!$X$3,IF(Adm!$S$10=Adm!$S$12,L460*Adm!$Y$3)))))</f>
        <v>0</v>
      </c>
      <c r="H461" s="178"/>
      <c r="I461" s="178"/>
      <c r="J461" s="178">
        <f t="shared" si="121"/>
        <v>0</v>
      </c>
      <c r="K461" s="178"/>
      <c r="L461" s="178">
        <f t="shared" si="122"/>
        <v>0</v>
      </c>
      <c r="O461" s="176">
        <f t="shared" si="123"/>
        <v>0</v>
      </c>
      <c r="U461" s="571">
        <f t="shared" si="126"/>
        <v>11</v>
      </c>
      <c r="V461" s="293">
        <f>IF(U461=1,Adm!$AN$2,0)</f>
        <v>0</v>
      </c>
    </row>
    <row r="462" spans="3:22">
      <c r="C462" s="178">
        <f t="shared" si="120"/>
        <v>0</v>
      </c>
      <c r="D462" s="354">
        <f t="shared" si="124"/>
        <v>0</v>
      </c>
      <c r="E462" s="178">
        <f t="shared" si="125"/>
        <v>0</v>
      </c>
      <c r="F462" s="178">
        <f t="shared" si="127"/>
        <v>0</v>
      </c>
      <c r="G462" s="178">
        <f>IF(L461&lt;0.01,0,IF(Adm!$R$3=Adm!$R$6,0,IF(Adm!$S$10=Adm!$S$13,L461*Adm!$X$6,IF(Adm!$S$10=Adm!$S$11,L461*Adm!$X$3,IF(Adm!$S$10=Adm!$S$12,L461*Adm!$Y$3)))))</f>
        <v>0</v>
      </c>
      <c r="H462" s="178"/>
      <c r="I462" s="178"/>
      <c r="J462" s="178">
        <f t="shared" si="121"/>
        <v>0</v>
      </c>
      <c r="K462" s="178"/>
      <c r="L462" s="178">
        <f t="shared" si="122"/>
        <v>0</v>
      </c>
      <c r="O462" s="176">
        <f t="shared" si="123"/>
        <v>0</v>
      </c>
      <c r="U462" s="571">
        <f t="shared" si="126"/>
        <v>12</v>
      </c>
      <c r="V462" s="293">
        <f>IF(U462=1,Adm!$AN$2,0)</f>
        <v>0</v>
      </c>
    </row>
    <row r="463" spans="3:22">
      <c r="C463" s="178">
        <f t="shared" si="120"/>
        <v>0</v>
      </c>
      <c r="D463" s="354">
        <f t="shared" si="124"/>
        <v>0</v>
      </c>
      <c r="E463" s="178">
        <f t="shared" si="125"/>
        <v>0</v>
      </c>
      <c r="F463" s="178">
        <f t="shared" si="127"/>
        <v>0</v>
      </c>
      <c r="G463" s="178">
        <f>IF(L462&lt;0.01,0,IF(Adm!$R$3=Adm!$R$6,0,IF(Adm!$S$10=Adm!$S$13,L462*Adm!$X$6,IF(Adm!$S$10=Adm!$S$11,L462*Adm!$X$3,IF(Adm!$S$10=Adm!$S$12,L462*Adm!$Y$3)))))</f>
        <v>0</v>
      </c>
      <c r="H463" s="178"/>
      <c r="I463" s="178"/>
      <c r="J463" s="178">
        <f t="shared" si="121"/>
        <v>0</v>
      </c>
      <c r="K463" s="178"/>
      <c r="L463" s="178">
        <f t="shared" si="122"/>
        <v>0</v>
      </c>
      <c r="O463" s="176">
        <f t="shared" si="123"/>
        <v>0</v>
      </c>
      <c r="U463" s="571">
        <f t="shared" si="126"/>
        <v>1</v>
      </c>
      <c r="V463" s="293">
        <f>IF(U463=1,Adm!$AN$2,0)</f>
        <v>0</v>
      </c>
    </row>
    <row r="464" spans="3:22">
      <c r="C464" s="178">
        <f t="shared" si="120"/>
        <v>0</v>
      </c>
      <c r="D464" s="354">
        <f t="shared" si="124"/>
        <v>0</v>
      </c>
      <c r="E464" s="178">
        <f t="shared" si="125"/>
        <v>0</v>
      </c>
      <c r="F464" s="178">
        <f t="shared" si="127"/>
        <v>0</v>
      </c>
      <c r="G464" s="178">
        <f>IF(L463&lt;0.01,0,IF(Adm!$R$3=Adm!$R$6,0,IF(Adm!$S$10=Adm!$S$13,L463*Adm!$X$6,IF(Adm!$S$10=Adm!$S$11,L463*Adm!$X$3,IF(Adm!$S$10=Adm!$S$12,L463*Adm!$Y$3)))))</f>
        <v>0</v>
      </c>
      <c r="H464" s="178"/>
      <c r="I464" s="178"/>
      <c r="J464" s="178">
        <f t="shared" si="121"/>
        <v>0</v>
      </c>
      <c r="K464" s="178"/>
      <c r="L464" s="178">
        <f t="shared" si="122"/>
        <v>0</v>
      </c>
      <c r="O464" s="176">
        <f t="shared" si="123"/>
        <v>0</v>
      </c>
      <c r="U464" s="571">
        <f t="shared" si="126"/>
        <v>2</v>
      </c>
      <c r="V464" s="293">
        <f>IF(U464=1,Adm!$AN$2,0)</f>
        <v>0</v>
      </c>
    </row>
    <row r="465" spans="3:22">
      <c r="C465" s="178">
        <f t="shared" si="120"/>
        <v>0</v>
      </c>
      <c r="D465" s="354">
        <f t="shared" si="124"/>
        <v>0</v>
      </c>
      <c r="E465" s="178">
        <f t="shared" si="125"/>
        <v>0</v>
      </c>
      <c r="F465" s="178">
        <f t="shared" si="127"/>
        <v>0</v>
      </c>
      <c r="G465" s="178">
        <f>IF(L464&lt;0.01,0,IF(Adm!$R$3=Adm!$R$6,0,IF(Adm!$S$10=Adm!$S$13,L464*Adm!$X$6,IF(Adm!$S$10=Adm!$S$11,L464*Adm!$X$3,IF(Adm!$S$10=Adm!$S$12,L464*Adm!$Y$3)))))</f>
        <v>0</v>
      </c>
      <c r="H465" s="178"/>
      <c r="I465" s="178"/>
      <c r="J465" s="178">
        <f t="shared" si="121"/>
        <v>0</v>
      </c>
      <c r="K465" s="178"/>
      <c r="L465" s="178">
        <f t="shared" si="122"/>
        <v>0</v>
      </c>
      <c r="O465" s="176">
        <f t="shared" si="123"/>
        <v>0</v>
      </c>
      <c r="U465" s="571">
        <f t="shared" si="126"/>
        <v>3</v>
      </c>
      <c r="V465" s="293">
        <f>IF(U465=1,Adm!$AN$2,0)</f>
        <v>0</v>
      </c>
    </row>
    <row r="466" spans="3:22">
      <c r="C466" s="178">
        <f t="shared" si="120"/>
        <v>0</v>
      </c>
      <c r="D466" s="354">
        <f t="shared" si="124"/>
        <v>0</v>
      </c>
      <c r="E466" s="178">
        <f t="shared" si="125"/>
        <v>0</v>
      </c>
      <c r="F466" s="178">
        <f t="shared" si="127"/>
        <v>0</v>
      </c>
      <c r="G466" s="178">
        <f>IF(L465&lt;0.01,0,IF(Adm!$R$3=Adm!$R$6,0,IF(Adm!$S$10=Adm!$S$13,L465*Adm!$X$6,IF(Adm!$S$10=Adm!$S$11,L465*Adm!$X$3,IF(Adm!$S$10=Adm!$S$12,L465*Adm!$Y$3)))))</f>
        <v>0</v>
      </c>
      <c r="H466" s="178"/>
      <c r="I466" s="178"/>
      <c r="J466" s="178">
        <f t="shared" si="121"/>
        <v>0</v>
      </c>
      <c r="K466" s="178"/>
      <c r="L466" s="178">
        <f t="shared" si="122"/>
        <v>0</v>
      </c>
      <c r="O466" s="176">
        <f t="shared" si="123"/>
        <v>0</v>
      </c>
      <c r="U466" s="571">
        <f t="shared" si="126"/>
        <v>4</v>
      </c>
      <c r="V466" s="293">
        <f>IF(U466=1,Adm!$AN$2,0)</f>
        <v>0</v>
      </c>
    </row>
    <row r="467" spans="3:22">
      <c r="C467" s="178">
        <f t="shared" si="120"/>
        <v>0</v>
      </c>
      <c r="D467" s="354">
        <f t="shared" si="124"/>
        <v>0</v>
      </c>
      <c r="E467" s="178">
        <f t="shared" si="125"/>
        <v>0</v>
      </c>
      <c r="F467" s="178">
        <f t="shared" si="127"/>
        <v>0</v>
      </c>
      <c r="G467" s="178">
        <f>IF(L466&lt;0.01,0,IF(Adm!$R$3=Adm!$R$6,0,IF(Adm!$S$10=Adm!$S$13,L466*Adm!$X$6,IF(Adm!$S$10=Adm!$S$11,L466*Adm!$X$3,IF(Adm!$S$10=Adm!$S$12,L466*Adm!$Y$3)))))</f>
        <v>0</v>
      </c>
      <c r="H467" s="178"/>
      <c r="I467" s="178"/>
      <c r="J467" s="178">
        <f t="shared" si="121"/>
        <v>0</v>
      </c>
      <c r="K467" s="178"/>
      <c r="L467" s="178">
        <f t="shared" si="122"/>
        <v>0</v>
      </c>
      <c r="O467" s="176">
        <f t="shared" si="123"/>
        <v>0</v>
      </c>
      <c r="U467" s="571">
        <f t="shared" si="126"/>
        <v>5</v>
      </c>
      <c r="V467" s="293">
        <f>IF(U467=1,Adm!$AN$2,0)</f>
        <v>0</v>
      </c>
    </row>
    <row r="468" spans="3:22">
      <c r="C468" s="178">
        <f t="shared" si="120"/>
        <v>0</v>
      </c>
      <c r="D468" s="354">
        <f t="shared" si="124"/>
        <v>0</v>
      </c>
      <c r="E468" s="178">
        <f t="shared" si="125"/>
        <v>0</v>
      </c>
      <c r="F468" s="178">
        <f t="shared" si="127"/>
        <v>0</v>
      </c>
      <c r="G468" s="178">
        <f>IF(L467&lt;0.01,0,IF(Adm!$R$3=Adm!$R$6,0,IF(Adm!$S$10=Adm!$S$13,L467*Adm!$X$6,IF(Adm!$S$10=Adm!$S$11,L467*Adm!$X$3,IF(Adm!$S$10=Adm!$S$12,L467*Adm!$Y$3)))))</f>
        <v>0</v>
      </c>
      <c r="H468" s="178"/>
      <c r="I468" s="178"/>
      <c r="J468" s="178">
        <f t="shared" si="121"/>
        <v>0</v>
      </c>
      <c r="K468" s="178"/>
      <c r="L468" s="178">
        <f t="shared" si="122"/>
        <v>0</v>
      </c>
      <c r="O468" s="176">
        <f t="shared" si="123"/>
        <v>0</v>
      </c>
      <c r="U468" s="571">
        <f t="shared" si="126"/>
        <v>6</v>
      </c>
      <c r="V468" s="293">
        <f>IF(U468=1,Adm!$AN$2,0)</f>
        <v>0</v>
      </c>
    </row>
    <row r="469" spans="3:22">
      <c r="C469" s="178">
        <f t="shared" si="120"/>
        <v>0</v>
      </c>
      <c r="D469" s="354">
        <f t="shared" si="124"/>
        <v>0</v>
      </c>
      <c r="E469" s="178">
        <f t="shared" si="125"/>
        <v>0</v>
      </c>
      <c r="F469" s="178">
        <f t="shared" si="127"/>
        <v>0</v>
      </c>
      <c r="G469" s="178">
        <f>IF(L468&lt;0.01,0,IF(Adm!$R$3=Adm!$R$6,0,IF(Adm!$S$10=Adm!$S$13,L468*Adm!$X$6,IF(Adm!$S$10=Adm!$S$11,L468*Adm!$X$3,IF(Adm!$S$10=Adm!$S$12,L468*Adm!$Y$3)))))</f>
        <v>0</v>
      </c>
      <c r="H469" s="178"/>
      <c r="I469" s="178"/>
      <c r="J469" s="178">
        <f t="shared" si="121"/>
        <v>0</v>
      </c>
      <c r="K469" s="178"/>
      <c r="L469" s="178">
        <f t="shared" si="122"/>
        <v>0</v>
      </c>
      <c r="O469" s="176">
        <f t="shared" si="123"/>
        <v>0</v>
      </c>
      <c r="U469" s="571">
        <f t="shared" si="126"/>
        <v>7</v>
      </c>
      <c r="V469" s="293">
        <f>IF(U469=1,Adm!$AN$2,0)</f>
        <v>0</v>
      </c>
    </row>
    <row r="470" spans="3:22">
      <c r="C470" s="178">
        <f t="shared" si="120"/>
        <v>0</v>
      </c>
      <c r="D470" s="354">
        <f t="shared" si="124"/>
        <v>0</v>
      </c>
      <c r="E470" s="178">
        <f t="shared" si="125"/>
        <v>0</v>
      </c>
      <c r="F470" s="178">
        <f t="shared" si="127"/>
        <v>0</v>
      </c>
      <c r="G470" s="178">
        <f>IF(L469&lt;0.01,0,IF(Adm!$R$3=Adm!$R$6,0,IF(Adm!$S$10=Adm!$S$13,L469*Adm!$X$6,IF(Adm!$S$10=Adm!$S$11,L469*Adm!$X$3,IF(Adm!$S$10=Adm!$S$12,L469*Adm!$Y$3)))))</f>
        <v>0</v>
      </c>
      <c r="H470" s="178"/>
      <c r="I470" s="178"/>
      <c r="J470" s="178">
        <f t="shared" si="121"/>
        <v>0</v>
      </c>
      <c r="K470" s="178"/>
      <c r="L470" s="178">
        <f t="shared" si="122"/>
        <v>0</v>
      </c>
      <c r="O470" s="176">
        <f t="shared" si="123"/>
        <v>0</v>
      </c>
      <c r="U470" s="571">
        <f t="shared" si="126"/>
        <v>8</v>
      </c>
      <c r="V470" s="293">
        <f>IF(U470=1,Adm!$AN$2,0)</f>
        <v>0</v>
      </c>
    </row>
    <row r="471" spans="3:22">
      <c r="C471" s="178">
        <f t="shared" si="120"/>
        <v>0</v>
      </c>
      <c r="D471" s="354">
        <f t="shared" si="124"/>
        <v>0</v>
      </c>
      <c r="E471" s="178">
        <f t="shared" si="125"/>
        <v>0</v>
      </c>
      <c r="F471" s="178">
        <f t="shared" si="127"/>
        <v>0</v>
      </c>
      <c r="G471" s="178">
        <f>IF(L470&lt;0.01,0,IF(Adm!$R$3=Adm!$R$6,0,IF(Adm!$S$10=Adm!$S$13,L470*Adm!$X$6,IF(Adm!$S$10=Adm!$S$11,L470*Adm!$X$3,IF(Adm!$S$10=Adm!$S$12,L470*Adm!$Y$3)))))</f>
        <v>0</v>
      </c>
      <c r="H471" s="178"/>
      <c r="I471" s="178"/>
      <c r="J471" s="178">
        <f t="shared" si="121"/>
        <v>0</v>
      </c>
      <c r="K471" s="178"/>
      <c r="L471" s="178">
        <f t="shared" si="122"/>
        <v>0</v>
      </c>
      <c r="O471" s="176">
        <f t="shared" si="123"/>
        <v>0</v>
      </c>
      <c r="U471" s="571">
        <f t="shared" si="126"/>
        <v>9</v>
      </c>
      <c r="V471" s="293">
        <f>IF(U471=1,Adm!$AN$2,0)</f>
        <v>0</v>
      </c>
    </row>
    <row r="472" spans="3:22">
      <c r="C472" s="178">
        <f t="shared" si="120"/>
        <v>0</v>
      </c>
      <c r="D472" s="354">
        <f t="shared" si="124"/>
        <v>0</v>
      </c>
      <c r="E472" s="178">
        <f t="shared" si="125"/>
        <v>0</v>
      </c>
      <c r="F472" s="178">
        <f t="shared" si="127"/>
        <v>0</v>
      </c>
      <c r="G472" s="178">
        <f>IF(L471&lt;0.01,0,IF(Adm!$R$3=Adm!$R$6,0,IF(Adm!$S$10=Adm!$S$13,L471*Adm!$X$6,IF(Adm!$S$10=Adm!$S$11,L471*Adm!$X$3,IF(Adm!$S$10=Adm!$S$12,L471*Adm!$Y$3)))))</f>
        <v>0</v>
      </c>
      <c r="H472" s="178"/>
      <c r="I472" s="178"/>
      <c r="J472" s="178">
        <f t="shared" si="121"/>
        <v>0</v>
      </c>
      <c r="K472" s="178"/>
      <c r="L472" s="178">
        <f t="shared" si="122"/>
        <v>0</v>
      </c>
      <c r="O472" s="176">
        <f t="shared" si="123"/>
        <v>0</v>
      </c>
      <c r="U472" s="571">
        <f t="shared" si="126"/>
        <v>10</v>
      </c>
      <c r="V472" s="293">
        <f>IF(U472=1,Adm!$AN$2,0)</f>
        <v>0</v>
      </c>
    </row>
    <row r="473" spans="3:22">
      <c r="C473" s="178">
        <f t="shared" si="120"/>
        <v>0</v>
      </c>
      <c r="D473" s="354">
        <f t="shared" si="124"/>
        <v>0</v>
      </c>
      <c r="E473" s="178">
        <f t="shared" si="125"/>
        <v>0</v>
      </c>
      <c r="F473" s="178">
        <f t="shared" si="127"/>
        <v>0</v>
      </c>
      <c r="G473" s="178">
        <f>IF(L472&lt;0.01,0,IF(Adm!$R$3=Adm!$R$6,0,IF(Adm!$S$10=Adm!$S$13,L472*Adm!$X$6,IF(Adm!$S$10=Adm!$S$11,L472*Adm!$X$3,IF(Adm!$S$10=Adm!$S$12,L472*Adm!$Y$3)))))</f>
        <v>0</v>
      </c>
      <c r="H473" s="178"/>
      <c r="I473" s="178"/>
      <c r="J473" s="178">
        <f t="shared" si="121"/>
        <v>0</v>
      </c>
      <c r="K473" s="178"/>
      <c r="L473" s="178">
        <f t="shared" si="122"/>
        <v>0</v>
      </c>
      <c r="O473" s="176">
        <f t="shared" si="123"/>
        <v>0</v>
      </c>
      <c r="U473" s="571">
        <f t="shared" si="126"/>
        <v>11</v>
      </c>
      <c r="V473" s="293">
        <f>IF(U473=1,Adm!$AN$2,0)</f>
        <v>0</v>
      </c>
    </row>
    <row r="474" spans="3:22">
      <c r="C474" s="178">
        <f t="shared" si="120"/>
        <v>0</v>
      </c>
      <c r="D474" s="354">
        <f t="shared" si="124"/>
        <v>0</v>
      </c>
      <c r="E474" s="178">
        <f t="shared" si="125"/>
        <v>0</v>
      </c>
      <c r="F474" s="178">
        <f t="shared" si="127"/>
        <v>0</v>
      </c>
      <c r="G474" s="178">
        <f>IF(L473&lt;0.01,0,IF(Adm!$R$3=Adm!$R$6,0,IF(Adm!$S$10=Adm!$S$13,L473*Adm!$X$6,IF(Adm!$S$10=Adm!$S$11,L473*Adm!$X$3,IF(Adm!$S$10=Adm!$S$12,L473*Adm!$Y$3)))))</f>
        <v>0</v>
      </c>
      <c r="H474" s="178"/>
      <c r="I474" s="178"/>
      <c r="J474" s="178">
        <f t="shared" si="121"/>
        <v>0</v>
      </c>
      <c r="K474" s="178"/>
      <c r="L474" s="178">
        <f t="shared" si="122"/>
        <v>0</v>
      </c>
      <c r="O474" s="176">
        <f t="shared" si="123"/>
        <v>0</v>
      </c>
      <c r="U474" s="571">
        <f t="shared" si="126"/>
        <v>12</v>
      </c>
      <c r="V474" s="293">
        <f>IF(U474=1,Adm!$AN$2,0)</f>
        <v>0</v>
      </c>
    </row>
    <row r="475" spans="3:22">
      <c r="C475" s="178">
        <f t="shared" ref="C475:C522" si="128">IF(L474&lt;0.01,0,C474+1)</f>
        <v>0</v>
      </c>
      <c r="D475" s="354">
        <f t="shared" si="124"/>
        <v>0</v>
      </c>
      <c r="E475" s="178">
        <f t="shared" si="125"/>
        <v>0</v>
      </c>
      <c r="F475" s="178">
        <f t="shared" si="127"/>
        <v>0</v>
      </c>
      <c r="G475" s="178">
        <f>IF(L474&lt;0.01,0,IF(Adm!$R$3=Adm!$R$6,0,IF(Adm!$S$10=Adm!$S$13,L474*Adm!$X$6,IF(Adm!$S$10=Adm!$S$11,L474*Adm!$X$3,IF(Adm!$S$10=Adm!$S$12,L474*Adm!$Y$3)))))</f>
        <v>0</v>
      </c>
      <c r="H475" s="178"/>
      <c r="I475" s="178"/>
      <c r="J475" s="178">
        <f t="shared" ref="J475:J522" si="129">IF(L474&lt;0.01,0,F475+G475+H475+I475)</f>
        <v>0</v>
      </c>
      <c r="K475" s="178"/>
      <c r="L475" s="178">
        <f t="shared" ref="L475:L522" si="130">L474-E475</f>
        <v>0</v>
      </c>
      <c r="O475" s="176">
        <f t="shared" ref="O475:O522" si="131">J475</f>
        <v>0</v>
      </c>
      <c r="U475" s="571">
        <f t="shared" si="126"/>
        <v>1</v>
      </c>
      <c r="V475" s="293">
        <f>IF(U475=1,Adm!$AN$2,0)</f>
        <v>0</v>
      </c>
    </row>
    <row r="476" spans="3:22">
      <c r="C476" s="178">
        <f t="shared" si="128"/>
        <v>0</v>
      </c>
      <c r="D476" s="354">
        <f t="shared" ref="D476:D522" si="132">IF(L475&lt;0.01,0,L475*$F$270/12)</f>
        <v>0</v>
      </c>
      <c r="E476" s="178">
        <f t="shared" ref="E476:E522" si="133">IF(L475&lt;0.01,0,F476-D476)</f>
        <v>0</v>
      </c>
      <c r="F476" s="178">
        <f t="shared" si="127"/>
        <v>0</v>
      </c>
      <c r="G476" s="178">
        <f>IF(L475&lt;0.01,0,IF(Adm!$R$3=Adm!$R$6,0,IF(Adm!$S$10=Adm!$S$13,L475*Adm!$X$6,IF(Adm!$S$10=Adm!$S$11,L475*Adm!$X$3,IF(Adm!$S$10=Adm!$S$12,L475*Adm!$Y$3)))))</f>
        <v>0</v>
      </c>
      <c r="H476" s="178"/>
      <c r="I476" s="178"/>
      <c r="J476" s="178">
        <f t="shared" si="129"/>
        <v>0</v>
      </c>
      <c r="K476" s="178"/>
      <c r="L476" s="178">
        <f t="shared" si="130"/>
        <v>0</v>
      </c>
      <c r="O476" s="176">
        <f t="shared" si="131"/>
        <v>0</v>
      </c>
      <c r="U476" s="571">
        <f t="shared" ref="U476:U522" si="134">IF(U475=12,1,U475+1)</f>
        <v>2</v>
      </c>
      <c r="V476" s="293">
        <f>IF(U476=1,Adm!$AN$2,0)</f>
        <v>0</v>
      </c>
    </row>
    <row r="477" spans="3:22">
      <c r="C477" s="178">
        <f t="shared" si="128"/>
        <v>0</v>
      </c>
      <c r="D477" s="354">
        <f t="shared" si="132"/>
        <v>0</v>
      </c>
      <c r="E477" s="178">
        <f t="shared" si="133"/>
        <v>0</v>
      </c>
      <c r="F477" s="178">
        <f t="shared" ref="F477:F522" si="135">IF(L476&lt;0.1,0,MIN(L476+D477,F476*(1+V477)))</f>
        <v>0</v>
      </c>
      <c r="G477" s="178">
        <f>IF(L476&lt;0.01,0,IF(Adm!$R$3=Adm!$R$6,0,IF(Adm!$S$10=Adm!$S$13,L476*Adm!$X$6,IF(Adm!$S$10=Adm!$S$11,L476*Adm!$X$3,IF(Adm!$S$10=Adm!$S$12,L476*Adm!$Y$3)))))</f>
        <v>0</v>
      </c>
      <c r="H477" s="178"/>
      <c r="I477" s="178"/>
      <c r="J477" s="178">
        <f t="shared" si="129"/>
        <v>0</v>
      </c>
      <c r="K477" s="178"/>
      <c r="L477" s="178">
        <f t="shared" si="130"/>
        <v>0</v>
      </c>
      <c r="O477" s="176">
        <f t="shared" si="131"/>
        <v>0</v>
      </c>
      <c r="U477" s="571">
        <f t="shared" si="134"/>
        <v>3</v>
      </c>
      <c r="V477" s="293">
        <f>IF(U477=1,Adm!$AN$2,0)</f>
        <v>0</v>
      </c>
    </row>
    <row r="478" spans="3:22">
      <c r="C478" s="178">
        <f t="shared" si="128"/>
        <v>0</v>
      </c>
      <c r="D478" s="354">
        <f t="shared" si="132"/>
        <v>0</v>
      </c>
      <c r="E478" s="178">
        <f t="shared" si="133"/>
        <v>0</v>
      </c>
      <c r="F478" s="178">
        <f t="shared" si="135"/>
        <v>0</v>
      </c>
      <c r="G478" s="178">
        <f>IF(L477&lt;0.01,0,IF(Adm!$R$3=Adm!$R$6,0,IF(Adm!$S$10=Adm!$S$13,L477*Adm!$X$6,IF(Adm!$S$10=Adm!$S$11,L477*Adm!$X$3,IF(Adm!$S$10=Adm!$S$12,L477*Adm!$Y$3)))))</f>
        <v>0</v>
      </c>
      <c r="H478" s="178"/>
      <c r="I478" s="178"/>
      <c r="J478" s="178">
        <f t="shared" si="129"/>
        <v>0</v>
      </c>
      <c r="K478" s="178"/>
      <c r="L478" s="178">
        <f t="shared" si="130"/>
        <v>0</v>
      </c>
      <c r="O478" s="176">
        <f t="shared" si="131"/>
        <v>0</v>
      </c>
      <c r="U478" s="571">
        <f t="shared" si="134"/>
        <v>4</v>
      </c>
      <c r="V478" s="293">
        <f>IF(U478=1,Adm!$AN$2,0)</f>
        <v>0</v>
      </c>
    </row>
    <row r="479" spans="3:22">
      <c r="C479" s="178">
        <f t="shared" si="128"/>
        <v>0</v>
      </c>
      <c r="D479" s="354">
        <f t="shared" si="132"/>
        <v>0</v>
      </c>
      <c r="E479" s="178">
        <f t="shared" si="133"/>
        <v>0</v>
      </c>
      <c r="F479" s="178">
        <f t="shared" si="135"/>
        <v>0</v>
      </c>
      <c r="G479" s="178">
        <f>IF(L478&lt;0.01,0,IF(Adm!$R$3=Adm!$R$6,0,IF(Adm!$S$10=Adm!$S$13,L478*Adm!$X$6,IF(Adm!$S$10=Adm!$S$11,L478*Adm!$X$3,IF(Adm!$S$10=Adm!$S$12,L478*Adm!$Y$3)))))</f>
        <v>0</v>
      </c>
      <c r="H479" s="178"/>
      <c r="I479" s="178"/>
      <c r="J479" s="178">
        <f t="shared" si="129"/>
        <v>0</v>
      </c>
      <c r="K479" s="178"/>
      <c r="L479" s="178">
        <f t="shared" si="130"/>
        <v>0</v>
      </c>
      <c r="O479" s="176">
        <f t="shared" si="131"/>
        <v>0</v>
      </c>
      <c r="U479" s="571">
        <f t="shared" si="134"/>
        <v>5</v>
      </c>
      <c r="V479" s="293">
        <f>IF(U479=1,Adm!$AN$2,0)</f>
        <v>0</v>
      </c>
    </row>
    <row r="480" spans="3:22">
      <c r="C480" s="178">
        <f t="shared" si="128"/>
        <v>0</v>
      </c>
      <c r="D480" s="354">
        <f t="shared" si="132"/>
        <v>0</v>
      </c>
      <c r="E480" s="178">
        <f t="shared" si="133"/>
        <v>0</v>
      </c>
      <c r="F480" s="178">
        <f t="shared" si="135"/>
        <v>0</v>
      </c>
      <c r="G480" s="178">
        <f>IF(L479&lt;0.01,0,IF(Adm!$R$3=Adm!$R$6,0,IF(Adm!$S$10=Adm!$S$13,L479*Adm!$X$6,IF(Adm!$S$10=Adm!$S$11,L479*Adm!$X$3,IF(Adm!$S$10=Adm!$S$12,L479*Adm!$Y$3)))))</f>
        <v>0</v>
      </c>
      <c r="H480" s="178"/>
      <c r="I480" s="178"/>
      <c r="J480" s="178">
        <f t="shared" si="129"/>
        <v>0</v>
      </c>
      <c r="K480" s="178"/>
      <c r="L480" s="178">
        <f t="shared" si="130"/>
        <v>0</v>
      </c>
      <c r="O480" s="176">
        <f t="shared" si="131"/>
        <v>0</v>
      </c>
      <c r="U480" s="571">
        <f t="shared" si="134"/>
        <v>6</v>
      </c>
      <c r="V480" s="293">
        <f>IF(U480=1,Adm!$AN$2,0)</f>
        <v>0</v>
      </c>
    </row>
    <row r="481" spans="3:22">
      <c r="C481" s="178">
        <f t="shared" si="128"/>
        <v>0</v>
      </c>
      <c r="D481" s="354">
        <f t="shared" si="132"/>
        <v>0</v>
      </c>
      <c r="E481" s="178">
        <f t="shared" si="133"/>
        <v>0</v>
      </c>
      <c r="F481" s="178">
        <f t="shared" si="135"/>
        <v>0</v>
      </c>
      <c r="G481" s="178">
        <f>IF(L480&lt;0.01,0,IF(Adm!$R$3=Adm!$R$6,0,IF(Adm!$S$10=Adm!$S$13,L480*Adm!$X$6,IF(Adm!$S$10=Adm!$S$11,L480*Adm!$X$3,IF(Adm!$S$10=Adm!$S$12,L480*Adm!$Y$3)))))</f>
        <v>0</v>
      </c>
      <c r="H481" s="178"/>
      <c r="I481" s="178"/>
      <c r="J481" s="178">
        <f t="shared" si="129"/>
        <v>0</v>
      </c>
      <c r="K481" s="178"/>
      <c r="L481" s="178">
        <f t="shared" si="130"/>
        <v>0</v>
      </c>
      <c r="O481" s="176">
        <f t="shared" si="131"/>
        <v>0</v>
      </c>
      <c r="U481" s="571">
        <f t="shared" si="134"/>
        <v>7</v>
      </c>
      <c r="V481" s="293">
        <f>IF(U481=1,Adm!$AN$2,0)</f>
        <v>0</v>
      </c>
    </row>
    <row r="482" spans="3:22">
      <c r="C482" s="178">
        <f t="shared" si="128"/>
        <v>0</v>
      </c>
      <c r="D482" s="354">
        <f t="shared" si="132"/>
        <v>0</v>
      </c>
      <c r="E482" s="178">
        <f t="shared" si="133"/>
        <v>0</v>
      </c>
      <c r="F482" s="178">
        <f t="shared" si="135"/>
        <v>0</v>
      </c>
      <c r="G482" s="178">
        <f>IF(L481&lt;0.01,0,IF(Adm!$R$3=Adm!$R$6,0,IF(Adm!$S$10=Adm!$S$13,L481*Adm!$X$6,IF(Adm!$S$10=Adm!$S$11,L481*Adm!$X$3,IF(Adm!$S$10=Adm!$S$12,L481*Adm!$Y$3)))))</f>
        <v>0</v>
      </c>
      <c r="H482" s="178"/>
      <c r="I482" s="178"/>
      <c r="J482" s="178">
        <f t="shared" si="129"/>
        <v>0</v>
      </c>
      <c r="K482" s="178"/>
      <c r="L482" s="178">
        <f t="shared" si="130"/>
        <v>0</v>
      </c>
      <c r="O482" s="176">
        <f t="shared" si="131"/>
        <v>0</v>
      </c>
      <c r="U482" s="571">
        <f t="shared" si="134"/>
        <v>8</v>
      </c>
      <c r="V482" s="293">
        <f>IF(U482=1,Adm!$AN$2,0)</f>
        <v>0</v>
      </c>
    </row>
    <row r="483" spans="3:22">
      <c r="C483" s="178">
        <f t="shared" si="128"/>
        <v>0</v>
      </c>
      <c r="D483" s="354">
        <f t="shared" si="132"/>
        <v>0</v>
      </c>
      <c r="E483" s="178">
        <f t="shared" si="133"/>
        <v>0</v>
      </c>
      <c r="F483" s="178">
        <f t="shared" si="135"/>
        <v>0</v>
      </c>
      <c r="G483" s="178">
        <f>IF(L482&lt;0.01,0,IF(Adm!$R$3=Adm!$R$6,0,IF(Adm!$S$10=Adm!$S$13,L482*Adm!$X$6,IF(Adm!$S$10=Adm!$S$11,L482*Adm!$X$3,IF(Adm!$S$10=Adm!$S$12,L482*Adm!$Y$3)))))</f>
        <v>0</v>
      </c>
      <c r="H483" s="178"/>
      <c r="I483" s="178"/>
      <c r="J483" s="178">
        <f t="shared" si="129"/>
        <v>0</v>
      </c>
      <c r="K483" s="178"/>
      <c r="L483" s="178">
        <f t="shared" si="130"/>
        <v>0</v>
      </c>
      <c r="O483" s="176">
        <f t="shared" si="131"/>
        <v>0</v>
      </c>
      <c r="U483" s="571">
        <f t="shared" si="134"/>
        <v>9</v>
      </c>
      <c r="V483" s="293">
        <f>IF(U483=1,Adm!$AN$2,0)</f>
        <v>0</v>
      </c>
    </row>
    <row r="484" spans="3:22">
      <c r="C484" s="178">
        <f t="shared" si="128"/>
        <v>0</v>
      </c>
      <c r="D484" s="354">
        <f t="shared" si="132"/>
        <v>0</v>
      </c>
      <c r="E484" s="178">
        <f t="shared" si="133"/>
        <v>0</v>
      </c>
      <c r="F484" s="178">
        <f t="shared" si="135"/>
        <v>0</v>
      </c>
      <c r="G484" s="178">
        <f>IF(L483&lt;0.01,0,IF(Adm!$R$3=Adm!$R$6,0,IF(Adm!$S$10=Adm!$S$13,L483*Adm!$X$6,IF(Adm!$S$10=Adm!$S$11,L483*Adm!$X$3,IF(Adm!$S$10=Adm!$S$12,L483*Adm!$Y$3)))))</f>
        <v>0</v>
      </c>
      <c r="H484" s="178"/>
      <c r="I484" s="178"/>
      <c r="J484" s="178">
        <f t="shared" si="129"/>
        <v>0</v>
      </c>
      <c r="K484" s="178"/>
      <c r="L484" s="178">
        <f t="shared" si="130"/>
        <v>0</v>
      </c>
      <c r="O484" s="176">
        <f t="shared" si="131"/>
        <v>0</v>
      </c>
      <c r="U484" s="571">
        <f t="shared" si="134"/>
        <v>10</v>
      </c>
      <c r="V484" s="293">
        <f>IF(U484=1,Adm!$AN$2,0)</f>
        <v>0</v>
      </c>
    </row>
    <row r="485" spans="3:22">
      <c r="C485" s="178">
        <f t="shared" si="128"/>
        <v>0</v>
      </c>
      <c r="D485" s="354">
        <f t="shared" si="132"/>
        <v>0</v>
      </c>
      <c r="E485" s="178">
        <f t="shared" si="133"/>
        <v>0</v>
      </c>
      <c r="F485" s="178">
        <f t="shared" si="135"/>
        <v>0</v>
      </c>
      <c r="G485" s="178">
        <f>IF(L484&lt;0.01,0,IF(Adm!$R$3=Adm!$R$6,0,IF(Adm!$S$10=Adm!$S$13,L484*Adm!$X$6,IF(Adm!$S$10=Adm!$S$11,L484*Adm!$X$3,IF(Adm!$S$10=Adm!$S$12,L484*Adm!$Y$3)))))</f>
        <v>0</v>
      </c>
      <c r="H485" s="178"/>
      <c r="I485" s="178"/>
      <c r="J485" s="178">
        <f t="shared" si="129"/>
        <v>0</v>
      </c>
      <c r="K485" s="178"/>
      <c r="L485" s="178">
        <f t="shared" si="130"/>
        <v>0</v>
      </c>
      <c r="O485" s="176">
        <f t="shared" si="131"/>
        <v>0</v>
      </c>
      <c r="U485" s="571">
        <f t="shared" si="134"/>
        <v>11</v>
      </c>
      <c r="V485" s="293">
        <f>IF(U485=1,Adm!$AN$2,0)</f>
        <v>0</v>
      </c>
    </row>
    <row r="486" spans="3:22">
      <c r="C486" s="178">
        <f t="shared" si="128"/>
        <v>0</v>
      </c>
      <c r="D486" s="354">
        <f t="shared" si="132"/>
        <v>0</v>
      </c>
      <c r="E486" s="178">
        <f t="shared" si="133"/>
        <v>0</v>
      </c>
      <c r="F486" s="178">
        <f t="shared" si="135"/>
        <v>0</v>
      </c>
      <c r="G486" s="178">
        <f>IF(L485&lt;0.01,0,IF(Adm!$R$3=Adm!$R$6,0,IF(Adm!$S$10=Adm!$S$13,L485*Adm!$X$6,IF(Adm!$S$10=Adm!$S$11,L485*Adm!$X$3,IF(Adm!$S$10=Adm!$S$12,L485*Adm!$Y$3)))))</f>
        <v>0</v>
      </c>
      <c r="H486" s="178"/>
      <c r="I486" s="178"/>
      <c r="J486" s="178">
        <f t="shared" si="129"/>
        <v>0</v>
      </c>
      <c r="K486" s="178"/>
      <c r="L486" s="178">
        <f t="shared" si="130"/>
        <v>0</v>
      </c>
      <c r="O486" s="176">
        <f t="shared" si="131"/>
        <v>0</v>
      </c>
      <c r="U486" s="571">
        <f t="shared" si="134"/>
        <v>12</v>
      </c>
      <c r="V486" s="293">
        <f>IF(U486=1,Adm!$AN$2,0)</f>
        <v>0</v>
      </c>
    </row>
    <row r="487" spans="3:22">
      <c r="C487" s="178">
        <f t="shared" si="128"/>
        <v>0</v>
      </c>
      <c r="D487" s="354">
        <f t="shared" si="132"/>
        <v>0</v>
      </c>
      <c r="E487" s="178">
        <f t="shared" si="133"/>
        <v>0</v>
      </c>
      <c r="F487" s="178">
        <f t="shared" si="135"/>
        <v>0</v>
      </c>
      <c r="G487" s="178">
        <f>IF(L486&lt;0.01,0,IF(Adm!$R$3=Adm!$R$6,0,IF(Adm!$S$10=Adm!$S$13,L486*Adm!$X$6,IF(Adm!$S$10=Adm!$S$11,L486*Adm!$X$3,IF(Adm!$S$10=Adm!$S$12,L486*Adm!$Y$3)))))</f>
        <v>0</v>
      </c>
      <c r="H487" s="178"/>
      <c r="I487" s="178"/>
      <c r="J487" s="178">
        <f t="shared" si="129"/>
        <v>0</v>
      </c>
      <c r="K487" s="178"/>
      <c r="L487" s="178">
        <f t="shared" si="130"/>
        <v>0</v>
      </c>
      <c r="O487" s="176">
        <f t="shared" si="131"/>
        <v>0</v>
      </c>
      <c r="U487" s="571">
        <f t="shared" si="134"/>
        <v>1</v>
      </c>
      <c r="V487" s="293">
        <f>IF(U487=1,Adm!$AN$2,0)</f>
        <v>0</v>
      </c>
    </row>
    <row r="488" spans="3:22">
      <c r="C488" s="178">
        <f t="shared" si="128"/>
        <v>0</v>
      </c>
      <c r="D488" s="354">
        <f t="shared" si="132"/>
        <v>0</v>
      </c>
      <c r="E488" s="178">
        <f t="shared" si="133"/>
        <v>0</v>
      </c>
      <c r="F488" s="178">
        <f t="shared" si="135"/>
        <v>0</v>
      </c>
      <c r="G488" s="178">
        <f>IF(L487&lt;0.01,0,IF(Adm!$R$3=Adm!$R$6,0,IF(Adm!$S$10=Adm!$S$13,L487*Adm!$X$6,IF(Adm!$S$10=Adm!$S$11,L487*Adm!$X$3,IF(Adm!$S$10=Adm!$S$12,L487*Adm!$Y$3)))))</f>
        <v>0</v>
      </c>
      <c r="H488" s="178"/>
      <c r="I488" s="178"/>
      <c r="J488" s="178">
        <f t="shared" si="129"/>
        <v>0</v>
      </c>
      <c r="K488" s="178"/>
      <c r="L488" s="178">
        <f t="shared" si="130"/>
        <v>0</v>
      </c>
      <c r="O488" s="176">
        <f t="shared" si="131"/>
        <v>0</v>
      </c>
      <c r="U488" s="571">
        <f t="shared" si="134"/>
        <v>2</v>
      </c>
      <c r="V488" s="293">
        <f>IF(U488=1,Adm!$AN$2,0)</f>
        <v>0</v>
      </c>
    </row>
    <row r="489" spans="3:22">
      <c r="C489" s="178">
        <f t="shared" si="128"/>
        <v>0</v>
      </c>
      <c r="D489" s="354">
        <f t="shared" si="132"/>
        <v>0</v>
      </c>
      <c r="E489" s="178">
        <f t="shared" si="133"/>
        <v>0</v>
      </c>
      <c r="F489" s="178">
        <f t="shared" si="135"/>
        <v>0</v>
      </c>
      <c r="G489" s="178">
        <f>IF(L488&lt;0.01,0,IF(Adm!$R$3=Adm!$R$6,0,IF(Adm!$S$10=Adm!$S$13,L488*Adm!$X$6,IF(Adm!$S$10=Adm!$S$11,L488*Adm!$X$3,IF(Adm!$S$10=Adm!$S$12,L488*Adm!$Y$3)))))</f>
        <v>0</v>
      </c>
      <c r="H489" s="178"/>
      <c r="I489" s="178"/>
      <c r="J489" s="178">
        <f t="shared" si="129"/>
        <v>0</v>
      </c>
      <c r="K489" s="178"/>
      <c r="L489" s="178">
        <f t="shared" si="130"/>
        <v>0</v>
      </c>
      <c r="O489" s="176">
        <f t="shared" si="131"/>
        <v>0</v>
      </c>
      <c r="U489" s="571">
        <f t="shared" si="134"/>
        <v>3</v>
      </c>
      <c r="V489" s="293">
        <f>IF(U489=1,Adm!$AN$2,0)</f>
        <v>0</v>
      </c>
    </row>
    <row r="490" spans="3:22">
      <c r="C490" s="178">
        <f t="shared" si="128"/>
        <v>0</v>
      </c>
      <c r="D490" s="354">
        <f t="shared" si="132"/>
        <v>0</v>
      </c>
      <c r="E490" s="178">
        <f t="shared" si="133"/>
        <v>0</v>
      </c>
      <c r="F490" s="178">
        <f t="shared" si="135"/>
        <v>0</v>
      </c>
      <c r="G490" s="178">
        <f>IF(L489&lt;0.01,0,IF(Adm!$R$3=Adm!$R$6,0,IF(Adm!$S$10=Adm!$S$13,L489*Adm!$X$6,IF(Adm!$S$10=Adm!$S$11,L489*Adm!$X$3,IF(Adm!$S$10=Adm!$S$12,L489*Adm!$Y$3)))))</f>
        <v>0</v>
      </c>
      <c r="H490" s="178"/>
      <c r="I490" s="178"/>
      <c r="J490" s="178">
        <f t="shared" si="129"/>
        <v>0</v>
      </c>
      <c r="K490" s="178"/>
      <c r="L490" s="178">
        <f t="shared" si="130"/>
        <v>0</v>
      </c>
      <c r="O490" s="176">
        <f t="shared" si="131"/>
        <v>0</v>
      </c>
      <c r="U490" s="571">
        <f t="shared" si="134"/>
        <v>4</v>
      </c>
      <c r="V490" s="293">
        <f>IF(U490=1,Adm!$AN$2,0)</f>
        <v>0</v>
      </c>
    </row>
    <row r="491" spans="3:22">
      <c r="C491" s="178">
        <f t="shared" si="128"/>
        <v>0</v>
      </c>
      <c r="D491" s="354">
        <f t="shared" si="132"/>
        <v>0</v>
      </c>
      <c r="E491" s="178">
        <f t="shared" si="133"/>
        <v>0</v>
      </c>
      <c r="F491" s="178">
        <f t="shared" si="135"/>
        <v>0</v>
      </c>
      <c r="G491" s="178">
        <f>IF(L490&lt;0.01,0,IF(Adm!$R$3=Adm!$R$6,0,IF(Adm!$S$10=Adm!$S$13,L490*Adm!$X$6,IF(Adm!$S$10=Adm!$S$11,L490*Adm!$X$3,IF(Adm!$S$10=Adm!$S$12,L490*Adm!$Y$3)))))</f>
        <v>0</v>
      </c>
      <c r="H491" s="178"/>
      <c r="I491" s="178"/>
      <c r="J491" s="178">
        <f t="shared" si="129"/>
        <v>0</v>
      </c>
      <c r="K491" s="178"/>
      <c r="L491" s="178">
        <f t="shared" si="130"/>
        <v>0</v>
      </c>
      <c r="O491" s="176">
        <f t="shared" si="131"/>
        <v>0</v>
      </c>
      <c r="U491" s="571">
        <f t="shared" si="134"/>
        <v>5</v>
      </c>
      <c r="V491" s="293">
        <f>IF(U491=1,Adm!$AN$2,0)</f>
        <v>0</v>
      </c>
    </row>
    <row r="492" spans="3:22">
      <c r="C492" s="178">
        <f t="shared" si="128"/>
        <v>0</v>
      </c>
      <c r="D492" s="354">
        <f t="shared" si="132"/>
        <v>0</v>
      </c>
      <c r="E492" s="178">
        <f t="shared" si="133"/>
        <v>0</v>
      </c>
      <c r="F492" s="178">
        <f t="shared" si="135"/>
        <v>0</v>
      </c>
      <c r="G492" s="178">
        <f>IF(L491&lt;0.01,0,IF(Adm!$R$3=Adm!$R$6,0,IF(Adm!$S$10=Adm!$S$13,L491*Adm!$X$6,IF(Adm!$S$10=Adm!$S$11,L491*Adm!$X$3,IF(Adm!$S$10=Adm!$S$12,L491*Adm!$Y$3)))))</f>
        <v>0</v>
      </c>
      <c r="H492" s="178"/>
      <c r="I492" s="178"/>
      <c r="J492" s="178">
        <f t="shared" si="129"/>
        <v>0</v>
      </c>
      <c r="K492" s="178"/>
      <c r="L492" s="178">
        <f t="shared" si="130"/>
        <v>0</v>
      </c>
      <c r="O492" s="176">
        <f t="shared" si="131"/>
        <v>0</v>
      </c>
      <c r="U492" s="571">
        <f t="shared" si="134"/>
        <v>6</v>
      </c>
      <c r="V492" s="293">
        <f>IF(U492=1,Adm!$AN$2,0)</f>
        <v>0</v>
      </c>
    </row>
    <row r="493" spans="3:22">
      <c r="C493" s="178">
        <f t="shared" si="128"/>
        <v>0</v>
      </c>
      <c r="D493" s="354">
        <f t="shared" si="132"/>
        <v>0</v>
      </c>
      <c r="E493" s="178">
        <f t="shared" si="133"/>
        <v>0</v>
      </c>
      <c r="F493" s="178">
        <f t="shared" si="135"/>
        <v>0</v>
      </c>
      <c r="G493" s="178">
        <f>IF(L492&lt;0.01,0,IF(Adm!$R$3=Adm!$R$6,0,IF(Adm!$S$10=Adm!$S$13,L492*Adm!$X$6,IF(Adm!$S$10=Adm!$S$11,L492*Adm!$X$3,IF(Adm!$S$10=Adm!$S$12,L492*Adm!$Y$3)))))</f>
        <v>0</v>
      </c>
      <c r="H493" s="178"/>
      <c r="I493" s="178"/>
      <c r="J493" s="178">
        <f t="shared" si="129"/>
        <v>0</v>
      </c>
      <c r="K493" s="178"/>
      <c r="L493" s="178">
        <f t="shared" si="130"/>
        <v>0</v>
      </c>
      <c r="O493" s="176">
        <f t="shared" si="131"/>
        <v>0</v>
      </c>
      <c r="U493" s="571">
        <f t="shared" si="134"/>
        <v>7</v>
      </c>
      <c r="V493" s="293">
        <f>IF(U493=1,Adm!$AN$2,0)</f>
        <v>0</v>
      </c>
    </row>
    <row r="494" spans="3:22">
      <c r="C494" s="178">
        <f t="shared" si="128"/>
        <v>0</v>
      </c>
      <c r="D494" s="354">
        <f t="shared" si="132"/>
        <v>0</v>
      </c>
      <c r="E494" s="178">
        <f t="shared" si="133"/>
        <v>0</v>
      </c>
      <c r="F494" s="178">
        <f t="shared" si="135"/>
        <v>0</v>
      </c>
      <c r="G494" s="178">
        <f>IF(L493&lt;0.01,0,IF(Adm!$R$3=Adm!$R$6,0,IF(Adm!$S$10=Adm!$S$13,L493*Adm!$X$6,IF(Adm!$S$10=Adm!$S$11,L493*Adm!$X$3,IF(Adm!$S$10=Adm!$S$12,L493*Adm!$Y$3)))))</f>
        <v>0</v>
      </c>
      <c r="H494" s="178"/>
      <c r="I494" s="178"/>
      <c r="J494" s="178">
        <f t="shared" si="129"/>
        <v>0</v>
      </c>
      <c r="K494" s="178"/>
      <c r="L494" s="178">
        <f t="shared" si="130"/>
        <v>0</v>
      </c>
      <c r="O494" s="176">
        <f t="shared" si="131"/>
        <v>0</v>
      </c>
      <c r="U494" s="571">
        <f t="shared" si="134"/>
        <v>8</v>
      </c>
      <c r="V494" s="293">
        <f>IF(U494=1,Adm!$AN$2,0)</f>
        <v>0</v>
      </c>
    </row>
    <row r="495" spans="3:22">
      <c r="C495" s="178">
        <f t="shared" si="128"/>
        <v>0</v>
      </c>
      <c r="D495" s="354">
        <f t="shared" si="132"/>
        <v>0</v>
      </c>
      <c r="E495" s="178">
        <f t="shared" si="133"/>
        <v>0</v>
      </c>
      <c r="F495" s="178">
        <f t="shared" si="135"/>
        <v>0</v>
      </c>
      <c r="G495" s="178">
        <f>IF(L494&lt;0.01,0,IF(Adm!$R$3=Adm!$R$6,0,IF(Adm!$S$10=Adm!$S$13,L494*Adm!$X$6,IF(Adm!$S$10=Adm!$S$11,L494*Adm!$X$3,IF(Adm!$S$10=Adm!$S$12,L494*Adm!$Y$3)))))</f>
        <v>0</v>
      </c>
      <c r="H495" s="178"/>
      <c r="I495" s="178"/>
      <c r="J495" s="178">
        <f t="shared" si="129"/>
        <v>0</v>
      </c>
      <c r="K495" s="178"/>
      <c r="L495" s="178">
        <f t="shared" si="130"/>
        <v>0</v>
      </c>
      <c r="O495" s="176">
        <f t="shared" si="131"/>
        <v>0</v>
      </c>
      <c r="U495" s="571">
        <f t="shared" si="134"/>
        <v>9</v>
      </c>
      <c r="V495" s="293">
        <f>IF(U495=1,Adm!$AN$2,0)</f>
        <v>0</v>
      </c>
    </row>
    <row r="496" spans="3:22">
      <c r="C496" s="178">
        <f t="shared" si="128"/>
        <v>0</v>
      </c>
      <c r="D496" s="354">
        <f t="shared" si="132"/>
        <v>0</v>
      </c>
      <c r="E496" s="178">
        <f t="shared" si="133"/>
        <v>0</v>
      </c>
      <c r="F496" s="178">
        <f t="shared" si="135"/>
        <v>0</v>
      </c>
      <c r="G496" s="178">
        <f>IF(L495&lt;0.01,0,IF(Adm!$R$3=Adm!$R$6,0,IF(Adm!$S$10=Adm!$S$13,L495*Adm!$X$6,IF(Adm!$S$10=Adm!$S$11,L495*Adm!$X$3,IF(Adm!$S$10=Adm!$S$12,L495*Adm!$Y$3)))))</f>
        <v>0</v>
      </c>
      <c r="H496" s="178"/>
      <c r="I496" s="178"/>
      <c r="J496" s="178">
        <f t="shared" si="129"/>
        <v>0</v>
      </c>
      <c r="K496" s="178"/>
      <c r="L496" s="178">
        <f t="shared" si="130"/>
        <v>0</v>
      </c>
      <c r="O496" s="176">
        <f t="shared" si="131"/>
        <v>0</v>
      </c>
      <c r="U496" s="571">
        <f t="shared" si="134"/>
        <v>10</v>
      </c>
      <c r="V496" s="293">
        <f>IF(U496=1,Adm!$AN$2,0)</f>
        <v>0</v>
      </c>
    </row>
    <row r="497" spans="3:22">
      <c r="C497" s="178">
        <f t="shared" si="128"/>
        <v>0</v>
      </c>
      <c r="D497" s="354">
        <f t="shared" si="132"/>
        <v>0</v>
      </c>
      <c r="E497" s="178">
        <f t="shared" si="133"/>
        <v>0</v>
      </c>
      <c r="F497" s="178">
        <f t="shared" si="135"/>
        <v>0</v>
      </c>
      <c r="G497" s="178">
        <f>IF(L496&lt;0.01,0,IF(Adm!$R$3=Adm!$R$6,0,IF(Adm!$S$10=Adm!$S$13,L496*Adm!$X$6,IF(Adm!$S$10=Adm!$S$11,L496*Adm!$X$3,IF(Adm!$S$10=Adm!$S$12,L496*Adm!$Y$3)))))</f>
        <v>0</v>
      </c>
      <c r="H497" s="178"/>
      <c r="I497" s="178"/>
      <c r="J497" s="178">
        <f t="shared" si="129"/>
        <v>0</v>
      </c>
      <c r="K497" s="178"/>
      <c r="L497" s="178">
        <f t="shared" si="130"/>
        <v>0</v>
      </c>
      <c r="O497" s="176">
        <f t="shared" si="131"/>
        <v>0</v>
      </c>
      <c r="U497" s="571">
        <f t="shared" si="134"/>
        <v>11</v>
      </c>
      <c r="V497" s="293">
        <f>IF(U497=1,Adm!$AN$2,0)</f>
        <v>0</v>
      </c>
    </row>
    <row r="498" spans="3:22">
      <c r="C498" s="178">
        <f t="shared" si="128"/>
        <v>0</v>
      </c>
      <c r="D498" s="354">
        <f t="shared" si="132"/>
        <v>0</v>
      </c>
      <c r="E498" s="178">
        <f t="shared" si="133"/>
        <v>0</v>
      </c>
      <c r="F498" s="178">
        <f t="shared" si="135"/>
        <v>0</v>
      </c>
      <c r="G498" s="178">
        <f>IF(L497&lt;0.01,0,IF(Adm!$R$3=Adm!$R$6,0,IF(Adm!$S$10=Adm!$S$13,L497*Adm!$X$6,IF(Adm!$S$10=Adm!$S$11,L497*Adm!$X$3,IF(Adm!$S$10=Adm!$S$12,L497*Adm!$Y$3)))))</f>
        <v>0</v>
      </c>
      <c r="H498" s="178"/>
      <c r="I498" s="178"/>
      <c r="J498" s="178">
        <f t="shared" si="129"/>
        <v>0</v>
      </c>
      <c r="K498" s="178"/>
      <c r="L498" s="178">
        <f t="shared" si="130"/>
        <v>0</v>
      </c>
      <c r="O498" s="176">
        <f t="shared" si="131"/>
        <v>0</v>
      </c>
      <c r="U498" s="571">
        <f t="shared" si="134"/>
        <v>12</v>
      </c>
      <c r="V498" s="293">
        <f>IF(U498=1,Adm!$AN$2,0)</f>
        <v>0</v>
      </c>
    </row>
    <row r="499" spans="3:22">
      <c r="C499" s="178">
        <f t="shared" si="128"/>
        <v>0</v>
      </c>
      <c r="D499" s="354">
        <f t="shared" si="132"/>
        <v>0</v>
      </c>
      <c r="E499" s="178">
        <f t="shared" si="133"/>
        <v>0</v>
      </c>
      <c r="F499" s="178">
        <f t="shared" si="135"/>
        <v>0</v>
      </c>
      <c r="G499" s="178">
        <f>IF(L498&lt;0.01,0,IF(Adm!$R$3=Adm!$R$6,0,IF(Adm!$S$10=Adm!$S$13,L498*Adm!$X$6,IF(Adm!$S$10=Adm!$S$11,L498*Adm!$X$3,IF(Adm!$S$10=Adm!$S$12,L498*Adm!$Y$3)))))</f>
        <v>0</v>
      </c>
      <c r="H499" s="178"/>
      <c r="I499" s="178"/>
      <c r="J499" s="178">
        <f t="shared" si="129"/>
        <v>0</v>
      </c>
      <c r="K499" s="178"/>
      <c r="L499" s="178">
        <f t="shared" si="130"/>
        <v>0</v>
      </c>
      <c r="O499" s="176">
        <f t="shared" si="131"/>
        <v>0</v>
      </c>
      <c r="U499" s="571">
        <f t="shared" si="134"/>
        <v>1</v>
      </c>
      <c r="V499" s="293">
        <f>IF(U499=1,Adm!$AN$2,0)</f>
        <v>0</v>
      </c>
    </row>
    <row r="500" spans="3:22">
      <c r="C500" s="178">
        <f t="shared" si="128"/>
        <v>0</v>
      </c>
      <c r="D500" s="354">
        <f t="shared" si="132"/>
        <v>0</v>
      </c>
      <c r="E500" s="178">
        <f t="shared" si="133"/>
        <v>0</v>
      </c>
      <c r="F500" s="178">
        <f t="shared" si="135"/>
        <v>0</v>
      </c>
      <c r="G500" s="178">
        <f>IF(L499&lt;0.01,0,IF(Adm!$R$3=Adm!$R$6,0,IF(Adm!$S$10=Adm!$S$13,L499*Adm!$X$6,IF(Adm!$S$10=Adm!$S$11,L499*Adm!$X$3,IF(Adm!$S$10=Adm!$S$12,L499*Adm!$Y$3)))))</f>
        <v>0</v>
      </c>
      <c r="H500" s="178"/>
      <c r="I500" s="178"/>
      <c r="J500" s="178">
        <f t="shared" si="129"/>
        <v>0</v>
      </c>
      <c r="K500" s="178"/>
      <c r="L500" s="178">
        <f t="shared" si="130"/>
        <v>0</v>
      </c>
      <c r="O500" s="176">
        <f t="shared" si="131"/>
        <v>0</v>
      </c>
      <c r="U500" s="571">
        <f t="shared" si="134"/>
        <v>2</v>
      </c>
      <c r="V500" s="293">
        <f>IF(U500=1,Adm!$AN$2,0)</f>
        <v>0</v>
      </c>
    </row>
    <row r="501" spans="3:22">
      <c r="C501" s="178">
        <f t="shared" si="128"/>
        <v>0</v>
      </c>
      <c r="D501" s="354">
        <f t="shared" si="132"/>
        <v>0</v>
      </c>
      <c r="E501" s="178">
        <f t="shared" si="133"/>
        <v>0</v>
      </c>
      <c r="F501" s="178">
        <f t="shared" si="135"/>
        <v>0</v>
      </c>
      <c r="G501" s="178">
        <f>IF(L500&lt;0.01,0,IF(Adm!$R$3=Adm!$R$6,0,IF(Adm!$S$10=Adm!$S$13,L500*Adm!$X$6,IF(Adm!$S$10=Adm!$S$11,L500*Adm!$X$3,IF(Adm!$S$10=Adm!$S$12,L500*Adm!$Y$3)))))</f>
        <v>0</v>
      </c>
      <c r="H501" s="178"/>
      <c r="I501" s="178"/>
      <c r="J501" s="178">
        <f t="shared" si="129"/>
        <v>0</v>
      </c>
      <c r="K501" s="178"/>
      <c r="L501" s="178">
        <f t="shared" si="130"/>
        <v>0</v>
      </c>
      <c r="O501" s="176">
        <f t="shared" si="131"/>
        <v>0</v>
      </c>
      <c r="U501" s="571">
        <f t="shared" si="134"/>
        <v>3</v>
      </c>
      <c r="V501" s="293">
        <f>IF(U501=1,Adm!$AN$2,0)</f>
        <v>0</v>
      </c>
    </row>
    <row r="502" spans="3:22">
      <c r="C502" s="178">
        <f t="shared" si="128"/>
        <v>0</v>
      </c>
      <c r="D502" s="354">
        <f t="shared" si="132"/>
        <v>0</v>
      </c>
      <c r="E502" s="178">
        <f t="shared" si="133"/>
        <v>0</v>
      </c>
      <c r="F502" s="178">
        <f t="shared" si="135"/>
        <v>0</v>
      </c>
      <c r="G502" s="178">
        <f>IF(L501&lt;0.01,0,IF(Adm!$R$3=Adm!$R$6,0,IF(Adm!$S$10=Adm!$S$13,L501*Adm!$X$6,IF(Adm!$S$10=Adm!$S$11,L501*Adm!$X$3,IF(Adm!$S$10=Adm!$S$12,L501*Adm!$Y$3)))))</f>
        <v>0</v>
      </c>
      <c r="H502" s="178"/>
      <c r="I502" s="178"/>
      <c r="J502" s="178">
        <f t="shared" si="129"/>
        <v>0</v>
      </c>
      <c r="K502" s="178"/>
      <c r="L502" s="178">
        <f t="shared" si="130"/>
        <v>0</v>
      </c>
      <c r="O502" s="176">
        <f t="shared" si="131"/>
        <v>0</v>
      </c>
      <c r="U502" s="571">
        <f t="shared" si="134"/>
        <v>4</v>
      </c>
      <c r="V502" s="293">
        <f>IF(U502=1,Adm!$AN$2,0)</f>
        <v>0</v>
      </c>
    </row>
    <row r="503" spans="3:22">
      <c r="C503" s="178">
        <f t="shared" si="128"/>
        <v>0</v>
      </c>
      <c r="D503" s="354">
        <f t="shared" si="132"/>
        <v>0</v>
      </c>
      <c r="E503" s="178">
        <f t="shared" si="133"/>
        <v>0</v>
      </c>
      <c r="F503" s="178">
        <f t="shared" si="135"/>
        <v>0</v>
      </c>
      <c r="G503" s="178">
        <f>IF(L502&lt;0.01,0,IF(Adm!$R$3=Adm!$R$6,0,IF(Adm!$S$10=Adm!$S$13,L502*Adm!$X$6,IF(Adm!$S$10=Adm!$S$11,L502*Adm!$X$3,IF(Adm!$S$10=Adm!$S$12,L502*Adm!$Y$3)))))</f>
        <v>0</v>
      </c>
      <c r="H503" s="178"/>
      <c r="I503" s="178"/>
      <c r="J503" s="178">
        <f t="shared" si="129"/>
        <v>0</v>
      </c>
      <c r="K503" s="178"/>
      <c r="L503" s="178">
        <f t="shared" si="130"/>
        <v>0</v>
      </c>
      <c r="O503" s="176">
        <f t="shared" si="131"/>
        <v>0</v>
      </c>
      <c r="U503" s="571">
        <f t="shared" si="134"/>
        <v>5</v>
      </c>
      <c r="V503" s="293">
        <f>IF(U503=1,Adm!$AN$2,0)</f>
        <v>0</v>
      </c>
    </row>
    <row r="504" spans="3:22">
      <c r="C504" s="178">
        <f t="shared" si="128"/>
        <v>0</v>
      </c>
      <c r="D504" s="354">
        <f t="shared" si="132"/>
        <v>0</v>
      </c>
      <c r="E504" s="178">
        <f t="shared" si="133"/>
        <v>0</v>
      </c>
      <c r="F504" s="178">
        <f t="shared" si="135"/>
        <v>0</v>
      </c>
      <c r="G504" s="178">
        <f>IF(L503&lt;0.01,0,IF(Adm!$R$3=Adm!$R$6,0,IF(Adm!$S$10=Adm!$S$13,L503*Adm!$X$6,IF(Adm!$S$10=Adm!$S$11,L503*Adm!$X$3,IF(Adm!$S$10=Adm!$S$12,L503*Adm!$Y$3)))))</f>
        <v>0</v>
      </c>
      <c r="H504" s="178"/>
      <c r="I504" s="178"/>
      <c r="J504" s="178">
        <f t="shared" si="129"/>
        <v>0</v>
      </c>
      <c r="K504" s="178"/>
      <c r="L504" s="178">
        <f t="shared" si="130"/>
        <v>0</v>
      </c>
      <c r="O504" s="176">
        <f t="shared" si="131"/>
        <v>0</v>
      </c>
      <c r="U504" s="571">
        <f t="shared" si="134"/>
        <v>6</v>
      </c>
      <c r="V504" s="293">
        <f>IF(U504=1,Adm!$AN$2,0)</f>
        <v>0</v>
      </c>
    </row>
    <row r="505" spans="3:22">
      <c r="C505" s="178">
        <f t="shared" si="128"/>
        <v>0</v>
      </c>
      <c r="D505" s="354">
        <f t="shared" si="132"/>
        <v>0</v>
      </c>
      <c r="E505" s="178">
        <f t="shared" si="133"/>
        <v>0</v>
      </c>
      <c r="F505" s="178">
        <f t="shared" si="135"/>
        <v>0</v>
      </c>
      <c r="G505" s="178">
        <f>IF(L504&lt;0.01,0,IF(Adm!$R$3=Adm!$R$6,0,IF(Adm!$S$10=Adm!$S$13,L504*Adm!$X$6,IF(Adm!$S$10=Adm!$S$11,L504*Adm!$X$3,IF(Adm!$S$10=Adm!$S$12,L504*Adm!$Y$3)))))</f>
        <v>0</v>
      </c>
      <c r="H505" s="178"/>
      <c r="I505" s="178"/>
      <c r="J505" s="178">
        <f t="shared" si="129"/>
        <v>0</v>
      </c>
      <c r="K505" s="178"/>
      <c r="L505" s="178">
        <f t="shared" si="130"/>
        <v>0</v>
      </c>
      <c r="O505" s="176">
        <f t="shared" si="131"/>
        <v>0</v>
      </c>
      <c r="U505" s="571">
        <f t="shared" si="134"/>
        <v>7</v>
      </c>
      <c r="V505" s="293">
        <f>IF(U505=1,Adm!$AN$2,0)</f>
        <v>0</v>
      </c>
    </row>
    <row r="506" spans="3:22">
      <c r="C506" s="178">
        <f t="shared" si="128"/>
        <v>0</v>
      </c>
      <c r="D506" s="354">
        <f t="shared" si="132"/>
        <v>0</v>
      </c>
      <c r="E506" s="178">
        <f t="shared" si="133"/>
        <v>0</v>
      </c>
      <c r="F506" s="178">
        <f t="shared" si="135"/>
        <v>0</v>
      </c>
      <c r="G506" s="178">
        <f>IF(L505&lt;0.01,0,IF(Adm!$R$3=Adm!$R$6,0,IF(Adm!$S$10=Adm!$S$13,L505*Adm!$X$6,IF(Adm!$S$10=Adm!$S$11,L505*Adm!$X$3,IF(Adm!$S$10=Adm!$S$12,L505*Adm!$Y$3)))))</f>
        <v>0</v>
      </c>
      <c r="H506" s="178"/>
      <c r="I506" s="178"/>
      <c r="J506" s="178">
        <f t="shared" si="129"/>
        <v>0</v>
      </c>
      <c r="K506" s="178"/>
      <c r="L506" s="178">
        <f t="shared" si="130"/>
        <v>0</v>
      </c>
      <c r="O506" s="176">
        <f t="shared" si="131"/>
        <v>0</v>
      </c>
      <c r="U506" s="571">
        <f t="shared" si="134"/>
        <v>8</v>
      </c>
      <c r="V506" s="293">
        <f>IF(U506=1,Adm!$AN$2,0)</f>
        <v>0</v>
      </c>
    </row>
    <row r="507" spans="3:22">
      <c r="C507" s="178">
        <f t="shared" si="128"/>
        <v>0</v>
      </c>
      <c r="D507" s="354">
        <f t="shared" si="132"/>
        <v>0</v>
      </c>
      <c r="E507" s="178">
        <f t="shared" si="133"/>
        <v>0</v>
      </c>
      <c r="F507" s="178">
        <f t="shared" si="135"/>
        <v>0</v>
      </c>
      <c r="G507" s="178">
        <f>IF(L506&lt;0.01,0,IF(Adm!$R$3=Adm!$R$6,0,IF(Adm!$S$10=Adm!$S$13,L506*Adm!$X$6,IF(Adm!$S$10=Adm!$S$11,L506*Adm!$X$3,IF(Adm!$S$10=Adm!$S$12,L506*Adm!$Y$3)))))</f>
        <v>0</v>
      </c>
      <c r="H507" s="178"/>
      <c r="I507" s="178"/>
      <c r="J507" s="178">
        <f t="shared" si="129"/>
        <v>0</v>
      </c>
      <c r="K507" s="178"/>
      <c r="L507" s="178">
        <f t="shared" si="130"/>
        <v>0</v>
      </c>
      <c r="O507" s="176">
        <f t="shared" si="131"/>
        <v>0</v>
      </c>
      <c r="U507" s="571">
        <f t="shared" si="134"/>
        <v>9</v>
      </c>
      <c r="V507" s="293">
        <f>IF(U507=1,Adm!$AN$2,0)</f>
        <v>0</v>
      </c>
    </row>
    <row r="508" spans="3:22">
      <c r="C508" s="178">
        <f t="shared" si="128"/>
        <v>0</v>
      </c>
      <c r="D508" s="354">
        <f t="shared" si="132"/>
        <v>0</v>
      </c>
      <c r="E508" s="178">
        <f t="shared" si="133"/>
        <v>0</v>
      </c>
      <c r="F508" s="178">
        <f t="shared" si="135"/>
        <v>0</v>
      </c>
      <c r="G508" s="178">
        <f>IF(L507&lt;0.01,0,IF(Adm!$R$3=Adm!$R$6,0,IF(Adm!$S$10=Adm!$S$13,L507*Adm!$X$6,IF(Adm!$S$10=Adm!$S$11,L507*Adm!$X$3,IF(Adm!$S$10=Adm!$S$12,L507*Adm!$Y$3)))))</f>
        <v>0</v>
      </c>
      <c r="H508" s="178"/>
      <c r="I508" s="178"/>
      <c r="J508" s="178">
        <f t="shared" si="129"/>
        <v>0</v>
      </c>
      <c r="K508" s="178"/>
      <c r="L508" s="178">
        <f t="shared" si="130"/>
        <v>0</v>
      </c>
      <c r="O508" s="176">
        <f t="shared" si="131"/>
        <v>0</v>
      </c>
      <c r="U508" s="571">
        <f t="shared" si="134"/>
        <v>10</v>
      </c>
      <c r="V508" s="293">
        <f>IF(U508=1,Adm!$AN$2,0)</f>
        <v>0</v>
      </c>
    </row>
    <row r="509" spans="3:22">
      <c r="C509" s="178">
        <f t="shared" si="128"/>
        <v>0</v>
      </c>
      <c r="D509" s="354">
        <f t="shared" si="132"/>
        <v>0</v>
      </c>
      <c r="E509" s="178">
        <f t="shared" si="133"/>
        <v>0</v>
      </c>
      <c r="F509" s="178">
        <f t="shared" si="135"/>
        <v>0</v>
      </c>
      <c r="G509" s="178">
        <f>IF(L508&lt;0.01,0,IF(Adm!$R$3=Adm!$R$6,0,IF(Adm!$S$10=Adm!$S$13,L508*Adm!$X$6,IF(Adm!$S$10=Adm!$S$11,L508*Adm!$X$3,IF(Adm!$S$10=Adm!$S$12,L508*Adm!$Y$3)))))</f>
        <v>0</v>
      </c>
      <c r="H509" s="178"/>
      <c r="I509" s="178"/>
      <c r="J509" s="178">
        <f t="shared" si="129"/>
        <v>0</v>
      </c>
      <c r="K509" s="178"/>
      <c r="L509" s="178">
        <f t="shared" si="130"/>
        <v>0</v>
      </c>
      <c r="O509" s="176">
        <f t="shared" si="131"/>
        <v>0</v>
      </c>
      <c r="U509" s="571">
        <f t="shared" si="134"/>
        <v>11</v>
      </c>
      <c r="V509" s="293">
        <f>IF(U509=1,Adm!$AN$2,0)</f>
        <v>0</v>
      </c>
    </row>
    <row r="510" spans="3:22">
      <c r="C510" s="178">
        <f t="shared" si="128"/>
        <v>0</v>
      </c>
      <c r="D510" s="354">
        <f t="shared" si="132"/>
        <v>0</v>
      </c>
      <c r="E510" s="178">
        <f t="shared" si="133"/>
        <v>0</v>
      </c>
      <c r="F510" s="178">
        <f t="shared" si="135"/>
        <v>0</v>
      </c>
      <c r="G510" s="178">
        <f>IF(L509&lt;0.01,0,IF(Adm!$R$3=Adm!$R$6,0,IF(Adm!$S$10=Adm!$S$13,L509*Adm!$X$6,IF(Adm!$S$10=Adm!$S$11,L509*Adm!$X$3,IF(Adm!$S$10=Adm!$S$12,L509*Adm!$Y$3)))))</f>
        <v>0</v>
      </c>
      <c r="H510" s="178"/>
      <c r="I510" s="178"/>
      <c r="J510" s="178">
        <f t="shared" si="129"/>
        <v>0</v>
      </c>
      <c r="K510" s="178"/>
      <c r="L510" s="178">
        <f t="shared" si="130"/>
        <v>0</v>
      </c>
      <c r="O510" s="176">
        <f t="shared" si="131"/>
        <v>0</v>
      </c>
      <c r="U510" s="571">
        <f t="shared" si="134"/>
        <v>12</v>
      </c>
      <c r="V510" s="293">
        <f>IF(U510=1,Adm!$AN$2,0)</f>
        <v>0</v>
      </c>
    </row>
    <row r="511" spans="3:22">
      <c r="C511" s="178">
        <f t="shared" si="128"/>
        <v>0</v>
      </c>
      <c r="D511" s="354">
        <f t="shared" si="132"/>
        <v>0</v>
      </c>
      <c r="E511" s="178">
        <f t="shared" si="133"/>
        <v>0</v>
      </c>
      <c r="F511" s="178">
        <f t="shared" si="135"/>
        <v>0</v>
      </c>
      <c r="G511" s="178">
        <f>IF(L510&lt;0.01,0,IF(Adm!$R$3=Adm!$R$6,0,IF(Adm!$S$10=Adm!$S$13,L510*Adm!$X$6,IF(Adm!$S$10=Adm!$S$11,L510*Adm!$X$3,IF(Adm!$S$10=Adm!$S$12,L510*Adm!$Y$3)))))</f>
        <v>0</v>
      </c>
      <c r="H511" s="178"/>
      <c r="I511" s="178"/>
      <c r="J511" s="178">
        <f t="shared" si="129"/>
        <v>0</v>
      </c>
      <c r="K511" s="178"/>
      <c r="L511" s="178">
        <f t="shared" si="130"/>
        <v>0</v>
      </c>
      <c r="O511" s="176">
        <f t="shared" si="131"/>
        <v>0</v>
      </c>
      <c r="U511" s="571">
        <f t="shared" si="134"/>
        <v>1</v>
      </c>
      <c r="V511" s="293">
        <f>IF(U511=1,Adm!$AN$2,0)</f>
        <v>0</v>
      </c>
    </row>
    <row r="512" spans="3:22">
      <c r="C512" s="178">
        <f t="shared" si="128"/>
        <v>0</v>
      </c>
      <c r="D512" s="354">
        <f t="shared" si="132"/>
        <v>0</v>
      </c>
      <c r="E512" s="178">
        <f t="shared" si="133"/>
        <v>0</v>
      </c>
      <c r="F512" s="178">
        <f t="shared" si="135"/>
        <v>0</v>
      </c>
      <c r="G512" s="178">
        <f>IF(L511&lt;0.01,0,IF(Adm!$R$3=Adm!$R$6,0,IF(Adm!$S$10=Adm!$S$13,L511*Adm!$X$6,IF(Adm!$S$10=Adm!$S$11,L511*Adm!$X$3,IF(Adm!$S$10=Adm!$S$12,L511*Adm!$Y$3)))))</f>
        <v>0</v>
      </c>
      <c r="H512" s="178"/>
      <c r="I512" s="178"/>
      <c r="J512" s="178">
        <f t="shared" si="129"/>
        <v>0</v>
      </c>
      <c r="K512" s="178"/>
      <c r="L512" s="178">
        <f t="shared" si="130"/>
        <v>0</v>
      </c>
      <c r="O512" s="176">
        <f t="shared" si="131"/>
        <v>0</v>
      </c>
      <c r="U512" s="571">
        <f t="shared" si="134"/>
        <v>2</v>
      </c>
      <c r="V512" s="293">
        <f>IF(U512=1,Adm!$AN$2,0)</f>
        <v>0</v>
      </c>
    </row>
    <row r="513" spans="3:22">
      <c r="C513" s="178">
        <f t="shared" si="128"/>
        <v>0</v>
      </c>
      <c r="D513" s="354">
        <f t="shared" si="132"/>
        <v>0</v>
      </c>
      <c r="E513" s="178">
        <f t="shared" si="133"/>
        <v>0</v>
      </c>
      <c r="F513" s="178">
        <f t="shared" si="135"/>
        <v>0</v>
      </c>
      <c r="G513" s="178">
        <f>IF(L512&lt;0.01,0,IF(Adm!$R$3=Adm!$R$6,0,IF(Adm!$S$10=Adm!$S$13,L512*Adm!$X$6,IF(Adm!$S$10=Adm!$S$11,L512*Adm!$X$3,IF(Adm!$S$10=Adm!$S$12,L512*Adm!$Y$3)))))</f>
        <v>0</v>
      </c>
      <c r="H513" s="178"/>
      <c r="I513" s="178"/>
      <c r="J513" s="178">
        <f t="shared" si="129"/>
        <v>0</v>
      </c>
      <c r="K513" s="178"/>
      <c r="L513" s="178">
        <f t="shared" si="130"/>
        <v>0</v>
      </c>
      <c r="O513" s="176">
        <f t="shared" si="131"/>
        <v>0</v>
      </c>
      <c r="U513" s="571">
        <f t="shared" si="134"/>
        <v>3</v>
      </c>
      <c r="V513" s="293">
        <f>IF(U513=1,Adm!$AN$2,0)</f>
        <v>0</v>
      </c>
    </row>
    <row r="514" spans="3:22">
      <c r="C514" s="178">
        <f t="shared" si="128"/>
        <v>0</v>
      </c>
      <c r="D514" s="354">
        <f t="shared" si="132"/>
        <v>0</v>
      </c>
      <c r="E514" s="178">
        <f t="shared" si="133"/>
        <v>0</v>
      </c>
      <c r="F514" s="178">
        <f t="shared" si="135"/>
        <v>0</v>
      </c>
      <c r="G514" s="178">
        <f>IF(L513&lt;0.01,0,IF(Adm!$R$3=Adm!$R$6,0,IF(Adm!$S$10=Adm!$S$13,L513*Adm!$X$6,IF(Adm!$S$10=Adm!$S$11,L513*Adm!$X$3,IF(Adm!$S$10=Adm!$S$12,L513*Adm!$Y$3)))))</f>
        <v>0</v>
      </c>
      <c r="H514" s="178"/>
      <c r="I514" s="178"/>
      <c r="J514" s="178">
        <f t="shared" si="129"/>
        <v>0</v>
      </c>
      <c r="K514" s="178"/>
      <c r="L514" s="178">
        <f t="shared" si="130"/>
        <v>0</v>
      </c>
      <c r="O514" s="176">
        <f t="shared" si="131"/>
        <v>0</v>
      </c>
      <c r="U514" s="571">
        <f t="shared" si="134"/>
        <v>4</v>
      </c>
      <c r="V514" s="293">
        <f>IF(U514=1,Adm!$AN$2,0)</f>
        <v>0</v>
      </c>
    </row>
    <row r="515" spans="3:22">
      <c r="C515" s="178">
        <f t="shared" si="128"/>
        <v>0</v>
      </c>
      <c r="D515" s="354">
        <f t="shared" si="132"/>
        <v>0</v>
      </c>
      <c r="E515" s="178">
        <f t="shared" si="133"/>
        <v>0</v>
      </c>
      <c r="F515" s="178">
        <f t="shared" si="135"/>
        <v>0</v>
      </c>
      <c r="G515" s="178">
        <f>IF(L514&lt;0.01,0,IF(Adm!$R$3=Adm!$R$6,0,IF(Adm!$S$10=Adm!$S$13,L514*Adm!$X$6,IF(Adm!$S$10=Adm!$S$11,L514*Adm!$X$3,IF(Adm!$S$10=Adm!$S$12,L514*Adm!$Y$3)))))</f>
        <v>0</v>
      </c>
      <c r="H515" s="178"/>
      <c r="I515" s="178"/>
      <c r="J515" s="178">
        <f t="shared" si="129"/>
        <v>0</v>
      </c>
      <c r="K515" s="178"/>
      <c r="L515" s="178">
        <f t="shared" si="130"/>
        <v>0</v>
      </c>
      <c r="O515" s="176">
        <f t="shared" si="131"/>
        <v>0</v>
      </c>
      <c r="U515" s="571">
        <f t="shared" si="134"/>
        <v>5</v>
      </c>
      <c r="V515" s="293">
        <f>IF(U515=1,Adm!$AN$2,0)</f>
        <v>0</v>
      </c>
    </row>
    <row r="516" spans="3:22">
      <c r="C516" s="178">
        <f t="shared" si="128"/>
        <v>0</v>
      </c>
      <c r="D516" s="354">
        <f t="shared" si="132"/>
        <v>0</v>
      </c>
      <c r="E516" s="178">
        <f t="shared" si="133"/>
        <v>0</v>
      </c>
      <c r="F516" s="178">
        <f t="shared" si="135"/>
        <v>0</v>
      </c>
      <c r="G516" s="178">
        <f>IF(L515&lt;0.01,0,IF(Adm!$R$3=Adm!$R$6,0,IF(Adm!$S$10=Adm!$S$13,L515*Adm!$X$6,IF(Adm!$S$10=Adm!$S$11,L515*Adm!$X$3,IF(Adm!$S$10=Adm!$S$12,L515*Adm!$Y$3)))))</f>
        <v>0</v>
      </c>
      <c r="H516" s="178"/>
      <c r="I516" s="178"/>
      <c r="J516" s="178">
        <f t="shared" si="129"/>
        <v>0</v>
      </c>
      <c r="K516" s="178"/>
      <c r="L516" s="178">
        <f t="shared" si="130"/>
        <v>0</v>
      </c>
      <c r="O516" s="176">
        <f t="shared" si="131"/>
        <v>0</v>
      </c>
      <c r="U516" s="571">
        <f t="shared" si="134"/>
        <v>6</v>
      </c>
      <c r="V516" s="293">
        <f>IF(U516=1,Adm!$AN$2,0)</f>
        <v>0</v>
      </c>
    </row>
    <row r="517" spans="3:22">
      <c r="C517" s="178">
        <f t="shared" si="128"/>
        <v>0</v>
      </c>
      <c r="D517" s="354">
        <f t="shared" si="132"/>
        <v>0</v>
      </c>
      <c r="E517" s="178">
        <f t="shared" si="133"/>
        <v>0</v>
      </c>
      <c r="F517" s="178">
        <f t="shared" si="135"/>
        <v>0</v>
      </c>
      <c r="G517" s="178">
        <f>IF(L516&lt;0.01,0,IF(Adm!$R$3=Adm!$R$6,0,IF(Adm!$S$10=Adm!$S$13,L516*Adm!$X$6,IF(Adm!$S$10=Adm!$S$11,L516*Adm!$X$3,IF(Adm!$S$10=Adm!$S$12,L516*Adm!$Y$3)))))</f>
        <v>0</v>
      </c>
      <c r="H517" s="178"/>
      <c r="I517" s="178"/>
      <c r="J517" s="178">
        <f t="shared" si="129"/>
        <v>0</v>
      </c>
      <c r="K517" s="178"/>
      <c r="L517" s="178">
        <f t="shared" si="130"/>
        <v>0</v>
      </c>
      <c r="O517" s="176">
        <f t="shared" si="131"/>
        <v>0</v>
      </c>
      <c r="U517" s="571">
        <f t="shared" si="134"/>
        <v>7</v>
      </c>
      <c r="V517" s="293">
        <f>IF(U517=1,Adm!$AN$2,0)</f>
        <v>0</v>
      </c>
    </row>
    <row r="518" spans="3:22">
      <c r="C518" s="178">
        <f t="shared" si="128"/>
        <v>0</v>
      </c>
      <c r="D518" s="354">
        <f t="shared" si="132"/>
        <v>0</v>
      </c>
      <c r="E518" s="178">
        <f t="shared" si="133"/>
        <v>0</v>
      </c>
      <c r="F518" s="178">
        <f t="shared" si="135"/>
        <v>0</v>
      </c>
      <c r="G518" s="178">
        <f>IF(L517&lt;0.01,0,IF(Adm!$R$3=Adm!$R$6,0,IF(Adm!$S$10=Adm!$S$13,L517*Adm!$X$6,IF(Adm!$S$10=Adm!$S$11,L517*Adm!$X$3,IF(Adm!$S$10=Adm!$S$12,L517*Adm!$Y$3)))))</f>
        <v>0</v>
      </c>
      <c r="H518" s="178"/>
      <c r="I518" s="178"/>
      <c r="J518" s="178">
        <f t="shared" si="129"/>
        <v>0</v>
      </c>
      <c r="K518" s="178"/>
      <c r="L518" s="178">
        <f t="shared" si="130"/>
        <v>0</v>
      </c>
      <c r="O518" s="176">
        <f t="shared" si="131"/>
        <v>0</v>
      </c>
      <c r="U518" s="571">
        <f t="shared" si="134"/>
        <v>8</v>
      </c>
      <c r="V518" s="293">
        <f>IF(U518=1,Adm!$AN$2,0)</f>
        <v>0</v>
      </c>
    </row>
    <row r="519" spans="3:22">
      <c r="C519" s="178">
        <f t="shared" si="128"/>
        <v>0</v>
      </c>
      <c r="D519" s="354">
        <f t="shared" si="132"/>
        <v>0</v>
      </c>
      <c r="E519" s="178">
        <f t="shared" si="133"/>
        <v>0</v>
      </c>
      <c r="F519" s="178">
        <f t="shared" si="135"/>
        <v>0</v>
      </c>
      <c r="G519" s="178">
        <f>IF(L518&lt;0.01,0,IF(Adm!$R$3=Adm!$R$6,0,IF(Adm!$S$10=Adm!$S$13,L518*Adm!$X$6,IF(Adm!$S$10=Adm!$S$11,L518*Adm!$X$3,IF(Adm!$S$10=Adm!$S$12,L518*Adm!$Y$3)))))</f>
        <v>0</v>
      </c>
      <c r="H519" s="178"/>
      <c r="I519" s="178"/>
      <c r="J519" s="178">
        <f t="shared" si="129"/>
        <v>0</v>
      </c>
      <c r="K519" s="178"/>
      <c r="L519" s="178">
        <f t="shared" si="130"/>
        <v>0</v>
      </c>
      <c r="O519" s="176">
        <f t="shared" si="131"/>
        <v>0</v>
      </c>
      <c r="U519" s="571">
        <f t="shared" si="134"/>
        <v>9</v>
      </c>
      <c r="V519" s="293">
        <f>IF(U519=1,Adm!$AN$2,0)</f>
        <v>0</v>
      </c>
    </row>
    <row r="520" spans="3:22">
      <c r="C520" s="178">
        <f t="shared" si="128"/>
        <v>0</v>
      </c>
      <c r="D520" s="354">
        <f t="shared" si="132"/>
        <v>0</v>
      </c>
      <c r="E520" s="178">
        <f t="shared" si="133"/>
        <v>0</v>
      </c>
      <c r="F520" s="178">
        <f t="shared" si="135"/>
        <v>0</v>
      </c>
      <c r="G520" s="178">
        <f>IF(L519&lt;0.01,0,IF(Adm!$R$3=Adm!$R$6,0,IF(Adm!$S$10=Adm!$S$13,L519*Adm!$X$6,IF(Adm!$S$10=Adm!$S$11,L519*Adm!$X$3,IF(Adm!$S$10=Adm!$S$12,L519*Adm!$Y$3)))))</f>
        <v>0</v>
      </c>
      <c r="H520" s="178"/>
      <c r="I520" s="178"/>
      <c r="J520" s="178">
        <f t="shared" si="129"/>
        <v>0</v>
      </c>
      <c r="K520" s="178"/>
      <c r="L520" s="178">
        <f t="shared" si="130"/>
        <v>0</v>
      </c>
      <c r="O520" s="176">
        <f t="shared" si="131"/>
        <v>0</v>
      </c>
      <c r="U520" s="571">
        <f t="shared" si="134"/>
        <v>10</v>
      </c>
      <c r="V520" s="293">
        <f>IF(U520=1,Adm!$AN$2,0)</f>
        <v>0</v>
      </c>
    </row>
    <row r="521" spans="3:22">
      <c r="C521" s="178">
        <f t="shared" si="128"/>
        <v>0</v>
      </c>
      <c r="D521" s="354">
        <f t="shared" si="132"/>
        <v>0</v>
      </c>
      <c r="E521" s="178">
        <f t="shared" si="133"/>
        <v>0</v>
      </c>
      <c r="F521" s="178">
        <f t="shared" si="135"/>
        <v>0</v>
      </c>
      <c r="G521" s="178">
        <f>IF(L520&lt;0.01,0,IF(Adm!$R$3=Adm!$R$6,0,IF(Adm!$S$10=Adm!$S$13,L520*Adm!$X$6,IF(Adm!$S$10=Adm!$S$11,L520*Adm!$X$3,IF(Adm!$S$10=Adm!$S$12,L520*Adm!$Y$3)))))</f>
        <v>0</v>
      </c>
      <c r="H521" s="178"/>
      <c r="I521" s="178"/>
      <c r="J521" s="178">
        <f t="shared" si="129"/>
        <v>0</v>
      </c>
      <c r="K521" s="178"/>
      <c r="L521" s="178">
        <f t="shared" si="130"/>
        <v>0</v>
      </c>
      <c r="O521" s="176">
        <f t="shared" si="131"/>
        <v>0</v>
      </c>
      <c r="U521" s="571">
        <f t="shared" si="134"/>
        <v>11</v>
      </c>
      <c r="V521" s="293">
        <f>IF(U521=1,Adm!$AN$2,0)</f>
        <v>0</v>
      </c>
    </row>
    <row r="522" spans="3:22">
      <c r="C522" s="178">
        <f t="shared" si="128"/>
        <v>0</v>
      </c>
      <c r="D522" s="354">
        <f t="shared" si="132"/>
        <v>0</v>
      </c>
      <c r="E522" s="178">
        <f t="shared" si="133"/>
        <v>0</v>
      </c>
      <c r="F522" s="178">
        <f t="shared" si="135"/>
        <v>0</v>
      </c>
      <c r="G522" s="178">
        <f>IF(L521&lt;0.01,0,IF(Adm!$R$3=Adm!$R$6,0,IF(Adm!$S$10=Adm!$S$13,L521*Adm!$X$6,IF(Adm!$S$10=Adm!$S$11,L521*Adm!$X$3,IF(Adm!$S$10=Adm!$S$12,L521*Adm!$Y$3)))))</f>
        <v>0</v>
      </c>
      <c r="H522" s="178"/>
      <c r="I522" s="178"/>
      <c r="J522" s="178">
        <f t="shared" si="129"/>
        <v>0</v>
      </c>
      <c r="K522" s="178"/>
      <c r="L522" s="178">
        <f t="shared" si="130"/>
        <v>0</v>
      </c>
      <c r="O522" s="176">
        <f t="shared" si="131"/>
        <v>0</v>
      </c>
      <c r="U522" s="572">
        <f t="shared" si="134"/>
        <v>12</v>
      </c>
      <c r="V522" s="294">
        <f>IF(U522=1,Adm!$AN$2,0)</f>
        <v>0</v>
      </c>
    </row>
  </sheetData>
  <mergeCells count="3">
    <mergeCell ref="D3:F3"/>
    <mergeCell ref="AJ3:AL3"/>
    <mergeCell ref="K1:L1"/>
  </mergeCells>
  <conditionalFormatting sqref="K23">
    <cfRule type="containsBlanks" dxfId="4" priority="7">
      <formula>LEN(TRIM(K23))=0</formula>
    </cfRule>
  </conditionalFormatting>
  <conditionalFormatting sqref="K281">
    <cfRule type="containsBlanks" dxfId="3" priority="6">
      <formula>LEN(TRIM(K281))=0</formula>
    </cfRule>
  </conditionalFormatting>
  <conditionalFormatting sqref="M23:N23">
    <cfRule type="cellIs" dxfId="2" priority="4" stopIfTrue="1" operator="greaterThan">
      <formula>""""""</formula>
    </cfRule>
  </conditionalFormatting>
  <conditionalFormatting sqref="AR23">
    <cfRule type="containsBlanks" dxfId="1" priority="2">
      <formula>LEN(TRIM(AR23))=0</formula>
    </cfRule>
  </conditionalFormatting>
  <conditionalFormatting sqref="AT23:AU23">
    <cfRule type="cellIs" dxfId="0" priority="1" stopIfTrue="1" operator="greaterThan">
      <formula>""""""</formula>
    </cfRule>
  </conditionalFormatting>
  <pageMargins left="0.7" right="0.7" top="0.75" bottom="0.75" header="0.3" footer="0.3"/>
  <pageSetup orientation="portrait" horizontalDpi="4294967294" verticalDpi="4294967294"/>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o" ma:contentTypeID="0x0101009C31A0473D6A7249A399BB9DB5696926" ma:contentTypeVersion="2" ma:contentTypeDescription="Crear nuevo documento." ma:contentTypeScope="" ma:versionID="f7539dead7dac1dd1bfd6fc4354de4d8">
  <xsd:schema xmlns:xsd="http://www.w3.org/2001/XMLSchema" xmlns:xs="http://www.w3.org/2001/XMLSchema" xmlns:p="http://schemas.microsoft.com/office/2006/metadata/properties" xmlns:ns2="c51bde25-c266-40db-825b-e30496afd46a" xmlns:ns3="99e54f31-5ccb-4bf1-8dd1-7d369df0edbd" targetNamespace="http://schemas.microsoft.com/office/2006/metadata/properties" ma:root="true" ma:fieldsID="3a0c81e7aa119be0d99e98cae64a484e" ns2:_="" ns3:_="">
    <xsd:import namespace="c51bde25-c266-40db-825b-e30496afd46a"/>
    <xsd:import namespace="99e54f31-5ccb-4bf1-8dd1-7d369df0edbd"/>
    <xsd:element name="properties">
      <xsd:complexType>
        <xsd:sequence>
          <xsd:element name="documentManagement">
            <xsd:complexType>
              <xsd:all>
                <xsd:element ref="ns2:_dlc_DocId" minOccurs="0"/>
                <xsd:element ref="ns2:_dlc_DocIdUrl" minOccurs="0"/>
                <xsd:element ref="ns2:_dlc_DocIdPersistId" minOccurs="0"/>
                <xsd:element ref="ns3:Clave" minOccurs="0"/>
                <xsd:element ref="ns3:Descripc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1bde25-c266-40db-825b-e30496afd46a"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9e54f31-5ccb-4bf1-8dd1-7d369df0edbd" elementFormDefault="qualified">
    <xsd:import namespace="http://schemas.microsoft.com/office/2006/documentManagement/types"/>
    <xsd:import namespace="http://schemas.microsoft.com/office/infopath/2007/PartnerControls"/>
    <xsd:element name="Clave" ma:index="11" nillable="true" ma:displayName="Clave" ma:internalName="Clave">
      <xsd:simpleType>
        <xsd:restriction base="dms:Text">
          <xsd:maxLength value="255"/>
        </xsd:restriction>
      </xsd:simpleType>
    </xsd:element>
    <xsd:element name="Descripcion" ma:index="12" nillable="true" ma:displayName="Descripcion" ma:internalName="Descripcion">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Clave xmlns="99e54f31-5ccb-4bf1-8dd1-7d369df0edbd">BHF-034</Clave>
    <Descripcion xmlns="99e54f31-5ccb-4bf1-8dd1-7d369df0edbd">Simulador de Crédito Hipotecario</Descripcion>
    <_dlc_DocId xmlns="c51bde25-c266-40db-825b-e30496afd46a">5YW4VZZFFSYP-1521358386-1342</_dlc_DocId>
    <_dlc_DocIdUrl xmlns="c51bde25-c266-40db-825b-e30496afd46a">
      <Url>https://misharepoint.mx.corp/ryp/_layouts/15/DocIdRedir.aspx?ID=5YW4VZZFFSYP-1521358386-1342</Url>
      <Description>5YW4VZZFFSYP-1521358386-1342</Description>
    </_dlc_DocIdUrl>
  </documentManagement>
</p:properties>
</file>

<file path=customXml/itemProps1.xml><?xml version="1.0" encoding="utf-8"?>
<ds:datastoreItem xmlns:ds="http://schemas.openxmlformats.org/officeDocument/2006/customXml" ds:itemID="{8CE77629-97C9-4199-ABA0-27F9424F89C5}">
  <ds:schemaRefs>
    <ds:schemaRef ds:uri="http://schemas.microsoft.com/sharepoint/v3/contenttype/forms"/>
  </ds:schemaRefs>
</ds:datastoreItem>
</file>

<file path=customXml/itemProps2.xml><?xml version="1.0" encoding="utf-8"?>
<ds:datastoreItem xmlns:ds="http://schemas.openxmlformats.org/officeDocument/2006/customXml" ds:itemID="{93750AB0-CE67-4434-9CA2-24BD1C26BA8B}">
  <ds:schemaRefs>
    <ds:schemaRef ds:uri="http://schemas.microsoft.com/sharepoint/events"/>
  </ds:schemaRefs>
</ds:datastoreItem>
</file>

<file path=customXml/itemProps3.xml><?xml version="1.0" encoding="utf-8"?>
<ds:datastoreItem xmlns:ds="http://schemas.openxmlformats.org/officeDocument/2006/customXml" ds:itemID="{A658B487-1025-409F-BC59-38DBCB15BF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51bde25-c266-40db-825b-e30496afd46a"/>
    <ds:schemaRef ds:uri="99e54f31-5ccb-4bf1-8dd1-7d369df0ed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1F9E6D3-0269-4389-B74E-706F000913C5}">
  <ds:schemaRefs>
    <ds:schemaRef ds:uri="http://purl.org/dc/terms/"/>
    <ds:schemaRef ds:uri="http://schemas.microsoft.com/office/2006/documentManagement/types"/>
    <ds:schemaRef ds:uri="http://purl.org/dc/elements/1.1/"/>
    <ds:schemaRef ds:uri="99e54f31-5ccb-4bf1-8dd1-7d369df0edbd"/>
    <ds:schemaRef ds:uri="http://purl.org/dc/dcmitype/"/>
    <ds:schemaRef ds:uri="http://www.w3.org/XML/1998/namespace"/>
    <ds:schemaRef ds:uri="c51bde25-c266-40db-825b-e30496afd46a"/>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7</vt:i4>
      </vt:variant>
    </vt:vector>
  </HeadingPairs>
  <TitlesOfParts>
    <vt:vector size="7" baseType="lpstr">
      <vt:lpstr>Adm</vt:lpstr>
      <vt:lpstr>Cal</vt:lpstr>
      <vt:lpstr>Captura</vt:lpstr>
      <vt:lpstr>Liquidez</vt:lpstr>
      <vt:lpstr>Resol</vt:lpstr>
      <vt:lpstr>pasos</vt:lpstr>
      <vt:lpstr>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 LEON GUZMAN IRIS GUADALUPE</dc:creator>
  <cp:lastModifiedBy>Sergio Omar Alvarado Pérez</cp:lastModifiedBy>
  <cp:lastPrinted>2017-09-11T23:59:56Z</cp:lastPrinted>
  <dcterms:created xsi:type="dcterms:W3CDTF">2015-07-08T18:15:31Z</dcterms:created>
  <dcterms:modified xsi:type="dcterms:W3CDTF">2017-11-21T21:05:14Z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aff134b3-514c-4348-94e3-6ad0e50a8e08</vt:lpwstr>
  </property>
  <property fmtid="{D5CDD505-2E9C-101B-9397-08002B2CF9AE}" pid="3" name="ContentTypeId">
    <vt:lpwstr>0x0101009C31A0473D6A7249A399BB9DB5696926</vt:lpwstr>
  </property>
</Properties>
</file>